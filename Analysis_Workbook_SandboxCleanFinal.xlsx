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omments/comment1.xml" ContentType="application/vnd.openxmlformats-officedocument.spreadsheetml.comments+xml"/>
  <Override PartName="/xl/worksheets/sheet26.xml" ContentType="application/vnd.openxmlformats-officedocument.spreadsheetml.worksheet+xml"/>
  <Override PartName="/xl/comments/comment2.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95" yWindow="480" windowWidth="27150" windowHeight="14400" tabRatio="851" firstSheet="0" activeTab="0" autoFilterDateGrouping="1"/>
  </bookViews>
  <sheets>
    <sheet name="Property Info" sheetId="1" state="visible" r:id="rId1"/>
    <sheet name="FE" sheetId="2" state="visible" r:id="rId2"/>
    <sheet name="Market Neighborhood" sheetId="3" state="hidden" r:id="rId3"/>
    <sheet name="Site Information" sheetId="4" state="hidden" r:id="rId4"/>
    <sheet name="Improvements" sheetId="5" state="hidden" r:id="rId5"/>
    <sheet name="H&amp;BU" sheetId="6" state="hidden" r:id="rId6"/>
    <sheet name="Final Value" sheetId="7" state="visible" r:id="rId7"/>
    <sheet name="Land Sales" sheetId="8" state="hidden" r:id="rId8"/>
    <sheet name="M&amp;S Inputs" sheetId="9" state="visible" r:id="rId9"/>
    <sheet name="Cost Approach" sheetId="10" state="hidden" r:id="rId10"/>
    <sheet name="Construction Costs" sheetId="11" state="hidden" r:id="rId11"/>
    <sheet name="Export030823" sheetId="12" state="visible" r:id="rId12"/>
    <sheet name="Basic Sales Grid" sheetId="13" state="visible" r:id="rId13"/>
    <sheet name="Detailed Sales Grid" sheetId="14" state="hidden" r:id="rId14"/>
    <sheet name="LA" sheetId="15" state="hidden" r:id="rId15"/>
    <sheet name="LAG Percent" sheetId="16" state="hidden" r:id="rId16"/>
    <sheet name="IS Summary" sheetId="17" state="hidden" r:id="rId17"/>
    <sheet name="HOA" sheetId="18" state="hidden" r:id="rId18"/>
    <sheet name="CED" sheetId="19" state="hidden" r:id="rId19"/>
    <sheet name="OECC" sheetId="20" state="hidden" r:id="rId20"/>
    <sheet name="PF" sheetId="21" state="hidden" r:id="rId21"/>
    <sheet name="Cap Rate Lease-Up" sheetId="22" state="hidden" r:id="rId22"/>
    <sheet name="IA Values" sheetId="23" state="hidden" r:id="rId23"/>
    <sheet name="Income Approach" sheetId="24" state="visible" r:id="rId24"/>
    <sheet name="Property Registry" sheetId="25" state="visible" r:id="rId25"/>
    <sheet name="Expense Database" sheetId="26" state="visible" r:id="rId26"/>
    <sheet name="PSF Summary" sheetId="27" state="visible" r:id="rId27"/>
    <sheet name="Adams County Resources" sheetId="28" state="visible" r:id="rId28"/>
  </sheets>
  <externalReferences>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s>
  <definedNames>
    <definedName name="_Fill" hidden="1">'[1]Key Assumptions'!#REF!</definedName>
    <definedName name="_Order1" hidden="1">255</definedName>
    <definedName name="AccessCode" hidden="1">""""</definedName>
    <definedName name="Accrued_Physical">[2]ImpAnalysis!$I$26</definedName>
    <definedName name="Actual_Age">[2]Inputs!$C$159</definedName>
    <definedName name="Actual_Taxes">[2]Tax!$G$21</definedName>
    <definedName name="Adj_Pro_Assessed_Val">[2]Tax!$K$12</definedName>
    <definedName name="AdjCatNo">'[2]IS Grid'!$A$81</definedName>
    <definedName name="Ambient_Area">[2]Inputs!$C$96</definedName>
    <definedName name="AmtBdgt">[3]OpActuals!$I:$I</definedName>
    <definedName name="AMTY1">[3]OpActuals!$C:$C</definedName>
    <definedName name="AMTY2">[3]OpActuals!$D:$D</definedName>
    <definedName name="AMTY3">[3]OpActuals!$E:$E</definedName>
    <definedName name="AMTY4">[3]OpActuals!$F:$F</definedName>
    <definedName name="AMTY5">[3]OpActuals!$H:$H</definedName>
    <definedName name="AnalysisType">[4]Assumptions!$C$2:$C$3</definedName>
    <definedName name="Anchor_1_Name">[2]Inputs!$C$119</definedName>
    <definedName name="Anchor_1_SF">[2]Inputs!$C$120</definedName>
    <definedName name="Anchor_2_Name">[2]Inputs!$C$121</definedName>
    <definedName name="Anchor_2_SF">[2]Inputs!$C$122</definedName>
    <definedName name="Anchor_3_Name">[2]Inputs!$C$123</definedName>
    <definedName name="Anchor_3_SF">[2]Inputs!$C$124</definedName>
    <definedName name="Anchor_4_Name">[2]Inputs!$C$125</definedName>
    <definedName name="Anchor_4_SF">[2]Inputs!$C$126</definedName>
    <definedName name="Anchor_5_Name">[2]Inputs!$C$127</definedName>
    <definedName name="Anchor_5_SF">[2]Inputs!$C$128</definedName>
    <definedName name="Anchor_6_Name">[2]Inputs!$C$129</definedName>
    <definedName name="Anchor_6_SF">[2]Inputs!$C$130</definedName>
    <definedName name="Annual_Mkt_Rent">'[2]Mkt Rent'!$BE$85</definedName>
    <definedName name="Appraisal_Fee">[2]Inputs!$C$58</definedName>
    <definedName name="Appraiser">[2]Inputs!$C$9</definedName>
    <definedName name="Apt.Concessions">'[2]Dir Cap'!$H$8</definedName>
    <definedName name="Apt.Concessions.Percent">'[2]Dir Cap'!$E$8</definedName>
    <definedName name="Apt.LosstoLease">'[2]Dir Cap'!$H$7</definedName>
    <definedName name="Apt.LosstoLease.Percent">'[2]Dir Cap'!$E$7</definedName>
    <definedName name="Apt_Row_Cost">[2]Cost!#REF!</definedName>
    <definedName name="ARC.Homesites">'[1]ARC Financials'!$F$240</definedName>
    <definedName name="ARC.No">[1]Instructions!$B$3</definedName>
    <definedName name="ARC.PropAddress">'[1]ARC Property List'!$D$9:$D$67</definedName>
    <definedName name="ARC.PropCity">'[1]ARC Property List'!$E$9:$E$67</definedName>
    <definedName name="ARC.PropCode">'[1]ARC Property List'!$B$9:$B$67</definedName>
    <definedName name="ARC.PropName">'[1]ARC Property List'!$C$9:$C$67</definedName>
    <definedName name="ARC.PropState">'[1]ARC Property List'!$F$9:$F$67</definedName>
    <definedName name="ARC.PropZip">'[1]ARC Property List'!$G$9:$G$67</definedName>
    <definedName name="ARI">'[2]Dir Cap'!$H$9</definedName>
    <definedName name="ArrTot">[6]Assumptions!$F$9:$G$21</definedName>
    <definedName name="ArrTotal">[4]Assumptions!$F$9:$G$21</definedName>
    <definedName name="As_Is_Value">[2]Values!$M$21</definedName>
    <definedName name="bbDateOfValueEffectiveDate">'[7]Valuation Scenarios'!$D$85</definedName>
    <definedName name="bbDateReport">[7]Assignment!$B$44</definedName>
    <definedName name="bbMarketValues">'[7]Valuation Scenarios'!$D$76</definedName>
    <definedName name="bbPropertyOwner">[7]Assignment!$B$27</definedName>
    <definedName name="bbValuationType">'[7]Valuation Scenarios'!$D$79</definedName>
    <definedName name="bbValueConditionScen1">'[3]Valuation Scenarios'!$B$8</definedName>
    <definedName name="bbValueDateScen1">'[3]Valuation Scenarios'!$B$5</definedName>
    <definedName name="bbValueInterestScen1">'[3]Valuation Scenarios'!$B$7</definedName>
    <definedName name="bbValueNameScen1">'[3]Valuation Scenarios'!$B$4</definedName>
    <definedName name="Building_Area">[2]Inputs!$C$146</definedName>
    <definedName name="Building_Class_List">[2]InputsRangeNames!$J$4:$J$8</definedName>
    <definedName name="Building_Class_Value">[2]InputsRangeNames!$J$2</definedName>
    <definedName name="Building_Class_Value_List">[2]InputsRangeNames!$I$4:$I$8</definedName>
    <definedName name="caDeferredMaint">[3]Cost!$F$44</definedName>
    <definedName name="caLandValueRND">[3]LSaleAdj!$E$48</definedName>
    <definedName name="caLandValueRNDPresent">#REF!</definedName>
    <definedName name="Cap_Rate">'[2]Dir Cap'!$H$48</definedName>
    <definedName name="Category">[3]OpActuals!$A:$A</definedName>
    <definedName name="caValueRND">[9]Cost!$G$58</definedName>
    <definedName name="caValueRNDPresent">'[10]Value Indications'!$C$5</definedName>
    <definedName name="clCompanyAddressCity">[7]Assignment!$B$17</definedName>
    <definedName name="clCompanyAddressState">[7]Assignment!$B$18</definedName>
    <definedName name="clCompanyAddressStreet1">[7]Assignment!$B$15</definedName>
    <definedName name="clCompanyAddressStreet2">[7]Assignment!$B$16</definedName>
    <definedName name="clCompanyAddressZip">[7]Assignment!$B$19</definedName>
    <definedName name="Clear_Height">[2]Inputs!$C$102</definedName>
    <definedName name="Client.Ref.No">[2]Inputs!$C$57</definedName>
    <definedName name="Client_City">[2]Inputs!$C$25</definedName>
    <definedName name="Client_Company">[2]Inputs!$C$21</definedName>
    <definedName name="Client_EMail">[2]Inputs!$C$20</definedName>
    <definedName name="Client_Fax">[2]Inputs!$C$19</definedName>
    <definedName name="Client_Phone">[2]Inputs!$C$18</definedName>
    <definedName name="Client_State">[2]Inputs!$C$26</definedName>
    <definedName name="Client_Street">[2]Inputs!$C$24</definedName>
    <definedName name="Client_Zip">[2]Inputs!$C$27</definedName>
    <definedName name="clInspectionContactName">[7]Assignment!$B$22</definedName>
    <definedName name="Cmp1Rents">#REF!</definedName>
    <definedName name="Cmp2Rents">#REF!</definedName>
    <definedName name="Cmp3Rents">#REF!</definedName>
    <definedName name="Cmp4Rents">#REF!</definedName>
    <definedName name="Cmp5Rents">#REF!</definedName>
    <definedName name="Cmp6Rents">#REF!</definedName>
    <definedName name="Cmp7Rents">#REF!</definedName>
    <definedName name="CmpArea_0">#REF!</definedName>
    <definedName name="CmpArea_1">#REF!</definedName>
    <definedName name="CmpArea_2">#REF!</definedName>
    <definedName name="CmpArea_3">#REF!</definedName>
    <definedName name="CmpEff">#REF!</definedName>
    <definedName name="CmpFooter">#REF!</definedName>
    <definedName name="CmpOne">#REF!</definedName>
    <definedName name="CmpRef">#REF!</definedName>
    <definedName name="CmpThree">#REF!</definedName>
    <definedName name="CmpTwo">#REF!</definedName>
    <definedName name="Cold_Storage_Area">[2]Inputs!$C$99</definedName>
    <definedName name="Communities">#REF!</definedName>
    <definedName name="Comparison_No.">'[2]Dir Cap'!$K$2:$K$5</definedName>
    <definedName name="Comparison_Totals">'[2]Dir Cap'!$M$2:$M$5</definedName>
    <definedName name="Comparison_Type">'[2]Dir Cap'!$L$2:$L$5</definedName>
    <definedName name="Condition">[2]Inputs!$C$158</definedName>
    <definedName name="Condition_List">[2]InputsRangeNames!$X$4:$X$8</definedName>
    <definedName name="Condition_Value">[2]InputsRangeNames!$X$2</definedName>
    <definedName name="Construction_Period">[2]Inputs!$C$37</definedName>
    <definedName name="Cooler_Area">[2]Inputs!$C$97</definedName>
    <definedName name="Cost.Basis.Value">[2]Cost!$K$11</definedName>
    <definedName name="Cost.Component.Value">[2]Cost!$K$12</definedName>
    <definedName name="Cost_Value">[2]Cost!$H$89</definedName>
    <definedName name="CostEstimates">[11]Sheet2!$B$4:$B$5</definedName>
    <definedName name="Cover_Ratio">[2]Improv!$F$47</definedName>
    <definedName name="Current_As_Complete_Value">[2]Values!$N$21</definedName>
    <definedName name="Current_As_Stabilized_Value">[2]Values!$O$21</definedName>
    <definedName name="Current_Assessment">[2]Tax!$G$12</definedName>
    <definedName name="Current_Occ_SF">[2]Inputs!#REF!</definedName>
    <definedName name="Current_Occ_Units">[2]Inputs!$C$93</definedName>
    <definedName name="Current_Occupancy">[2]Inputs!$C$149</definedName>
    <definedName name="Current_Zoning">[2]Zoning!$D$4</definedName>
    <definedName name="Date_of_Insp">[2]Inputs!$C$31</definedName>
    <definedName name="Date_of_Report">[2]Inputs!$C$32</definedName>
    <definedName name="Date_of_Value">[2]Inputs!$C$43</definedName>
    <definedName name="DCF_Apt_Value">'[2]APT DCF'!$AB$99</definedName>
    <definedName name="DCF_Value">[2]Values!$E$8</definedName>
    <definedName name="Deferred_Maint">[2]ImpAnalysis!$D$15</definedName>
    <definedName name="Demos_Begin">[2]Demos!$K$10</definedName>
    <definedName name="Depr_Repl_Cost">[2]Cost!$H$82</definedName>
    <definedName name="Diff.">[2]Inputs!#REF!</definedName>
    <definedName name="Dir_Cap_Unit_Values">'[2]Dir Cap'!$G$6,'[2]Dir Cap'!$G$14,'[2]Dir Cap'!$G$22,'[2]Dir Cap'!$G$25,'[2]Dir Cap'!$G$45,'[2]Dir Cap'!$G$9,'[2]Dir Cap'!$G$47</definedName>
    <definedName name="Dir_Cap_Unit_Values_2">'[2]Dir Cap'!$G$10:$G$13,'[2]Dir Cap'!$G$16:$G$21,'[2]Dir Cap'!$G$26:$G$44</definedName>
    <definedName name="Dir_Cap_Value">'[2]Dir Cap'!$H$54</definedName>
    <definedName name="DirCap2Premise">[2]Inputs!$E$52</definedName>
    <definedName name="Disc_Rate">'[2]DCF Assum'!$D$46</definedName>
    <definedName name="Draft_Value">[2]Inputs!#REF!</definedName>
    <definedName name="Due_Date">[2]Inputs!$C$30</definedName>
    <definedName name="ECh_Cat_1">'[2]Exp Charts'!$D:$D,'[2]Exp Charts'!$I:$I</definedName>
    <definedName name="ECh_Cat_2">'[2]Exp Charts'!$F:$F,'[2]Exp Charts'!$K:$K</definedName>
    <definedName name="ECh_Cat_3">'[2]Exp Charts'!$G:$G,'[2]Exp Charts'!$M:$M</definedName>
    <definedName name="ECh_Yr_1">'[2]Exp Charts'!$8:$8+'[2]Exp Charts'!$8:$8,'[2]Exp Charts'!$17:$17,'[2]Exp Charts'!$26:$26,'[2]Exp Charts'!$35:$35,'[2]Exp Charts'!$44:$44,'[2]Exp Charts'!$58:$58</definedName>
    <definedName name="ECh_Yr_2">'[2]Exp Charts'!$7:$7,'[2]Exp Charts'!$16:$16,'[2]Exp Charts'!$25:$25,'[2]Exp Charts'!$34:$34,'[2]Exp Charts'!$43:$43,'[2]Exp Charts'!$57:$57</definedName>
    <definedName name="ECh_Yr_3">'[2]Exp Charts'!$6:$6,'[2]Exp Charts'!$15:$15,'[2]Exp Charts'!$24:$24,'[2]Exp Charts'!$33:$33,'[2]Exp Charts'!$42:$42,'[2]Exp Charts'!$56:$56</definedName>
    <definedName name="Economic_Life">[2]Inputs!$C$161</definedName>
    <definedName name="Effective_Age">[2]Inputs!$C$160</definedName>
    <definedName name="EGI">'[2]Dir Cap'!$H$22</definedName>
    <definedName name="Est._Exposure_Time">[2]Exposure!$I$21</definedName>
    <definedName name="Est._Marketing_Time">[2]Exposure!$I$21</definedName>
    <definedName name="Ex_L_amounts">[2]InputsRangeNames!$Q$4:$Q$6</definedName>
    <definedName name="Exc_Land_IS">'[2]IS Concl'!#REF!</definedName>
    <definedName name="Excess_Land__ac.">[2]Inputs!$C$81</definedName>
    <definedName name="Excess_Land__allowable_units">[2]Inputs!$C$80</definedName>
    <definedName name="Excess_Land__sf">[2]Inputs!$C$82</definedName>
    <definedName name="Excess_Land_Value">'[2]L Grid (2)'!$T$67</definedName>
    <definedName name="Exp_Cat_8">'[2]Dir Cap'!#REF!</definedName>
    <definedName name="Exp_Cat_9">'[2]Dir Cap'!#REF!</definedName>
    <definedName name="Exp_Comp_1">'[2]Exp Comps'!$E$5</definedName>
    <definedName name="Exp_Comp_2">'[2]Exp Comps'!$I$5</definedName>
    <definedName name="Exp_Comp_3">'[2]Exp Comps'!$Q$5</definedName>
    <definedName name="Exp_Comp_4">'[2]Exp Comps'!$R$5</definedName>
    <definedName name="Exp_Comp_5">'[2]Exp Comps'!$S$5</definedName>
    <definedName name="Exp_Comp_6">'[2]Exp Comps'!$M$5</definedName>
    <definedName name="Exp_Comps">'[2]Exp Comps'!$C$5:$S$35</definedName>
    <definedName name="Exp_Hist">'[2]Op History'!$G$5:$Z$39</definedName>
    <definedName name="Exp_Prof">'[2]Dir Cap'!$D$6:$H$47</definedName>
    <definedName name="ExpCompPubVal">'[2]Exp Charts'!$N$48</definedName>
    <definedName name="ExpCompVal">'[2]Exp Charts'!$N$40</definedName>
    <definedName name="Expense_Category_1">[2]Inputs!$C$173</definedName>
    <definedName name="Expense_Category_10">[2]Inputs!$C$182</definedName>
    <definedName name="Expense_Category_11">[2]Inputs!$C$183</definedName>
    <definedName name="Expense_Category_12">[2]Inputs!$C$184</definedName>
    <definedName name="Expense_Category_13">[2]Inputs!$C$185</definedName>
    <definedName name="Expense_Category_14">[2]Inputs!$C$186</definedName>
    <definedName name="Expense_Category_15">[2]Inputs!$C$187</definedName>
    <definedName name="Expense_Category_16">[2]Inputs!$C$188</definedName>
    <definedName name="Expense_Category_17">[2]Inputs!$C$189</definedName>
    <definedName name="Expense_Category_18">[2]Inputs!$C$190</definedName>
    <definedName name="Expense_Category_19">[2]Inputs!$C$191</definedName>
    <definedName name="Expense_Category_2">[2]Inputs!$C$174</definedName>
    <definedName name="Expense_Category_20">[2]Inputs!$C$192</definedName>
    <definedName name="Expense_Category_3">[2]Inputs!$C$175</definedName>
    <definedName name="Expense_Category_4">[2]Inputs!$C$176</definedName>
    <definedName name="Expense_Category_5">[2]Inputs!$C$177</definedName>
    <definedName name="Expense_Category_6">[2]Inputs!$C$178</definedName>
    <definedName name="Expense_Category_7">[2]Inputs!$C$179</definedName>
    <definedName name="Expense_Category_8">[2]Inputs!$C$180</definedName>
    <definedName name="Expense_Category_9">[2]Inputs!$C$181</definedName>
    <definedName name="ExpYr1">'[2]Op History'!$W$5</definedName>
    <definedName name="ExpYr1Val">'[2]Op History'!$AL$3</definedName>
    <definedName name="ExpYr2">'[2]Op History'!$R$5</definedName>
    <definedName name="ExpYr2Val">'[2]Op History'!$AK$3</definedName>
    <definedName name="ExpYr3">'[2]Op History'!$M$5</definedName>
    <definedName name="ExpYr3Val">'[2]Op History'!$AJ$3</definedName>
    <definedName name="ExpYr4">'[2]Op History'!$H$5</definedName>
    <definedName name="ExpYr4Val">'[2]Op History'!$AI$3</definedName>
    <definedName name="External">[2]Cost!$M$102</definedName>
    <definedName name="f">#REF!</definedName>
    <definedName name="File_No.">[2]Inputs!$C$4</definedName>
    <definedName name="Final_Value">[2]Values!$AC$44</definedName>
    <definedName name="Final_Value__Second_Appraisal_Premise">[2]Values!$V$32</definedName>
    <definedName name="Final_Value__Third_Appraisal_Premise">[2]Values!$V$37</definedName>
    <definedName name="Financial.Source">#REF!</definedName>
    <definedName name="First_Appraisal_Premise">[2]Inputs!$C$39</definedName>
    <definedName name="Floorplan_1">'[2]Mkt Rent'!#REF!</definedName>
    <definedName name="Floorplans">'[2]Mkt Rent'!#REF!</definedName>
    <definedName name="Floorplans_2">'[2]Mkt Rent'!#REF!</definedName>
    <definedName name="Floorplans_3">'[2]Mkt Rent'!#REF!</definedName>
    <definedName name="Freezer_Area">[2]Inputs!$C$98</definedName>
    <definedName name="frmRRCatListInUse">[9]RentRoll_Macro!$A$2:$A$11</definedName>
    <definedName name="Functional">[2]Cost!$G$79</definedName>
    <definedName name="fw4aerhah">#REF!</definedName>
    <definedName name="GBA">'[3]Improvement Description'!$B$11</definedName>
    <definedName name="GRI">'[2]Dir Cap'!$H$6</definedName>
    <definedName name="HA_Operating_History">#REF!</definedName>
    <definedName name="HBU_As_Improved">[2]Inputs!$C$75</definedName>
    <definedName name="HBU_As_Vacant">[2]Inputs!$C$74</definedName>
    <definedName name="HBU_Value">[2]InputsRangeNames!$G$2</definedName>
    <definedName name="Highest___Best_Use">[2]Inputs!$C$73</definedName>
    <definedName name="HJData">'[1]Key Assumptions'!$C$4:$X$4</definedName>
    <definedName name="iaBOIRate">#REF!</definedName>
    <definedName name="iaDateValue">PF!$D$2</definedName>
    <definedName name="iaIntRateBase">#REF!</definedName>
    <definedName name="iaLoanAmo">#REF!</definedName>
    <definedName name="iaLoanMtgConstant">#REF!</definedName>
    <definedName name="iaLoanTV">#REF!</definedName>
    <definedName name="iaNumberTenants">[7]tblRentRoll!$V$1</definedName>
    <definedName name="iaOAR">[3]ProForma!$B$44</definedName>
    <definedName name="iaOARBandofInvestment">#REF!</definedName>
    <definedName name="iaOARBrokers">#REF!</definedName>
    <definedName name="iaOARDCR">#REF!</definedName>
    <definedName name="iaOARInvestors">#REF!</definedName>
    <definedName name="iaProjMgmtPct">PF!#REF!</definedName>
    <definedName name="iaProjVcyPct">[3]LeaseComps!$S$32</definedName>
    <definedName name="iaValueDirectCapRND">[3]ProForma!$D$50</definedName>
    <definedName name="iaValueDirectCapRNDPresent">#REF!</definedName>
    <definedName name="iaValueYieldCapRNDPresent">#REF!</definedName>
    <definedName name="imp.value.range.sf">'[2]IS Grid'!$E$90:$J$90</definedName>
    <definedName name="imp.value.range.unit">'[2]IS Grid'!$E$92:$J$92</definedName>
    <definedName name="Inc_App_Val">[2]Values!$E$9</definedName>
    <definedName name="Income_Approach_Value">[2]Inputs!#REF!</definedName>
    <definedName name="INHOUSE">'[1]Key Assumptions'!$B$2:$E$2</definedName>
    <definedName name="Ins_Apt_Row">'[2]Ins Val'!#REF!</definedName>
    <definedName name="Ins_Value">'[2]Ins Val'!$H$56</definedName>
    <definedName name="Inspection_Date">[2]Inputs!$C$31</definedName>
    <definedName name="Investment_Class_Value">[2]InputsRangeNames!$K$2</definedName>
    <definedName name="Investment_Class_Value_List">[2]InputsRangeNames!$K$4:$K$18</definedName>
    <definedName name="IS_Concl_Values">'[2]IS Concl'!#REF!,'[2]IS Concl'!#REF!,'[2]IS Concl'!$D$39,'[2]IS Concl'!$M$12:$M$13,'[2]IS Concl'!$C$40:$D$46,'[2]IS Concl'!#REF!</definedName>
    <definedName name="IS_Grid_2_BasisForAdj">'[2]IS Grid (2)'!$35:$35,'[2]IS Grid (2)'!$37:$37,'[2]IS Grid (2)'!$39:$39,'[2]IS Grid (2)'!$41:$41,'[2]IS Grid (2)'!$46:$46,'[2]IS Grid (2)'!$48:$48,'[2]IS Grid (2)'!$50:$50,'[2]IS Grid (2)'!$52:$52,'[2]IS Grid (2)'!$54:$54,'[2]IS Grid (2)'!$56:$56,'[2]IS Grid (2)'!$58:$58,'[2]IS Grid (2)'!$60:$60,'[2]IS Grid (2)'!$62:$62,'[2]IS Grid (2)'!$64:$64,'[2]IS Grid (2)'!$66:$66,'[2]IS Grid (2)'!$68:$68,'[2]IS Grid (2)'!$70:$70,'[2]IS Grid (2)'!$72:$72,'[2]IS Grid (2)'!$74:$74</definedName>
    <definedName name="IS_Grid_BasisForAdj">'[2]IS Grid'!$35:$35,'[2]IS Grid'!$37:$37,'[2]IS Grid'!$39:$39,'[2]IS Grid'!$41:$41,'[2]IS Grid'!$46:$46,'[2]IS Grid'!$48:$48,'[2]IS Grid'!$50:$50,'[2]IS Grid'!$52:$52,'[2]IS Grid'!$54:$54,'[2]IS Grid'!$56:$56,'[2]IS Grid'!$58:$58,'[2]IS Grid'!$60:$60,'[2]IS Grid'!$62:$62,'[2]IS Grid'!$64:$64,'[2]IS Grid'!$66:$66,'[2]IS Grid'!$68:$68,'[2]IS Grid'!$70:$70,'[2]IS Grid'!$72:$72,'[2]IS Grid'!$74:$74</definedName>
    <definedName name="IS_Grid_Rows2">'[2]IS Grid'!$B$2</definedName>
    <definedName name="IS_Grid_Rows2_2">'[2]IS Grid (2)'!$B$2</definedName>
    <definedName name="IS_Grid_Values">'[2]IS Grid'!#REF!,'[2]IS Grid'!$E$30:$L$30,'[2]IS Grid'!$E$36:$L$36,'[2]IS Grid'!$E$55:$L$55</definedName>
    <definedName name="ISaleDataLU">[3]ISaleData!$A$2:$AH$11</definedName>
    <definedName name="isOARRange">#REF!</definedName>
    <definedName name="KeyAssumpRange">'[1]Key Assumptions'!$A$1:$Y$5</definedName>
    <definedName name="L_adjsalespr">'[2]WA Import'!$AV$32:$AV$34</definedName>
    <definedName name="L_Amounts_List">[2]InputsRangeNames!$O$4:$O$6</definedName>
    <definedName name="L_Amounts_Value">[2]InputsRangeNames!$O$2</definedName>
    <definedName name="L_city">'[2]WA Import'!$Q$32:$Q$34</definedName>
    <definedName name="L_loc1">'[2]WA Import'!$O$32:$O$34</definedName>
    <definedName name="L_loc2">'[2]WA Import'!$P$32:$P$34</definedName>
    <definedName name="L_name">'[2]WA Import'!$L$32:$L$34</definedName>
    <definedName name="L_numunits">'[2]WA Import'!$AK$32:$AK$34</definedName>
    <definedName name="L_propuse">'[2]WA Import'!$AZ$32:$AZ$34</definedName>
    <definedName name="L_salemoyr">'[2]WA Import'!$AM$32:$AM$34</definedName>
    <definedName name="L_saleprice">'[2]WA Import'!$AR$32:$AR$34</definedName>
    <definedName name="L_state">'[2]WA Import'!$T$32:$T$34</definedName>
    <definedName name="L_t_xn">'[2]WA Import'!$DM$32:$DM$34</definedName>
    <definedName name="L_Type_List">[2]InputsRangeNames!$P$4:$P$6</definedName>
    <definedName name="L_Type_Value">[2]InputsRangeNames!$P$2</definedName>
    <definedName name="L_Units_List">[2]InputsRangeNames!$N$4:$N$6</definedName>
    <definedName name="L_Units_Value">[2]InputsRangeNames!$N$2</definedName>
    <definedName name="L_usabacres">'[2]WA Import'!$AA$32:$AA$34</definedName>
    <definedName name="L_usabsqft">'[2]WA Import'!$AB$32:$AB$34</definedName>
    <definedName name="L_zip">'[2]WA Import'!$R$32:$R$34</definedName>
    <definedName name="L_zoning">'[2]WA Import'!$AH$32:$AH$34</definedName>
    <definedName name="L2_adjsalespr">'[2]WA Import'!$AV$44:$AV$49</definedName>
    <definedName name="L2_city">'[2]WA Import'!$Q$44:$Q$49</definedName>
    <definedName name="L2_loc1">'[2]WA Import'!$O$44:$O$49</definedName>
    <definedName name="L2_loc2">'[2]WA Import'!$P$44:$P$49</definedName>
    <definedName name="L2_name">'[2]WA Import'!$L$44:$L$49</definedName>
    <definedName name="L2_numunits">'[2]WA Import'!$AK$44:$AK$49</definedName>
    <definedName name="L2_propuse">'[2]WA Import'!$AZ$44:$AZ$49</definedName>
    <definedName name="L2_salemoyr">'[2]WA Import'!$AM$44:$AM$49</definedName>
    <definedName name="L2_saleprice">'[2]WA Import'!$AR$44:$AR$49</definedName>
    <definedName name="L2_state">'[2]WA Import'!$T$44:$T$49</definedName>
    <definedName name="L2_t_xn">'[2]WA Import'!$DM$44:$DM$49</definedName>
    <definedName name="L2_usabacres">'[2]WA Import'!$AA$44:$AA$49</definedName>
    <definedName name="L2_usabsqft">'[2]WA Import'!$AB$44:$AB$49</definedName>
    <definedName name="L2_zip">'[2]WA Import'!$R$44:$R$49</definedName>
    <definedName name="L2_zoning">'[2]WA Import'!$AH$44:$AH$49</definedName>
    <definedName name="land.value.range">'[2]L Grid'!$G$58:$L$58</definedName>
    <definedName name="Land__ac.">[2]Inputs!$C$78</definedName>
    <definedName name="Land__allowable_units">[2]Inputs!$C$77</definedName>
    <definedName name="Land__sf">[2]Inputs!$C$79</definedName>
    <definedName name="Land_Area">[2]Inputs!$C$78</definedName>
    <definedName name="Land_Area_SF">[2]Inputs!$C$79</definedName>
    <definedName name="Land_Bldg_Ratio">[2]Improv!$F$48</definedName>
    <definedName name="Land_Grid_2_BasisForAdj">'[2]L Grid (2)'!$24:$24,'[2]L Grid (2)'!$26:$26,'[2]L Grid (2)'!$28:$28,'[2]L Grid (2)'!$30:$30,'[2]L Grid (2)'!$33:$33,'[2]L Grid (2)'!$35:$35,'[2]L Grid (2)'!$37:$37,'[2]L Grid (2)'!$39:$39,'[2]L Grid (2)'!$41:$41,'[2]L Grid (2)'!$43:$43,'[2]L Grid (2)'!$45:$45,'[2]L Grid (2)'!$47:$47,'[2]L Grid (2)'!$49:$49</definedName>
    <definedName name="Land_Grid_BasisForAdj">'[2]L Grid'!$25:$25,'[2]L Grid'!$27:$27,'[2]L Grid'!$29:$29,'[2]L Grid'!$31:$31,'[2]L Grid'!$34:$34,'[2]L Grid'!$36:$36,'[2]L Grid'!$38:$38,'[2]L Grid'!$40:$40,'[2]L Grid'!$42:$42,'[2]L Grid'!$44:$44,'[2]L Grid'!$46:$46,'[2]L Grid'!$48:$48,'[2]L Grid'!$50:$50</definedName>
    <definedName name="Land_Grid_Values">'[2]L Grid'!$G$23:$N$23,'[2]L Grid'!$G$32:$N$32,'[2]L Grid'!$G$52:$N$52,'[2]L Grid'!$P$59:$P$60</definedName>
    <definedName name="Land_UOC">'[2]L Sum'!$E$2</definedName>
    <definedName name="Land_Value">'[2]L Grid'!$T$61</definedName>
    <definedName name="Lease_Chart">'[2]Mkt Rent'!#REF!</definedName>
    <definedName name="Lease_Up">[2]LUD!$H$68</definedName>
    <definedName name="Lease_Up_Period">[2]LUD!$D$2</definedName>
    <definedName name="Leased_Fee_Land">'[2]Ground Lease'!$L$38</definedName>
    <definedName name="Leasehold_Value">'[2]Ground Lease'!$P$45</definedName>
    <definedName name="List_Arrows">[9]Lists!$H$2:$H$4</definedName>
    <definedName name="List_Qualitative">[9]Lists!$AA$2:$AA$10</definedName>
    <definedName name="List_VC_Unit">[9]Lists!$BV$2:$BV$4</definedName>
    <definedName name="LS_Units">'[2]L Grid'!$C$5</definedName>
    <definedName name="lstCondition">[3]CertificationsOptions!$G$34:$G$46</definedName>
    <definedName name="LUD_Rate">[2]LUD!$D$5</definedName>
    <definedName name="LUD_Rate_Value">[2]LUD!$BE$5</definedName>
    <definedName name="LUD_Schedule">[2]LUD!$D$4</definedName>
    <definedName name="LUD_Schedule_Value">[2]LUD!$C$4</definedName>
    <definedName name="LUD_Type">[2]LUD!$D$3</definedName>
    <definedName name="LUD_Type_Value">[2]LUD!$BE$3</definedName>
    <definedName name="MACROS">'[1]Key Assumptions'!#REF!</definedName>
    <definedName name="MANAGERS">'[1]Key Assumptions'!#REF!</definedName>
    <definedName name="Mkt.Cat.1">[2]Inputs!$C$133</definedName>
    <definedName name="Mkt.Cat.1.SF">[2]Inputs!$C$134</definedName>
    <definedName name="Mkt.Cat.2">[2]Inputs!$C$135</definedName>
    <definedName name="Mkt.Cat.2.SF">[2]Inputs!$C$136</definedName>
    <definedName name="Mkt.Cat.3">[2]Inputs!$C$137</definedName>
    <definedName name="Mkt.Cat.3.SF">[2]Inputs!$C$138</definedName>
    <definedName name="Mkt.Cat.4">[2]Inputs!$C$139</definedName>
    <definedName name="Mkt.Cat.4.SF">[2]Inputs!$C$140</definedName>
    <definedName name="Mkt.Cat.5">[2]Inputs!$C$141</definedName>
    <definedName name="Mkt.Cat.5.SF">[2]Inputs!$C$142</definedName>
    <definedName name="Mkt.Cat.6">[2]Inputs!$C$143</definedName>
    <definedName name="Mkt.Cat.6.SF">[2]Inputs!$C$144</definedName>
    <definedName name="Mkt.Cat.List">[2]InputsRangeNames!$Y$4:$Y$38</definedName>
    <definedName name="Mkt.Rent">'[2]Mkt Rent'!$BN$70</definedName>
    <definedName name="Mkt_Rent_Categories">[2]Inputs!$D$132</definedName>
    <definedName name="Mkt_Rnt_PSF">'[2]Mkt Rent'!#REF!</definedName>
    <definedName name="Mo_Mkt_Rent">'[2]Mkt Rent'!#REF!</definedName>
    <definedName name="MPRI">'[2]Mkt Rent'!#REF!</definedName>
    <definedName name="No_Doors">[2]Inputs!$C$103</definedName>
    <definedName name="No_of_Bldgs">[2]Inputs!$C$154</definedName>
    <definedName name="No_of_Stories">[2]Inputs!$C$155</definedName>
    <definedName name="No_Screens">[2]Inputs!$C$118</definedName>
    <definedName name="No_Seats">[2]Inputs!$C$117</definedName>
    <definedName name="No_SF">[2]Inputs!$C$147</definedName>
    <definedName name="No_Units">[2]Inputs!$C$148</definedName>
    <definedName name="NOI">[3]ProForma!$D$36</definedName>
    <definedName name="NOI_Per_Unit">'[2]IS Concl'!$C$43:$C$50</definedName>
    <definedName name="NOI_Per_Units">'[2]IS Concl'!$C$44:$C$50</definedName>
    <definedName name="NRA">[3]LeaseAbstracts!$C$7</definedName>
    <definedName name="NRI">'[2]Dir Cap'!$H$14</definedName>
    <definedName name="OARSpread">#REF!</definedName>
    <definedName name="Office">[2]Inputs!$C$12</definedName>
    <definedName name="Office_Area">[2]Inputs!$C$95</definedName>
    <definedName name="OneBRData">#REF!</definedName>
    <definedName name="OneBRRents">#REF!</definedName>
    <definedName name="optFEMAid">[3]OptionsProperty!$A$29:$A$40</definedName>
    <definedName name="pdAccess">'[7]Site Information'!$C$29</definedName>
    <definedName name="pdActualAge">'[7]Improvement Description'!$C$100</definedName>
    <definedName name="pdADA">'[7]Improvement Description'!$C$50</definedName>
    <definedName name="pdAddressCity">[3]Assignment!$B$33</definedName>
    <definedName name="pdAddressCounty">[7]Assignment!$B$34</definedName>
    <definedName name="pdAddressState">[3]Assignment!$B$35</definedName>
    <definedName name="pdAddressStreet">[3]Assignment!$B$32</definedName>
    <definedName name="pdAddressZip">[7]Assignment!$B$36</definedName>
    <definedName name="pdBayDepth">'[7]Improvement Description'!$C$28</definedName>
    <definedName name="pdBldgAreaClubhouse">'[7]Improvement Description'!$C$14</definedName>
    <definedName name="pdBldgAreaGross">'[3]Improvement Description'!$B$11</definedName>
    <definedName name="pdBldgAreaMezz">'[7]Improvement Description'!$C$16</definedName>
    <definedName name="pdBldgAreaNet">'[3]Improvement Description'!$B$12</definedName>
    <definedName name="pdBldgAreaOther">'[7]Improvement Description'!$C$15</definedName>
    <definedName name="pdBldgCondition">'[7]Improvement Description'!$C$95</definedName>
    <definedName name="pdBldgCount">'[7]Improvement Description'!$C$7</definedName>
    <definedName name="pdBldgFootprint">'[7]Improvement Description'!$C$17</definedName>
    <definedName name="pdBldgQuality">'[7]Improvement Description'!$C$97</definedName>
    <definedName name="pdBldgStories">'[7]Improvement Description'!$C$8</definedName>
    <definedName name="pdBuildingClass">'[7]Improvement Description'!$C$9</definedName>
    <definedName name="pdCeilingHeights">'[7]Improvement Description'!$C$22</definedName>
    <definedName name="pdCeilings">'[7]Improvement Description'!$C$66</definedName>
    <definedName name="pdCensusTract">'[7]Site Information'!$C$22</definedName>
    <definedName name="pdClearHeights">'[3]Improvement Description'!$B$28</definedName>
    <definedName name="pdCommonName">[3]Assignment!$B$30</definedName>
    <definedName name="pdConfiguration">'[7]Site Information'!$C$12</definedName>
    <definedName name="pdConstruction">'[7]Improvement Description'!$C$56</definedName>
    <definedName name="pdCooling">'[7]Improvement Description'!$C$76</definedName>
    <definedName name="pdCosttoCure">'[7]Improvement Description'!$C$92</definedName>
    <definedName name="pdCoverageRatio">'[7]Improvement Description'!$C$31</definedName>
    <definedName name="pdDeferredMaintenance">'[7]Improvement Description'!$C$91</definedName>
    <definedName name="pdDesignFunctionality">'[7]Improvement Description'!$C$99</definedName>
    <definedName name="pdDockHigh">'[7]Improvement Description'!$C$37</definedName>
    <definedName name="pdEasements">'[7]Site Information'!$C$39</definedName>
    <definedName name="pdEffectiveAge">'[13]Improvement Description'!$C$96</definedName>
    <definedName name="pdElectrical">'[7]Improvement Description'!$C$78</definedName>
    <definedName name="pdElevators">'[7]Improvement Description'!$C$27</definedName>
    <definedName name="pdEnterpriseZone">'[7]Site Information'!$C$32</definedName>
    <definedName name="pdEnvironmental">'[7]Site Information'!$C$25</definedName>
    <definedName name="pdExpectedEconLife">'[13]Improvement Description'!$C$95</definedName>
    <definedName name="pdExteriorWalls">'[7]Improvement Description'!$C$58</definedName>
    <definedName name="pdFAR">'[7]Improvement Description'!$C$30</definedName>
    <definedName name="pdFencing">'[7]Improvement Description'!$C$86</definedName>
    <definedName name="pdFireProtection">'[7]Improvement Description'!$C$80</definedName>
    <definedName name="pdFloodDescription">'[7]Site Information'!$C$21</definedName>
    <definedName name="pdFloodID">'[7]Site Information'!$C$20</definedName>
    <definedName name="pdFloodMapDate">'[7]Site Information'!$C$19</definedName>
    <definedName name="pdFloodMapNo">'[7]Site Information'!$C$18</definedName>
    <definedName name="pdFloorCoverings">'[7]Improvement Description'!$C$67</definedName>
    <definedName name="pdFloorStructure">'[7]Improvement Description'!$C$57</definedName>
    <definedName name="pdFoundation">'[7]Improvement Description'!$C$55</definedName>
    <definedName name="pdFrontage">'[7]Site Information'!$C$28</definedName>
    <definedName name="pdGeneralLayout">'[7]Improvement Description'!$C$54</definedName>
    <definedName name="pdGenPropUse">[7]Menu!$D$15</definedName>
    <definedName name="pdGenPropUse2">[7]Menu!$D$17</definedName>
    <definedName name="pdHazards">'[7]Site Information'!$C$27</definedName>
    <definedName name="pdHBUAsIfVacant">'[7]H&amp;BU'!$B$2</definedName>
    <definedName name="pdHBUAsImproved">'[7]H&amp;BU'!$B$3</definedName>
    <definedName name="pdHeating">'[7]Improvement Description'!$C$75</definedName>
    <definedName name="pdIngressEgress">'[7]Improvement Description'!$C$39</definedName>
    <definedName name="pdInteriorWalls">'[7]Improvement Description'!$C$65</definedName>
    <definedName name="pdLandscaping">'[7]Improvement Description'!$C$84</definedName>
    <definedName name="pdLEEDRating">'[7]Improvement Description'!$C$29</definedName>
    <definedName name="pdLegalDesc">'[7]Site Information'!$C$38</definedName>
    <definedName name="pdLighting">'[7]Improvement Description'!$C$69</definedName>
    <definedName name="pdLocationDesc">'[7]Site Information'!$C$2</definedName>
    <definedName name="pdLtoBRatio">'[3]Improvement Description'!$B$26</definedName>
    <definedName name="pdMostProbablePurchaser">[7]MethodAssump!$B$4</definedName>
    <definedName name="pdOccupancy">[3]RentRoll!$C$9</definedName>
    <definedName name="pdOfficeBuildOut">'[3]Improvement Description'!$B$27</definedName>
    <definedName name="pdParkingGarage">'[7]Improvement Description'!$C$46</definedName>
    <definedName name="pdParkingOther">'[7]Improvement Description'!$C$45</definedName>
    <definedName name="pdParkingRatio">'[7]Improvement Description'!$C$48</definedName>
    <definedName name="pdParkingSpaces">'[3]Improvement Description'!$B$39</definedName>
    <definedName name="pdParkingSurface">'[7]Improvement Description'!$C$44</definedName>
    <definedName name="pdParkingType">'[7]Improvement Description'!$C$83</definedName>
    <definedName name="pdPlumbing">'[7]Improvement Description'!$C$77</definedName>
    <definedName name="pdPower">'[7]Improvement Description'!$C$35</definedName>
    <definedName name="pdPropertyDescription">'[7]Improvement Description'!$C$4</definedName>
    <definedName name="pdPropertyType">'[7]Improvement Description'!$C$2</definedName>
    <definedName name="pdPropertyUse">'[7]Improvement Description'!$C$3</definedName>
    <definedName name="pdRailAccess">'[7]Improvement Description'!$C$40</definedName>
    <definedName name="pdRemainingEconLife">'[7]Improvement Description'!$C$103</definedName>
    <definedName name="pdRenovations">'[7]Improvement Description'!$C$90</definedName>
    <definedName name="pdRestrooms">'[7]Improvement Description'!$C$70</definedName>
    <definedName name="pdRollUp">'[7]Improvement Description'!$C$38</definedName>
    <definedName name="pdRoofCover">'[7]Improvement Description'!$C$60</definedName>
    <definedName name="pdRoofType">'[7]Improvement Description'!$C$59</definedName>
    <definedName name="pdSignage">'[7]Improvement Description'!$C$85</definedName>
    <definedName name="pdSiteAreaNetAc">'[3]Site Information'!$B$6</definedName>
    <definedName name="pdSiteAreaNetSF">'[3]Site Information'!$B$5</definedName>
    <definedName name="pdSiteAreaSurplusAc">'[7]Site Information'!$C$11</definedName>
    <definedName name="pdSiteOther">'[7]Improvement Description'!$C$87</definedName>
    <definedName name="pdSiteUtilities">'[7]Site Information'!$C$16</definedName>
    <definedName name="pdSoilCondition">'[7]Site Information'!$C$24</definedName>
    <definedName name="pdStorageYard">'[7]Improvement Description'!$C$41</definedName>
    <definedName name="pdSurroundingUses">'[7]Site Information'!$C$31</definedName>
    <definedName name="pdTaxID">'[7]Site Information'!$C$37</definedName>
    <definedName name="pdTrafficCounts">'[7]Site Information'!$C$33</definedName>
    <definedName name="pdTransportationFacilities">'[7]Site Information'!$C$34</definedName>
    <definedName name="pdUnits">'[3]Improvement Description'!$B$16</definedName>
    <definedName name="pdUtilityMetering">'[7]Improvement Description'!$C$23</definedName>
    <definedName name="pdVisibility">'[7]Site Information'!$C$30</definedName>
    <definedName name="pdWindows">'[7]Improvement Description'!$C$61</definedName>
    <definedName name="pdYearBuilt">'[3]Improvement Description'!$B$5</definedName>
    <definedName name="pdYearRenov">'[7]Improvement Description'!$C$6</definedName>
    <definedName name="pdZoningCompliance">'Site Information'!$C$5</definedName>
    <definedName name="pdZoningDescription">'Site Information'!$C$3</definedName>
    <definedName name="pdZoningid">'Site Information'!$C$2</definedName>
    <definedName name="pdZoningNarr">'Site Information'!$C$4</definedName>
    <definedName name="Percent_AC">[2]Inputs!$C$109</definedName>
    <definedName name="Percent_Ambient">[2]Inputs!$C$105</definedName>
    <definedName name="Percent_Cold_Storage">[2]Inputs!$C$106</definedName>
    <definedName name="Percent_Cooler">[2]Inputs!$C$107</definedName>
    <definedName name="Percent_Freezer">[2]Inputs!$C$108</definedName>
    <definedName name="Percent_Office">[2]Inputs!$C$104</definedName>
    <definedName name="Premise_List">[2]InputsRangeNames!$S$4:$S$9</definedName>
    <definedName name="Price_Per_Unit">'[2]IS Concl'!$D$43:$D$50</definedName>
    <definedName name="Price_Per_Units">'[2]IS Concl'!$D$44:$D$50</definedName>
    <definedName name="Pro_Forma_AV1">[2]Tax!#REF!</definedName>
    <definedName name="Pro_Forma_AV2">[2]Tax!#REF!</definedName>
    <definedName name="Profit">[2]LUD!$D$6</definedName>
    <definedName name="Profit_Value">[2]LUD!$BE$6</definedName>
    <definedName name="Proj_Name">[2]Inputs!$C$56</definedName>
    <definedName name="Prop_Class_List_2">[2]InputsRangeNames!$W$4:$W$7</definedName>
    <definedName name="Prop_Class_Value_2">[2]InputsRangeNames!$W$2</definedName>
    <definedName name="Prop_Type_List">[2]InputsRangeNames!#REF!</definedName>
    <definedName name="Prop_Type_Value">[2]InputsRangeNames!#REF!</definedName>
    <definedName name="Prop_Type_Value_List">[2]InputsRangeNames!#REF!</definedName>
    <definedName name="Property.List">[2]InputsRangeNames!$T$4:$T$19</definedName>
    <definedName name="Property.List.2">[2]InputsRangeNames!$U$4:$U$19</definedName>
    <definedName name="Property.List.3">[2]InputsRangeNames!$V$4:$V$13</definedName>
    <definedName name="Property.Type">[2]Exposure!$C$1</definedName>
    <definedName name="Property.Type.1.Check">[2]Exposure!$D$1</definedName>
    <definedName name="Property.Type.2">[2]Exposure!$C$2</definedName>
    <definedName name="Property.Type.2.Check">[2]Exposure!$D$2</definedName>
    <definedName name="Property.Type.3">[2]Exposure!$C$3</definedName>
    <definedName name="Property.Type.3.Check">[2]Exposure!$D$3</definedName>
    <definedName name="Property.Value">[2]InputsRangeNames!$T$2</definedName>
    <definedName name="Property.Value.2">[2]InputsRangeNames!$U$2</definedName>
    <definedName name="Property.Value.3">[2]InputsRangeNames!$V$2</definedName>
    <definedName name="Property_City">[2]Inputs!$C$60</definedName>
    <definedName name="Property_Class">[2]Inputs!$C$70</definedName>
    <definedName name="Property_Class_2">[2]Inputs!$C$76</definedName>
    <definedName name="Property_County">[2]Inputs!$C$63</definedName>
    <definedName name="Property_Description">[2]Inputs!$C$65</definedName>
    <definedName name="Property_Entity">[2]Inputs!$D$63</definedName>
    <definedName name="Property_State">[2]Inputs!$C$61</definedName>
    <definedName name="Property_Street">[2]Inputs!$C$59</definedName>
    <definedName name="Property_Tenancy">[2]Inputs!$D$65</definedName>
    <definedName name="Property_Type">[2]Inputs!#REF!</definedName>
    <definedName name="Property_Zip">[2]Inputs!$C$62</definedName>
    <definedName name="Prospective_Val_Growth">[2]Inputs!$C$42</definedName>
    <definedName name="QualArray">[6]Assumptions!$E$9:$F$21</definedName>
    <definedName name="R_basis">'[2]WA Import'!$CR$56:$CR$60</definedName>
    <definedName name="R_bserentsqf">'[2]WA Import'!$CO$56:$CO$60</definedName>
    <definedName name="R_city">'[2]WA Import'!$S$56:$S$60</definedName>
    <definedName name="R_clrceiling">'[2]WA Import'!$AH$56:$AH$60</definedName>
    <definedName name="R_Display.Value">'[2]Rent Sum'!$C$2</definedName>
    <definedName name="R_exppasthru">'[2]WA Import'!$CS$56:$CS$60</definedName>
    <definedName name="R_glatot">'[2]WA Import'!$AS$56:$AS$60</definedName>
    <definedName name="R_grosbldare">'[2]WA Import'!$AC$56:$AC$60</definedName>
    <definedName name="R_ldate1">'[2]WA Import'!$CZ$56:$CZ$60</definedName>
    <definedName name="R_ldate2">'[2]WA Import'!$DB$56:$DB$60</definedName>
    <definedName name="R_ldate3">'[2]WA Import'!$DD$56:$DD$60</definedName>
    <definedName name="R_ldate4">'[2]WA Import'!$DF$56:$DF$60</definedName>
    <definedName name="R_lesc1">'[2]WA Import'!$EH$56:$EH$60</definedName>
    <definedName name="R_lesc2">'[2]WA Import'!$EI$56:$EI$60</definedName>
    <definedName name="R_lesc3">'[2]WA Import'!$EJ$56:$EJ$60</definedName>
    <definedName name="R_lesc4">'[2]WA Import'!$EK$56:$EK$60</definedName>
    <definedName name="R_loc1">'[2]WA Import'!$Q$56:$Q$60</definedName>
    <definedName name="R_loc2">'[2]WA Import'!$R$56:$R$60</definedName>
    <definedName name="R_lrent_avg">'[2]WA Import'!$EN$56:$EN$60</definedName>
    <definedName name="R_lrent1">'[2]WA Import'!$DS$56:$DS$60</definedName>
    <definedName name="R_lrent10">'[2]WA Import'!$EK$56:$EK$60</definedName>
    <definedName name="R_lrent11">'[2]WA Import'!$EL$56:$EL$60</definedName>
    <definedName name="R_lrent12">'[2]WA Import'!$EM$56:$EM$60</definedName>
    <definedName name="R_lrent2">'[2]WA Import'!$DT$56:$DT$60</definedName>
    <definedName name="R_lrent3">'[2]WA Import'!$DU$56:$DU$60</definedName>
    <definedName name="R_lrent4">'[2]WA Import'!$DV$56:$DV$60</definedName>
    <definedName name="R_lrent5">'[2]WA Import'!$DW$56:$DW$60</definedName>
    <definedName name="R_lrent6">'[2]WA Import'!$EG$56:$EG$60</definedName>
    <definedName name="R_lrent7">'[2]WA Import'!$EH$56:$EH$60</definedName>
    <definedName name="R_lrent8">'[2]WA Import'!$EI$56:$EI$60</definedName>
    <definedName name="R_lrent9">'[2]WA Import'!$EJ$56:$EJ$60</definedName>
    <definedName name="R_lrentpsf1">'[2]WA Import'!$EO$56:$EO$60</definedName>
    <definedName name="R_lrentpsf10">'[2]WA Import'!$EX$56:$EX$60</definedName>
    <definedName name="R_lrentpsf11">'[2]WA Import'!$EY$56:$EY$60</definedName>
    <definedName name="R_lrentpsf12">'[2]WA Import'!$EZ$56:$EZ$60</definedName>
    <definedName name="R_lrentpsf2">'[2]WA Import'!$EP$56:$EP$60</definedName>
    <definedName name="R_lrentpsf3">'[2]WA Import'!$EQ$56:$EQ$60</definedName>
    <definedName name="R_lrentpsf4">'[2]WA Import'!$ER$56:$ER$60</definedName>
    <definedName name="R_lrentpsf5">'[2]WA Import'!$ES$56:$ES$60</definedName>
    <definedName name="R_lrentpsf6">'[2]WA Import'!$ET$56:$ET$60</definedName>
    <definedName name="R_lrentpsf7">'[2]WA Import'!$EU$56:$EU$60</definedName>
    <definedName name="R_lrentpsf8">'[2]WA Import'!$EV$56:$EV$60</definedName>
    <definedName name="R_lrentpsf9">'[2]WA Import'!$EW$56:$EW$60</definedName>
    <definedName name="R_lsize1">'[2]WA Import'!$DI$56:$DI$60</definedName>
    <definedName name="R_lsize10">'[2]WA Import'!$DL$56:$DL$60</definedName>
    <definedName name="R_lsize11">'[2]WA Import'!$DM$56:$DM$60</definedName>
    <definedName name="R_lsize12">'[2]WA Import'!$DN$56:$DN$60</definedName>
    <definedName name="R_lsize2">'[2]WA Import'!$DJ$56:$DJ$60</definedName>
    <definedName name="R_lsize3">'[2]WA Import'!$DK$56:$DK$60</definedName>
    <definedName name="R_lsize4">'[2]WA Import'!$DL$56:$DL$60</definedName>
    <definedName name="R_lsize5">'[2]WA Import'!$DM$56:$DM$60</definedName>
    <definedName name="R_lsize6">'[2]WA Import'!$DH$56:$DH$60</definedName>
    <definedName name="R_lsize7">'[2]WA Import'!$DI$56:$DI$60</definedName>
    <definedName name="R_lsize8">'[2]WA Import'!$DJ$56:$DJ$60</definedName>
    <definedName name="R_lsize9">'[2]WA Import'!$DK$56:$DK$60</definedName>
    <definedName name="R_lten1">'[2]WA Import'!$DN$56:$DN$60</definedName>
    <definedName name="R_lten2">'[2]WA Import'!$DO$56:$DO$60</definedName>
    <definedName name="R_lten3">'[2]WA Import'!$DP$56:$DP$60</definedName>
    <definedName name="R_lten4">'[2]WA Import'!$DQ$56:$DQ$60</definedName>
    <definedName name="R_lterm1">'[2]WA Import'!$ER$56:$ER$60</definedName>
    <definedName name="R_lterm2">'[2]WA Import'!$ES$56:$ES$60</definedName>
    <definedName name="R_lterm3">'[2]WA Import'!$ET$56:$ET$60</definedName>
    <definedName name="R_lterm4">'[2]WA Import'!$EU$56:$EU$60</definedName>
    <definedName name="R_lti1">'[2]WA Import'!$DX$56:$DX$60</definedName>
    <definedName name="R_lti2">'[2]WA Import'!$DY$56:$DY$60</definedName>
    <definedName name="R_lti3">'[2]WA Import'!$DZ$56:$DZ$60</definedName>
    <definedName name="R_lti4">'[2]WA Import'!$EA$56:$EA$60</definedName>
    <definedName name="R_ltype1">'[2]WA Import'!$DP$56:$DP$60</definedName>
    <definedName name="R_ltype10">'[2]WA Import'!$DY$56:$DY$60</definedName>
    <definedName name="R_ltype11">'[2]WA Import'!$DZ$56:$DZ$60</definedName>
    <definedName name="R_ltype12">'[2]WA Import'!$EA$56:$EA$60</definedName>
    <definedName name="R_ltype2">'[2]WA Import'!$DQ$56:$DQ$60</definedName>
    <definedName name="R_ltype3">'[2]WA Import'!$DR$56:$DR$60</definedName>
    <definedName name="R_ltype4">'[2]WA Import'!$DS$56:$DS$60</definedName>
    <definedName name="R_ltype5">'[2]WA Import'!$DT$56:$DT$60</definedName>
    <definedName name="R_ltype6">'[2]WA Import'!$DU$56:$DU$60</definedName>
    <definedName name="R_ltype7">'[2]WA Import'!$DV$56:$DV$60</definedName>
    <definedName name="R_ltype8">'[2]WA Import'!$DW$56:$DW$60</definedName>
    <definedName name="R_ltype9">'[2]WA Import'!$DX$56:$DX$60</definedName>
    <definedName name="R_name">'[2]WA Import'!$J$56:$J$60</definedName>
    <definedName name="R_netrntarea">'[2]WA Import'!$AN$56:$AN$60</definedName>
    <definedName name="R_nunits">'[2]WA Import'!$AD$56:$AD$60</definedName>
    <definedName name="R_pctair">'[2]WA Import'!$AG$56:$AG$60</definedName>
    <definedName name="R_pctoccup">'[2]WA Import'!$CK$56:$CK$60</definedName>
    <definedName name="R_pctoccupo">'[2]WA Import'!$CL$56:$CL$60</definedName>
    <definedName name="R_pctoffice">'[2]WA Import'!$AP$56:$AP$60</definedName>
    <definedName name="R_rentescal">'[2]WA Import'!$CQ$56:$CQ$60</definedName>
    <definedName name="R_state">'[2]WA Import'!$V$56:$V$60</definedName>
    <definedName name="R_tenimprov">'[2]WA Import'!$CW$56:$CW$60</definedName>
    <definedName name="R_yrbuilt">'[2]WA Import'!$AU$56:$AU$60</definedName>
    <definedName name="R_zip">'[2]WA Import'!$T$56:$T$60</definedName>
    <definedName name="Rent_Area">[2]Inputs!$C$147</definedName>
    <definedName name="Rental.Trends">[2]MktStdyRents!$F$37:$F$39</definedName>
    <definedName name="Requester_Name">[2]Inputs!$C$15</definedName>
    <definedName name="Requester_Title">[2]Inputs!$C$16</definedName>
    <definedName name="Rev_Unit_Val">'[2]Dir Cap'!$K$6</definedName>
    <definedName name="Revenue_Category_1">[2]Inputs!$C$164</definedName>
    <definedName name="Revenue_Category_2">[2]Inputs!$C$165</definedName>
    <definedName name="Revenue_Category_3">[2]Inputs!$C$166</definedName>
    <definedName name="Revenue_Category_4">[2]Inputs!$C$167</definedName>
    <definedName name="Revenue_Category_5">[2]Inputs!$C$168</definedName>
    <definedName name="Revenue_Category_6">[2]Inputs!$C$169</definedName>
    <definedName name="Revenue_Category_7">[2]Inputs!$C$170</definedName>
    <definedName name="Revenue_Category_8">[2]Inputs!$C$171</definedName>
    <definedName name="Reviewer">[2]Inputs!$C$10</definedName>
    <definedName name="Rights_Appraised">[2]Inputs!$C$34</definedName>
    <definedName name="RR_basis">'[2]WA Import'!$CR$69:$CR$75</definedName>
    <definedName name="RR_bserentsqf">'[2]WA Import'!$CO$69:$CO$75</definedName>
    <definedName name="RR_city">'[2]WA Import'!$S$69:$S$75</definedName>
    <definedName name="RR_CLRCEILING">'[2]WA Import'!$AG$69:$AG$73</definedName>
    <definedName name="RR_Display.Value">'[2]Rent Sum (2)'!$C$2</definedName>
    <definedName name="RR_exppasthru">'[2]WA Import'!$CS$69:$CS$75</definedName>
    <definedName name="RR_glatot">'[2]WA Import'!$AS$69:$AS$75</definedName>
    <definedName name="RR_GROSBLDARE">'[2]WA Import'!$AA$69:$AA$73</definedName>
    <definedName name="RR_ldate1">'[2]WA Import'!$CZ$69:$CZ$75</definedName>
    <definedName name="RR_ldate2">'[2]WA Import'!$DB$69:$DB$75</definedName>
    <definedName name="RR_ldate3">'[2]WA Import'!$DD$69:$DD$75</definedName>
    <definedName name="RR_ldate4">'[2]WA Import'!$DF$69:$DF$75</definedName>
    <definedName name="RR_lesc1">'[2]WA Import'!$EH$69:$EH$75</definedName>
    <definedName name="RR_lesc2">'[2]WA Import'!$EI$69:$EI$75</definedName>
    <definedName name="RR_lesc3">'[2]WA Import'!$EJ$69:$EJ$75</definedName>
    <definedName name="RR_lesc4">'[2]WA Import'!$EK$69:$EK$75</definedName>
    <definedName name="RR_loc1">'[2]WA Import'!$Q$69:$Q$75</definedName>
    <definedName name="RR_loc2">'[2]WA Import'!$R$69:$R$75</definedName>
    <definedName name="RR_lrent_avg">'[2]WA Import'!$EN$69:$EN$75</definedName>
    <definedName name="RR_lrent1">'[2]WA Import'!$DS$69:$DS$75</definedName>
    <definedName name="RR_lrent2">'[2]WA Import'!$DT$69:$DT$75</definedName>
    <definedName name="RR_lrent3">'[2]WA Import'!$DU$69:$DU$75</definedName>
    <definedName name="RR_lrent4">'[2]WA Import'!$DV$69:$DV$75</definedName>
    <definedName name="RR_lsize1">'[2]WA Import'!$DI$69:$DI$75</definedName>
    <definedName name="RR_lsize2">'[2]WA Import'!$DJ$69:$DJ$75</definedName>
    <definedName name="RR_lsize3">'[2]WA Import'!$DK$69:$DK$75</definedName>
    <definedName name="RR_lsize4">'[2]WA Import'!$DL$69:$DL$75</definedName>
    <definedName name="RR_lten1">'[2]WA Import'!$DN$69:$DN$75</definedName>
    <definedName name="RR_lten2">'[2]WA Import'!$DO$69:$DO$75</definedName>
    <definedName name="RR_lten3">'[2]WA Import'!$DP$69:$DP$75</definedName>
    <definedName name="RR_lten4">'[2]WA Import'!$DQ$69:$DQ$75</definedName>
    <definedName name="RR_lterm1">'[2]WA Import'!$ER$69:$ER$75</definedName>
    <definedName name="RR_lterm2">'[2]WA Import'!$ES$69:$ES$75</definedName>
    <definedName name="RR_lterm3">'[2]WA Import'!$ET$69:$ET$75</definedName>
    <definedName name="RR_lterm4">'[2]WA Import'!$EU$69:$EU$75</definedName>
    <definedName name="RR_lti1">'[2]WA Import'!$DX$69:$DX$75</definedName>
    <definedName name="RR_lti2">'[2]WA Import'!$DY$69:$DY$75</definedName>
    <definedName name="RR_lti3">'[2]WA Import'!$DZ$69:$DZ$75</definedName>
    <definedName name="RR_lti4">'[2]WA Import'!$EA$69:$EA$75</definedName>
    <definedName name="RR_name">'[2]WA Import'!$J$69:$J$75</definedName>
    <definedName name="RR_NETRNTAREA">'[2]WA Import'!$AN$69:$AN$73</definedName>
    <definedName name="RR_nunits">'[2]WA Import'!$AD$69:$AD$75</definedName>
    <definedName name="RR_PCTAIR">'[2]WA Import'!$AF$69:$AF$73</definedName>
    <definedName name="RR_pctoccup">'[2]WA Import'!$CK$69:$CK$75</definedName>
    <definedName name="RR_pctoccupo">'[2]WA Import'!$CL$69:$CL$75</definedName>
    <definedName name="RR_rentescal">'[2]WA Import'!$CQ$69:$CQ$75</definedName>
    <definedName name="RR_state">'[2]WA Import'!$V$69:$V$75</definedName>
    <definedName name="RR_tenimprov">'[2]WA Import'!$CW$69:$CW$75</definedName>
    <definedName name="RR_yrbuilt">'[2]WA Import'!$AU$69:$AU$75</definedName>
    <definedName name="RR_zip">'[2]WA Import'!$T$69:$T$75</definedName>
    <definedName name="S_adjsalespr">'[2]WA Import'!$BM$8:$BM$12</definedName>
    <definedName name="S_city">'[2]WA Import'!$S$8:$S$12</definedName>
    <definedName name="S_clrceiling">'[2]WA Import'!$AH$8:$AH$12</definedName>
    <definedName name="S_egim">'[2]WA Import'!$CG$8:$CG$12</definedName>
    <definedName name="S_glap">'[2]WA Import'!$AT$8:$AT$12</definedName>
    <definedName name="S_grosbldare">'[2]WA Import'!$AC$8:$AC$12</definedName>
    <definedName name="S_landarea">'[2]WA Import'!$AA$8:$AA$12</definedName>
    <definedName name="S_loc1">'[2]WA Import'!$Q$8:$Q$12</definedName>
    <definedName name="S_ltbr">'[2]WA Import'!$AW$8:$AW$12</definedName>
    <definedName name="S_name">'[2]WA Import'!$J$8:$J$12</definedName>
    <definedName name="S_netopinpsf">'[2]WA Import'!$CC$8:$CC$12</definedName>
    <definedName name="S_netrntarea">'[2]WA Import'!$AN$8:$AN$11</definedName>
    <definedName name="S_nunits">'[2]WA Import'!$AD$8:$AD$11</definedName>
    <definedName name="S_oar">'[2]WA Import'!$CE$8:$CE$12</definedName>
    <definedName name="S_oer">'[2]WA Import'!$CH$8:$CH$12</definedName>
    <definedName name="S_pctair">'[2]WA Import'!$AG$8:$AG$12</definedName>
    <definedName name="S_pctoffice">'[2]WA Import'!$AP$8:$AP$12</definedName>
    <definedName name="S_priceper">'[2]WA Import'!$CJ$8:$CJ$12</definedName>
    <definedName name="S_pricepsf">'[2]WA Import'!$CI$8:$CI$12</definedName>
    <definedName name="S_salemoyr">'[2]WA Import'!$BD$8:$BD$12</definedName>
    <definedName name="S_saleoccup">'[2]WA Import'!$BQ$8:$BQ$12</definedName>
    <definedName name="S_saleprice">'[2]WA Import'!$BI$8:$BI$12</definedName>
    <definedName name="S_state">'[2]WA Import'!$V$8:$V$12</definedName>
    <definedName name="S_t_xn">'[2]WA Import'!$GM$8:$GM$12</definedName>
    <definedName name="S_yrbuilt">'[2]WA Import'!$AU$8:$AU$12</definedName>
    <definedName name="S_zip">'[2]WA Import'!$T$8:$T$12</definedName>
    <definedName name="saValueComparisonRNDPresent">#REF!</definedName>
    <definedName name="saValueConclusion">[3]ISaleAdj!$D$188</definedName>
    <definedName name="SCA_Value">'[2]IS Concl'!$O$32</definedName>
    <definedName name="Second_Appraisal_Premise">[2]Inputs!$C$40</definedName>
    <definedName name="Second_Premise_Value">[2]Inputs!$D$40</definedName>
    <definedName name="Second_Value_Date">[2]Inputs!$C$44</definedName>
    <definedName name="SiteArea">'[9]Site Information'!$B$3</definedName>
    <definedName name="SS_adjsalespr">'[2]WA Import'!$BM$20:$BM$25</definedName>
    <definedName name="SS_city">'[2]WA Import'!$S$20:$S$25</definedName>
    <definedName name="SS_clrceiling">'[2]WA Import'!$AD$20:$AD$24</definedName>
    <definedName name="SS_glap">'[2]WA Import'!$AT$20:$AT$25</definedName>
    <definedName name="SS_grosbldare">'[2]WA Import'!$Y$20:$Y$24</definedName>
    <definedName name="SS_landarea">'[2]WA Import'!$AA$20:$AA$25</definedName>
    <definedName name="SS_loc1">'[2]WA Import'!$Q$20:$Q$25</definedName>
    <definedName name="SS_name">'[2]WA Import'!$J$20:$J$25</definedName>
    <definedName name="SS_netopinpsf">'[2]WA Import'!$CC$20:$CC$25</definedName>
    <definedName name="SS_netrntarea">'[2]WA Import'!$AL$20:$AL$24</definedName>
    <definedName name="SS_nunits">'[2]WA Import'!$AD$20:$AD$25</definedName>
    <definedName name="SS_oar">'[2]WA Import'!$CE$20:$CE$25</definedName>
    <definedName name="SS_pctair">'[2]WA Import'!$AC$20:$AC$24</definedName>
    <definedName name="SS_pctoffice">'[2]WA Import'!$AL$20:$AL$24</definedName>
    <definedName name="SS_priceper">'[2]WA Import'!$CJ$20:$CJ$25</definedName>
    <definedName name="SS_pricepsf">'[2]WA Import'!$CI$20:$CI$25</definedName>
    <definedName name="SS_salemoyr">'[2]WA Import'!$BD$20:$BD$25</definedName>
    <definedName name="SS_saleoccup">'[2]WA Import'!$BQ$20:$BQ$25</definedName>
    <definedName name="SS_state">'[2]WA Import'!$V$20:$V$25</definedName>
    <definedName name="SS_t_xn">'[2]WA Import'!$GM$20:$GM$25</definedName>
    <definedName name="SS_yrbuilt">'[2]WA Import'!$AU$20:$AU$25</definedName>
    <definedName name="SS_zip">'[2]WA Import'!$T$20:$T$25</definedName>
    <definedName name="Stab.Credit.Weight">[2]MktStdy!$AB$51</definedName>
    <definedName name="Stab.CreditLoss">[2]Inputs!$D$150</definedName>
    <definedName name="Stab.Vac.Weight">[2]MktStdy!$AB$41</definedName>
    <definedName name="Stab.Vacancy">[2]Inputs!$D$151</definedName>
    <definedName name="Stab.VC.Select.Weight">[2]MktStdy!$W$34</definedName>
    <definedName name="Stab_Ancil_Inc">EGI-NRI</definedName>
    <definedName name="Stab_Exp">'[2]Dir Cap'!$H$45</definedName>
    <definedName name="Stab_Exp_Reimb">'[2]Dir Cap'!$H$20</definedName>
    <definedName name="Stab_NOI">'[2]Dir Cap'!$H$47</definedName>
    <definedName name="Stabilized_Occ">[2]Inputs!$C$152</definedName>
    <definedName name="States">#REF!</definedName>
    <definedName name="Status_List">[2]InputsRangeNames!$E$4:$E$15</definedName>
    <definedName name="Status_List_Value">[2]InputsRangeNames!$E$2</definedName>
    <definedName name="Status_of_Property">[2]Inputs!$C$36</definedName>
    <definedName name="Sub_City">[2]IS_Sum!#REF!</definedName>
    <definedName name="Sub_OER">'[2]Dir Cap'!$H$46</definedName>
    <definedName name="Sub_Parc_Num_1">[2]Inputs!$C$66</definedName>
    <definedName name="Sub_Parc_Num_2">[2]Inputs!$C$67</definedName>
    <definedName name="Sub_Parc_Num_3">[2]Inputs!$C$68</definedName>
    <definedName name="Sub_Parc_Num_4">[2]Inputs!$C$69</definedName>
    <definedName name="Surplus_Land_Ac">[2]Inputs!$C$83</definedName>
    <definedName name="Survey.Date">'[2]Survey Results'!$A$2</definedName>
    <definedName name="Survey.Date.2">'[2]Survey Results'!$A$3</definedName>
    <definedName name="survey.results">'[2]Survey Results'!$A$4:$P$62</definedName>
    <definedName name="Tax_Dial_Val">[2]Tax!$B$2</definedName>
    <definedName name="Tax_Dial_Val_2">[2]Tax!$B$3</definedName>
    <definedName name="Tax_Dial_Val_3">[2]Tax!$B$4</definedName>
    <definedName name="Tax_Form_1">[2]Tax!#REF!</definedName>
    <definedName name="Tax_Form_2">[2]Tax!#REF!</definedName>
    <definedName name="Taxes">[2]Tax!$K$21</definedName>
    <definedName name="Taxes.Special">[2]Tax!$K$17</definedName>
    <definedName name="Terminal_Cap_Rate">'[2]DCF Assum'!$D$47</definedName>
    <definedName name="TFDirCap2">[2]Inputs!$D$52</definedName>
    <definedName name="TFExcessLand">[2]Inputs!$D$47</definedName>
    <definedName name="Third_Appraisal_Premise">[2]Inputs!$C$41</definedName>
    <definedName name="Third_Premise_Value">[2]Inputs!$D$41</definedName>
    <definedName name="Third_Value_Date">[2]Inputs!$C$45</definedName>
    <definedName name="ThreeBRRents">#REF!</definedName>
    <definedName name="Total_Land__ac.">[2]Inputs!$C$85</definedName>
    <definedName name="Total_Repl_Cost">[2]Cost!$H$74</definedName>
    <definedName name="TwoBRRents">#REF!</definedName>
    <definedName name="Type_Appraisal">[2]Inputs!$C$13</definedName>
    <definedName name="Type_Report">[2]Inputs!$C$14</definedName>
    <definedName name="Unit.Type">[2]Inputs!$D$148</definedName>
    <definedName name="UOC_Acres">'[2]L Sum'!$T$9:$T$11</definedName>
    <definedName name="UOC_SF">'[2]L Sum'!$S$9:$S$11</definedName>
    <definedName name="UOC_Units">'[2]L Sum'!$U$9:$U$11</definedName>
    <definedName name="UOC_Val">'[2]L Sum'!$R$9:$R$11</definedName>
    <definedName name="Value_List">[2]InputsRangeNames!$A$4:$A$107</definedName>
    <definedName name="Var_Exp_Rate">[2]LUD!$D$7</definedName>
    <definedName name="Var_Exp_Value">[2]LUD!$BE$7</definedName>
    <definedName name="vcDateInspection">[7]Assignment!$B$43</definedName>
    <definedName name="vcExposureTime1">'[7]Value Indications'!$C$14</definedName>
    <definedName name="vcMarketingTime1">'[7]Value Indications'!$C$15</definedName>
    <definedName name="vcPSFOptions">#REF!</definedName>
    <definedName name="vcPSFOptions1">#REF!</definedName>
    <definedName name="vcPSFOptions2">#REF!</definedName>
    <definedName name="vcPSFOptions3">#REF!</definedName>
    <definedName name="vcPSFOptions4">#REF!</definedName>
    <definedName name="vcValueFinalScen">#REF!</definedName>
    <definedName name="Year_Blt.">[2]Inputs!$C$156</definedName>
    <definedName name="Year_Reno">[2]Inputs!$C$157</definedName>
    <definedName name="YOC">[2]Inputs!$C$156</definedName>
    <definedName name="caRCN">'Cost Approach'!$G$51</definedName>
    <definedName name="caRCNDeprec">'Cost Approach'!$G$64</definedName>
    <definedName name="caValue">'Cost Approach'!$G$69</definedName>
    <definedName name="BC_OCC">'M&amp;S Inputs'!$B$30:$B$3123</definedName>
    <definedName name="BC_KEY">'M&amp;S Inputs'!$I$30:$I$3123</definedName>
    <definedName name="BC_VALUE">'M&amp;S Inputs'!$H$30:$H$3123</definedName>
    <definedName name="BC_CITE">'M&amp;S Inputs'!$J$30:$J$3123</definedName>
    <definedName name="OCC_NAME">'M&amp;S Inputs'!$B$3128:$B$3410</definedName>
    <definedName name="OCC_CODE">'M&amp;S Inputs'!$C$3128:$C$3410</definedName>
    <definedName name="OCC_SECTION">'M&amp;S Inputs'!$D$3128:$D$3410</definedName>
    <definedName name="OCC_PAGE">'M&amp;S Inputs'!$E$3128:$E$3410</definedName>
    <definedName name="OCC_STORY">'M&amp;S Inputs'!$F$3128:$F$3410</definedName>
    <definedName name="OCC_SPR">'M&amp;S Inputs'!$G$3128:$G$3410</definedName>
    <definedName name="OCC_DEPR">'M&amp;S Inputs'!$H$3128:$H$3410</definedName>
    <definedName name="SH11_H">'M&amp;S Inputs'!$C$3415:$C$3430</definedName>
    <definedName name="SH11_M">'M&amp;S Inputs'!$D$3415:$D$3430</definedName>
    <definedName name="SH13_H">'M&amp;S Inputs'!$C$3433:$C$3450</definedName>
    <definedName name="SH13_M">'M&amp;S Inputs'!$D$3433:$D$3450</definedName>
    <definedName name="SH14_H">'M&amp;S Inputs'!$C$3453:$C$3476</definedName>
    <definedName name="SH14_M">'M&amp;S Inputs'!$D$3453:$D$3476</definedName>
    <definedName name="SH15_H">'M&amp;S Inputs'!$C$3479:$C$3493</definedName>
    <definedName name="SH15_M">'M&amp;S Inputs'!$D$3479:$D$3493</definedName>
    <definedName name="SH16_H">'M&amp;S Inputs'!$C$3496:$C$3525</definedName>
    <definedName name="SH16_M">'M&amp;S Inputs'!$D$3496:$D$3525</definedName>
    <definedName name="SH18_H">'M&amp;S Inputs'!$C$3528:$C$3542</definedName>
    <definedName name="SH18_M">'M&amp;S Inputs'!$D$3528:$D$3542</definedName>
    <definedName name="SPR_HDR">'M&amp;S Inputs'!$C$3546:$F$3546</definedName>
    <definedName name="SPR11_SF">'M&amp;S Inputs'!$C$3548:$C$3564</definedName>
    <definedName name="SPR11_VALS">'M&amp;S Inputs'!$D$3548:$K$3564</definedName>
    <definedName name="SPR12_SF">'M&amp;S Inputs'!$C$3567:$C$3577</definedName>
    <definedName name="SPR12_VALS">'M&amp;S Inputs'!$D$3567:$K$3577</definedName>
    <definedName name="SPR13_SF">'M&amp;S Inputs'!$C$3580:$C$3597</definedName>
    <definedName name="SPR13_VALS">'M&amp;S Inputs'!$D$3580:$K$3597</definedName>
    <definedName name="SPR14_SF">'M&amp;S Inputs'!$C$3600:$C$3619</definedName>
    <definedName name="SPR14_VALS">'M&amp;S Inputs'!$D$3600:$K$3619</definedName>
    <definedName name="SPR15_SF">'M&amp;S Inputs'!$C$3622:$C$3629</definedName>
    <definedName name="SPR15_VALS">'M&amp;S Inputs'!$D$3622:$K$3629</definedName>
    <definedName name="SPR16_SF">'M&amp;S Inputs'!$C$3632:$C$3648</definedName>
    <definedName name="SPR16_VALS">'M&amp;S Inputs'!$D$3632:$K$3648</definedName>
    <definedName name="SPR18_SF">'M&amp;S Inputs'!$C$3651:$C$3666</definedName>
    <definedName name="SPR18_VALS">'M&amp;S Inputs'!$D$3651:$K$3666</definedName>
    <definedName name="CCM_SECTIONHDR">'M&amp;S Inputs'!$D$3740:$K$3740</definedName>
    <definedName name="CCM_CLASS">'M&amp;S Inputs'!$C$3751:$C$3755</definedName>
    <definedName name="CCM_VALUES">'M&amp;S Inputs'!$D$3751:$K$3755</definedName>
    <definedName name="LAM_CLASSHDR">'M&amp;S Inputs'!$C$3758:$G$3758</definedName>
    <definedName name="LAM_CITY">'M&amp;S Inputs'!$B$3759:$B$3780</definedName>
    <definedName name="LAM_VALUES">'M&amp;S Inputs'!$C$3759:$G$3780</definedName>
    <definedName name="DEN_CLASSHDR">'M&amp;S Inputs'!$C$3784:$G$3784</definedName>
    <definedName name="DEN_LABEL">'M&amp;S Inputs'!$B$3785:$B$3797</definedName>
    <definedName name="DEN_VALUES">'M&amp;S Inputs'!$C$3785:$G$3797</definedName>
    <definedName name="LIFE_CLASSHDR">'M&amp;S Inputs'!$D$3800:$H$3800</definedName>
    <definedName name="LIFE_KEY">'M&amp;S Inputs'!$I$3801:$I$4801</definedName>
    <definedName name="LIFE_VALUES">'M&amp;S Inputs'!$D$3801:$H$4801</definedName>
    <definedName name="DEPR_LIFEHDR">'M&amp;S Inputs'!$C$4806:$L$4806</definedName>
    <definedName name="DEPR_AGE">'M&amp;S Inputs'!$B$4807:$B$4852</definedName>
    <definedName name="DEPR_VALUES">'M&amp;S Inputs'!$C$4807:$L$4852</definedName>
    <definedName name="DEPRR_LIFEHDR">'M&amp;S Inputs'!$C$4856:$M$4856</definedName>
    <definedName name="DEPRR_AGE">'M&amp;S Inputs'!$B$4857:$B$4898</definedName>
    <definedName name="DEPRR_VALUES">'M&amp;S Inputs'!$C$4857:$M$4898</definedName>
    <definedName name="_Hlk504124707" localSheetId="1">FE!#REF!</definedName>
    <definedName name="_xlnm.Print_Area" localSheetId="6">'Final Value'!$C$2:$F$33</definedName>
    <definedName name="ArrTot" localSheetId="11">[5]Assumptions!$F$9:$G$21</definedName>
    <definedName name="caLandValueRNDPresent" localSheetId="11">#REF!</definedName>
    <definedName name="caRCN" localSheetId="11">'[8]Cost Analysis Estimated Costs'!$G$33</definedName>
    <definedName name="caRCNDeprec" localSheetId="11">'[8]Cost Analysis Estimated Costs'!$G$56</definedName>
    <definedName name="iaBOIRate" localSheetId="11">'[8]Cap Rate'!#REF!</definedName>
    <definedName name="iaIntRateBase" localSheetId="11">'[8]Cap Rate'!#REF!</definedName>
    <definedName name="iaLoanAmo" localSheetId="11">'[8]Cap Rate'!#REF!</definedName>
    <definedName name="iaLoanMtgConstant" localSheetId="11">'[8]Cap Rate'!#REF!</definedName>
    <definedName name="iaLoanTV" localSheetId="11">'[8]Cap Rate'!#REF!</definedName>
    <definedName name="iaOARBrokers" localSheetId="11">'[8]Cap Rate'!$AI$72</definedName>
    <definedName name="iaOARDCR" localSheetId="11">'[8]Cap Rate'!$AC$64</definedName>
    <definedName name="iaProjMgmtPct" localSheetId="11">[8]PF!#REF!</definedName>
    <definedName name="iaValueDirectCapRNDPresent" localSheetId="11">#REF!</definedName>
    <definedName name="iaValueYieldCapRNDPresent" localSheetId="11">#REF!</definedName>
    <definedName name="OARSpread" localSheetId="11">#REF!</definedName>
    <definedName name="QualArray" localSheetId="11">[5]Assumptions!$E$9:$F$21</definedName>
    <definedName name="saValueComparisonRNDPresent" localSheetId="11">#REF!</definedName>
    <definedName name="vcPSFOptions" localSheetId="11">#REF!</definedName>
    <definedName name="vcPSFOptions1" localSheetId="11">#REF!</definedName>
    <definedName name="vcPSFOptions2" localSheetId="11">#REF!</definedName>
    <definedName name="vcPSFOptions3" localSheetId="11">#REF!</definedName>
    <definedName name="vcPSFOptions4" localSheetId="11">#REF!</definedName>
    <definedName name="vcValueFinalScen" localSheetId="11">#REF!</definedName>
    <definedName name="_xlnm._FilterDatabase" localSheetId="11" hidden="1">'Export030823'!$B$1:$X$5</definedName>
    <definedName name="iaBOIRate" localSheetId="12">'[12]Cap Rate'!#REF!</definedName>
    <definedName name="iaIntRateBase" localSheetId="12">'[12]Cap Rate'!#REF!</definedName>
    <definedName name="iaLoanAmo" localSheetId="12">'[12]Cap Rate'!#REF!</definedName>
    <definedName name="iaLoanMtgConstant" localSheetId="12">'[12]Cap Rate'!#REF!</definedName>
    <definedName name="iaLoanTV" localSheetId="12">'[12]Cap Rate'!#REF!</definedName>
    <definedName name="iaOARBrokers" localSheetId="12">'[12]Cap Rate'!$AI$72</definedName>
    <definedName name="iaOARDCR" localSheetId="12">'[12]Cap Rate'!$AC$64</definedName>
    <definedName name="iaProjMgmtPct" localSheetId="12">[12]PF!#REF!</definedName>
    <definedName name="vcPSFOptions" localSheetId="12">#REF!</definedName>
    <definedName name="vcPSFOptions1" localSheetId="12">#REF!</definedName>
    <definedName name="vcPSFOptions2" localSheetId="12">#REF!</definedName>
    <definedName name="_xlnm.Print_Area" localSheetId="12">'Basic Sales Grid'!$B$1:$I$36</definedName>
    <definedName name="_xlnm._FilterDatabase" localSheetId="24" hidden="1">'Property Registry'!$A$3:$P$3</definedName>
    <definedName name="_xlnm._FilterDatabase" localSheetId="25" hidden="1">'Expense Database'!$A$3:$AM$3</definedName>
    <definedName name="_xlnm._FilterDatabase" localSheetId="26" hidden="1">'PSF Summary'!$A$3:$AM$3</definedName>
  </definedNames>
  <calcPr calcId="191029" fullCalcOnLoad="1" calcCompleted="0"/>
</workbook>
</file>

<file path=xl/styles.xml><?xml version="1.0" encoding="utf-8"?>
<styleSheet xmlns="http://schemas.openxmlformats.org/spreadsheetml/2006/main">
  <numFmts count="40">
    <numFmt numFmtId="164" formatCode="&quot;$&quot;#,##0.00_);[Red]\(&quot;$&quot;#,##0.00\)"/>
    <numFmt numFmtId="165" formatCode="&quot;$&quot;#,##0_);\(&quot;$&quot;#,##0\)"/>
    <numFmt numFmtId="166" formatCode="_(&quot;$&quot;* #,##0.00_);_(&quot;$&quot;* \(#,##0.00\);_(&quot;$&quot;* &quot;-&quot;??_);_(@_)"/>
    <numFmt numFmtId="167" formatCode="&quot;$&quot;#,##0.00"/>
    <numFmt numFmtId="168" formatCode="_(* #,##0_);_(* \(#,##0\);_(* &quot;-&quot;??_);_(@_)"/>
    <numFmt numFmtId="169" formatCode="&quot;$&quot;#,##0"/>
    <numFmt numFmtId="170" formatCode="&quot;$&quot;#,##0.00_);\(&quot;$&quot;#,##0.00\)"/>
    <numFmt numFmtId="171" formatCode="0.0%"/>
    <numFmt numFmtId="172" formatCode="_(* #,##0.00_);_(* \(#,##0.00\);_(* &quot;-&quot;_);_(@_)"/>
    <numFmt numFmtId="173" formatCode="#,##0.00;;\-"/>
    <numFmt numFmtId="174" formatCode="&quot;Rounded to nearest &quot;\ &quot;$&quot;#,###"/>
    <numFmt numFmtId="175" formatCode="&quot;Based on Low-Range of&quot;\ 0.00%"/>
    <numFmt numFmtId="176" formatCode="&quot;Based on Most Probable Rate of &quot;0.00%"/>
    <numFmt numFmtId="177" formatCode="&quot;Based on High-Range of&quot;\ 0.00%"/>
    <numFmt numFmtId="178" formatCode="&quot;Sensitivity Analysis (&quot;0.00%\ &quot;OAR Spread)&quot;"/>
    <numFmt numFmtId="179" formatCode="[$-409]mmmm\ d\,\ yyyy;@"/>
    <numFmt numFmtId="180" formatCode="[$-409]mmm\-yy;@"/>
    <numFmt numFmtId="181" formatCode="_(&quot;$&quot;* #,##0_);_(&quot;$&quot;* \(#,##0\);_(&quot;$&quot;* &quot;-&quot;??_);_(@_)"/>
    <numFmt numFmtId="182" formatCode="_(* #,##0.000_);_(* \(#,##0.000\);_(* &quot;-&quot;??_);_(@_)"/>
    <numFmt numFmtId="183" formatCode="&quot;x  &quot;#,##0.000_)"/>
    <numFmt numFmtId="184" formatCode="0_);\(0\)"/>
    <numFmt numFmtId="185" formatCode="&quot;Page: &quot;0"/>
    <numFmt numFmtId="186" formatCode="#,##0%"/>
    <numFmt numFmtId="187" formatCode="\$#,##0.00_);[Red]\(\$#,##0.00\)"/>
    <numFmt numFmtId="188" formatCode="\$#,##0"/>
    <numFmt numFmtId="189" formatCode="\$#,##0.00"/>
    <numFmt numFmtId="190" formatCode="#,##0.00%"/>
    <numFmt numFmtId="191" formatCode="#,##0\ &quot;square feet&quot;"/>
    <numFmt numFmtId="192" formatCode="#,##0.00\ &quot;square feet&quot;"/>
    <numFmt numFmtId="193" formatCode="&quot;$&quot;#,##0_);[Red]\(&quot;$&quot;#,##0\)"/>
    <numFmt numFmtId="194" formatCode="&quot;x  &quot;#,##0_)"/>
    <numFmt numFmtId="195" formatCode="&quot;(&quot;#,##0.00\ &quot;acres)&quot;"/>
    <numFmt numFmtId="196" formatCode="0\ &quot;months&quot;"/>
    <numFmt numFmtId="197" formatCode="&quot;$&quot;#,##0.00\ &quot;Per Square Foot&quot;"/>
    <numFmt numFmtId="198" formatCode="0.000"/>
    <numFmt numFmtId="199" formatCode="&quot;$&quot;#,##0;\(&quot;$&quot;#,##0\);&quot;-&quot;"/>
    <numFmt numFmtId="200" formatCode="0\ &quot;years &quot;"/>
    <numFmt numFmtId="201" formatCode="0.00\ &quot;: 1&quot;"/>
    <numFmt numFmtId="202" formatCode="0.00_);\(0.00\)"/>
    <numFmt numFmtId="203" formatCode="#,##0;;\-"/>
  </numFmts>
  <fonts count="106">
    <font>
      <name val="Calibri"/>
      <family val="2"/>
      <color theme="1"/>
      <sz val="11"/>
      <scheme val="minor"/>
    </font>
    <font>
      <name val="Calibri"/>
      <family val="2"/>
      <color theme="1"/>
      <sz val="11"/>
      <scheme val="minor"/>
    </font>
    <font>
      <name val="Calibri"/>
      <family val="2"/>
      <b val="1"/>
      <color rgb="FFFFFFFF"/>
      <sz val="10"/>
      <scheme val="minor"/>
    </font>
    <font>
      <name val="Calibri"/>
      <family val="2"/>
      <b val="1"/>
      <sz val="10"/>
      <scheme val="minor"/>
    </font>
    <font>
      <name val="Calibri"/>
      <family val="2"/>
      <sz val="9"/>
      <scheme val="minor"/>
    </font>
    <font>
      <name val="Calibri"/>
      <family val="2"/>
      <b val="1"/>
      <color theme="1"/>
      <sz val="11"/>
      <scheme val="minor"/>
    </font>
    <font>
      <name val="Calibri"/>
      <family val="2"/>
      <b val="1"/>
      <color theme="0"/>
      <sz val="9"/>
      <scheme val="minor"/>
    </font>
    <font>
      <name val="Calibri"/>
      <family val="2"/>
      <b val="1"/>
      <sz val="9"/>
      <scheme val="minor"/>
    </font>
    <font>
      <name val="Calibri"/>
      <family val="2"/>
      <b val="1"/>
      <color theme="0"/>
      <sz val="10"/>
      <scheme val="minor"/>
    </font>
    <font>
      <name val="Calibri"/>
      <family val="2"/>
      <color theme="1"/>
      <sz val="9"/>
      <scheme val="minor"/>
    </font>
    <font>
      <name val="Calibri"/>
      <family val="2"/>
      <b val="1"/>
      <color theme="1"/>
      <sz val="8"/>
    </font>
    <font>
      <name val="Calibri"/>
      <family val="2"/>
      <b val="1"/>
      <sz val="8"/>
    </font>
    <font>
      <name val="Calibri"/>
      <family val="2"/>
      <color theme="1"/>
      <sz val="8"/>
      <scheme val="minor"/>
    </font>
    <font>
      <name val="Calibri"/>
      <family val="2"/>
      <color theme="1"/>
      <sz val="10"/>
      <scheme val="minor"/>
    </font>
    <font>
      <name val="Calibri"/>
      <family val="2"/>
      <color indexed="12"/>
      <sz val="10"/>
      <scheme val="minor"/>
    </font>
    <font>
      <name val="Calibri"/>
      <family val="2"/>
      <b val="1"/>
      <sz val="9"/>
    </font>
    <font>
      <name val="Calibri"/>
      <family val="2"/>
      <b val="1"/>
      <color theme="1"/>
      <sz val="9"/>
      <scheme val="minor"/>
    </font>
    <font>
      <name val="Calibri"/>
      <family val="2"/>
      <color indexed="8"/>
      <sz val="9"/>
      <scheme val="minor"/>
    </font>
    <font>
      <name val="Calibri"/>
      <family val="2"/>
      <sz val="9"/>
    </font>
    <font>
      <name val="Calibri"/>
      <family val="2"/>
      <b val="1"/>
      <color indexed="8"/>
      <sz val="9"/>
      <scheme val="minor"/>
    </font>
    <font>
      <name val="Calibri"/>
      <family val="2"/>
      <b val="1"/>
      <color indexed="9"/>
      <sz val="10"/>
      <scheme val="minor"/>
    </font>
    <font>
      <name val="Calibri"/>
      <family val="2"/>
      <b val="1"/>
      <color indexed="9"/>
      <sz val="11"/>
      <scheme val="minor"/>
    </font>
    <font>
      <name val="Calibri"/>
      <family val="2"/>
      <color theme="0"/>
      <sz val="9"/>
      <scheme val="minor"/>
    </font>
    <font>
      <name val="Calibri"/>
      <family val="2"/>
      <sz val="10"/>
      <scheme val="minor"/>
    </font>
    <font>
      <name val="Calibri"/>
      <family val="2"/>
      <color indexed="12"/>
      <sz val="9"/>
      <scheme val="minor"/>
    </font>
    <font>
      <name val="Calibri"/>
      <family val="2"/>
      <b val="1"/>
      <color indexed="9"/>
      <sz val="9"/>
      <scheme val="minor"/>
    </font>
    <font>
      <name val="Calibri"/>
      <family val="2"/>
      <b val="1"/>
      <color indexed="12"/>
      <sz val="9"/>
      <scheme val="minor"/>
    </font>
    <font>
      <name val="Franklin Gothic Demi"/>
      <family val="2"/>
      <sz val="10"/>
    </font>
    <font>
      <name val="Verdana"/>
      <family val="2"/>
      <b val="1"/>
      <sz val="9"/>
    </font>
    <font>
      <name val="Calibri"/>
      <family val="2"/>
      <i val="1"/>
      <color theme="1"/>
      <sz val="11"/>
      <scheme val="minor"/>
    </font>
    <font>
      <name val="Calibri"/>
      <family val="2"/>
      <b val="1"/>
      <color theme="0" tint="-0.0499893185216834"/>
      <sz val="10"/>
      <scheme val="minor"/>
    </font>
    <font>
      <name val="Calibri"/>
      <family val="2"/>
      <color theme="0"/>
      <sz val="11"/>
      <scheme val="minor"/>
    </font>
    <font>
      <name val="Calibri"/>
      <family val="2"/>
      <sz val="11"/>
      <scheme val="minor"/>
    </font>
    <font>
      <name val="Calibri"/>
      <family val="2"/>
      <b val="1"/>
      <color rgb="FF0070C0"/>
      <sz val="9"/>
    </font>
    <font>
      <name val="Calibri"/>
      <family val="2"/>
      <b val="1"/>
      <sz val="11"/>
      <scheme val="minor"/>
    </font>
    <font>
      <name val="Calibri"/>
      <family val="2"/>
      <b val="1"/>
      <i val="1"/>
      <sz val="9"/>
      <scheme val="minor"/>
    </font>
    <font>
      <name val="Calibri"/>
      <family val="2"/>
      <sz val="11"/>
      <u val="singleAccounting"/>
      <scheme val="minor"/>
    </font>
    <font>
      <name val="Calibri"/>
      <family val="2"/>
      <b val="1"/>
      <i val="1"/>
      <sz val="11"/>
      <scheme val="minor"/>
    </font>
    <font>
      <name val="Calibri"/>
      <family val="2"/>
      <color rgb="FF0000FF"/>
      <sz val="9"/>
      <scheme val="minor"/>
    </font>
    <font>
      <name val="Calibri"/>
      <family val="2"/>
      <b val="1"/>
      <color theme="0"/>
      <sz val="11"/>
      <scheme val="minor"/>
    </font>
    <font>
      <name val="Calibri"/>
      <family val="2"/>
      <b val="1"/>
      <color rgb="FFFFFFFF"/>
      <sz val="11"/>
    </font>
    <font>
      <name val="Calibri"/>
      <family val="2"/>
      <color theme="1"/>
      <sz val="11"/>
    </font>
    <font>
      <name val="Calibri"/>
      <family val="2"/>
      <b val="1"/>
      <color theme="0"/>
      <sz val="11"/>
    </font>
    <font>
      <name val="Calibri"/>
      <family val="2"/>
      <b val="1"/>
      <color theme="1"/>
      <sz val="11"/>
    </font>
    <font>
      <name val="Calibri"/>
      <family val="2"/>
      <b val="1"/>
      <sz val="11"/>
    </font>
    <font>
      <name val="Calibri"/>
      <family val="2"/>
      <b val="1"/>
      <color theme="0" tint="-0.0499893185216834"/>
      <sz val="11"/>
      <scheme val="minor"/>
    </font>
    <font>
      <name val="Calibri"/>
      <family val="2"/>
      <b val="1"/>
      <color rgb="FFFF0000"/>
      <sz val="11"/>
      <scheme val="minor"/>
    </font>
    <font>
      <name val="Calibri"/>
      <family val="2"/>
      <color indexed="8"/>
      <sz val="11"/>
      <scheme val="minor"/>
    </font>
    <font>
      <name val="Calibri"/>
      <family val="2"/>
      <sz val="11"/>
    </font>
    <font>
      <name val="Calibri"/>
      <family val="2"/>
      <color indexed="8"/>
      <sz val="11"/>
    </font>
    <font>
      <name val="Calibri"/>
      <family val="2"/>
      <b val="1"/>
      <color indexed="8"/>
      <sz val="11"/>
      <scheme val="minor"/>
    </font>
    <font>
      <name val="Calibri"/>
      <family val="2"/>
      <b val="1"/>
      <color indexed="12"/>
      <sz val="11"/>
    </font>
    <font>
      <name val="Calibri"/>
      <family val="2"/>
      <b val="1"/>
      <color indexed="8"/>
      <sz val="11"/>
    </font>
    <font>
      <name val="Calibri"/>
      <family val="2"/>
      <color indexed="12"/>
      <sz val="11"/>
    </font>
    <font>
      <name val="Calibri"/>
      <family val="2"/>
      <i val="1"/>
      <color indexed="8"/>
      <sz val="11"/>
      <scheme val="minor"/>
    </font>
    <font>
      <name val="Calibri"/>
      <family val="2"/>
      <b val="1"/>
      <color indexed="9"/>
      <sz val="11"/>
    </font>
    <font>
      <name val="Calibri"/>
      <family val="2"/>
      <i val="1"/>
      <color indexed="8"/>
      <sz val="11"/>
    </font>
    <font>
      <name val="Calibri"/>
      <family val="2"/>
      <i val="1"/>
      <sz val="11"/>
    </font>
    <font>
      <name val="Calibri"/>
      <family val="2"/>
      <b val="1"/>
      <color rgb="FFFFFFFF"/>
      <sz val="11"/>
      <scheme val="minor"/>
    </font>
    <font>
      <name val="Calibri"/>
      <family val="2"/>
      <color rgb="FF000000"/>
      <sz val="11"/>
      <scheme val="minor"/>
    </font>
    <font>
      <name val="Calibri"/>
      <family val="2"/>
      <b val="1"/>
      <color rgb="FF000000"/>
      <sz val="11"/>
      <scheme val="minor"/>
    </font>
    <font>
      <name val="Arial"/>
      <family val="2"/>
      <color indexed="8"/>
      <sz val="11"/>
    </font>
    <font>
      <name val="Calibri"/>
      <family val="2"/>
      <i val="1"/>
      <sz val="11"/>
      <scheme val="minor"/>
    </font>
    <font>
      <name val="Calibri"/>
      <family val="2"/>
      <b val="1"/>
      <color theme="9" tint="0.3999755851924192"/>
      <sz val="11"/>
      <scheme val="minor"/>
    </font>
    <font>
      <name val="Wingdings"/>
      <charset val="2"/>
      <color theme="1"/>
      <sz val="11"/>
    </font>
    <font>
      <name val="Calibri"/>
      <family val="2"/>
      <b val="1"/>
      <sz val="11"/>
      <u val="single"/>
      <scheme val="minor"/>
    </font>
    <font>
      <name val="Arial"/>
      <family val="2"/>
      <sz val="10"/>
    </font>
    <font>
      <name val="Calibri"/>
      <family val="2"/>
      <b val="1"/>
      <color rgb="FF000000"/>
      <sz val="11"/>
    </font>
    <font>
      <name val="Calibri"/>
      <family val="2"/>
      <color rgb="FF000000"/>
      <sz val="11"/>
    </font>
    <font>
      <name val="Calibri"/>
      <family val="2"/>
      <color theme="0" tint="-0.249977111117893"/>
      <sz val="11"/>
      <scheme val="minor"/>
    </font>
    <font>
      <name val="Calibri"/>
      <family val="2"/>
      <color rgb="FF333333"/>
      <sz val="11"/>
    </font>
    <font>
      <name val="Calibri"/>
      <color theme="1"/>
      <sz val="11"/>
      <scheme val="minor"/>
    </font>
    <font>
      <name val="Calibri"/>
      <family val="2"/>
      <i val="1"/>
      <color theme="1"/>
      <sz val="9"/>
      <scheme val="minor"/>
    </font>
    <font>
      <name val="Calibri"/>
      <family val="2"/>
      <b val="1"/>
      <sz val="10"/>
    </font>
    <font>
      <name val="Calibri"/>
      <family val="2"/>
      <b val="1"/>
      <i val="1"/>
      <sz val="10"/>
    </font>
    <font>
      <name val="Arial"/>
      <family val="2"/>
      <color theme="0" tint="-0.249977111117893"/>
      <sz val="10"/>
    </font>
    <font>
      <name val="Calibri"/>
      <family val="2"/>
      <b val="1"/>
      <color rgb="FFFFFFFF"/>
      <sz val="13"/>
      <scheme val="minor"/>
    </font>
    <font>
      <name val="Calibri"/>
      <family val="2"/>
      <i val="1"/>
      <color rgb="FFFF0000"/>
      <sz val="11"/>
      <scheme val="minor"/>
    </font>
    <font>
      <name val="Calibri"/>
      <family val="2"/>
      <b val="1"/>
      <i val="1"/>
      <color rgb="FFFFFFFF"/>
      <sz val="11"/>
      <scheme val="minor"/>
    </font>
    <font>
      <name val="Arial"/>
      <b val="1"/>
      <color rgb="FF000000"/>
      <sz val="10"/>
    </font>
    <font>
      <name val="Arial"/>
      <color rgb="FF0000FF"/>
      <sz val="10"/>
    </font>
    <font>
      <name val="Arial"/>
      <color rgb="FF000000"/>
      <sz val="10"/>
    </font>
    <font>
      <name val="Aptos Narrow"/>
      <b val="1"/>
      <color rgb="FFFFFFFF"/>
      <sz val="13"/>
    </font>
    <font>
      <name val="Calibri"/>
      <sz val="10"/>
    </font>
    <font>
      <name val="Aptos Narrow"/>
      <i val="1"/>
      <color rgb="FFFFFFFF"/>
      <sz val="10"/>
    </font>
    <font>
      <name val="Aptos Narrow"/>
      <b val="1"/>
      <color rgb="FFFFFFFF"/>
      <sz val="10"/>
    </font>
    <font>
      <name val="Calibri"/>
      <b val="1"/>
      <sz val="10"/>
    </font>
    <font>
      <name val="Aptos Narrow"/>
      <sz val="10"/>
    </font>
    <font>
      <name val="Calibri"/>
      <b val="1"/>
      <color rgb="FFFFFFFF"/>
      <sz val="13"/>
    </font>
    <font>
      <name val="Aptos Narrow"/>
      <b val="1"/>
      <sz val="10"/>
    </font>
    <font>
      <name val="Calibri"/>
      <i val="1"/>
      <sz val="9"/>
    </font>
    <font>
      <name val="Calibri"/>
      <b val="1"/>
      <sz val="9"/>
    </font>
    <font>
      <b val="1"/>
    </font>
    <font>
      <b val="1"/>
      <sz val="13"/>
    </font>
    <font>
      <b val="1"/>
      <color rgb="00FFFFFF"/>
      <sz val="12"/>
    </font>
    <font>
      <b val="1"/>
      <sz val="10"/>
    </font>
    <font>
      <b val="1"/>
      <color rgb="00203864"/>
      <sz val="12"/>
    </font>
    <font>
      <b val="1"/>
      <color rgb="001F4E78"/>
      <sz val="10"/>
    </font>
    <font>
      <b val="1"/>
      <sz val="9"/>
    </font>
    <font>
      <i val="1"/>
      <color rgb="00C00000"/>
      <sz val="8"/>
    </font>
    <font>
      <i val="1"/>
      <color rgb="00666666"/>
      <sz val="8"/>
    </font>
    <font/>
    <font>
      <b val="1"/>
      <color rgb="00FFFFFF"/>
      <sz val="11"/>
    </font>
    <font>
      <b val="1"/>
      <sz val="12"/>
    </font>
    <font>
      <b val="1"/>
      <color rgb="00203864"/>
      <sz val="14"/>
    </font>
    <font>
      <b val="1"/>
      <color rgb="00FFFFFF"/>
    </font>
  </fonts>
  <fills count="59">
    <fill>
      <patternFill/>
    </fill>
    <fill>
      <patternFill patternType="gray125"/>
    </fill>
    <fill>
      <patternFill patternType="solid">
        <fgColor rgb="FF125370"/>
        <bgColor indexed="64"/>
      </patternFill>
    </fill>
    <fill>
      <patternFill patternType="solid">
        <fgColor theme="0" tint="-0.1499984740745262"/>
        <bgColor indexed="64"/>
      </patternFill>
    </fill>
    <fill>
      <patternFill patternType="solid">
        <fgColor rgb="FF337AB7"/>
        <bgColor indexed="64"/>
      </patternFill>
    </fill>
    <fill>
      <patternFill patternType="solid">
        <fgColor rgb="FFFFFF00"/>
        <bgColor indexed="64"/>
      </patternFill>
    </fill>
    <fill>
      <patternFill patternType="solid">
        <fgColor theme="0"/>
        <bgColor indexed="64"/>
      </patternFill>
    </fill>
    <fill>
      <patternFill patternType="solid">
        <fgColor indexed="47"/>
        <bgColor indexed="64"/>
      </patternFill>
    </fill>
    <fill>
      <patternFill patternType="solid">
        <fgColor theme="0" tint="-0.1499069185460982"/>
        <bgColor indexed="64"/>
      </patternFill>
    </fill>
    <fill>
      <patternFill patternType="solid">
        <fgColor rgb="FF808080"/>
        <bgColor indexed="64"/>
      </patternFill>
    </fill>
    <fill>
      <patternFill patternType="solid">
        <fgColor rgb="FFFFFFFF"/>
        <bgColor indexed="64"/>
      </patternFill>
    </fill>
    <fill>
      <patternFill patternType="solid">
        <fgColor rgb="FFD9D9D9"/>
        <bgColor indexed="64"/>
      </patternFill>
    </fill>
    <fill>
      <patternFill patternType="solid">
        <fgColor rgb="FF000000"/>
        <bgColor indexed="64"/>
      </patternFill>
    </fill>
    <fill>
      <patternFill patternType="solid">
        <fgColor theme="0"/>
        <bgColor theme="4"/>
      </patternFill>
    </fill>
    <fill>
      <patternFill patternType="solid">
        <fgColor theme="7" tint="0.7999816888943144"/>
        <bgColor indexed="64"/>
      </patternFill>
    </fill>
    <fill>
      <patternFill patternType="solid">
        <fgColor theme="0" tint="-0.499984740745262"/>
        <bgColor indexed="64"/>
      </patternFill>
    </fill>
    <fill>
      <patternFill patternType="solid">
        <fgColor rgb="FF005710"/>
        <bgColor indexed="64"/>
      </patternFill>
    </fill>
    <fill>
      <patternFill patternType="solid">
        <fgColor theme="1" tint="0.499984740745262"/>
        <bgColor indexed="64"/>
      </patternFill>
    </fill>
    <fill>
      <patternFill patternType="solid">
        <fgColor theme="9" tint="0.3999755851924192"/>
        <bgColor theme="4"/>
      </patternFill>
    </fill>
    <fill>
      <patternFill patternType="solid">
        <fgColor theme="2" tint="-0.499984740745262"/>
        <bgColor indexed="64"/>
      </patternFill>
    </fill>
    <fill>
      <patternFill patternType="solid">
        <fgColor rgb="FF005710"/>
        <bgColor rgb="FF000000"/>
      </patternFill>
    </fill>
    <fill>
      <patternFill patternType="solid">
        <fgColor theme="2" tint="-0.499984740745262"/>
        <bgColor rgb="FF000000"/>
      </patternFill>
    </fill>
    <fill>
      <patternFill patternType="solid">
        <fgColor theme="0" tint="-0.0499893185216834"/>
        <bgColor indexed="64"/>
      </patternFill>
    </fill>
    <fill>
      <patternFill patternType="solid">
        <fgColor rgb="FFFFFFCC"/>
        <bgColor indexed="64"/>
      </patternFill>
    </fill>
    <fill>
      <patternFill patternType="solid">
        <fgColor rgb="FFD3D3D3"/>
        <bgColor indexed="64"/>
      </patternFill>
    </fill>
    <fill>
      <patternFill patternType="solid">
        <fgColor rgb="FFFFC7CE"/>
        <bgColor rgb="FFFFC7CE"/>
      </patternFill>
    </fill>
    <fill>
      <patternFill patternType="solid">
        <fgColor rgb="FFC6EFCE"/>
        <bgColor rgb="FFC6EFCE"/>
      </patternFill>
    </fill>
    <fill>
      <patternFill patternType="solid">
        <fgColor rgb="FFFFEB9C"/>
        <bgColor rgb="FFFFEB9C"/>
      </patternFill>
    </fill>
    <fill>
      <patternFill patternType="solid">
        <fgColor rgb="FFC9C9FF"/>
        <bgColor rgb="FFC9C9FF"/>
      </patternFill>
    </fill>
    <fill>
      <patternFill patternType="solid">
        <fgColor rgb="FFFFD966"/>
        <bgColor rgb="FFFFD966"/>
      </patternFill>
    </fill>
    <fill>
      <patternFill patternType="solid">
        <fgColor rgb="FFB4C6E7"/>
        <bgColor rgb="FFB4C6E7"/>
      </patternFill>
    </fill>
    <fill>
      <patternFill patternType="solid">
        <fgColor rgb="FFF4B084"/>
        <bgColor rgb="FFF4B084"/>
      </patternFill>
    </fill>
    <fill>
      <patternFill patternType="solid">
        <fgColor rgb="FFD9D2E9"/>
        <bgColor rgb="FFD9D2E9"/>
      </patternFill>
    </fill>
    <fill>
      <patternFill patternType="solid">
        <fgColor rgb="FFA9D18E"/>
        <bgColor rgb="FFA9D18E"/>
      </patternFill>
    </fill>
    <fill>
      <patternFill patternType="solid">
        <fgColor rgb="FFF8CBAD"/>
        <bgColor rgb="FFF8CBAD"/>
      </patternFill>
    </fill>
    <fill>
      <patternFill patternType="solid">
        <fgColor rgb="FFF2F2F2"/>
      </patternFill>
    </fill>
    <fill>
      <patternFill patternType="solid">
        <fgColor rgb="FF1F3864"/>
      </patternFill>
    </fill>
    <fill>
      <patternFill patternType="solid">
        <fgColor rgb="FF2F5496"/>
      </patternFill>
    </fill>
    <fill>
      <patternFill patternType="solid">
        <fgColor rgb="FFD9E1F2"/>
      </patternFill>
    </fill>
    <fill>
      <patternFill patternType="solid">
        <fgColor rgb="FFD6E4F0"/>
      </patternFill>
    </fill>
    <fill>
      <patternFill patternType="solid">
        <fgColor rgb="FFFFF2CC"/>
      </patternFill>
    </fill>
    <fill>
      <patternFill patternType="solid">
        <fgColor rgb="FFEBF3FB"/>
      </patternFill>
    </fill>
    <fill>
      <patternFill patternType="solid">
        <fgColor rgb="FFE2EFDA"/>
      </patternFill>
    </fill>
    <fill>
      <patternFill patternType="solid">
        <fgColor rgb="FFFCE4D6"/>
      </patternFill>
    </fill>
    <fill>
      <patternFill patternType="solid">
        <fgColor rgb="00FFF2CC"/>
      </patternFill>
    </fill>
    <fill>
      <patternFill patternType="solid">
        <fgColor rgb="00D9E8FB"/>
      </patternFill>
    </fill>
    <fill>
      <patternFill patternType="solid">
        <fgColor rgb="00FFFFFF"/>
      </patternFill>
    </fill>
    <fill>
      <patternFill patternType="solid">
        <fgColor rgb="00C00000"/>
      </patternFill>
    </fill>
    <fill>
      <patternFill patternType="solid">
        <fgColor rgb="00203864"/>
      </patternFill>
    </fill>
    <fill>
      <patternFill patternType="solid">
        <fgColor rgb="00D6DCE5"/>
      </patternFill>
    </fill>
    <fill>
      <patternFill patternType="solid">
        <fgColor rgb="0070AD47"/>
      </patternFill>
    </fill>
    <fill>
      <patternFill patternType="solid">
        <fgColor rgb="00DDEBF7"/>
      </patternFill>
    </fill>
    <fill>
      <patternFill patternType="solid">
        <fgColor rgb="00E2EFDA"/>
      </patternFill>
    </fill>
    <fill>
      <patternFill patternType="solid">
        <fgColor rgb="004472C4"/>
      </patternFill>
    </fill>
    <fill>
      <patternFill patternType="solid">
        <fgColor rgb="00F2F2F2"/>
      </patternFill>
    </fill>
    <fill>
      <patternFill patternType="solid">
        <fgColor rgb="001F3864"/>
      </patternFill>
    </fill>
    <fill>
      <patternFill patternType="solid">
        <fgColor rgb="00D9E1F2"/>
      </patternFill>
    </fill>
    <fill>
      <patternFill patternType="solid">
        <fgColor rgb="0044546A"/>
      </patternFill>
    </fill>
    <fill>
      <patternFill patternType="solid">
        <fgColor rgb="001F4E78"/>
      </patternFill>
    </fill>
  </fills>
  <borders count="87">
    <border>
      <left/>
      <right/>
      <top/>
      <bottom/>
      <diagonal/>
    </border>
    <border>
      <left/>
      <right/>
      <top/>
      <bottom style="thin">
        <color auto="1"/>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theme="0" tint="-0.249946592608417"/>
      </top>
      <bottom/>
      <diagonal/>
    </border>
    <border>
      <left/>
      <right/>
      <top style="thin">
        <color theme="1"/>
      </top>
      <bottom/>
      <diagonal/>
    </border>
    <border>
      <left/>
      <right/>
      <top/>
      <bottom style="thin">
        <color theme="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indexed="64"/>
      </left>
      <right style="thin">
        <color indexed="64"/>
      </right>
      <top/>
      <bottom/>
      <diagonal/>
    </border>
    <border>
      <left style="thin">
        <color indexed="64"/>
      </left>
      <right style="hair">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theme="0" tint="-0.1499069185460982"/>
      </top>
      <bottom style="thin">
        <color theme="0" tint="-0.1499069185460982"/>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right/>
      <top style="thin">
        <color theme="0" tint="-0.1499069185460982"/>
      </top>
      <bottom style="thin">
        <color theme="0" tint="-0.1499069185460982"/>
      </bottom>
      <diagonal/>
    </border>
    <border>
      <left/>
      <right/>
      <top style="thin">
        <color theme="1"/>
      </top>
      <bottom style="thin">
        <color theme="1"/>
      </bottom>
      <diagonal/>
    </border>
    <border>
      <left style="double">
        <color indexed="64"/>
      </left>
      <right/>
      <top/>
      <bottom style="medium">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style="thin">
        <color theme="1"/>
      </top>
      <bottom/>
      <diagonal/>
    </border>
    <border>
      <left style="thin">
        <color indexed="64"/>
      </left>
      <right/>
      <top style="thin">
        <color theme="1"/>
      </top>
      <bottom style="thin">
        <color theme="1"/>
      </bottom>
      <diagonal/>
    </border>
    <border>
      <left/>
      <right style="thin">
        <color auto="1"/>
      </right>
      <top style="thin">
        <color auto="1"/>
      </top>
      <bottom/>
      <diagonal/>
    </border>
    <border>
      <left/>
      <right style="thin">
        <color indexed="64"/>
      </right>
      <top style="thin">
        <color theme="1"/>
      </top>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indexed="64"/>
      </left>
      <right/>
      <top/>
      <bottom style="thin">
        <color theme="1"/>
      </bottom>
      <diagonal/>
    </border>
    <border>
      <left/>
      <right style="thin">
        <color indexed="64"/>
      </right>
      <top/>
      <bottom style="thin">
        <color theme="1"/>
      </bottom>
      <diagonal/>
    </border>
    <border>
      <left style="thin">
        <color indexed="64"/>
      </left>
      <right/>
      <top style="thin">
        <color indexed="64"/>
      </top>
      <bottom style="thin">
        <color theme="0" tint="-0.249946592608417"/>
      </bottom>
      <diagonal/>
    </border>
    <border>
      <left/>
      <right/>
      <top style="thin">
        <color indexed="64"/>
      </top>
      <bottom style="thin">
        <color theme="0" tint="-0.249946592608417"/>
      </bottom>
      <diagonal/>
    </border>
    <border>
      <left/>
      <right style="thin">
        <color indexed="64"/>
      </right>
      <top style="thin">
        <color indexed="64"/>
      </top>
      <bottom style="thin">
        <color theme="0" tint="-0.249946592608417"/>
      </bottom>
      <diagonal/>
    </border>
    <border>
      <left style="thin">
        <color indexed="64"/>
      </left>
      <right/>
      <top style="thin">
        <color indexed="64"/>
      </top>
      <bottom style="thin">
        <color theme="1"/>
      </bottom>
      <diagonal/>
    </border>
    <border>
      <left/>
      <right style="thin">
        <color theme="0" tint="-0.1499069185460982"/>
      </right>
      <top/>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style="thin">
        <color indexed="64"/>
      </bottom>
      <diagonal/>
    </border>
    <border>
      <left style="thin">
        <color indexed="64"/>
      </left>
      <right/>
      <top/>
      <bottom style="thin">
        <color theme="0" tint="-0.249946592608417"/>
      </bottom>
      <diagonal/>
    </border>
    <border>
      <left style="thin">
        <color indexed="64"/>
      </left>
      <right/>
      <top style="thin">
        <color theme="0" tint="-0.249946592608417"/>
      </top>
      <bottom style="thin">
        <color theme="0" tint="-0.249946592608417"/>
      </bottom>
      <diagonal/>
    </border>
    <border>
      <left style="thin">
        <color indexed="64"/>
      </left>
      <right/>
      <top style="thin">
        <color theme="0" tint="-0.249946592608417"/>
      </top>
      <bottom style="thin">
        <color indexed="64"/>
      </bottom>
      <diagonal/>
    </border>
    <border>
      <left/>
      <right/>
      <top style="thin">
        <color indexed="64"/>
      </top>
      <bottom style="thin">
        <color theme="0" tint="-0.1499069185460982"/>
      </bottom>
      <diagonal/>
    </border>
    <border>
      <left/>
      <right style="thin">
        <color indexed="64"/>
      </right>
      <top style="thin">
        <color indexed="64"/>
      </top>
      <bottom style="thin">
        <color theme="0" tint="-0.1499069185460982"/>
      </bottom>
      <diagonal/>
    </border>
    <border>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diagonal/>
    </border>
    <border>
      <left/>
      <right/>
      <top style="thin">
        <color theme="0" tint="-0.1499069185460982"/>
      </top>
      <bottom style="thin">
        <color theme="0" tint="-0.249946592608417"/>
      </bottom>
      <diagonal/>
    </border>
    <border>
      <left/>
      <right style="thin">
        <color indexed="64"/>
      </right>
      <top style="thin">
        <color theme="0" tint="-0.1499069185460982"/>
      </top>
      <bottom style="thin">
        <color theme="0" tint="-0.249946592608417"/>
      </bottom>
      <diagonal/>
    </border>
    <border>
      <left/>
      <right style="thin">
        <color indexed="64"/>
      </right>
      <top style="thin">
        <color theme="0" tint="-0.249946592608417"/>
      </top>
      <bottom/>
      <diagonal/>
    </border>
    <border>
      <left/>
      <right style="thin">
        <color indexed="64"/>
      </right>
      <top style="thin">
        <color theme="0" tint="-0.249946592608417"/>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theme="1"/>
      </top>
      <bottom style="thin">
        <color indexed="64"/>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theme="1"/>
      </bottom>
      <diagonal/>
    </border>
    <border>
      <left/>
      <right/>
      <top/>
      <bottom style="thin">
        <color rgb="FF125370"/>
      </bottom>
      <diagonal/>
    </border>
    <border>
      <left/>
      <right/>
      <top style="thin">
        <color rgb="FF125370"/>
      </top>
      <bottom/>
      <diagonal/>
    </border>
    <border>
      <left style="thin">
        <color indexed="64"/>
      </left>
      <right style="thin">
        <color indexed="64"/>
      </right>
      <top style="thin">
        <color indexed="64"/>
      </top>
      <bottom style="thin">
        <color theme="0" tint="-0.1499069185460982"/>
      </bottom>
      <diagonal/>
    </border>
    <border>
      <left style="thin">
        <color indexed="64"/>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theme="1"/>
      </bottom>
      <diagonal/>
    </border>
    <border>
      <left style="thin">
        <color indexed="64"/>
      </left>
      <right style="thin">
        <color auto="1"/>
      </right>
      <top style="thin">
        <color indexed="64"/>
      </top>
      <bottom/>
      <diagonal/>
    </border>
    <border>
      <left/>
      <right style="thin">
        <color auto="1"/>
      </right>
      <top style="thin">
        <color indexed="64"/>
      </top>
      <bottom/>
      <diagonal/>
    </border>
    <border>
      <left/>
      <right/>
      <top style="thin">
        <color indexed="64"/>
      </top>
      <bottom style="thin">
        <color auto="1"/>
      </bottom>
      <diagonal/>
    </border>
    <border>
      <left/>
      <right style="thin">
        <color indexed="64"/>
      </right>
      <top style="thin">
        <color indexed="64"/>
      </top>
      <bottom/>
      <diagonal/>
    </border>
    <border>
      <left/>
      <right/>
      <top style="thin">
        <color theme="0" tint="-0.1499069185460982"/>
      </top>
      <bottom/>
      <diagonal/>
    </border>
    <border>
      <left/>
      <right style="thin">
        <color indexed="64"/>
      </right>
      <top style="thin">
        <color theme="0" tint="-0.1499069185460982"/>
      </top>
      <bottom/>
      <diagonal/>
    </border>
    <border>
      <left style="thin">
        <color rgb="00999999"/>
      </left>
      <right style="thin">
        <color rgb="00999999"/>
      </right>
      <top style="thin">
        <color rgb="00999999"/>
      </top>
      <bottom style="thin">
        <color rgb="00999999"/>
      </bottom>
    </border>
    <border>
      <left style="thin">
        <color auto="1"/>
      </left>
      <right style="thin">
        <color auto="1"/>
      </right>
      <top style="thin">
        <color auto="1"/>
      </top>
      <bottom style="thin">
        <color auto="1"/>
      </bottom>
      <diagonal/>
    </border>
    <border/>
    <border>
      <left style="thin">
        <color rgb="00BFBFBF"/>
      </left>
      <right style="thin">
        <color rgb="00BFBFBF"/>
      </right>
      <top style="thin">
        <color rgb="00BFBFBF"/>
      </top>
      <bottom style="thin">
        <color rgb="00BFBFBF"/>
      </bottom>
    </border>
    <border>
      <right/>
      <bottom/>
    </border>
  </borders>
  <cellStyleXfs count="15">
    <xf numFmtId="0" fontId="1" fillId="0" borderId="0"/>
    <xf numFmtId="0" fontId="1" fillId="0" borderId="0"/>
    <xf numFmtId="43" fontId="1" fillId="0" borderId="0"/>
    <xf numFmtId="44" fontId="1" fillId="0" borderId="0"/>
    <xf numFmtId="9" fontId="1" fillId="0" borderId="0"/>
    <xf numFmtId="0" fontId="27" fillId="7" borderId="25" applyAlignment="1">
      <alignment horizontal="centerContinuous"/>
    </xf>
    <xf numFmtId="0" fontId="28" fillId="7" borderId="26" applyAlignment="1">
      <alignment horizontal="centerContinuous" vertical="center"/>
    </xf>
    <xf numFmtId="0" fontId="28" fillId="7" borderId="27" applyAlignment="1">
      <alignment horizontal="center"/>
    </xf>
    <xf numFmtId="0" fontId="1" fillId="0" borderId="0"/>
    <xf numFmtId="0" fontId="1" fillId="0" borderId="0"/>
    <xf numFmtId="0" fontId="8" fillId="2" borderId="0" applyAlignment="1">
      <alignment horizontal="centerContinuous" vertical="center"/>
    </xf>
    <xf numFmtId="0" fontId="4" fillId="0" borderId="0" applyAlignment="1">
      <alignment horizontal="left" vertical="top" wrapText="1"/>
    </xf>
    <xf numFmtId="9" fontId="66" fillId="0" borderId="0"/>
    <xf numFmtId="0" fontId="71" fillId="0" borderId="0"/>
    <xf numFmtId="0" fontId="73" fillId="5" borderId="10" applyAlignment="1">
      <alignment horizontal="center" vertical="center" wrapText="1"/>
    </xf>
  </cellStyleXfs>
  <cellXfs count="2456">
    <xf numFmtId="0" fontId="0" fillId="0" borderId="0" pivotButton="0" quotePrefix="0" xfId="0"/>
    <xf numFmtId="0" fontId="6" fillId="4" borderId="0" pivotButton="0" quotePrefix="0" xfId="0"/>
    <xf numFmtId="0" fontId="4" fillId="0" borderId="0" pivotButton="0" quotePrefix="0" xfId="0"/>
    <xf numFmtId="0" fontId="7" fillId="0" borderId="0" pivotButton="0" quotePrefix="0" xfId="0"/>
    <xf numFmtId="0" fontId="9" fillId="0" borderId="0" applyAlignment="1" pivotButton="0" quotePrefix="0" xfId="0">
      <alignment wrapText="1"/>
    </xf>
    <xf numFmtId="0" fontId="5" fillId="0" borderId="0" pivotButton="0" quotePrefix="0" xfId="0"/>
    <xf numFmtId="0" fontId="11" fillId="0" borderId="0" applyAlignment="1" pivotButton="0" quotePrefix="0" xfId="0">
      <alignment horizontal="left" vertical="center" wrapText="1"/>
    </xf>
    <xf numFmtId="0" fontId="12" fillId="0" borderId="0" pivotButton="0" quotePrefix="0" xfId="0"/>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0" fontId="13" fillId="4" borderId="0" pivotButton="0" quotePrefix="0" xfId="0"/>
    <xf numFmtId="0" fontId="13" fillId="0" borderId="0" pivotButton="0" quotePrefix="0" xfId="0"/>
    <xf numFmtId="0" fontId="0" fillId="0" borderId="0" applyAlignment="1" pivotButton="0" quotePrefix="0" xfId="0">
      <alignment vertical="top"/>
    </xf>
    <xf numFmtId="0" fontId="17" fillId="0" borderId="0" applyAlignment="1" pivotButton="0" quotePrefix="0" xfId="0">
      <alignment horizontal="left"/>
    </xf>
    <xf numFmtId="0" fontId="17" fillId="0" borderId="1" pivotButton="0" quotePrefix="0" xfId="0"/>
    <xf numFmtId="164" fontId="0" fillId="0" borderId="0" pivotButton="0" quotePrefix="0" xfId="0"/>
    <xf numFmtId="0" fontId="6" fillId="4" borderId="0" applyAlignment="1" pivotButton="0" quotePrefix="0" xfId="0">
      <alignment horizontal="left" vertical="center"/>
    </xf>
    <xf numFmtId="0" fontId="6" fillId="4" borderId="0" applyAlignment="1" pivotButton="0" quotePrefix="0" xfId="0">
      <alignment horizontal="centerContinuous"/>
    </xf>
    <xf numFmtId="0" fontId="6" fillId="4" borderId="0" applyAlignment="1" pivotButton="0" quotePrefix="0" xfId="0">
      <alignment horizontal="centerContinuous" vertical="center"/>
    </xf>
    <xf numFmtId="0" fontId="8" fillId="4" borderId="0" applyAlignment="1" pivotButton="0" quotePrefix="0" xfId="0">
      <alignment horizontal="centerContinuous" vertical="center"/>
    </xf>
    <xf numFmtId="0" fontId="6" fillId="4" borderId="0" applyAlignment="1" pivotButton="0" quotePrefix="0" xfId="0">
      <alignment horizontal="center"/>
    </xf>
    <xf numFmtId="0" fontId="8" fillId="4" borderId="0" applyAlignment="1" pivotButton="0" quotePrefix="0" xfId="0">
      <alignment horizontal="centerContinuous"/>
    </xf>
    <xf numFmtId="0" fontId="8" fillId="4" borderId="0" applyAlignment="1" pivotButton="0" quotePrefix="0" xfId="0">
      <alignment horizontal="center"/>
    </xf>
    <xf numFmtId="0" fontId="4" fillId="0" borderId="0" applyAlignment="1" pivotButton="0" quotePrefix="0" xfId="0">
      <alignment horizontal="center"/>
    </xf>
    <xf numFmtId="0" fontId="4" fillId="0" borderId="0" applyAlignment="1" pivotButton="0" quotePrefix="0" xfId="0">
      <alignment horizontal="left" indent="1"/>
    </xf>
    <xf numFmtId="165" fontId="4" fillId="0" borderId="0" pivotButton="0" quotePrefix="0" xfId="3"/>
    <xf numFmtId="166" fontId="4" fillId="0" borderId="0" pivotButton="0" quotePrefix="0" xfId="3"/>
    <xf numFmtId="0" fontId="4" fillId="0" borderId="0" applyAlignment="1" pivotButton="0" quotePrefix="0" xfId="0">
      <alignment horizontal="right"/>
    </xf>
    <xf numFmtId="167" fontId="4" fillId="0" borderId="0" pivotButton="0" quotePrefix="0" xfId="0"/>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37" fontId="4" fillId="0" borderId="0" pivotButton="0" quotePrefix="0" xfId="3"/>
    <xf numFmtId="37" fontId="4" fillId="0" borderId="0" applyProtection="1" pivotButton="0" quotePrefix="0" xfId="3">
      <protection locked="0" hidden="0"/>
    </xf>
    <xf numFmtId="37" fontId="14"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0" fontId="7" fillId="0" borderId="0" applyAlignment="1" pivotButton="0" quotePrefix="0" xfId="0">
      <alignment horizontal="right"/>
    </xf>
    <xf numFmtId="167" fontId="7" fillId="0" borderId="0" pivotButton="0" quotePrefix="0" xfId="0"/>
    <xf numFmtId="165" fontId="3" fillId="0" borderId="0" pivotButton="0" quotePrefix="0" xfId="0"/>
    <xf numFmtId="165" fontId="4" fillId="0" borderId="0" pivotButton="0" quotePrefix="0" xfId="0"/>
    <xf numFmtId="0" fontId="7" fillId="0" borderId="0" applyAlignment="1" pivotButton="0" quotePrefix="0" xfId="0">
      <alignment horizontal="left" indent="1"/>
    </xf>
    <xf numFmtId="37" fontId="23" fillId="0" borderId="0" pivotButton="0" quotePrefix="0" xfId="0"/>
    <xf numFmtId="165" fontId="4" fillId="4" borderId="0" pivotButton="0" quotePrefix="0" xfId="3"/>
    <xf numFmtId="0" fontId="4" fillId="4" borderId="0" applyAlignment="1" pivotButton="0" quotePrefix="0" xfId="0">
      <alignment horizontal="center"/>
    </xf>
    <xf numFmtId="167" fontId="4" fillId="4" borderId="0" pivotButton="0" quotePrefix="0" xfId="0"/>
    <xf numFmtId="0" fontId="23" fillId="4" borderId="0" pivotButton="0" quotePrefix="0" xfId="0"/>
    <xf numFmtId="168" fontId="4" fillId="0" borderId="0" pivotButton="0" quotePrefix="0" xfId="2"/>
    <xf numFmtId="169" fontId="4" fillId="0" borderId="0" pivotButton="0" quotePrefix="0" xfId="3"/>
    <xf numFmtId="168" fontId="4" fillId="0" borderId="0" pivotButton="0" quotePrefix="0" xfId="3"/>
    <xf numFmtId="168" fontId="4" fillId="4" borderId="0" pivotButton="0" quotePrefix="0" xfId="2"/>
    <xf numFmtId="37" fontId="4" fillId="4" borderId="0" applyProtection="1" pivotButton="0" quotePrefix="0" xfId="3">
      <protection locked="0" hidden="0"/>
    </xf>
    <xf numFmtId="167" fontId="24" fillId="4" borderId="0" applyProtection="1" pivotButton="0" quotePrefix="0" xfId="0">
      <protection locked="0" hidden="0"/>
    </xf>
    <xf numFmtId="37" fontId="23" fillId="4" borderId="0" pivotButton="0" quotePrefix="0" xfId="0"/>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0" borderId="0" applyAlignment="1" pivotButton="0" quotePrefix="0" xfId="3">
      <alignment horizontal="right"/>
    </xf>
    <xf numFmtId="169" fontId="26" fillId="0" borderId="0" pivotButton="0" quotePrefix="0" xfId="3"/>
    <xf numFmtId="0" fontId="7" fillId="0" borderId="0" applyAlignment="1" pivotButton="0" quotePrefix="0" xfId="0">
      <alignment horizontal="center"/>
    </xf>
    <xf numFmtId="167" fontId="3" fillId="0" borderId="0" pivotButton="0" quotePrefix="0" xfId="0"/>
    <xf numFmtId="165" fontId="7" fillId="0" borderId="9" pivotButton="0" quotePrefix="0" xfId="3"/>
    <xf numFmtId="0" fontId="7" fillId="0" borderId="9" applyAlignment="1" pivotButton="0" quotePrefix="0" xfId="0">
      <alignment horizontal="center"/>
    </xf>
    <xf numFmtId="167" fontId="7" fillId="0" borderId="9" pivotButton="0" quotePrefix="0" xfId="0"/>
    <xf numFmtId="165" fontId="3" fillId="0" borderId="9" pivotButton="0" quotePrefix="0" xfId="0"/>
    <xf numFmtId="3" fontId="0" fillId="0" borderId="0" pivotButton="0" quotePrefix="0" xfId="0"/>
    <xf numFmtId="170" fontId="4" fillId="0" borderId="0" pivotButton="0" quotePrefix="0" xfId="3"/>
    <xf numFmtId="0" fontId="8" fillId="4" borderId="0" applyAlignment="1" pivotButton="0" quotePrefix="0" xfId="0">
      <alignment horizontal="left"/>
    </xf>
    <xf numFmtId="0" fontId="4" fillId="0" borderId="0" applyAlignment="1" pivotButton="0" quotePrefix="0" xfId="5">
      <alignment horizontal="left"/>
    </xf>
    <xf numFmtId="0" fontId="24" fillId="0" borderId="0" applyAlignment="1" pivotButton="0" quotePrefix="0" xfId="5">
      <alignment horizontal="left"/>
    </xf>
    <xf numFmtId="0" fontId="24" fillId="0" borderId="14" applyAlignment="1" pivotButton="0" quotePrefix="0" xfId="5">
      <alignment horizontal="left"/>
    </xf>
    <xf numFmtId="3" fontId="24" fillId="0" borderId="0" applyAlignment="1" pivotButton="0" quotePrefix="0" xfId="5">
      <alignment horizontal="left"/>
    </xf>
    <xf numFmtId="3" fontId="24" fillId="0" borderId="14" applyAlignment="1" pivotButton="0" quotePrefix="0" xfId="5">
      <alignment horizontal="left"/>
    </xf>
    <xf numFmtId="0" fontId="4" fillId="0" borderId="14" pivotButton="0" quotePrefix="0" xfId="0"/>
    <xf numFmtId="41" fontId="4" fillId="0" borderId="2" pivotButton="0" quotePrefix="0" xfId="0"/>
    <xf numFmtId="41" fontId="4" fillId="0" borderId="0" pivotButton="0" quotePrefix="0" xfId="0"/>
    <xf numFmtId="169" fontId="7" fillId="0" borderId="9" pivotButton="0" quotePrefix="0" xfId="0"/>
    <xf numFmtId="0" fontId="4" fillId="0" borderId="9" pivotButton="0" quotePrefix="0" xfId="0"/>
    <xf numFmtId="0" fontId="9" fillId="0" borderId="2" applyAlignment="1" pivotButton="0" quotePrefix="0" xfId="5">
      <alignment horizontal="left"/>
    </xf>
    <xf numFmtId="0" fontId="4" fillId="0" borderId="1" applyAlignment="1" pivotButton="0" quotePrefix="0" xfId="5">
      <alignment horizontal="left"/>
    </xf>
    <xf numFmtId="9" fontId="9" fillId="0" borderId="3" applyAlignment="1" pivotButton="0" quotePrefix="0" xfId="4">
      <alignment horizontal="left"/>
    </xf>
    <xf numFmtId="0" fontId="24" fillId="0" borderId="1" applyAlignment="1" pivotButton="0" quotePrefix="0" xfId="5">
      <alignment horizontal="left"/>
    </xf>
    <xf numFmtId="0" fontId="24" fillId="0" borderId="4" applyAlignment="1" pivotButton="0" quotePrefix="0" xfId="5">
      <alignment horizontal="left"/>
    </xf>
    <xf numFmtId="0" fontId="7" fillId="3" borderId="9" pivotButton="0" quotePrefix="0" xfId="0"/>
    <xf numFmtId="165" fontId="7" fillId="3" borderId="9" pivotButton="0" quotePrefix="0" xfId="3"/>
    <xf numFmtId="166" fontId="7" fillId="3" borderId="9" pivotButton="0" quotePrefix="0" xfId="3"/>
    <xf numFmtId="0" fontId="7" fillId="3" borderId="9" applyAlignment="1" pivotButton="0" quotePrefix="0" xfId="0">
      <alignment horizontal="center"/>
    </xf>
    <xf numFmtId="167" fontId="7" fillId="3" borderId="9" pivotButton="0" quotePrefix="0" xfId="0"/>
    <xf numFmtId="170" fontId="7" fillId="3" borderId="9" pivotButton="0" quotePrefix="0" xfId="3"/>
    <xf numFmtId="165" fontId="9" fillId="0" borderId="2" pivotButton="0" quotePrefix="0" xfId="3"/>
    <xf numFmtId="166" fontId="9" fillId="0" borderId="0" pivotButton="0" quotePrefix="0" xfId="3"/>
    <xf numFmtId="0" fontId="9" fillId="0" borderId="0" pivotButton="0" quotePrefix="0" xfId="0"/>
    <xf numFmtId="0" fontId="20" fillId="4" borderId="0" applyAlignment="1" pivotButton="0" quotePrefix="0" xfId="7">
      <alignment horizontal="center"/>
    </xf>
    <xf numFmtId="0" fontId="20" fillId="4" borderId="0" applyAlignment="1" pivotButton="0" quotePrefix="0" xfId="7">
      <alignment horizontal="centerContinuous"/>
    </xf>
    <xf numFmtId="0" fontId="4" fillId="0" borderId="0" applyAlignment="1" pivotButton="0" quotePrefix="0" xfId="0">
      <alignment horizontal="left" vertical="center"/>
    </xf>
    <xf numFmtId="166" fontId="4" fillId="0" borderId="0" applyAlignment="1" pivotButton="0" quotePrefix="0" xfId="3">
      <alignment horizontal="center" vertical="center"/>
    </xf>
    <xf numFmtId="166" fontId="4" fillId="0" borderId="15" applyAlignment="1" pivotButton="0" quotePrefix="0" xfId="3">
      <alignment horizontal="center" vertical="center"/>
    </xf>
    <xf numFmtId="165" fontId="4" fillId="0" borderId="0" applyAlignment="1" pivotButton="0" quotePrefix="0" xfId="3">
      <alignment horizontal="center" vertical="center"/>
    </xf>
    <xf numFmtId="165" fontId="4" fillId="0" borderId="15" applyAlignment="1" pivotButton="0" quotePrefix="0" xfId="3">
      <alignment horizontal="center" vertical="center"/>
    </xf>
    <xf numFmtId="0" fontId="4" fillId="0" borderId="0" applyAlignment="1" pivotButton="0" quotePrefix="0" xfId="0">
      <alignment horizontal="center" vertical="center"/>
    </xf>
    <xf numFmtId="170" fontId="4" fillId="0" borderId="0" applyAlignment="1" pivotButton="0" quotePrefix="0" xfId="0">
      <alignment horizontal="center" vertical="center"/>
    </xf>
    <xf numFmtId="49" fontId="4" fillId="0" borderId="0" applyAlignment="1" pivotButton="0" quotePrefix="0" xfId="0">
      <alignment horizontal="left" vertical="center"/>
    </xf>
    <xf numFmtId="0" fontId="19" fillId="0" borderId="1" pivotButton="0" quotePrefix="0" xfId="0"/>
    <xf numFmtId="0" fontId="9" fillId="0" borderId="0" applyAlignment="1" pivotButton="0" quotePrefix="0" xfId="5">
      <alignment horizontal="left"/>
    </xf>
    <xf numFmtId="3" fontId="9" fillId="0" borderId="0" applyAlignment="1" pivotButton="0" quotePrefix="0" xfId="1">
      <alignment horizontal="left"/>
    </xf>
    <xf numFmtId="9" fontId="9" fillId="0" borderId="1" applyAlignment="1" pivotButton="0" quotePrefix="0" xfId="4">
      <alignment horizontal="left"/>
    </xf>
    <xf numFmtId="165" fontId="9" fillId="0" borderId="0" pivotButton="0" quotePrefix="0" xfId="3"/>
    <xf numFmtId="0" fontId="7" fillId="3" borderId="9" applyAlignment="1" pivotButton="0" quotePrefix="0" xfId="0">
      <alignment horizontal="left"/>
    </xf>
    <xf numFmtId="169" fontId="7" fillId="3" borderId="8" pivotButton="0" quotePrefix="0" xfId="0"/>
    <xf numFmtId="0" fontId="4" fillId="3" borderId="9" pivotButton="0" quotePrefix="0" xfId="0"/>
    <xf numFmtId="0" fontId="23" fillId="0" borderId="0" pivotButton="0" quotePrefix="0" xfId="0"/>
    <xf numFmtId="39" fontId="23" fillId="0" borderId="0" pivotButton="0" quotePrefix="0" xfId="0"/>
    <xf numFmtId="0" fontId="3" fillId="0" borderId="8" applyAlignment="1" pivotButton="0" quotePrefix="0" xfId="0">
      <alignment horizontal="center"/>
    </xf>
    <xf numFmtId="0" fontId="3" fillId="0" borderId="9" applyAlignment="1" pivotButton="0" quotePrefix="0" xfId="0">
      <alignment horizontal="center"/>
    </xf>
    <xf numFmtId="0" fontId="3" fillId="0" borderId="28" applyAlignment="1" pivotButton="0" quotePrefix="0" xfId="0">
      <alignment horizontal="center"/>
    </xf>
    <xf numFmtId="0" fontId="3" fillId="0" borderId="17" applyAlignment="1" pivotButton="0" quotePrefix="0" xfId="0">
      <alignment horizontal="center"/>
    </xf>
    <xf numFmtId="0" fontId="7" fillId="0" borderId="29" applyAlignment="1" pivotButton="0" quotePrefix="0" xfId="0">
      <alignment horizontal="center" vertical="center"/>
    </xf>
    <xf numFmtId="0" fontId="7" fillId="0" borderId="30" applyAlignment="1" pivotButton="0" quotePrefix="0" xfId="0">
      <alignment horizontal="center" vertical="center"/>
    </xf>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0" fontId="4" fillId="0" borderId="12" applyAlignment="1" pivotButton="0" quotePrefix="0" xfId="0">
      <alignment horizontal="center" vertical="center"/>
    </xf>
    <xf numFmtId="171" fontId="4" fillId="0" borderId="13" applyAlignment="1" pivotButton="0" quotePrefix="0" xfId="4">
      <alignment horizontal="center" vertical="center"/>
    </xf>
    <xf numFmtId="37" fontId="23" fillId="0" borderId="13" pivotButton="0" quotePrefix="0" xfId="0"/>
    <xf numFmtId="0" fontId="4" fillId="0" borderId="12" applyAlignment="1" pivotButton="0" quotePrefix="0" xfId="0">
      <alignment horizontal="right" vertical="center"/>
    </xf>
    <xf numFmtId="41" fontId="4" fillId="0" borderId="13" applyAlignment="1" pivotButton="0" quotePrefix="0" xfId="0">
      <alignment horizontal="right" vertical="center"/>
    </xf>
    <xf numFmtId="39" fontId="23" fillId="0" borderId="13" pivotButton="0" quotePrefix="0" xfId="0"/>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0" fontId="23" fillId="0" borderId="13" pivotButton="0" quotePrefix="0" xfId="0"/>
    <xf numFmtId="0" fontId="4" fillId="0" borderId="31" applyAlignment="1" pivotButton="0" quotePrefix="0" xfId="0">
      <alignment horizontal="right" vertical="center"/>
    </xf>
    <xf numFmtId="172" fontId="4" fillId="0" borderId="32" applyAlignment="1" pivotButton="0" quotePrefix="0" xfId="0">
      <alignment horizontal="right" vertical="center"/>
    </xf>
    <xf numFmtId="9" fontId="23" fillId="0" borderId="0" pivotButton="0" quotePrefix="0" xfId="4"/>
    <xf numFmtId="9" fontId="4" fillId="0" borderId="0" applyAlignment="1" pivotButton="0" quotePrefix="0" xfId="4">
      <alignment horizontal="right"/>
    </xf>
    <xf numFmtId="0" fontId="23" fillId="0" borderId="33" pivotButton="0" quotePrefix="0" xfId="0"/>
    <xf numFmtId="0" fontId="23" fillId="0" borderId="12" applyAlignment="1" pivotButton="0" quotePrefix="0" xfId="0">
      <alignment horizontal="right" vertical="center"/>
    </xf>
    <xf numFmtId="41" fontId="23" fillId="0" borderId="13" applyAlignment="1" pivotButton="0" quotePrefix="0" xfId="0">
      <alignment horizontal="right" vertical="center"/>
    </xf>
    <xf numFmtId="169" fontId="23" fillId="0" borderId="12" applyAlignment="1" pivotButton="0" quotePrefix="0" xfId="0">
      <alignment horizontal="right" vertical="center"/>
    </xf>
    <xf numFmtId="43" fontId="23" fillId="0" borderId="13" applyAlignment="1" pivotButton="0" quotePrefix="0" xfId="0">
      <alignment horizontal="right" vertical="center"/>
    </xf>
    <xf numFmtId="169" fontId="23" fillId="0" borderId="31" applyAlignment="1" pivotButton="0" quotePrefix="0" xfId="0">
      <alignment horizontal="right" vertical="center"/>
    </xf>
    <xf numFmtId="9" fontId="23" fillId="0" borderId="32" applyAlignment="1" pivotButton="0" quotePrefix="0" xfId="4">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0" fontId="7" fillId="3" borderId="9" applyAlignment="1" pivotButton="0" quotePrefix="0" xfId="0">
      <alignment horizontal="right"/>
    </xf>
    <xf numFmtId="165" fontId="7" fillId="3" borderId="9" applyAlignment="1" pivotButton="0" quotePrefix="0" xfId="3">
      <alignment horizontal="right"/>
    </xf>
    <xf numFmtId="170" fontId="9" fillId="0" borderId="0" applyAlignment="1" pivotButton="0" quotePrefix="0" xfId="3">
      <alignment horizontal="center" vertical="center"/>
    </xf>
    <xf numFmtId="170" fontId="9" fillId="0" borderId="15" applyAlignment="1" pivotButton="0" quotePrefix="0" xfId="3">
      <alignment horizontal="center" vertical="center"/>
    </xf>
    <xf numFmtId="171" fontId="0" fillId="0" borderId="0" pivotButton="0" quotePrefix="0" xfId="4"/>
    <xf numFmtId="1" fontId="0" fillId="0" borderId="0" pivotButton="0" quotePrefix="0" xfId="0"/>
    <xf numFmtId="10" fontId="0" fillId="0" borderId="0" pivotButton="0" quotePrefix="0" xfId="4"/>
    <xf numFmtId="0" fontId="19" fillId="3" borderId="11" pivotButton="0" quotePrefix="0" xfId="0"/>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0" fontId="19"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0" fontId="17" fillId="3" borderId="3" pivotButton="0" quotePrefix="0" xfId="0"/>
    <xf numFmtId="0" fontId="17" fillId="3" borderId="11" applyAlignment="1" pivotButton="0" quotePrefix="0" xfId="0">
      <alignment horizontal="center" vertical="center"/>
    </xf>
    <xf numFmtId="170" fontId="17" fillId="3" borderId="1" pivotButton="0" quotePrefix="0" xfId="0"/>
    <xf numFmtId="170" fontId="4" fillId="0" borderId="0" applyAlignment="1" pivotButton="0" quotePrefix="0" xfId="3">
      <alignment horizontal="center" vertical="center"/>
    </xf>
    <xf numFmtId="0" fontId="4" fillId="0" borderId="14" applyAlignment="1" pivotButton="0" quotePrefix="0" xfId="5">
      <alignment horizontal="left"/>
    </xf>
    <xf numFmtId="0" fontId="6" fillId="4" borderId="0" applyAlignment="1" pivotButton="0" quotePrefix="0" xfId="0">
      <alignment horizontal="center" vertical="center"/>
    </xf>
    <xf numFmtId="0" fontId="17" fillId="0" borderId="0" applyAlignment="1" pivotButton="0" quotePrefix="0" xfId="0">
      <alignment horizontal="left" indent="1"/>
    </xf>
    <xf numFmtId="0" fontId="17" fillId="0" borderId="0" applyAlignment="1" pivotButton="0" quotePrefix="0" xfId="0">
      <alignment horizontal="center"/>
    </xf>
    <xf numFmtId="0" fontId="19" fillId="0" borderId="0" pivotButton="0" quotePrefix="0" xfId="0"/>
    <xf numFmtId="10" fontId="17" fillId="0" borderId="0" applyAlignment="1" pivotButton="0" quotePrefix="0" xfId="0">
      <alignment horizontal="center"/>
    </xf>
    <xf numFmtId="165" fontId="17" fillId="0" borderId="0" pivotButton="0" quotePrefix="0" xfId="0"/>
    <xf numFmtId="0" fontId="25" fillId="4" borderId="0" pivotButton="0" quotePrefix="0" xfId="0"/>
    <xf numFmtId="0" fontId="25" fillId="4" borderId="0" applyAlignment="1" pivotButton="0" quotePrefix="0" xfId="0">
      <alignment horizontal="center"/>
    </xf>
    <xf numFmtId="167" fontId="17" fillId="4" borderId="0" pivotButton="0" quotePrefix="0" xfId="0"/>
    <xf numFmtId="166" fontId="4" fillId="4" borderId="0" applyProtection="1" pivotButton="0" quotePrefix="0" xfId="3">
      <protection locked="0" hidden="0"/>
    </xf>
    <xf numFmtId="0" fontId="19" fillId="0" borderId="0" applyAlignment="1" pivotButton="0" quotePrefix="0" xfId="0">
      <alignment horizontal="center"/>
    </xf>
    <xf numFmtId="169" fontId="17" fillId="0" borderId="0" pivotButton="0" quotePrefix="0" xfId="0"/>
    <xf numFmtId="169" fontId="9" fillId="0" borderId="0" pivotButton="0" quotePrefix="0" xfId="0"/>
    <xf numFmtId="169" fontId="9" fillId="0" borderId="0" applyAlignment="1" pivotButton="0" quotePrefix="0" xfId="0">
      <alignment horizontal="right"/>
    </xf>
    <xf numFmtId="0" fontId="8" fillId="4" borderId="0" pivotButton="0" quotePrefix="0" xfId="0"/>
    <xf numFmtId="0" fontId="8" fillId="4" borderId="0" applyAlignment="1" pivotButton="0" quotePrefix="0" xfId="0">
      <alignment horizontal="center" wrapText="1"/>
    </xf>
    <xf numFmtId="0" fontId="17" fillId="0" borderId="11" applyAlignment="1" pivotButton="0" quotePrefix="0" xfId="0">
      <alignment horizontal="left"/>
    </xf>
    <xf numFmtId="0" fontId="17" fillId="0" borderId="11" pivotButton="0" quotePrefix="0" xfId="0"/>
    <xf numFmtId="10" fontId="17" fillId="0" borderId="11" applyAlignment="1" pivotButton="0" quotePrefix="0" xfId="4">
      <alignment horizontal="center"/>
    </xf>
    <xf numFmtId="0" fontId="17" fillId="0" borderId="0" pivotButton="0" quotePrefix="0" xfId="0"/>
    <xf numFmtId="10" fontId="17" fillId="0" borderId="0" applyAlignment="1" pivotButton="0" quotePrefix="0" xfId="4">
      <alignment horizontal="center"/>
    </xf>
    <xf numFmtId="0" fontId="19" fillId="3" borderId="9" pivotButton="0" quotePrefix="0" xfId="0"/>
    <xf numFmtId="10" fontId="16" fillId="3" borderId="9" applyAlignment="1" pivotButton="0" quotePrefix="0" xfId="4">
      <alignment horizontal="center"/>
    </xf>
    <xf numFmtId="0" fontId="19" fillId="0" borderId="11" pivotButton="0" quotePrefix="0" xfId="0"/>
    <xf numFmtId="2" fontId="8" fillId="4" borderId="0" applyAlignment="1" pivotButton="0" quotePrefix="0" xfId="0">
      <alignment horizontal="center" wrapText="1"/>
    </xf>
    <xf numFmtId="9" fontId="8" fillId="4" borderId="0" applyAlignment="1" pivotButton="0" quotePrefix="0" xfId="4">
      <alignment horizontal="center" wrapText="1"/>
    </xf>
    <xf numFmtId="10" fontId="8" fillId="4" borderId="0" applyAlignment="1" pivotButton="0" quotePrefix="0" xfId="4">
      <alignment horizontal="center" wrapText="1"/>
    </xf>
    <xf numFmtId="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0" fontId="4" fillId="3" borderId="11" applyAlignment="1" pivotButton="0" quotePrefix="0" xfId="4">
      <alignment horizontal="center" vertical="center" shrinkToFit="1"/>
    </xf>
    <xf numFmtId="0" fontId="0" fillId="3" borderId="0" pivotButton="0" quotePrefix="0" xfId="0"/>
    <xf numFmtId="0" fontId="0" fillId="3" borderId="1" pivotButton="0" quotePrefix="0" xfId="0"/>
    <xf numFmtId="37" fontId="17" fillId="0" borderId="1" pivotButton="0" quotePrefix="0" xfId="0"/>
    <xf numFmtId="165" fontId="19" fillId="0" borderId="11" pivotButton="0" quotePrefix="0" xfId="0"/>
    <xf numFmtId="0" fontId="19" fillId="0" borderId="9"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0" fontId="7" fillId="3" borderId="1" applyAlignment="1" pivotButton="0" quotePrefix="0" xfId="0">
      <alignment horizontal="left"/>
    </xf>
    <xf numFmtId="170" fontId="7" fillId="3" borderId="1" pivotButton="0" quotePrefix="0" xfId="0"/>
    <xf numFmtId="0" fontId="19" fillId="3" borderId="9" applyAlignment="1" pivotButton="0" quotePrefix="0" xfId="0">
      <alignment horizontal="center"/>
    </xf>
    <xf numFmtId="166" fontId="7" fillId="3" borderId="9" applyProtection="1" pivotButton="0" quotePrefix="0" xfId="3">
      <protection locked="0" hidden="0"/>
    </xf>
    <xf numFmtId="169" fontId="19" fillId="3" borderId="9" pivotButton="0" quotePrefix="0" xfId="0"/>
    <xf numFmtId="175" fontId="17" fillId="0" borderId="0" applyAlignment="1" pivotButton="0" quotePrefix="0" xfId="0">
      <alignment horizontal="left"/>
    </xf>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0" fontId="17" fillId="0" borderId="11" pivotButton="0" quotePrefix="0" xfId="0"/>
    <xf numFmtId="165" fontId="17" fillId="0" borderId="11" pivotButton="0" quotePrefix="0" xfId="0"/>
    <xf numFmtId="10" fontId="17" fillId="0" borderId="0" pivotButton="0" quotePrefix="0" xfId="0"/>
    <xf numFmtId="0" fontId="17" fillId="0" borderId="0" applyProtection="1" pivotButton="0" quotePrefix="0" xfId="0">
      <protection locked="0" hidden="0"/>
    </xf>
    <xf numFmtId="165" fontId="17" fillId="0" borderId="0" applyProtection="1" pivotButton="0" quotePrefix="0" xfId="3">
      <protection locked="0" hidden="0"/>
    </xf>
    <xf numFmtId="170" fontId="19" fillId="0" borderId="11" pivotButton="0" quotePrefix="0" xfId="0"/>
    <xf numFmtId="0" fontId="19" fillId="3" borderId="1" applyAlignment="1" pivotButton="0" quotePrefix="0" xfId="0">
      <alignment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0" fontId="16" fillId="0" borderId="9" applyAlignment="1" pivotButton="0" quotePrefix="0" xfId="0">
      <alignment horizontal="center"/>
    </xf>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2" fontId="9" fillId="0" borderId="0" applyAlignment="1" pivotButton="0" quotePrefix="0" xfId="0">
      <alignment horizontal="left"/>
    </xf>
    <xf numFmtId="9" fontId="9" fillId="0" borderId="0" applyAlignment="1" pivotButton="0" quotePrefix="0" xfId="0">
      <alignment horizontal="center"/>
    </xf>
    <xf numFmtId="10" fontId="9" fillId="0" borderId="0" applyAlignment="1" pivotButton="0" quotePrefix="0" xfId="4">
      <alignment horizontal="center"/>
    </xf>
    <xf numFmtId="2" fontId="9" fillId="0" borderId="0" applyAlignment="1" pivotButton="0" quotePrefix="0" xfId="0">
      <alignment horizontal="left" indent="1"/>
    </xf>
    <xf numFmtId="2" fontId="16" fillId="3" borderId="9" applyAlignment="1" pivotButton="0" quotePrefix="0" xfId="0">
      <alignment horizontal="left"/>
    </xf>
    <xf numFmtId="9" fontId="16" fillId="3" borderId="9" applyAlignment="1" pivotButton="0" quotePrefix="0" xfId="0">
      <alignment horizontal="center"/>
    </xf>
    <xf numFmtId="0" fontId="6" fillId="4" borderId="0" applyAlignment="1" pivotButton="0" quotePrefix="0" xfId="0">
      <alignment horizontal="right"/>
    </xf>
    <xf numFmtId="0" fontId="4" fillId="6" borderId="0" pivotButton="0" quotePrefix="0" xfId="0"/>
    <xf numFmtId="0" fontId="16" fillId="0" borderId="0" applyAlignment="1" pivotButton="0" quotePrefix="0" xfId="0">
      <alignment horizontal="right"/>
    </xf>
    <xf numFmtId="0" fontId="16" fillId="0" borderId="0" applyAlignment="1" pivotButton="0" quotePrefix="0" xfId="0">
      <alignment horizontal="right" wrapText="1"/>
    </xf>
    <xf numFmtId="10" fontId="16" fillId="3" borderId="9" applyAlignment="1" pivotButton="0" quotePrefix="0" xfId="0">
      <alignment horizontal="right"/>
    </xf>
    <xf numFmtId="0" fontId="2" fillId="4" borderId="0" applyAlignment="1" pivotButton="0" quotePrefix="0" xfId="0">
      <alignment horizontal="left" vertical="center" justifyLastLine="1"/>
    </xf>
    <xf numFmtId="165" fontId="17" fillId="0" borderId="0" applyAlignment="1" pivotButton="0" quotePrefix="0" xfId="3">
      <alignment horizontal="left"/>
    </xf>
    <xf numFmtId="166" fontId="17" fillId="0" borderId="0" applyAlignment="1" pivotButton="0" quotePrefix="0" xfId="3">
      <alignment horizontal="left"/>
    </xf>
    <xf numFmtId="0" fontId="9" fillId="0" borderId="0" applyAlignment="1" pivotButton="0" quotePrefix="0" xfId="0">
      <alignment horizontal="left"/>
    </xf>
    <xf numFmtId="0" fontId="9" fillId="0" borderId="1" applyAlignment="1" pivotButton="0" quotePrefix="0" xfId="0">
      <alignment horizontal="left"/>
    </xf>
    <xf numFmtId="0" fontId="17" fillId="0" borderId="1" applyAlignment="1" pivotButton="0" quotePrefix="0" xfId="0">
      <alignment horizontal="left"/>
    </xf>
    <xf numFmtId="169" fontId="4" fillId="0" borderId="1" applyAlignment="1" pivotButton="0" quotePrefix="0" xfId="0">
      <alignment horizontal="center" vertical="center"/>
    </xf>
    <xf numFmtId="0" fontId="4" fillId="0" borderId="1" applyAlignment="1" pivotButton="0" quotePrefix="0" xfId="0">
      <alignment horizontal="center"/>
    </xf>
    <xf numFmtId="179" fontId="4" fillId="0" borderId="1" applyAlignment="1" pivotButton="0" quotePrefix="0" xfId="0">
      <alignment horizontal="center"/>
    </xf>
    <xf numFmtId="165" fontId="4" fillId="0" borderId="1" applyAlignment="1" pivotButton="0" quotePrefix="0" xfId="3">
      <alignment horizontal="center"/>
    </xf>
    <xf numFmtId="0" fontId="4" fillId="5" borderId="0" pivotButton="0" quotePrefix="0" xfId="0"/>
    <xf numFmtId="41" fontId="4" fillId="5" borderId="2" pivotButton="0" quotePrefix="0" xfId="0"/>
    <xf numFmtId="165" fontId="9" fillId="5" borderId="2" pivotButton="0" quotePrefix="0" xfId="3"/>
    <xf numFmtId="0" fontId="9" fillId="5" borderId="0" pivotButton="0" quotePrefix="0" xfId="0"/>
    <xf numFmtId="3" fontId="9" fillId="0" borderId="2" applyAlignment="1" pivotButton="0" quotePrefix="0" xfId="1">
      <alignment horizontal="left"/>
    </xf>
    <xf numFmtId="0" fontId="9" fillId="0" borderId="2" applyAlignment="1" pivotButton="0" quotePrefix="0" xfId="5">
      <alignment horizontal="center"/>
    </xf>
    <xf numFmtId="3" fontId="9" fillId="0" borderId="2" applyAlignment="1" pivotButton="0" quotePrefix="0" xfId="1">
      <alignment horizontal="center"/>
    </xf>
    <xf numFmtId="9" fontId="9" fillId="0" borderId="3" applyAlignment="1" pivotButton="0" quotePrefix="0" xfId="4">
      <alignment horizontal="center"/>
    </xf>
    <xf numFmtId="167" fontId="7" fillId="3" borderId="9" applyAlignment="1" pivotButton="0" quotePrefix="0" xfId="0">
      <alignment horizontal="center"/>
    </xf>
    <xf numFmtId="0" fontId="4" fillId="3" borderId="17" applyAlignment="1" pivotButton="0" quotePrefix="0" xfId="0">
      <alignment horizontal="center"/>
    </xf>
    <xf numFmtId="169" fontId="7" fillId="3" borderId="8" applyAlignment="1" pivotButton="0" quotePrefix="0" xfId="0">
      <alignment horizontal="center"/>
    </xf>
    <xf numFmtId="0" fontId="7" fillId="0" borderId="36" pivotButton="0" quotePrefix="0" xfId="0"/>
    <xf numFmtId="41" fontId="4" fillId="0" borderId="0" applyAlignment="1" pivotButton="0" quotePrefix="0" xfId="0">
      <alignment horizontal="center"/>
    </xf>
    <xf numFmtId="167" fontId="4" fillId="0" borderId="0" applyAlignment="1" pivotButton="0" quotePrefix="0" xfId="3">
      <alignment horizontal="center"/>
    </xf>
    <xf numFmtId="166" fontId="4" fillId="0" borderId="19" pivotButton="0" quotePrefix="0" xfId="3"/>
    <xf numFmtId="167" fontId="9" fillId="0" borderId="15" applyAlignment="1" pivotButton="0" quotePrefix="0" xfId="3">
      <alignment horizont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7" fontId="0" fillId="0" borderId="0" pivotButton="0" quotePrefix="0" xfId="0"/>
    <xf numFmtId="180" fontId="17" fillId="0" borderId="0" applyAlignment="1" pivotButton="0" quotePrefix="0" xfId="0">
      <alignment horizontal="center"/>
    </xf>
    <xf numFmtId="1" fontId="17" fillId="0" borderId="0" applyAlignment="1" pivotButton="0" quotePrefix="0" xfId="0">
      <alignment horizontal="center"/>
    </xf>
    <xf numFmtId="3" fontId="17" fillId="0" borderId="0" applyAlignment="1" pivotButton="0" quotePrefix="0" xfId="0">
      <alignment horizontal="center"/>
    </xf>
    <xf numFmtId="9" fontId="17" fillId="0" borderId="0" applyAlignment="1" pivotButton="0" quotePrefix="0" xfId="4">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7" fontId="4" fillId="0" borderId="0" applyProtection="1" pivotButton="0" quotePrefix="0" xfId="3">
      <protection locked="0" hidden="0"/>
    </xf>
    <xf numFmtId="167" fontId="7" fillId="3" borderId="9" applyProtection="1" pivotButton="0" quotePrefix="0" xfId="3">
      <protection locked="0" hidden="0"/>
    </xf>
    <xf numFmtId="167" fontId="4" fillId="0" borderId="0" pivotButton="0" quotePrefix="0" xfId="3"/>
    <xf numFmtId="167" fontId="7" fillId="0" borderId="0" applyProtection="1" pivotButton="0" quotePrefix="0" xfId="3">
      <protection locked="0" hidden="0"/>
    </xf>
    <xf numFmtId="169" fontId="19" fillId="0" borderId="0" pivotButton="0" quotePrefix="0" xfId="3"/>
    <xf numFmtId="167" fontId="4" fillId="0" borderId="15" applyAlignment="1" pivotButton="0" quotePrefix="0" xfId="3">
      <alignment horizontal="center" vertical="center"/>
    </xf>
    <xf numFmtId="167" fontId="9" fillId="0" borderId="15" applyAlignment="1" pivotButton="0" quotePrefix="0" xfId="3">
      <alignment horizontal="center" vertical="center"/>
    </xf>
    <xf numFmtId="169" fontId="4" fillId="0" borderId="15" applyAlignment="1" pivotButton="0" quotePrefix="0" xfId="3">
      <alignment horizontal="center" vertical="center"/>
    </xf>
    <xf numFmtId="0" fontId="7" fillId="3" borderId="11" applyAlignment="1" pivotButton="0" quotePrefix="0" xfId="0">
      <alignment vertical="center" wrapText="1"/>
    </xf>
    <xf numFmtId="180" fontId="7" fillId="3" borderId="11" applyAlignment="1" pivotButton="0" quotePrefix="0" xfId="0">
      <alignment horizontal="center" vertical="center"/>
    </xf>
    <xf numFmtId="3" fontId="7" fillId="3" borderId="11" applyAlignment="1" pivotButton="0" quotePrefix="0" xfId="0">
      <alignment horizontal="center" vertical="center" wrapText="1"/>
    </xf>
    <xf numFmtId="9" fontId="7" fillId="3" borderId="11" applyAlignment="1" pivotButton="0" quotePrefix="0" xfId="4">
      <alignment horizontal="center" vertical="center"/>
    </xf>
    <xf numFmtId="9" fontId="7" fillId="3" borderId="11" applyAlignment="1" pivotButton="0" quotePrefix="0" xfId="4">
      <alignment horizontal="center" vertical="center" shrinkToFit="1"/>
    </xf>
    <xf numFmtId="0" fontId="7" fillId="3" borderId="11" applyAlignment="1" pivotButton="0" quotePrefix="0" xfId="0">
      <alignment horizontal="center" vertical="center" shrinkToFit="1"/>
    </xf>
    <xf numFmtId="0" fontId="16" fillId="3" borderId="0" pivotButton="0" quotePrefix="0" xfId="0"/>
    <xf numFmtId="0" fontId="5" fillId="3" borderId="0" pivotButton="0" quotePrefix="0" xfId="0"/>
    <xf numFmtId="2" fontId="16" fillId="3" borderId="0" applyAlignment="1" pivotButton="0" quotePrefix="0" xfId="0">
      <alignment horizontal="center"/>
    </xf>
    <xf numFmtId="0" fontId="16" fillId="3" borderId="1" pivotButton="0" quotePrefix="0" xfId="0"/>
    <xf numFmtId="0" fontId="5" fillId="3" borderId="1" pivotButton="0" quotePrefix="0" xfId="0"/>
    <xf numFmtId="10" fontId="4" fillId="5" borderId="0" applyAlignment="1" pivotButton="0" quotePrefix="0" xfId="4">
      <alignment horizontal="center" vertical="center" shrinkToFit="1"/>
    </xf>
    <xf numFmtId="165" fontId="16" fillId="3" borderId="1" applyAlignment="1" pivotButton="0" quotePrefix="0" xfId="3">
      <alignment horizontal="left"/>
    </xf>
    <xf numFmtId="166" fontId="19" fillId="3" borderId="1" applyAlignment="1" pivotButton="0" quotePrefix="0" xfId="3">
      <alignment horizontal="left"/>
    </xf>
    <xf numFmtId="0" fontId="7" fillId="3" borderId="9" applyAlignment="1" pivotButton="0" quotePrefix="0" xfId="0">
      <alignment vertical="center"/>
    </xf>
    <xf numFmtId="169" fontId="16" fillId="3" borderId="9" applyAlignment="1" pivotButton="0" quotePrefix="0" xfId="0">
      <alignment horizontal="right" vertical="center" wrapText="1"/>
    </xf>
    <xf numFmtId="165" fontId="7" fillId="3" borderId="9" applyAlignment="1" pivotButton="0" quotePrefix="0" xfId="4">
      <alignment horizontal="right" vertical="center"/>
    </xf>
    <xf numFmtId="0" fontId="4" fillId="6" borderId="0" applyAlignment="1" pivotButton="0" quotePrefix="0" xfId="0">
      <alignmen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0" fontId="4" fillId="0" borderId="9" applyAlignment="1" pivotButton="0" quotePrefix="0" xfId="0">
      <alignment vertical="center"/>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6" fillId="3" borderId="9" applyAlignment="1" pivotButton="0" quotePrefix="0" xfId="3">
      <alignment horizontal="left"/>
    </xf>
    <xf numFmtId="166" fontId="19" fillId="3" borderId="9" applyAlignment="1" pivotButton="0" quotePrefix="0" xfId="3">
      <alignment horizontal="left"/>
    </xf>
    <xf numFmtId="0" fontId="4" fillId="5" borderId="0" applyAlignment="1" pivotButton="0" quotePrefix="0" xfId="0">
      <alignment horizontal="center" vertical="center"/>
    </xf>
    <xf numFmtId="0" fontId="4" fillId="5" borderId="0" applyAlignment="1" pivotButton="0" quotePrefix="0" xfId="0">
      <alignment vertical="center" wrapText="1"/>
    </xf>
    <xf numFmtId="180" fontId="4" fillId="5" borderId="0" applyAlignment="1" pivotButton="0" quotePrefix="0" xfId="0">
      <alignment horizontal="center" vertical="top"/>
    </xf>
    <xf numFmtId="180" fontId="17" fillId="5" borderId="0" applyAlignment="1" pivotButton="0" quotePrefix="0" xfId="0">
      <alignment vertical="top"/>
    </xf>
    <xf numFmtId="3" fontId="4" fillId="5" borderId="0" applyAlignment="1" pivotButton="0" quotePrefix="0" xfId="0">
      <alignment horizontal="center" vertical="top" wrapText="1"/>
    </xf>
    <xf numFmtId="3" fontId="4" fillId="5" borderId="0" applyAlignment="1" pivotButton="0" quotePrefix="0" xfId="0">
      <alignment horizontal="center" vertical="center" wrapText="1"/>
    </xf>
    <xf numFmtId="9" fontId="4" fillId="5" borderId="0" applyAlignment="1" pivotButton="0" quotePrefix="0" xfId="4">
      <alignment horizontal="center" vertical="top"/>
    </xf>
    <xf numFmtId="9" fontId="9" fillId="5" borderId="0" applyAlignment="1" pivotButton="0" quotePrefix="0" xfId="4">
      <alignment horizontal="center" vertical="top" shrinkToFit="1"/>
    </xf>
    <xf numFmtId="3" fontId="9" fillId="5" borderId="0" applyAlignment="1" pivotButton="0" quotePrefix="0" xfId="0">
      <alignment horizontal="center" vertical="top" shrinkToFit="1"/>
    </xf>
    <xf numFmtId="9" fontId="4" fillId="5" borderId="0" applyAlignment="1" pivotButton="0" quotePrefix="0" xfId="4">
      <alignment horizontal="center" vertical="top" shrinkToFit="1"/>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3" fontId="4" fillId="5" borderId="0" applyAlignment="1" pivotButton="0" quotePrefix="0" xfId="0">
      <alignment vertical="top" wrapText="1"/>
    </xf>
    <xf numFmtId="2" fontId="4" fillId="5" borderId="0" applyAlignment="1" pivotButton="0" quotePrefix="0" xfId="0">
      <alignment horizontal="center" vertical="top" wrapText="1"/>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 fontId="4" fillId="5" borderId="0" applyAlignment="1" pivotButton="0" quotePrefix="0" xfId="0">
      <alignment horizontal="center" vertical="top"/>
    </xf>
    <xf numFmtId="3" fontId="4"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 fontId="4" fillId="5" borderId="0" applyAlignment="1" pivotButton="0" quotePrefix="0" xfId="0">
      <alignment horizontal="center" vertical="center"/>
    </xf>
    <xf numFmtId="0" fontId="4" fillId="5" borderId="0" applyAlignment="1" pivotButton="0" quotePrefix="0" xfId="0">
      <alignment horizontal="center" vertical="center" wrapText="1"/>
    </xf>
    <xf numFmtId="3" fontId="4" fillId="5" borderId="0" applyAlignment="1" pivotButton="0" quotePrefix="0" xfId="0">
      <alignment horizontal="center" vertical="center"/>
    </xf>
    <xf numFmtId="2" fontId="4" fillId="5" borderId="0" applyAlignment="1" pivotButton="0" quotePrefix="0" xfId="0">
      <alignment horizontal="center" vertical="center"/>
    </xf>
    <xf numFmtId="9" fontId="24" fillId="5" borderId="0" applyAlignment="1" pivotButton="0" quotePrefix="0" xfId="4">
      <alignment horizontal="center" vertical="center" shrinkToFit="1"/>
    </xf>
    <xf numFmtId="3" fontId="24" fillId="5" borderId="0" applyAlignment="1" pivotButton="0" quotePrefix="0" xfId="0">
      <alignment horizontal="center" vertical="center" shrinkToFit="1"/>
    </xf>
    <xf numFmtId="9" fontId="4" fillId="5" borderId="0" applyAlignment="1" pivotButton="0" quotePrefix="0" xfId="4">
      <alignment horizontal="center" vertical="center" shrinkToFit="1"/>
    </xf>
    <xf numFmtId="3" fontId="4" fillId="5" borderId="0" applyAlignment="1" pivotButton="0" quotePrefix="0" xfId="0">
      <alignment horizontal="center" vertical="center" shrinkToFit="1"/>
    </xf>
    <xf numFmtId="167" fontId="4" fillId="5" borderId="0" applyAlignment="1" pivotButton="0" quotePrefix="0" xfId="0">
      <alignment horizontal="center" vertical="center" wrapText="1" shrinkToFit="1"/>
    </xf>
    <xf numFmtId="0" fontId="16" fillId="3" borderId="11" applyAlignment="1" pivotButton="0" quotePrefix="0" xfId="0">
      <alignment horizontal="left" vertical="top"/>
    </xf>
    <xf numFmtId="165" fontId="9" fillId="0" borderId="0" pivotButton="0" quotePrefix="0" xfId="0"/>
    <xf numFmtId="170" fontId="17" fillId="0" borderId="0" applyAlignment="1" pivotButton="0" quotePrefix="0" xfId="3">
      <alignment horizontal="right"/>
    </xf>
    <xf numFmtId="166" fontId="0" fillId="0" borderId="0" pivotButton="0" quotePrefix="0" xfId="3"/>
    <xf numFmtId="181" fontId="0" fillId="0" borderId="0" pivotButton="0" quotePrefix="0" xfId="3"/>
    <xf numFmtId="170" fontId="0" fillId="0" borderId="0" pivotButton="0" quotePrefix="0" xfId="0"/>
    <xf numFmtId="0" fontId="17" fillId="6" borderId="0" applyAlignment="1" pivotButton="0" quotePrefix="0" xfId="0">
      <alignment horizontal="left"/>
    </xf>
    <xf numFmtId="180" fontId="17" fillId="6" borderId="0" applyAlignment="1" pivotButton="0" quotePrefix="0" xfId="0">
      <alignment horizontal="center"/>
    </xf>
    <xf numFmtId="0" fontId="17" fillId="6" borderId="0" applyAlignment="1" pivotButton="0" quotePrefix="0" xfId="0">
      <alignment horizontal="center"/>
    </xf>
    <xf numFmtId="3" fontId="17" fillId="6" borderId="0" applyAlignment="1" pivotButton="0" quotePrefix="0" xfId="0">
      <alignment horizontal="center"/>
    </xf>
    <xf numFmtId="9" fontId="17" fillId="6" borderId="0" applyAlignment="1" pivotButton="0" quotePrefix="0" xfId="4">
      <alignment horizontal="center"/>
    </xf>
    <xf numFmtId="170" fontId="17" fillId="6" borderId="0" applyAlignment="1" pivotButton="0" quotePrefix="0" xfId="3">
      <alignment horizontal="center"/>
    </xf>
    <xf numFmtId="10" fontId="17" fillId="6" borderId="0" applyAlignment="1" pivotButton="0" quotePrefix="0" xfId="0">
      <alignment horizontal="center"/>
    </xf>
    <xf numFmtId="1" fontId="17" fillId="6" borderId="0" applyAlignment="1" pivotButton="0" quotePrefix="0" xfId="0">
      <alignment horizontal="center"/>
    </xf>
    <xf numFmtId="9" fontId="24" fillId="0" borderId="0" applyAlignment="1" pivotButton="0" quotePrefix="0" xfId="0">
      <alignment horizontal="center"/>
    </xf>
    <xf numFmtId="10" fontId="24" fillId="0" borderId="0" applyAlignment="1" pivotButton="0" quotePrefix="0" xfId="4">
      <alignment horizontal="center"/>
    </xf>
    <xf numFmtId="10" fontId="4" fillId="0" borderId="0" applyAlignment="1" pivotButton="0" quotePrefix="0" xfId="4">
      <alignment horizontal="right"/>
    </xf>
    <xf numFmtId="38" fontId="0" fillId="0" borderId="0" pivotButton="0" quotePrefix="0" xfId="0"/>
    <xf numFmtId="166" fontId="0" fillId="0" borderId="0" pivotButton="0" quotePrefix="0" xfId="0"/>
    <xf numFmtId="9" fontId="0" fillId="0" borderId="0" pivotButton="0" quotePrefix="0" xfId="4"/>
    <xf numFmtId="0" fontId="17" fillId="6" borderId="0" applyAlignment="1" pivotButton="0" quotePrefix="0" xfId="0">
      <alignment vertical="center"/>
    </xf>
    <xf numFmtId="0" fontId="17" fillId="6" borderId="0" applyAlignment="1" pivotButton="0" quotePrefix="0" xfId="0">
      <alignment horizontal="left" vertical="center"/>
    </xf>
    <xf numFmtId="0" fontId="32" fillId="6" borderId="2" pivotButton="0" quotePrefix="0" xfId="0"/>
    <xf numFmtId="0" fontId="32" fillId="6" borderId="0" pivotButton="0" quotePrefix="0" xfId="0"/>
    <xf numFmtId="0" fontId="32" fillId="0" borderId="0" pivotButton="0" quotePrefix="0" xfId="0"/>
    <xf numFmtId="3" fontId="32" fillId="0" borderId="0" pivotButton="0" quotePrefix="0" xfId="0"/>
    <xf numFmtId="165" fontId="32" fillId="0" borderId="0" pivotButton="0" quotePrefix="0" xfId="0"/>
    <xf numFmtId="0" fontId="23" fillId="0" borderId="0" applyAlignment="1" pivotButton="0" quotePrefix="0" xfId="0">
      <alignment vertical="center"/>
    </xf>
    <xf numFmtId="0" fontId="19" fillId="6" borderId="0" pivotButton="0" quotePrefix="0" xfId="0"/>
    <xf numFmtId="3" fontId="19" fillId="6" borderId="1" applyAlignment="1" pivotButton="0" quotePrefix="0" xfId="0">
      <alignment horizontal="center"/>
    </xf>
    <xf numFmtId="165" fontId="19" fillId="6" borderId="1" applyAlignment="1" pivotButton="0" quotePrefix="0" xfId="0">
      <alignment horizontal="center"/>
    </xf>
    <xf numFmtId="166" fontId="23" fillId="0" borderId="0" applyAlignment="1" pivotButton="0" quotePrefix="0" xfId="3">
      <alignment vertical="center"/>
    </xf>
    <xf numFmtId="0" fontId="4" fillId="0" borderId="0" applyAlignment="1" pivotButton="0" quotePrefix="0" xfId="0">
      <alignment vertical="center"/>
    </xf>
    <xf numFmtId="0" fontId="37" fillId="0" borderId="0" pivotButton="0" quotePrefix="0" xfId="0"/>
    <xf numFmtId="0" fontId="23" fillId="0" borderId="0" applyAlignment="1" pivotButton="0" quotePrefix="1" xfId="0">
      <alignment vertical="center"/>
    </xf>
    <xf numFmtId="0" fontId="17" fillId="6" borderId="0" applyAlignment="1" pivotButton="0" quotePrefix="0" xfId="0">
      <alignment horizontal="left" vertical="center" indent="1"/>
    </xf>
    <xf numFmtId="3" fontId="17" fillId="6" borderId="0" applyAlignment="1" pivotButton="0" quotePrefix="0" xfId="0">
      <alignment vertical="center"/>
    </xf>
    <xf numFmtId="165" fontId="17" fillId="6" borderId="0" applyAlignment="1" pivotButton="0" quotePrefix="0" xfId="0">
      <alignment vertical="center"/>
    </xf>
    <xf numFmtId="0" fontId="17" fillId="6" borderId="0" applyAlignment="1" pivotButton="0" quotePrefix="0" xfId="0">
      <alignment horizontal="left" vertical="center" indent="2"/>
    </xf>
    <xf numFmtId="37" fontId="17" fillId="6" borderId="0" applyAlignment="1" pivotButton="0" quotePrefix="0" xfId="0">
      <alignment horizontal="right"/>
    </xf>
    <xf numFmtId="170" fontId="17" fillId="6" borderId="0" applyAlignment="1" pivotButton="0" quotePrefix="0" xfId="0">
      <alignment vertical="center"/>
    </xf>
    <xf numFmtId="37" fontId="4" fillId="6" borderId="0" pivotButton="0" quotePrefix="0" xfId="0"/>
    <xf numFmtId="170" fontId="4" fillId="6" borderId="0" applyAlignment="1" pivotButton="0" quotePrefix="0" xfId="0">
      <alignment vertical="center"/>
    </xf>
    <xf numFmtId="165" fontId="4" fillId="6" borderId="0" applyAlignment="1" pivotButton="0" quotePrefix="0" xfId="0">
      <alignment vertical="center"/>
    </xf>
    <xf numFmtId="0" fontId="24" fillId="6" borderId="0" applyAlignment="1" pivotButton="0" quotePrefix="0" xfId="0">
      <alignment horizontal="left" vertical="center" indent="2"/>
    </xf>
    <xf numFmtId="3" fontId="4" fillId="6" borderId="0" applyAlignment="1" pivotButton="0" quotePrefix="0" xfId="0">
      <alignment horizontal="center" vertical="center"/>
    </xf>
    <xf numFmtId="165" fontId="4" fillId="6" borderId="11" applyAlignment="1" pivotButton="0" quotePrefix="0" xfId="0">
      <alignment vertical="center"/>
    </xf>
    <xf numFmtId="3" fontId="4" fillId="6" borderId="0" applyAlignment="1" pivotButton="0" quotePrefix="0" xfId="0">
      <alignment vertical="center"/>
    </xf>
    <xf numFmtId="182" fontId="4" fillId="6" borderId="0" applyAlignment="1" pivotButton="0" quotePrefix="0" xfId="2">
      <alignment vertical="center"/>
    </xf>
    <xf numFmtId="182" fontId="4" fillId="6"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0" fontId="19" fillId="6" borderId="0" applyAlignment="1" pivotButton="0" quotePrefix="0" xfId="0">
      <alignment horizontal="left" vertical="center" indent="1"/>
    </xf>
    <xf numFmtId="165" fontId="4" fillId="6" borderId="1" applyAlignment="1" pivotButton="0" quotePrefix="0" xfId="3">
      <alignment vertical="center"/>
    </xf>
    <xf numFmtId="37" fontId="4" fillId="6" borderId="11" applyAlignment="1" pivotButton="0" quotePrefix="0" xfId="3">
      <alignment vertical="center"/>
    </xf>
    <xf numFmtId="165" fontId="17" fillId="6" borderId="1" applyAlignment="1" pivotButton="0" quotePrefix="0" xfId="0">
      <alignment vertical="center"/>
    </xf>
    <xf numFmtId="9" fontId="4" fillId="6"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0" fontId="19" fillId="6" borderId="0" applyAlignment="1" pivotButton="0" quotePrefix="0" xfId="0">
      <alignment vertical="center"/>
    </xf>
    <xf numFmtId="0" fontId="19" fillId="6" borderId="0" applyAlignment="1" pivotButton="0" quotePrefix="0" xfId="0">
      <alignment horizontal="left" vertical="center" indent="2"/>
    </xf>
    <xf numFmtId="165" fontId="24" fillId="6" borderId="0" applyAlignment="1" pivotButton="0" quotePrefix="0" xfId="0">
      <alignment vertical="center"/>
    </xf>
    <xf numFmtId="0" fontId="17" fillId="6" borderId="0" applyAlignment="1" pivotButton="0" quotePrefix="0" xfId="0">
      <alignment horizontal="left" vertical="center" indent="3"/>
    </xf>
    <xf numFmtId="184" fontId="4" fillId="6" borderId="1" applyAlignment="1" pivotButton="0" quotePrefix="0" xfId="0">
      <alignment vertical="center"/>
    </xf>
    <xf numFmtId="174" fontId="7" fillId="6" borderId="0" applyAlignment="1" applyProtection="1" pivotButton="0" quotePrefix="0" xfId="0">
      <alignment horizontal="left"/>
      <protection locked="0" hidden="0"/>
    </xf>
    <xf numFmtId="0" fontId="19" fillId="6" borderId="0" applyAlignment="1" applyProtection="1" pivotButton="0" quotePrefix="0" xfId="0">
      <alignment horizontal="center"/>
      <protection locked="0" hidden="0"/>
    </xf>
    <xf numFmtId="165" fontId="19" fillId="6" borderId="0" pivotButton="0" quotePrefix="0" xfId="0"/>
    <xf numFmtId="3" fontId="17" fillId="6" borderId="0" applyAlignment="1" pivotButton="0" quotePrefix="0" xfId="0">
      <alignment horizontal="left" vertical="center" indent="1"/>
    </xf>
    <xf numFmtId="166" fontId="17" fillId="6" borderId="0" applyAlignment="1" pivotButton="0" quotePrefix="0" xfId="3">
      <alignment vertical="center"/>
    </xf>
    <xf numFmtId="0" fontId="19" fillId="6" borderId="11" applyAlignment="1" pivotButton="0" quotePrefix="0" xfId="0">
      <alignment horizontal="left" vertical="center"/>
    </xf>
    <xf numFmtId="0" fontId="35" fillId="6" borderId="0" pivotButton="0" quotePrefix="0" xfId="0"/>
    <xf numFmtId="3" fontId="4" fillId="6" borderId="0" pivotButton="0" quotePrefix="0" xfId="0"/>
    <xf numFmtId="165" fontId="4" fillId="6" borderId="0" pivotButton="0" quotePrefix="0" xfId="0"/>
    <xf numFmtId="41" fontId="36" fillId="6" borderId="0" pivotButton="0" quotePrefix="0" xfId="0"/>
    <xf numFmtId="3" fontId="32" fillId="6" borderId="0" pivotButton="0" quotePrefix="0" xfId="0"/>
    <xf numFmtId="165" fontId="32" fillId="6" borderId="0" pivotButton="0" quotePrefix="0" xfId="0"/>
    <xf numFmtId="0" fontId="34" fillId="6" borderId="0" pivotButton="0" quotePrefix="0" xfId="0"/>
    <xf numFmtId="165" fontId="32" fillId="6" borderId="0" applyAlignment="1" pivotButton="0" quotePrefix="0" xfId="0">
      <alignment vertical="center"/>
    </xf>
    <xf numFmtId="0" fontId="37" fillId="6" borderId="0" pivotButton="0" quotePrefix="0" xfId="0"/>
    <xf numFmtId="0" fontId="3" fillId="6" borderId="0" pivotButton="0" quotePrefix="0" xfId="0"/>
    <xf numFmtId="0" fontId="32" fillId="6" borderId="0" applyAlignment="1" pivotButton="0" quotePrefix="0" xfId="0">
      <alignment horizontal="center"/>
    </xf>
    <xf numFmtId="0" fontId="23" fillId="6" borderId="0" applyAlignment="1" pivotButton="0" quotePrefix="0" xfId="0">
      <alignment horizontal="center"/>
    </xf>
    <xf numFmtId="0" fontId="3" fillId="6" borderId="0" applyAlignment="1" pivotButton="0" quotePrefix="0" xfId="0">
      <alignment vertical="center"/>
    </xf>
    <xf numFmtId="0" fontId="3" fillId="6" borderId="1" applyAlignment="1" pivotButton="0" quotePrefix="0" xfId="0">
      <alignment vertical="center"/>
    </xf>
    <xf numFmtId="164" fontId="23" fillId="6" borderId="1" applyAlignment="1" pivotButton="0" quotePrefix="0" xfId="0">
      <alignment horizontal="center"/>
    </xf>
    <xf numFmtId="0" fontId="7" fillId="3" borderId="0" pivotButton="0" quotePrefix="0" xfId="0"/>
    <xf numFmtId="3" fontId="17" fillId="6" borderId="1" applyAlignment="1" pivotButton="0" quotePrefix="0" xfId="0">
      <alignment horizontal="left" vertical="center" indent="1"/>
    </xf>
    <xf numFmtId="3" fontId="17" fillId="6" borderId="1" applyAlignment="1" pivotButton="0" quotePrefix="0" xfId="0">
      <alignment vertical="center"/>
    </xf>
    <xf numFmtId="0" fontId="17" fillId="6" borderId="1" applyAlignment="1" pivotButton="0" quotePrefix="0" xfId="0">
      <alignment vertical="center"/>
    </xf>
    <xf numFmtId="166" fontId="17" fillId="6" borderId="1" applyAlignment="1" pivotButton="0" quotePrefix="0" xfId="3">
      <alignment vertical="center"/>
    </xf>
    <xf numFmtId="0" fontId="7" fillId="6" borderId="0" applyAlignment="1" pivotButton="0" quotePrefix="0" xfId="0">
      <alignment horizontal="left" vertical="center"/>
    </xf>
    <xf numFmtId="0" fontId="3" fillId="6" borderId="0" applyAlignment="1" pivotButton="0" quotePrefix="1" xfId="0">
      <alignment vertical="center"/>
    </xf>
    <xf numFmtId="185" fontId="4" fillId="6" borderId="0" applyAlignment="1" pivotButton="0" quotePrefix="0" xfId="0">
      <alignment horizontal="left"/>
    </xf>
    <xf numFmtId="185" fontId="7" fillId="6" borderId="0" applyAlignment="1" pivotButton="0" quotePrefix="0" xfId="0">
      <alignment horizontal="left"/>
    </xf>
    <xf numFmtId="0" fontId="19" fillId="6" borderId="1" applyAlignment="1" pivotButton="0" quotePrefix="0" xfId="0">
      <alignment horizontal="left" vertical="center"/>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0" fontId="17" fillId="6" borderId="0" applyAlignment="1" pivotButton="0" quotePrefix="0" xfId="0">
      <alignment horizontal="left" vertical="center" wrapText="1"/>
    </xf>
    <xf numFmtId="165" fontId="4" fillId="6" borderId="1" applyAlignment="1" pivotButton="0" quotePrefix="0" xfId="0">
      <alignment vertical="center"/>
    </xf>
    <xf numFmtId="165" fontId="17" fillId="6" borderId="1" applyAlignment="1" pivotButton="0" quotePrefix="0" xfId="3">
      <alignment horizontal="right" vertical="center"/>
    </xf>
    <xf numFmtId="0" fontId="19" fillId="6" borderId="9" applyAlignment="1" pivotButton="0" quotePrefix="0" xfId="0">
      <alignment horizontal="left" vertical="center"/>
    </xf>
    <xf numFmtId="170" fontId="24" fillId="6" borderId="9" applyAlignment="1" pivotButton="0" quotePrefix="0" xfId="0">
      <alignment vertical="center"/>
    </xf>
    <xf numFmtId="37" fontId="17" fillId="6" borderId="9" applyAlignment="1" pivotButton="0" quotePrefix="0" xfId="0">
      <alignment horizontal="right" vertical="center"/>
    </xf>
    <xf numFmtId="37" fontId="17" fillId="6" borderId="11" applyAlignment="1" pivotButton="0" quotePrefix="0" xfId="0">
      <alignment horizontal="right" vertical="center"/>
    </xf>
    <xf numFmtId="37" fontId="17" fillId="6" borderId="0" applyAlignment="1" pivotButton="0" quotePrefix="0" xfId="0">
      <alignment horizontal="right" vertical="center"/>
    </xf>
    <xf numFmtId="37" fontId="17" fillId="6" borderId="1" applyAlignment="1" pivotButton="0" quotePrefix="0" xfId="0">
      <alignment horizontal="righ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0" fontId="19" fillId="6" borderId="11" applyAlignment="1" pivotButton="0" quotePrefix="0" xfId="0">
      <alignment vertical="center"/>
    </xf>
    <xf numFmtId="3" fontId="17" fillId="6" borderId="11" applyAlignment="1" pivotButton="0" quotePrefix="0" xfId="0">
      <alignment vertical="center"/>
    </xf>
    <xf numFmtId="165" fontId="17" fillId="6" borderId="11" applyAlignment="1" pivotButton="0" quotePrefix="0" xfId="0">
      <alignment vertical="center"/>
    </xf>
    <xf numFmtId="0" fontId="17" fillId="6" borderId="1" pivotButton="0" quotePrefix="0" xfId="0"/>
    <xf numFmtId="0" fontId="17" fillId="6" borderId="11" applyAlignment="1" pivotButton="0" quotePrefix="0" xfId="0">
      <alignment horizontal="left" vertical="center" indent="1"/>
    </xf>
    <xf numFmtId="0" fontId="17" fillId="6" borderId="11" applyAlignment="1" pivotButton="0" quotePrefix="0" xfId="0">
      <alignment vertical="center"/>
    </xf>
    <xf numFmtId="0" fontId="24" fillId="6" borderId="1" applyAlignment="1" pivotButton="0" quotePrefix="0" xfId="0">
      <alignment horizontal="left" indent="1"/>
    </xf>
    <xf numFmtId="185" fontId="24" fillId="6" borderId="1" applyAlignment="1" pivotButton="0" quotePrefix="0" xfId="0">
      <alignment horizontal="left"/>
    </xf>
    <xf numFmtId="3" fontId="24" fillId="6" borderId="1" applyAlignment="1" pivotButton="0" quotePrefix="0" xfId="0">
      <alignment horizontal="left" indent="1"/>
    </xf>
    <xf numFmtId="168" fontId="32" fillId="6" borderId="0" pivotButton="0" quotePrefix="0" xfId="2"/>
    <xf numFmtId="0" fontId="0" fillId="6" borderId="0" applyAlignment="1" pivotButton="0" quotePrefix="0" xfId="0">
      <alignment horizontal="right"/>
    </xf>
    <xf numFmtId="169" fontId="7" fillId="3" borderId="0" pivotButton="0" quotePrefix="0" xfId="0"/>
    <xf numFmtId="167" fontId="7" fillId="3" borderId="0" pivotButton="0" quotePrefix="0" xfId="0"/>
    <xf numFmtId="169" fontId="4" fillId="6" borderId="0" pivotButton="0" quotePrefix="0" xfId="0"/>
    <xf numFmtId="167" fontId="4" fillId="6" borderId="0" pivotButton="0" quotePrefix="0" xfId="0"/>
    <xf numFmtId="170" fontId="23" fillId="0" borderId="0" applyAlignment="1" pivotButton="0" quotePrefix="0" xfId="0">
      <alignment vertical="center"/>
    </xf>
    <xf numFmtId="0" fontId="8" fillId="0" borderId="0" pivotButton="0" quotePrefix="0" xfId="0"/>
    <xf numFmtId="167" fontId="0" fillId="0" borderId="0" pivotButton="0" quotePrefix="0" xfId="4"/>
    <xf numFmtId="0" fontId="7" fillId="6" borderId="0" applyAlignment="1" pivotButton="0" quotePrefix="0" xfId="0">
      <alignment vertical="center"/>
    </xf>
    <xf numFmtId="0" fontId="7" fillId="6" borderId="0" applyAlignment="1" pivotButton="0" quotePrefix="0" xfId="0">
      <alignment horizontal="left" vertical="center" indent="1"/>
    </xf>
    <xf numFmtId="3" fontId="7" fillId="6" borderId="0" applyAlignment="1" pivotButton="0" quotePrefix="0" xfId="0">
      <alignment vertical="center"/>
    </xf>
    <xf numFmtId="0" fontId="7" fillId="6" borderId="0" applyAlignment="1" pivotButton="0" quotePrefix="0" xfId="0">
      <alignment horizontal="left" vertical="center" indent="2"/>
    </xf>
    <xf numFmtId="0" fontId="4" fillId="6" borderId="0" applyAlignment="1" pivotButton="0" quotePrefix="0" xfId="0">
      <alignment horizontal="left" vertical="center" indent="3"/>
    </xf>
    <xf numFmtId="184" fontId="4" fillId="6" borderId="0" applyAlignment="1" pivotButton="0" quotePrefix="0" xfId="0">
      <alignment vertical="center"/>
    </xf>
    <xf numFmtId="171" fontId="4" fillId="6" borderId="0" applyAlignment="1" pivotButton="0" quotePrefix="0" xfId="0">
      <alignment vertical="center"/>
    </xf>
    <xf numFmtId="171"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0" fontId="4" fillId="6" borderId="0" applyAlignment="1" pivotButton="0" quotePrefix="0" xfId="0">
      <alignment horizontal="left" vertical="center" indent="2"/>
    </xf>
    <xf numFmtId="0" fontId="4" fillId="6" borderId="0" applyAlignment="1" pivotButton="0" quotePrefix="0" xfId="0">
      <alignment horizontal="left" vertical="center" indent="1"/>
    </xf>
    <xf numFmtId="9" fontId="4" fillId="6" borderId="0" applyAlignment="1" pivotButton="0" quotePrefix="0" xfId="4">
      <alignment vertical="center"/>
    </xf>
    <xf numFmtId="0" fontId="7" fillId="6" borderId="0" applyAlignment="1" applyProtection="1" pivotButton="0" quotePrefix="0" xfId="0">
      <alignment horizontal="center"/>
      <protection locked="0" hidden="0"/>
    </xf>
    <xf numFmtId="165" fontId="7" fillId="6" borderId="0" pivotButton="0" quotePrefix="0" xfId="0"/>
    <xf numFmtId="170" fontId="32" fillId="6" borderId="0" pivotButton="0" quotePrefix="0" xfId="0"/>
    <xf numFmtId="9" fontId="41" fillId="6" borderId="14" applyAlignment="1" pivotButton="0" quotePrefix="0" xfId="4">
      <alignment horizontal="center" vertical="center" wrapText="1"/>
    </xf>
    <xf numFmtId="9" fontId="41" fillId="0" borderId="14" applyAlignment="1" pivotButton="0" quotePrefix="0" xfId="4">
      <alignment horizontal="center" vertical="center" wrapText="1"/>
    </xf>
    <xf numFmtId="9" fontId="41" fillId="0" borderId="0" applyAlignment="1" pivotButton="0" quotePrefix="0" xfId="4">
      <alignment horizontal="center" vertical="center" wrapText="1"/>
    </xf>
    <xf numFmtId="180" fontId="41" fillId="0" borderId="16" applyAlignment="1" pivotButton="0" quotePrefix="0" xfId="0">
      <alignment horizontal="center" vertical="center" wrapText="1"/>
    </xf>
    <xf numFmtId="3" fontId="41" fillId="0" borderId="16" applyAlignment="1" pivotButton="0" quotePrefix="0" xfId="0">
      <alignment horizontal="center" vertical="center" wrapText="1"/>
    </xf>
    <xf numFmtId="0" fontId="41" fillId="0" borderId="16" applyAlignment="1" pivotButton="0" quotePrefix="0" xfId="0">
      <alignment horizontal="center" vertical="center" wrapText="1"/>
    </xf>
    <xf numFmtId="2" fontId="41" fillId="0" borderId="16" applyAlignment="1" pivotButton="0" quotePrefix="0" xfId="4">
      <alignment horizontal="center" vertical="center" wrapText="1"/>
    </xf>
    <xf numFmtId="9" fontId="41" fillId="0" borderId="21" applyAlignment="1" pivotButton="0" quotePrefix="0" xfId="4">
      <alignment horizontal="center" vertical="center" wrapText="1"/>
    </xf>
    <xf numFmtId="164" fontId="43" fillId="3" borderId="8" applyAlignment="1" pivotButton="0" quotePrefix="0" xfId="0">
      <alignment horizontal="center" vertical="center" wrapText="1"/>
    </xf>
    <xf numFmtId="9" fontId="43" fillId="3" borderId="17" applyAlignment="1" pivotButton="0" quotePrefix="0" xfId="0">
      <alignment horizontal="center" vertical="center" wrapText="1"/>
    </xf>
    <xf numFmtId="164" fontId="43" fillId="3" borderId="17" applyAlignment="1" pivotButton="0" quotePrefix="0" xfId="0">
      <alignment horizontal="center" vertical="center" wrapText="1"/>
    </xf>
    <xf numFmtId="165" fontId="19" fillId="3" borderId="1" applyAlignment="1" pivotButton="0" quotePrefix="0" xfId="0">
      <alignment horizontal="center" vertical="center"/>
    </xf>
    <xf numFmtId="0" fontId="45" fillId="4" borderId="0" applyAlignment="1" pivotButton="0" quotePrefix="0" xfId="0">
      <alignment horizontal="center" vertical="center"/>
    </xf>
    <xf numFmtId="0" fontId="47" fillId="0" borderId="0" applyAlignment="1" pivotButton="0" quotePrefix="0" xfId="0">
      <alignment vertical="center"/>
    </xf>
    <xf numFmtId="0" fontId="47" fillId="0" borderId="2" applyAlignment="1" pivotButton="0" quotePrefix="0" xfId="0">
      <alignment horizontal="right" vertical="center"/>
    </xf>
    <xf numFmtId="0" fontId="47" fillId="0" borderId="2" applyAlignment="1" pivotButton="0" quotePrefix="0" xfId="0">
      <alignment horizontal="right" vertical="center" wrapText="1"/>
    </xf>
    <xf numFmtId="0" fontId="49" fillId="0" borderId="2" applyAlignment="1" pivotButton="0" quotePrefix="0" xfId="0">
      <alignment horizontal="right" vertical="center"/>
    </xf>
    <xf numFmtId="165" fontId="49" fillId="0" borderId="2" applyAlignment="1" pivotButton="0" quotePrefix="0" xfId="3">
      <alignment horizontal="right" vertical="center"/>
    </xf>
    <xf numFmtId="0" fontId="48" fillId="0" borderId="2" applyAlignment="1" pivotButton="0" quotePrefix="0" xfId="0">
      <alignment vertical="center" justifyLastLine="1"/>
    </xf>
    <xf numFmtId="0" fontId="48" fillId="0" borderId="0" applyAlignment="1" pivotButton="0" quotePrefix="0" xfId="0">
      <alignment horizontal="right" vertical="center" justifyLastLine="1"/>
    </xf>
    <xf numFmtId="0" fontId="49" fillId="0" borderId="2" applyAlignment="1" pivotButton="0" quotePrefix="0" xfId="0">
      <alignment horizontal="right" vertical="center" wrapText="1"/>
    </xf>
    <xf numFmtId="3" fontId="47" fillId="0" borderId="2" applyAlignment="1" pivotButton="0" quotePrefix="0" xfId="2">
      <alignment horizontal="right" vertical="center"/>
    </xf>
    <xf numFmtId="165" fontId="41" fillId="0" borderId="2" applyAlignment="1" pivotButton="0" quotePrefix="0" xfId="3">
      <alignment horizontal="right" vertical="center" wrapText="1"/>
    </xf>
    <xf numFmtId="0" fontId="50" fillId="3" borderId="6" applyAlignment="1" pivotButton="0" quotePrefix="0" xfId="0">
      <alignment vertical="center"/>
    </xf>
    <xf numFmtId="170" fontId="50" fillId="3" borderId="34" applyAlignment="1" pivotButton="0" quotePrefix="0" xfId="3">
      <alignment horizontal="right" vertical="center"/>
    </xf>
    <xf numFmtId="0" fontId="48" fillId="3" borderId="34" applyAlignment="1" pivotButton="0" quotePrefix="0" xfId="0">
      <alignment horizontal="right" vertical="center"/>
    </xf>
    <xf numFmtId="170" fontId="44" fillId="3" borderId="6" applyAlignment="1" pivotButton="0" quotePrefix="0" xfId="3">
      <alignment horizontal="right" vertical="center"/>
    </xf>
    <xf numFmtId="0" fontId="48" fillId="3" borderId="8" applyAlignment="1" pivotButton="0" quotePrefix="0" xfId="0">
      <alignment horizontal="right" vertical="center"/>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0" fontId="21" fillId="4" borderId="6" applyAlignment="1" pivotButton="0" quotePrefix="0" xfId="0">
      <alignment vertical="center"/>
    </xf>
    <xf numFmtId="0" fontId="47" fillId="4" borderId="34" applyAlignment="1" pivotButton="0" quotePrefix="0" xfId="0">
      <alignment horizontal="right" vertical="center"/>
    </xf>
    <xf numFmtId="0" fontId="48" fillId="4" borderId="34" applyAlignment="1" pivotButton="0" quotePrefix="0" xfId="0">
      <alignment horizontal="right" vertical="center"/>
    </xf>
    <xf numFmtId="0" fontId="48" fillId="4" borderId="6" applyAlignment="1" pivotButton="0" quotePrefix="0" xfId="0">
      <alignment horizontal="right" vertical="center"/>
    </xf>
    <xf numFmtId="0" fontId="48" fillId="4" borderId="2" applyAlignment="1" pivotButton="0" quotePrefix="0" xfId="0">
      <alignment horizontal="right" vertical="center"/>
    </xf>
    <xf numFmtId="0" fontId="48" fillId="4" borderId="0" applyAlignment="1" pivotButton="0" quotePrefix="0" xfId="0">
      <alignment horizontal="right" vertical="center"/>
    </xf>
    <xf numFmtId="0" fontId="48" fillId="4" borderId="37" applyAlignment="1" pivotButton="0" quotePrefix="0" xfId="0">
      <alignment horizontal="right" vertical="center"/>
    </xf>
    <xf numFmtId="0" fontId="47" fillId="0" borderId="6" applyAlignment="1" pivotButton="0" quotePrefix="0" xfId="0">
      <alignment vertical="center"/>
    </xf>
    <xf numFmtId="0" fontId="49" fillId="0" borderId="34" applyAlignment="1" pivotButton="0" quotePrefix="0" xfId="0">
      <alignment horizontal="right" vertical="center"/>
    </xf>
    <xf numFmtId="0" fontId="48" fillId="0" borderId="34" applyAlignment="1" pivotButton="0" quotePrefix="0" xfId="0">
      <alignment horizontal="right" vertical="center"/>
    </xf>
    <xf numFmtId="186" fontId="44" fillId="0" borderId="6" applyAlignment="1" pivotButton="0" quotePrefix="0" xfId="4">
      <alignment horizontal="right" vertical="center"/>
    </xf>
    <xf numFmtId="0" fontId="48" fillId="0" borderId="2" applyAlignment="1" pivotButton="0" quotePrefix="0" xfId="0">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0" fontId="47" fillId="0" borderId="0" applyAlignment="1" pivotButton="0" quotePrefix="0" xfId="0">
      <alignment horizontal="lef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0" fontId="50" fillId="3" borderId="24" applyAlignment="1" pivotButton="0" quotePrefix="0" xfId="0">
      <alignment vertical="center" wrapText="1"/>
    </xf>
    <xf numFmtId="0" fontId="52" fillId="3" borderId="35" applyAlignment="1" pivotButton="0" quotePrefix="0" xfId="0">
      <alignment horizontal="right" vertical="center" wrapText="1"/>
    </xf>
    <xf numFmtId="0" fontId="48" fillId="3" borderId="35" applyAlignment="1" pivotButton="0" quotePrefix="0" xfId="0">
      <alignment horizontal="right" vertical="center"/>
    </xf>
    <xf numFmtId="0" fontId="52" fillId="3" borderId="24" applyAlignment="1" pivotButton="0" quotePrefix="0" xfId="0">
      <alignment horizontal="right" vertical="center" wrapText="1"/>
    </xf>
    <xf numFmtId="0" fontId="52" fillId="3" borderId="9" applyAlignment="1" pivotButton="0" quotePrefix="0" xfId="0">
      <alignment horizontal="right" vertical="center" wrapText="1"/>
    </xf>
    <xf numFmtId="0" fontId="52" fillId="3" borderId="38" applyAlignment="1" pivotButton="0" quotePrefix="0" xfId="0">
      <alignment horizontal="right" vertical="center" wrapText="1"/>
    </xf>
    <xf numFmtId="9" fontId="50" fillId="3" borderId="24" applyAlignment="1" pivotButton="0" quotePrefix="0" xfId="4">
      <alignment vertical="center"/>
    </xf>
    <xf numFmtId="9" fontId="47" fillId="3" borderId="35" applyAlignment="1" pivotButton="0" quotePrefix="0" xfId="4">
      <alignment horizontal="right" vertical="center"/>
    </xf>
    <xf numFmtId="170" fontId="44" fillId="3" borderId="24" applyAlignment="1" pivotButton="0" quotePrefix="0" xfId="0">
      <alignment horizontal="right" vertical="center"/>
    </xf>
    <xf numFmtId="170" fontId="44" fillId="3" borderId="9" applyAlignment="1" pivotButton="0" quotePrefix="0" xfId="0">
      <alignment horizontal="right" vertical="center"/>
    </xf>
    <xf numFmtId="170" fontId="44" fillId="3" borderId="38" applyAlignment="1" pivotButton="0" quotePrefix="0" xfId="0">
      <alignment horizontal="right" vertical="center"/>
    </xf>
    <xf numFmtId="0" fontId="21" fillId="0" borderId="0" applyAlignment="1" pivotButton="0" quotePrefix="0" xfId="0">
      <alignment vertical="center"/>
    </xf>
    <xf numFmtId="0" fontId="54" fillId="0" borderId="2" applyAlignment="1" pivotButton="0" quotePrefix="0" xfId="0">
      <alignment horizontal="right" vertical="center"/>
    </xf>
    <xf numFmtId="0" fontId="55" fillId="0" borderId="2"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9" fontId="50" fillId="3" borderId="0" applyAlignment="1" pivotButton="0" quotePrefix="0" xfId="4">
      <alignment vertical="center"/>
    </xf>
    <xf numFmtId="1" fontId="52" fillId="3" borderId="2" applyAlignment="1" pivotButton="0" quotePrefix="0" xfId="0">
      <alignment horizontal="right" vertical="center"/>
    </xf>
    <xf numFmtId="0" fontId="44" fillId="3" borderId="2" applyAlignment="1" pivotButton="0" quotePrefix="0" xfId="0">
      <alignment horizontal="right" vertical="center"/>
    </xf>
    <xf numFmtId="186" fontId="43" fillId="3" borderId="0" applyAlignment="1" pivotButton="0" quotePrefix="0" xfId="4">
      <alignment horizontal="right" vertical="center"/>
    </xf>
    <xf numFmtId="186" fontId="43" fillId="3" borderId="14" applyAlignment="1" pivotButton="0" quotePrefix="0" xfId="4">
      <alignment horizontal="right" vertical="center"/>
    </xf>
    <xf numFmtId="0" fontId="54" fillId="0" borderId="0" applyAlignment="1" pivotButton="0" quotePrefix="0" xfId="0">
      <alignment horizontal="left" vertical="center"/>
    </xf>
    <xf numFmtId="1" fontId="56" fillId="0" borderId="2" applyAlignment="1" pivotButton="0" quotePrefix="0" xfId="0">
      <alignment horizontal="right" vertical="center" wrapText="1"/>
    </xf>
    <xf numFmtId="186" fontId="43" fillId="0" borderId="14" applyAlignment="1" pivotButton="0" quotePrefix="0" xfId="4">
      <alignment horizontal="right" vertical="center"/>
    </xf>
    <xf numFmtId="9" fontId="56" fillId="0" borderId="2" applyAlignment="1" pivotButton="0" quotePrefix="0" xfId="4">
      <alignment horizontal="right" vertical="center"/>
    </xf>
    <xf numFmtId="9" fontId="57" fillId="0" borderId="2" applyAlignment="1" pivotButton="0" quotePrefix="0" xfId="0">
      <alignment horizontal="right" vertical="center" wrapText="1"/>
    </xf>
    <xf numFmtId="0" fontId="54" fillId="6" borderId="0" applyAlignment="1" pivotButton="0" quotePrefix="0" xfId="0">
      <alignment horizontal="left" vertical="center"/>
    </xf>
    <xf numFmtId="9" fontId="56" fillId="6" borderId="2" applyAlignment="1" pivotButton="0" quotePrefix="0" xfId="4">
      <alignment horizontal="right" vertical="center" wrapText="1"/>
    </xf>
    <xf numFmtId="0" fontId="50" fillId="3" borderId="0" applyAlignment="1" pivotButton="0" quotePrefix="0" xfId="0">
      <alignment vertical="center"/>
    </xf>
    <xf numFmtId="3" fontId="44" fillId="3" borderId="2" applyAlignment="1" pivotButton="0" quotePrefix="0" xfId="2">
      <alignment horizontal="right" vertical="center"/>
    </xf>
    <xf numFmtId="1" fontId="50" fillId="3" borderId="0" applyAlignment="1" pivotButton="0" quotePrefix="0" xfId="0">
      <alignmen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9" fontId="56" fillId="0" borderId="2" applyAlignment="1" pivotButton="0" quotePrefix="0" xfId="4">
      <alignment horizontal="right" vertical="center" wrapText="1"/>
    </xf>
    <xf numFmtId="2" fontId="52" fillId="3" borderId="2" applyAlignment="1" pivotButton="0" quotePrefix="0" xfId="4">
      <alignment horizontal="right" vertical="center" wrapText="1"/>
    </xf>
    <xf numFmtId="2" fontId="52" fillId="3" borderId="2" applyAlignment="1" pivotButton="0" quotePrefix="0" xfId="4">
      <alignment horizontal="right" vertical="center"/>
    </xf>
    <xf numFmtId="1" fontId="56" fillId="6" borderId="2" applyAlignment="1" pivotButton="0" quotePrefix="0" xfId="0">
      <alignment horizontal="right" vertical="center"/>
    </xf>
    <xf numFmtId="10" fontId="56" fillId="0" borderId="2" applyAlignment="1" pivotButton="0" quotePrefix="0" xfId="4">
      <alignment horizontal="right" vertical="center"/>
    </xf>
    <xf numFmtId="168" fontId="56" fillId="0" borderId="2" applyAlignment="1" pivotButton="0" quotePrefix="0" xfId="2">
      <alignment horizontal="right" vertical="center"/>
    </xf>
    <xf numFmtId="0" fontId="43" fillId="3" borderId="2" applyAlignment="1" pivotButton="0" quotePrefix="0" xfId="0">
      <alignment horizontal="right" vertical="center"/>
    </xf>
    <xf numFmtId="186" fontId="52" fillId="3" borderId="0" applyAlignment="1" pivotButton="0" quotePrefix="0" xfId="4">
      <alignment horizontal="right" vertical="center"/>
    </xf>
    <xf numFmtId="186" fontId="52" fillId="3" borderId="14" applyAlignment="1" pivotButton="0" quotePrefix="0" xfId="4">
      <alignment horizontal="right" vertical="center"/>
    </xf>
    <xf numFmtId="0" fontId="56" fillId="0" borderId="2" applyAlignment="1" pivotButton="0" quotePrefix="0" xfId="4">
      <alignment horizontal="right" vertical="center" wrapText="1"/>
    </xf>
    <xf numFmtId="186" fontId="53" fillId="0" borderId="1" applyAlignment="1" pivotButton="0" quotePrefix="0" xfId="4">
      <alignment horizontal="right" vertical="center"/>
    </xf>
    <xf numFmtId="0" fontId="52" fillId="3" borderId="6" applyAlignment="1" pivotButton="0" quotePrefix="0" xfId="0">
      <alignment vertical="center"/>
    </xf>
    <xf numFmtId="0" fontId="52" fillId="3" borderId="34" applyAlignment="1" pivotButton="0" quotePrefix="0" xfId="0">
      <alignment vertical="center"/>
    </xf>
    <xf numFmtId="0" fontId="50" fillId="3" borderId="34" applyAlignment="1" pivotButton="0" quotePrefix="0" xfId="0">
      <alignment vertical="center"/>
    </xf>
    <xf numFmtId="186" fontId="50" fillId="3" borderId="6" applyAlignment="1" pivotButton="0" quotePrefix="0" xfId="3">
      <alignment vertical="center"/>
    </xf>
    <xf numFmtId="0" fontId="50" fillId="3" borderId="45" applyAlignment="1" pivotButton="0" quotePrefix="0" xfId="0">
      <alignment vertical="center"/>
    </xf>
    <xf numFmtId="186" fontId="50" fillId="3" borderId="1" applyAlignment="1" pivotButton="0" quotePrefix="0" xfId="3">
      <alignment vertical="center"/>
    </xf>
    <xf numFmtId="0" fontId="50" fillId="3" borderId="35" applyAlignment="1" pivotButton="0" quotePrefix="0" xfId="0">
      <alignment vertical="center"/>
    </xf>
    <xf numFmtId="186" fontId="50" fillId="3" borderId="38" applyAlignment="1" pivotButton="0" quotePrefix="0" xfId="3">
      <alignment vertical="center"/>
    </xf>
    <xf numFmtId="0" fontId="52" fillId="8" borderId="24" applyAlignment="1" pivotButton="0" quotePrefix="0" xfId="0">
      <alignment vertical="center"/>
    </xf>
    <xf numFmtId="0" fontId="52" fillId="8" borderId="35" applyAlignment="1" pivotButton="0" quotePrefix="0" xfId="0">
      <alignment vertical="center"/>
    </xf>
    <xf numFmtId="0" fontId="50" fillId="8" borderId="35" applyAlignment="1" pivotButton="0" quotePrefix="0" xfId="0">
      <alignment horizontal="right" vertical="center"/>
    </xf>
    <xf numFmtId="170" fontId="50" fillId="8" borderId="24"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0" fontId="44" fillId="3" borderId="2" applyAlignment="1" pivotButton="0" quotePrefix="0" xfId="0">
      <alignment horizontal="right" vertical="center" wrapText="1"/>
    </xf>
    <xf numFmtId="0" fontId="13" fillId="13" borderId="0" applyAlignment="1" pivotButton="0" quotePrefix="0" xfId="0">
      <alignment horizontal="left"/>
    </xf>
    <xf numFmtId="187" fontId="13" fillId="13" borderId="0" applyAlignment="1" pivotButton="0" quotePrefix="0" xfId="0">
      <alignment horizontal="center"/>
    </xf>
    <xf numFmtId="0" fontId="13" fillId="13" borderId="0" applyAlignment="1" pivotButton="0" quotePrefix="0" xfId="0">
      <alignment horizontal="center"/>
    </xf>
    <xf numFmtId="171" fontId="13" fillId="13" borderId="0" applyAlignment="1" pivotButton="0" quotePrefix="0" xfId="4">
      <alignment horizontal="center"/>
    </xf>
    <xf numFmtId="0" fontId="13" fillId="13" borderId="1" applyAlignment="1" pivotButton="0" quotePrefix="0" xfId="0">
      <alignment horizontal="left"/>
    </xf>
    <xf numFmtId="187" fontId="13" fillId="13" borderId="1" applyAlignment="1" pivotButton="0" quotePrefix="0" xfId="0">
      <alignment horizontal="center"/>
    </xf>
    <xf numFmtId="170" fontId="47" fillId="0" borderId="1" pivotButton="0" quotePrefix="0" xfId="0"/>
    <xf numFmtId="0" fontId="48" fillId="4" borderId="9" applyAlignment="1" pivotButton="0" quotePrefix="0" xfId="0">
      <alignment horizontal="right" vertical="center"/>
    </xf>
    <xf numFmtId="0" fontId="48" fillId="3" borderId="0" applyAlignment="1" pivotButton="0" quotePrefix="0" xfId="0">
      <alignment horizontal="right" vertical="center"/>
    </xf>
    <xf numFmtId="170" fontId="44" fillId="3" borderId="0" applyAlignment="1" pivotButton="0" quotePrefix="0" xfId="3">
      <alignment horizontal="right" vertical="center"/>
    </xf>
    <xf numFmtId="0" fontId="48" fillId="0" borderId="0" applyAlignment="1" pivotButton="0" quotePrefix="0" xfId="0">
      <alignment horizontal="right" vertical="center"/>
    </xf>
    <xf numFmtId="186" fontId="51" fillId="0" borderId="0" applyAlignment="1" pivotButton="0" quotePrefix="0" xfId="4">
      <alignment horizontal="right" vertical="center"/>
    </xf>
    <xf numFmtId="0" fontId="53" fillId="0" borderId="0" applyAlignment="1" pivotButton="0" quotePrefix="0" xfId="0">
      <alignment horizontal="right" vertical="center"/>
    </xf>
    <xf numFmtId="180" fontId="53" fillId="0" borderId="0" applyAlignment="1" pivotButton="0" quotePrefix="0" xfId="0">
      <alignment horizontal="right" vertical="center"/>
    </xf>
    <xf numFmtId="0" fontId="52" fillId="3" borderId="0" applyAlignment="1" pivotButton="0" quotePrefix="0" xfId="0">
      <alignment horizontal="right" vertical="center" wrapText="1"/>
    </xf>
    <xf numFmtId="170" fontId="44" fillId="3" borderId="0" applyAlignment="1" pivotButton="0" quotePrefix="0" xfId="0">
      <alignment horizontal="right" vertical="center"/>
    </xf>
    <xf numFmtId="0" fontId="55" fillId="0" borderId="0" applyAlignment="1" pivotButton="0" quotePrefix="0" xfId="0">
      <alignment horizontal="right" vertical="center"/>
    </xf>
    <xf numFmtId="0" fontId="44" fillId="3" borderId="0" applyAlignment="1" pivotButton="0" quotePrefix="0" xfId="0">
      <alignment horizontal="right" vertical="center"/>
    </xf>
    <xf numFmtId="1" fontId="56" fillId="0" borderId="0" applyAlignment="1" pivotButton="0" quotePrefix="0" xfId="0">
      <alignment horizontal="right" vertical="center" wrapText="1"/>
    </xf>
    <xf numFmtId="9" fontId="56" fillId="0" borderId="0" applyAlignment="1" pivotButton="0" quotePrefix="0" xfId="4">
      <alignment horizontal="right" vertical="center"/>
    </xf>
    <xf numFmtId="9" fontId="57" fillId="0" borderId="0" applyAlignment="1" pivotButton="0" quotePrefix="0" xfId="0">
      <alignment horizontal="right" vertical="center" wrapText="1"/>
    </xf>
    <xf numFmtId="9" fontId="56" fillId="6" borderId="0" applyAlignment="1" pivotButton="0" quotePrefix="0" xfId="4">
      <alignment horizontal="right" vertical="center" wrapText="1"/>
    </xf>
    <xf numFmtId="3" fontId="44" fillId="3" borderId="0" applyAlignment="1" pivotButton="0" quotePrefix="0" xfId="2">
      <alignment horizontal="right" vertical="center"/>
    </xf>
    <xf numFmtId="9" fontId="56" fillId="0" borderId="0" applyAlignment="1" pivotButton="0" quotePrefix="0" xfId="4">
      <alignment horizontal="right" vertical="center" wrapText="1"/>
    </xf>
    <xf numFmtId="2" fontId="52" fillId="3" borderId="0" applyAlignment="1" pivotButton="0" quotePrefix="0" xfId="4">
      <alignment horizontal="right" vertical="center"/>
    </xf>
    <xf numFmtId="10" fontId="56" fillId="0" borderId="0" applyAlignment="1" pivotButton="0" quotePrefix="0" xfId="4">
      <alignment horizontal="right" vertical="center"/>
    </xf>
    <xf numFmtId="168" fontId="56" fillId="0" borderId="0" applyAlignment="1" pivotButton="0" quotePrefix="0" xfId="2">
      <alignment horizontal="right" vertical="center"/>
    </xf>
    <xf numFmtId="3" fontId="57" fillId="0" borderId="0" applyAlignment="1" pivotButton="0" quotePrefix="0" xfId="0">
      <alignment horizontal="right" vertical="center" wrapText="1"/>
    </xf>
    <xf numFmtId="186" fontId="50" fillId="3" borderId="0" applyAlignment="1" pivotButton="0" quotePrefix="0" xfId="3">
      <alignment vertical="center"/>
    </xf>
    <xf numFmtId="0" fontId="50" fillId="8" borderId="0" applyAlignment="1" pivotButton="0" quotePrefix="0" xfId="0">
      <alignment horizontal="right" vertical="center"/>
    </xf>
    <xf numFmtId="170" fontId="50" fillId="8" borderId="0" applyAlignment="1" pivotButton="0" quotePrefix="0" xfId="3">
      <alignment vertical="center"/>
    </xf>
    <xf numFmtId="169" fontId="48" fillId="6" borderId="2" applyAlignment="1" pivotButton="0" quotePrefix="0" xfId="3">
      <alignment horizontal="right" vertical="top" justifyLastLine="1"/>
    </xf>
    <xf numFmtId="169" fontId="48" fillId="6" borderId="0" applyAlignment="1" pivotButton="0" quotePrefix="0" xfId="3">
      <alignment horizontal="right" vertical="top" justifyLastLine="1"/>
    </xf>
    <xf numFmtId="0" fontId="47" fillId="6" borderId="0" pivotButton="0" quotePrefix="0" xfId="0"/>
    <xf numFmtId="0" fontId="47" fillId="6" borderId="0" applyAlignment="1" pivotButton="0" quotePrefix="0" xfId="0">
      <alignment vertical="top"/>
    </xf>
    <xf numFmtId="0" fontId="50" fillId="3" borderId="6" pivotButton="0" quotePrefix="0" xfId="0"/>
    <xf numFmtId="170" fontId="44" fillId="3" borderId="6" applyAlignment="1" pivotButton="0" quotePrefix="0" xfId="3">
      <alignment horizontal="right" vertical="top"/>
    </xf>
    <xf numFmtId="170" fontId="44" fillId="3" borderId="37" applyAlignment="1" pivotButton="0" quotePrefix="0" xfId="3">
      <alignment horizontal="right" vertical="top"/>
    </xf>
    <xf numFmtId="0" fontId="48" fillId="3" borderId="6" applyAlignment="1" pivotButton="0" quotePrefix="0" xfId="0">
      <alignment horizontal="right" vertical="top"/>
    </xf>
    <xf numFmtId="0" fontId="48" fillId="4" borderId="6" applyAlignment="1" pivotButton="0" quotePrefix="0" xfId="0">
      <alignment horizontal="right" vertical="top"/>
    </xf>
    <xf numFmtId="0" fontId="47" fillId="6" borderId="6" pivotButton="0" quotePrefix="0" xfId="0"/>
    <xf numFmtId="186" fontId="51" fillId="6" borderId="6" applyAlignment="1" pivotButton="0" quotePrefix="0" xfId="4">
      <alignment horizontal="right" vertical="top"/>
    </xf>
    <xf numFmtId="0" fontId="48" fillId="6" borderId="6" applyAlignment="1" pivotButton="0" quotePrefix="0" xfId="0">
      <alignment horizontal="right" vertical="top"/>
    </xf>
    <xf numFmtId="0" fontId="47" fillId="6" borderId="0" applyAlignment="1" pivotButton="0" quotePrefix="0" xfId="0">
      <alignment horizontal="left" indent="2"/>
    </xf>
    <xf numFmtId="170" fontId="52" fillId="6" borderId="0" applyAlignment="1" pivotButton="0" quotePrefix="0" xfId="3">
      <alignment horizontal="right" vertical="top"/>
    </xf>
    <xf numFmtId="0" fontId="48" fillId="6" borderId="0" applyAlignment="1" pivotButton="0" quotePrefix="0" xfId="0">
      <alignment horizontal="right" vertical="top"/>
    </xf>
    <xf numFmtId="186" fontId="43" fillId="6" borderId="0" applyAlignment="1" pivotButton="0" quotePrefix="0" xfId="4">
      <alignment horizontal="right" vertical="top"/>
    </xf>
    <xf numFmtId="0" fontId="53" fillId="6" borderId="0" applyAlignment="1" pivotButton="0" quotePrefix="0" xfId="0">
      <alignment horizontal="right" vertical="top"/>
    </xf>
    <xf numFmtId="0" fontId="50" fillId="3" borderId="24" applyAlignment="1" pivotButton="0" quotePrefix="0" xfId="0">
      <alignment wrapText="1"/>
    </xf>
    <xf numFmtId="0" fontId="52" fillId="3" borderId="24" applyAlignment="1" pivotButton="0" quotePrefix="0" xfId="0">
      <alignment horizontal="right" vertical="top" wrapText="1"/>
    </xf>
    <xf numFmtId="0" fontId="48" fillId="3" borderId="24" applyAlignment="1" pivotButton="0" quotePrefix="0" xfId="0">
      <alignment horizontal="right" vertical="top"/>
    </xf>
    <xf numFmtId="9" fontId="50" fillId="3" borderId="24" pivotButton="0" quotePrefix="0" xfId="4"/>
    <xf numFmtId="170" fontId="44" fillId="3" borderId="24" applyAlignment="1" pivotButton="0" quotePrefix="0" xfId="0">
      <alignment horizontal="right" vertical="top"/>
    </xf>
    <xf numFmtId="170" fontId="44" fillId="3" borderId="38" applyAlignment="1" pivotButton="0" quotePrefix="0" xfId="0">
      <alignment horizontal="right" vertical="top"/>
    </xf>
    <xf numFmtId="186" fontId="55" fillId="0" borderId="0" applyAlignment="1" pivotButton="0" quotePrefix="0" xfId="0">
      <alignment horizontal="right" vertical="top"/>
    </xf>
    <xf numFmtId="0" fontId="55" fillId="0" borderId="0" applyAlignment="1" pivotButton="0" quotePrefix="0" xfId="0">
      <alignment horizontal="right" vertical="top"/>
    </xf>
    <xf numFmtId="186" fontId="43" fillId="3" borderId="0" applyAlignment="1" pivotButton="0" quotePrefix="0" xfId="4">
      <alignment horizontal="right" vertical="top"/>
    </xf>
    <xf numFmtId="0" fontId="44" fillId="3" borderId="0" applyAlignment="1" pivotButton="0" quotePrefix="0" xfId="0">
      <alignment horizontal="right" vertical="top"/>
    </xf>
    <xf numFmtId="3" fontId="44" fillId="3" borderId="0" applyAlignment="1" pivotButton="0" quotePrefix="0" xfId="2">
      <alignment horizontal="right" vertical="top"/>
    </xf>
    <xf numFmtId="2" fontId="44" fillId="3" borderId="0" applyAlignment="1" pivotButton="0" quotePrefix="0" xfId="0">
      <alignment horizontal="right" vertical="top"/>
    </xf>
    <xf numFmtId="186" fontId="52" fillId="3" borderId="0" applyAlignment="1" pivotButton="0" quotePrefix="0" xfId="4">
      <alignment horizontal="right" vertical="top"/>
    </xf>
    <xf numFmtId="0" fontId="43" fillId="3" borderId="0" applyAlignment="1" pivotButton="0" quotePrefix="0" xfId="0">
      <alignment horizontal="right" vertical="top"/>
    </xf>
    <xf numFmtId="0" fontId="52" fillId="3" borderId="6" pivotButton="0" quotePrefix="0" xfId="0"/>
    <xf numFmtId="186" fontId="50" fillId="3" borderId="6" pivotButton="0" quotePrefix="0" xfId="3"/>
    <xf numFmtId="0" fontId="52" fillId="8" borderId="24" pivotButton="0" quotePrefix="0" xfId="0"/>
    <xf numFmtId="170" fontId="50" fillId="8" borderId="64" pivotButton="0" quotePrefix="0" xfId="3"/>
    <xf numFmtId="170" fontId="50" fillId="8" borderId="39" pivotButton="0" quotePrefix="0" xfId="3"/>
    <xf numFmtId="0" fontId="50" fillId="8" borderId="64" applyAlignment="1" pivotButton="0" quotePrefix="0" xfId="0">
      <alignment horizontal="right" vertical="top"/>
    </xf>
    <xf numFmtId="0" fontId="39" fillId="2" borderId="0" applyAlignment="1" pivotButton="0" quotePrefix="0" xfId="0">
      <alignment horizontal="center" justifyLastLine="1"/>
    </xf>
    <xf numFmtId="167" fontId="17" fillId="6" borderId="0" applyAlignment="1" pivotButton="0" quotePrefix="0" xfId="3">
      <alignment horizontal="center"/>
    </xf>
    <xf numFmtId="171" fontId="19" fillId="0" borderId="0" applyAlignment="1" pivotButton="0" quotePrefix="0" xfId="4">
      <alignment horizontal="center"/>
    </xf>
    <xf numFmtId="0" fontId="18" fillId="6" borderId="0" applyAlignment="1" pivotButton="0" quotePrefix="0" xfId="0">
      <alignment vertical="center"/>
    </xf>
    <xf numFmtId="0" fontId="15" fillId="3" borderId="11" applyAlignment="1" pivotButton="0" quotePrefix="0" xfId="0">
      <alignment vertical="center"/>
    </xf>
    <xf numFmtId="0" fontId="15" fillId="3" borderId="1" applyAlignment="1" pivotButton="0" quotePrefix="0" xfId="0">
      <alignment vertical="center"/>
    </xf>
    <xf numFmtId="169" fontId="0" fillId="0" borderId="0" pivotButton="0" quotePrefix="0" xfId="0"/>
    <xf numFmtId="43" fontId="0" fillId="0" borderId="0" pivotButton="0" quotePrefix="0" xfId="2"/>
    <xf numFmtId="0" fontId="1" fillId="6" borderId="0" pivotButton="0" quotePrefix="0" xfId="8"/>
    <xf numFmtId="0" fontId="1" fillId="6" borderId="0" applyAlignment="1" pivotButton="0" quotePrefix="0" xfId="8">
      <alignment horizontal="right"/>
    </xf>
    <xf numFmtId="0" fontId="1" fillId="6" borderId="0" applyAlignment="1" pivotButton="0" quotePrefix="0" xfId="8">
      <alignment horizontal="center"/>
    </xf>
    <xf numFmtId="1" fontId="1" fillId="6" borderId="0" applyAlignment="1" pivotButton="0" quotePrefix="0" xfId="8">
      <alignment horizontal="right"/>
    </xf>
    <xf numFmtId="3" fontId="1" fillId="6" borderId="0" applyAlignment="1" pivotButton="0" quotePrefix="0" xfId="8">
      <alignment horizontal="right"/>
    </xf>
    <xf numFmtId="3" fontId="1" fillId="6" borderId="0" applyAlignment="1" pivotButton="0" quotePrefix="0" xfId="8">
      <alignment horizontal="center"/>
    </xf>
    <xf numFmtId="188" fontId="1" fillId="6" borderId="0" pivotButton="0" quotePrefix="0" xfId="8"/>
    <xf numFmtId="14" fontId="1" fillId="6" borderId="0" pivotButton="0" quotePrefix="0" xfId="8"/>
    <xf numFmtId="2" fontId="1" fillId="6" borderId="0" applyAlignment="1" pivotButton="0" quotePrefix="0" xfId="8">
      <alignment horizontal="center" vertical="center"/>
    </xf>
    <xf numFmtId="0" fontId="1" fillId="6" borderId="0" applyAlignment="1" pivotButton="0" quotePrefix="0" xfId="8">
      <alignment horizontal="center" vertical="center"/>
    </xf>
    <xf numFmtId="9" fontId="1" fillId="6" borderId="0" applyAlignment="1" pivotButton="0" quotePrefix="0" xfId="4">
      <alignment horizontal="center" vertical="center"/>
    </xf>
    <xf numFmtId="0" fontId="5" fillId="6" borderId="0" applyAlignment="1" pivotButton="0" quotePrefix="0" xfId="8">
      <alignment horizontal="center" vertical="center"/>
    </xf>
    <xf numFmtId="0" fontId="1" fillId="6" borderId="1" pivotButton="0" quotePrefix="0" xfId="8"/>
    <xf numFmtId="167" fontId="5" fillId="6" borderId="1" applyAlignment="1" pivotButton="0" quotePrefix="0" xfId="8">
      <alignment horizontal="right"/>
    </xf>
    <xf numFmtId="0" fontId="1" fillId="6" borderId="1" applyAlignment="1" pivotButton="0" quotePrefix="0" xfId="8">
      <alignment horizontal="center"/>
    </xf>
    <xf numFmtId="1" fontId="1" fillId="6" borderId="1" applyAlignment="1" pivotButton="0" quotePrefix="0" xfId="8">
      <alignment horizontal="right"/>
    </xf>
    <xf numFmtId="3" fontId="1" fillId="6" borderId="1" applyAlignment="1" pivotButton="0" quotePrefix="0" xfId="8">
      <alignment horizontal="right"/>
    </xf>
    <xf numFmtId="3" fontId="1" fillId="6" borderId="1" applyAlignment="1" pivotButton="0" quotePrefix="0" xfId="8">
      <alignment horizontal="center"/>
    </xf>
    <xf numFmtId="188" fontId="1" fillId="6" borderId="1" pivotButton="0" quotePrefix="0" xfId="8"/>
    <xf numFmtId="14" fontId="1" fillId="6" borderId="1" pivotButton="0" quotePrefix="0" xfId="8"/>
    <xf numFmtId="0" fontId="0" fillId="6" borderId="1" pivotButton="0" quotePrefix="0" xfId="8"/>
    <xf numFmtId="167" fontId="5" fillId="6" borderId="0" applyAlignment="1" pivotButton="0" quotePrefix="0" xfId="8">
      <alignment horizontal="right"/>
    </xf>
    <xf numFmtId="10" fontId="1" fillId="6" borderId="0" applyAlignment="1" pivotButton="0" quotePrefix="0" xfId="8">
      <alignment horizontal="center"/>
    </xf>
    <xf numFmtId="0" fontId="0" fillId="6" borderId="0" pivotButton="0" quotePrefix="0" xfId="8"/>
    <xf numFmtId="10" fontId="1" fillId="6" borderId="1" applyAlignment="1" pivotButton="0" quotePrefix="0" xfId="8">
      <alignment horizontal="center" vertical="center"/>
    </xf>
    <xf numFmtId="0" fontId="1" fillId="6" borderId="0" applyAlignment="1" pivotButton="0" quotePrefix="0" xfId="8">
      <alignment vertical="center"/>
    </xf>
    <xf numFmtId="167" fontId="1" fillId="6" borderId="0" applyAlignment="1" pivotButton="0" quotePrefix="0" xfId="8">
      <alignment horizontal="right" vertical="center"/>
    </xf>
    <xf numFmtId="10" fontId="1" fillId="6" borderId="0" applyAlignment="1" pivotButton="0" quotePrefix="0" xfId="8">
      <alignment horizontal="center" vertical="center"/>
    </xf>
    <xf numFmtId="0" fontId="1" fillId="6" borderId="9" applyAlignment="1" pivotButton="0" quotePrefix="0" xfId="8">
      <alignment horizontal="right" vertical="center"/>
    </xf>
    <xf numFmtId="1" fontId="44" fillId="6" borderId="9" applyAlignment="1" pivotButton="0" quotePrefix="0" xfId="8">
      <alignment horizontal="right" vertical="center" wrapText="1"/>
    </xf>
    <xf numFmtId="1" fontId="44" fillId="6" borderId="9" applyAlignment="1" pivotButton="0" quotePrefix="0" xfId="8">
      <alignment horizontal="center" vertical="center" wrapText="1"/>
    </xf>
    <xf numFmtId="1" fontId="44" fillId="14" borderId="9" applyAlignment="1" pivotButton="0" quotePrefix="0" xfId="8">
      <alignment horizontal="center" vertical="center" wrapText="1"/>
    </xf>
    <xf numFmtId="2" fontId="44" fillId="14" borderId="9" applyAlignment="1" pivotButton="0" quotePrefix="0" xfId="8">
      <alignment horizontal="center" vertical="center" wrapText="1"/>
    </xf>
    <xf numFmtId="3" fontId="44" fillId="14" borderId="9" applyAlignment="1" pivotButton="0" quotePrefix="0" xfId="8">
      <alignment horizontal="center" vertical="center" wrapText="1"/>
    </xf>
    <xf numFmtId="3" fontId="44" fillId="6" borderId="9" applyAlignment="1" pivotButton="0" quotePrefix="0" xfId="8">
      <alignment horizontal="right" vertical="center"/>
    </xf>
    <xf numFmtId="0" fontId="44" fillId="6" borderId="9" applyAlignment="1" pivotButton="0" quotePrefix="0" xfId="8">
      <alignment horizontal="left" vertical="center"/>
    </xf>
    <xf numFmtId="1" fontId="44" fillId="6" borderId="1" applyAlignment="1" pivotButton="0" quotePrefix="0" xfId="8">
      <alignment horizontal="center" vertical="center" wrapText="1"/>
    </xf>
    <xf numFmtId="1" fontId="44" fillId="14" borderId="1" applyAlignment="1" pivotButton="0" quotePrefix="0" xfId="8">
      <alignment horizontal="center" vertical="center" wrapText="1"/>
    </xf>
    <xf numFmtId="1" fontId="44" fillId="6" borderId="1" applyAlignment="1" pivotButton="0" quotePrefix="0" xfId="8">
      <alignment horizontal="center"/>
    </xf>
    <xf numFmtId="3" fontId="44" fillId="6" borderId="1" applyAlignment="1" pivotButton="0" quotePrefix="0" xfId="8">
      <alignment horizontal="center" wrapText="1"/>
    </xf>
    <xf numFmtId="3" fontId="44" fillId="6" borderId="1" applyAlignment="1" pivotButton="0" quotePrefix="0" xfId="8">
      <alignment horizontal="center"/>
    </xf>
    <xf numFmtId="188" fontId="44" fillId="6" borderId="1" applyAlignment="1" pivotButton="0" quotePrefix="0" xfId="8">
      <alignment horizontal="center" wrapText="1"/>
    </xf>
    <xf numFmtId="14" fontId="44" fillId="6" borderId="1" applyAlignment="1" pivotButton="0" quotePrefix="0" xfId="8">
      <alignment horizontal="center" wrapText="1"/>
    </xf>
    <xf numFmtId="0" fontId="44" fillId="6" borderId="1" applyAlignment="1" pivotButton="0" quotePrefix="0" xfId="8">
      <alignment horizontal="center" wrapText="1"/>
    </xf>
    <xf numFmtId="0" fontId="44" fillId="6" borderId="1" applyAlignment="1" pivotButton="0" quotePrefix="0" xfId="8">
      <alignment horizontal="center"/>
    </xf>
    <xf numFmtId="0" fontId="5" fillId="0" borderId="18" pivotButton="0" quotePrefix="0" xfId="0"/>
    <xf numFmtId="169" fontId="5" fillId="0" borderId="11" pivotButton="0" quotePrefix="0" xfId="0"/>
    <xf numFmtId="167" fontId="5" fillId="0" borderId="36" pivotButton="0" quotePrefix="0" xfId="0"/>
    <xf numFmtId="0" fontId="5" fillId="0" borderId="3" pivotButton="0" quotePrefix="0" xfId="0"/>
    <xf numFmtId="169" fontId="5" fillId="0" borderId="1" pivotButton="0" quotePrefix="0" xfId="0"/>
    <xf numFmtId="167" fontId="5" fillId="0" borderId="4" pivotButton="0" quotePrefix="0" xfId="0"/>
    <xf numFmtId="0" fontId="44" fillId="6" borderId="9" applyAlignment="1" pivotButton="0" quotePrefix="0" xfId="8">
      <alignment horizontal="center" vertical="center" wrapText="1"/>
    </xf>
    <xf numFmtId="189" fontId="5" fillId="6" borderId="0" applyAlignment="1" pivotButton="0" quotePrefix="0" xfId="8">
      <alignment wrapText="1"/>
    </xf>
    <xf numFmtId="189" fontId="5" fillId="6" borderId="1" applyAlignment="1" pivotButton="0" quotePrefix="0" xfId="8">
      <alignment wrapText="1"/>
    </xf>
    <xf numFmtId="188" fontId="1" fillId="6" borderId="0" applyAlignment="1" pivotButton="0" quotePrefix="0" xfId="8">
      <alignment wrapText="1"/>
    </xf>
    <xf numFmtId="2" fontId="29" fillId="6" borderId="0" applyAlignment="1" pivotButton="0" quotePrefix="0" xfId="0">
      <alignment horizontal="right"/>
    </xf>
    <xf numFmtId="9" fontId="29" fillId="6" borderId="0" applyAlignment="1" pivotButton="0" quotePrefix="0" xfId="4">
      <alignment horizontal="right"/>
    </xf>
    <xf numFmtId="0" fontId="18" fillId="6" borderId="0" applyAlignment="1" pivotButton="0" quotePrefix="0" xfId="0">
      <alignment horizontal="center" vertical="center"/>
    </xf>
    <xf numFmtId="0" fontId="18" fillId="6" borderId="0" applyAlignment="1" pivotButton="0" quotePrefix="0" xfId="0">
      <alignment horizontal="center"/>
    </xf>
    <xf numFmtId="0" fontId="15" fillId="3" borderId="11" applyAlignment="1" pivotButton="0" quotePrefix="0" xfId="0">
      <alignment horizontal="center" vertical="center"/>
    </xf>
    <xf numFmtId="0" fontId="15" fillId="3" borderId="11" applyAlignment="1" pivotButton="0" quotePrefix="0" xfId="0">
      <alignment horizontal="center"/>
    </xf>
    <xf numFmtId="10" fontId="15" fillId="3" borderId="1" applyAlignment="1" pivotButton="0" quotePrefix="0" xfId="0">
      <alignment horizontal="center" vertical="center"/>
    </xf>
    <xf numFmtId="10" fontId="15" fillId="3" borderId="1" applyAlignment="1" pivotButton="0" quotePrefix="0" xfId="0">
      <alignment horizontal="center"/>
    </xf>
    <xf numFmtId="3" fontId="48" fillId="6" borderId="2" applyAlignment="1" pivotButton="0" quotePrefix="0" xfId="0">
      <alignment horizontal="right" vertical="top" justifyLastLine="1"/>
    </xf>
    <xf numFmtId="1" fontId="48" fillId="6" borderId="14" applyAlignment="1" pivotButton="0" quotePrefix="0" xfId="0">
      <alignment horizontal="right" vertical="top" justifyLastLine="1"/>
    </xf>
    <xf numFmtId="1" fontId="49" fillId="6" borderId="14" applyAlignment="1" pivotButton="0" quotePrefix="0" xfId="3">
      <alignment horizontal="right" vertical="top" justifyLastLine="1"/>
    </xf>
    <xf numFmtId="170" fontId="50" fillId="8" borderId="38" applyAlignment="1" pivotButton="0" quotePrefix="0" xfId="3">
      <alignment horizontal="right"/>
    </xf>
    <xf numFmtId="0" fontId="47" fillId="6" borderId="0" applyAlignment="1" pivotButton="0" quotePrefix="0" xfId="0">
      <alignment wrapText="1"/>
    </xf>
    <xf numFmtId="0" fontId="0" fillId="0" borderId="0" applyAlignment="1" pivotButton="0" quotePrefix="0" xfId="0">
      <alignment wrapText="1"/>
    </xf>
    <xf numFmtId="3" fontId="48" fillId="6" borderId="0" applyAlignment="1" pivotButton="0" quotePrefix="0" xfId="0">
      <alignment horizontal="right" vertical="top" justifyLastLine="1"/>
    </xf>
    <xf numFmtId="0" fontId="47" fillId="6" borderId="15" applyAlignment="1" pivotButton="0" quotePrefix="0" xfId="0">
      <alignment horizontal="right" vertical="top" wrapText="1"/>
    </xf>
    <xf numFmtId="0" fontId="47" fillId="6" borderId="15" applyAlignment="1" pivotButton="0" quotePrefix="0" xfId="0">
      <alignment horizontal="right" vertical="top"/>
    </xf>
    <xf numFmtId="0" fontId="49" fillId="6" borderId="15" applyAlignment="1" pivotButton="0" quotePrefix="0" xfId="0">
      <alignment horizontal="right" vertical="top"/>
    </xf>
    <xf numFmtId="169" fontId="49" fillId="6" borderId="15" applyAlignment="1" pivotButton="0" quotePrefix="0" xfId="0">
      <alignment horizontal="right" vertical="top"/>
    </xf>
    <xf numFmtId="0" fontId="49" fillId="6" borderId="15" applyAlignment="1" pivotButton="0" quotePrefix="0" xfId="0">
      <alignment horizontal="right" vertical="top" wrapText="1"/>
    </xf>
    <xf numFmtId="37" fontId="47" fillId="6" borderId="15" applyAlignment="1" pivotButton="0" quotePrefix="0" xfId="2">
      <alignment horizontal="right" vertical="top"/>
    </xf>
    <xf numFmtId="3" fontId="47" fillId="6" borderId="15" applyAlignment="1" pivotButton="0" quotePrefix="0" xfId="2">
      <alignment horizontal="right" vertical="top"/>
    </xf>
    <xf numFmtId="1" fontId="41" fillId="6" borderId="15" applyAlignment="1" pivotButton="0" quotePrefix="0" xfId="3">
      <alignment horizontal="right" vertical="top"/>
    </xf>
    <xf numFmtId="165" fontId="41" fillId="6" borderId="15" applyAlignment="1" pivotButton="0" quotePrefix="0" xfId="3">
      <alignment horizontal="right" vertical="top" wrapText="1"/>
    </xf>
    <xf numFmtId="170" fontId="50" fillId="3" borderId="65" applyAlignment="1" pivotButton="0" quotePrefix="0" xfId="3">
      <alignment horizontal="right" vertical="top"/>
    </xf>
    <xf numFmtId="1" fontId="49" fillId="6" borderId="65" applyAlignment="1" pivotButton="0" quotePrefix="0" xfId="0">
      <alignment horizontal="right" vertical="top"/>
    </xf>
    <xf numFmtId="0" fontId="52" fillId="3" borderId="66" applyAlignment="1" pivotButton="0" quotePrefix="0" xfId="0">
      <alignment horizontal="right" vertical="top" wrapText="1"/>
    </xf>
    <xf numFmtId="9" fontId="47" fillId="3" borderId="66" applyAlignment="1" pivotButton="0" quotePrefix="0" xfId="4">
      <alignment horizontal="right" vertical="top"/>
    </xf>
    <xf numFmtId="0" fontId="52" fillId="3" borderId="65" pivotButton="0" quotePrefix="0" xfId="0"/>
    <xf numFmtId="0" fontId="52" fillId="8" borderId="66" pivotButton="0" quotePrefix="0" xfId="0"/>
    <xf numFmtId="9" fontId="50" fillId="6" borderId="0" pivotButton="0" quotePrefix="0" xfId="4"/>
    <xf numFmtId="1" fontId="50" fillId="6" borderId="0" pivotButton="0" quotePrefix="0" xfId="0"/>
    <xf numFmtId="1" fontId="49" fillId="6" borderId="15" applyAlignment="1" pivotButton="0" quotePrefix="0" xfId="0">
      <alignment horizontal="right" vertical="top"/>
    </xf>
    <xf numFmtId="3" fontId="48" fillId="6" borderId="15" applyAlignment="1" pivotButton="0" quotePrefix="0" xfId="2">
      <alignment horizontal="right" vertical="top"/>
    </xf>
    <xf numFmtId="2" fontId="49" fillId="6" borderId="15" applyAlignment="1" pivotButton="0" quotePrefix="0" xfId="4">
      <alignment horizontal="right" vertical="top"/>
    </xf>
    <xf numFmtId="169" fontId="48" fillId="6" borderId="15" applyAlignment="1" pivotButton="0" quotePrefix="0" xfId="3">
      <alignment horizontal="right" vertical="top" justifyLastLine="1"/>
    </xf>
    <xf numFmtId="0" fontId="48" fillId="6" borderId="15" applyAlignment="1" pivotButton="0" quotePrefix="0" xfId="0">
      <alignment horizontal="right" vertical="top" wrapText="1" justifyLastLine="1"/>
    </xf>
    <xf numFmtId="0" fontId="48" fillId="6" borderId="15" applyAlignment="1" pivotButton="0" quotePrefix="0" xfId="0">
      <alignment horizontal="right" vertical="top" justifyLastLine="1"/>
    </xf>
    <xf numFmtId="180" fontId="49" fillId="6" borderId="15" applyAlignment="1" pivotButton="0" quotePrefix="0" xfId="0">
      <alignment horizontal="right" vertical="top" justifyLastLine="1"/>
    </xf>
    <xf numFmtId="3" fontId="48" fillId="6" borderId="15" applyAlignment="1" pivotButton="0" quotePrefix="0" xfId="2">
      <alignment horizontal="right" vertical="top" justifyLastLine="1"/>
    </xf>
    <xf numFmtId="3" fontId="48" fillId="6" borderId="15" applyAlignment="1" pivotButton="0" quotePrefix="0" xfId="0">
      <alignment horizontal="right" vertical="top" justifyLastLine="1"/>
    </xf>
    <xf numFmtId="170" fontId="50" fillId="8" borderId="66" pivotButton="0" quotePrefix="0" xfId="3"/>
    <xf numFmtId="190" fontId="52" fillId="6" borderId="14" applyAlignment="1" pivotButton="0" quotePrefix="0" xfId="3">
      <alignment horizontal="right" vertical="top"/>
    </xf>
    <xf numFmtId="190" fontId="52" fillId="3" borderId="38" applyAlignment="1" pivotButton="0" quotePrefix="0" xfId="0">
      <alignment horizontal="right" vertical="top" wrapText="1"/>
    </xf>
    <xf numFmtId="190" fontId="50" fillId="3" borderId="37" applyAlignment="1" pivotButton="0" quotePrefix="0" xfId="3">
      <alignment horizontal="right"/>
    </xf>
    <xf numFmtId="190" fontId="50" fillId="3" borderId="37" pivotButton="0" quotePrefix="0" xfId="3"/>
    <xf numFmtId="190" fontId="41" fillId="6" borderId="14" applyAlignment="1" pivotButton="0" quotePrefix="0" xfId="4">
      <alignment horizontal="right" vertical="top"/>
    </xf>
    <xf numFmtId="190" fontId="49" fillId="6" borderId="14" applyAlignment="1" pivotButton="0" quotePrefix="0" xfId="4">
      <alignment horizontal="right" vertical="top"/>
    </xf>
    <xf numFmtId="167" fontId="17" fillId="0" borderId="0" applyAlignment="1" pivotButton="0" quotePrefix="0" xfId="3">
      <alignment horizontal="right"/>
    </xf>
    <xf numFmtId="167" fontId="16" fillId="3" borderId="11" applyAlignment="1" pivotButton="0" quotePrefix="0" xfId="0">
      <alignment horizontal="right" vertical="top"/>
    </xf>
    <xf numFmtId="190" fontId="48" fillId="6" borderId="37" applyAlignment="1" pivotButton="0" quotePrefix="0" xfId="4">
      <alignment horizontal="right" vertical="top"/>
    </xf>
    <xf numFmtId="0" fontId="1" fillId="6" borderId="0" pivotButton="0" quotePrefix="0" xfId="9"/>
    <xf numFmtId="14" fontId="1" fillId="6" borderId="0" pivotButton="0" quotePrefix="0" xfId="9"/>
    <xf numFmtId="188" fontId="1" fillId="6" borderId="0" pivotButton="0" quotePrefix="0" xfId="9"/>
    <xf numFmtId="167" fontId="1" fillId="6" borderId="0" pivotButton="0" quotePrefix="0" xfId="9"/>
    <xf numFmtId="3" fontId="1" fillId="6" borderId="0" pivotButton="0" quotePrefix="0" xfId="9"/>
    <xf numFmtId="1" fontId="49" fillId="6" borderId="15" applyAlignment="1" pivotButton="0" quotePrefix="0" xfId="0">
      <alignment horizontal="right" vertical="top" wrapText="1"/>
    </xf>
    <xf numFmtId="3" fontId="41" fillId="6" borderId="2" applyAlignment="1" pivotButton="0" quotePrefix="0" xfId="0">
      <alignment horizontal="center" vertical="center" wrapText="1"/>
    </xf>
    <xf numFmtId="0" fontId="41" fillId="6" borderId="14" applyAlignment="1" pivotButton="0" quotePrefix="0" xfId="0">
      <alignment vertical="center" wrapText="1"/>
    </xf>
    <xf numFmtId="3" fontId="41" fillId="0" borderId="2" applyAlignment="1" pivotButton="0" quotePrefix="0" xfId="0">
      <alignment horizontal="center" vertical="center" wrapText="1"/>
    </xf>
    <xf numFmtId="0" fontId="42" fillId="4" borderId="0" applyAlignment="1" pivotButton="0" quotePrefix="0" xfId="0">
      <alignment horizontal="center" vertical="center" wrapText="1"/>
    </xf>
    <xf numFmtId="0" fontId="42" fillId="4" borderId="11" applyAlignment="1" pivotButton="0" quotePrefix="0" xfId="0">
      <alignment horizontal="center" vertical="center" wrapText="1"/>
    </xf>
    <xf numFmtId="0" fontId="5" fillId="6" borderId="9" applyAlignment="1" pivotButton="0" quotePrefix="0" xfId="8">
      <alignment horizontal="center" vertical="center"/>
    </xf>
    <xf numFmtId="0" fontId="42" fillId="15" borderId="0" applyAlignment="1" pivotButton="0" quotePrefix="0" xfId="0">
      <alignment horizontal="center" vertical="center" wrapText="1"/>
    </xf>
    <xf numFmtId="0" fontId="42" fillId="15" borderId="11" applyAlignment="1" pivotButton="0" quotePrefix="0" xfId="0">
      <alignment horizontal="center" vertical="center" wrapText="1"/>
    </xf>
    <xf numFmtId="0" fontId="41" fillId="6" borderId="2" applyAlignment="1" pivotButton="0" quotePrefix="0" xfId="0">
      <alignment vertical="center" wrapText="1"/>
    </xf>
    <xf numFmtId="0" fontId="42" fillId="4" borderId="14" applyAlignment="1" pivotButton="0" quotePrefix="0" xfId="0">
      <alignment horizontal="center" vertical="center" wrapText="1"/>
    </xf>
    <xf numFmtId="0" fontId="42" fillId="4" borderId="36" applyAlignment="1" pivotButton="0" quotePrefix="0" xfId="0">
      <alignment horizontal="center" vertical="center" wrapText="1"/>
    </xf>
    <xf numFmtId="9" fontId="5" fillId="0" borderId="14" applyAlignment="1" pivotButton="0" quotePrefix="0" xfId="4">
      <alignment horizontal="center" vertical="center"/>
    </xf>
    <xf numFmtId="0" fontId="45" fillId="15" borderId="0" applyAlignment="1" pivotButton="0" quotePrefix="0" xfId="0">
      <alignment horizontal="center" vertical="center"/>
    </xf>
    <xf numFmtId="0" fontId="21" fillId="15" borderId="6" pivotButton="0" quotePrefix="0" xfId="0"/>
    <xf numFmtId="0" fontId="47" fillId="15" borderId="65" applyAlignment="1" pivotButton="0" quotePrefix="0" xfId="0">
      <alignment horizontal="right" vertical="top"/>
    </xf>
    <xf numFmtId="0" fontId="48" fillId="15" borderId="37" applyAlignment="1" pivotButton="0" quotePrefix="0" xfId="0">
      <alignment horizontal="right" vertical="top"/>
    </xf>
    <xf numFmtId="186" fontId="48" fillId="15" borderId="37" applyAlignment="1" pivotButton="0" quotePrefix="0" xfId="0">
      <alignment horizontal="right" vertical="top"/>
    </xf>
    <xf numFmtId="0" fontId="50" fillId="6" borderId="0" applyAlignment="1" pivotButton="0" quotePrefix="0" xfId="0">
      <alignment vertical="center"/>
    </xf>
    <xf numFmtId="0" fontId="34" fillId="6" borderId="0" applyAlignment="1" pivotButton="0" quotePrefix="0" xfId="0">
      <alignment vertical="top"/>
    </xf>
    <xf numFmtId="0" fontId="34" fillId="6" borderId="0" applyAlignment="1" pivotButton="0" quotePrefix="0" xfId="0">
      <alignment vertical="center"/>
    </xf>
    <xf numFmtId="0" fontId="34" fillId="6" borderId="0" applyAlignment="1" pivotButton="0" quotePrefix="0" xfId="0">
      <alignment horizontal="left" vertical="top"/>
    </xf>
    <xf numFmtId="0" fontId="34" fillId="6" borderId="1" applyAlignment="1" pivotButton="0" quotePrefix="0" xfId="0">
      <alignment horizontal="left" vertical="top"/>
    </xf>
    <xf numFmtId="0" fontId="32" fillId="6" borderId="0" applyAlignment="1" pivotButton="0" quotePrefix="0" xfId="0">
      <alignment vertical="top"/>
    </xf>
    <xf numFmtId="0" fontId="34" fillId="6" borderId="0" applyAlignment="1" pivotButton="0" quotePrefix="0" xfId="0">
      <alignment horizontal="left" vertical="top" indent="1"/>
    </xf>
    <xf numFmtId="0" fontId="32" fillId="6" borderId="0" applyAlignment="1" pivotButton="0" quotePrefix="0" xfId="0">
      <alignment horizontal="justify" vertical="center" wrapText="1"/>
    </xf>
    <xf numFmtId="0" fontId="32" fillId="6" borderId="0" applyAlignment="1" pivotButton="0" quotePrefix="0" xfId="0">
      <alignment horizontal="justify" vertical="center"/>
    </xf>
    <xf numFmtId="0" fontId="32" fillId="0" borderId="0" applyAlignment="1" pivotButton="0" quotePrefix="0" xfId="0">
      <alignment wrapText="1"/>
    </xf>
    <xf numFmtId="0" fontId="32" fillId="0" borderId="68" pivotButton="0" quotePrefix="0" xfId="0"/>
    <xf numFmtId="0" fontId="32" fillId="0" borderId="68" applyAlignment="1" pivotButton="0" quotePrefix="0" xfId="0">
      <alignment wrapText="1"/>
    </xf>
    <xf numFmtId="0" fontId="34" fillId="0" borderId="19" applyAlignment="1" pivotButton="0" quotePrefix="0" xfId="0">
      <alignment horizontal="left" vertical="top" indent="1"/>
    </xf>
    <xf numFmtId="0" fontId="34" fillId="0" borderId="15" applyAlignment="1" pivotButton="0" quotePrefix="0" xfId="0">
      <alignment horizontal="left" vertical="top" indent="1"/>
    </xf>
    <xf numFmtId="0" fontId="34" fillId="0" borderId="22" applyAlignment="1" pivotButton="0" quotePrefix="0" xfId="0">
      <alignment horizontal="left" vertical="top" indent="1"/>
    </xf>
    <xf numFmtId="0" fontId="21" fillId="16" borderId="8" applyAlignment="1" pivotButton="0" quotePrefix="0" xfId="0">
      <alignment vertical="top"/>
    </xf>
    <xf numFmtId="0" fontId="63" fillId="16" borderId="17" applyAlignment="1" pivotButton="0" quotePrefix="0" xfId="0">
      <alignment horizontal="left"/>
    </xf>
    <xf numFmtId="0" fontId="0" fillId="6" borderId="0" pivotButton="0" quotePrefix="0" xfId="0"/>
    <xf numFmtId="0" fontId="34" fillId="6" borderId="0" applyAlignment="1" pivotButton="0" quotePrefix="0" xfId="0">
      <alignment horizontal="left"/>
    </xf>
    <xf numFmtId="0" fontId="32" fillId="6" borderId="0" applyAlignment="1" pivotButton="0" quotePrefix="0" xfId="0">
      <alignment horizontal="justify" vertical="top"/>
    </xf>
    <xf numFmtId="0" fontId="34" fillId="6" borderId="0" applyAlignment="1" pivotButton="0" quotePrefix="0" xfId="0">
      <alignment horizontal="left" vertical="center"/>
    </xf>
    <xf numFmtId="0" fontId="65" fillId="6" borderId="0" applyAlignment="1" pivotButton="0" quotePrefix="0" xfId="0">
      <alignment horizontal="justify" vertical="center" wrapText="1"/>
    </xf>
    <xf numFmtId="0" fontId="65" fillId="6" borderId="0" applyAlignment="1" pivotButton="0" quotePrefix="0" xfId="0">
      <alignment horizontal="justify" vertical="center"/>
    </xf>
    <xf numFmtId="0" fontId="21" fillId="17" borderId="0" applyAlignment="1" pivotButton="0" quotePrefix="0" xfId="0">
      <alignment horizontal="center" wrapText="1"/>
    </xf>
    <xf numFmtId="0" fontId="32" fillId="6" borderId="0" applyAlignment="1" pivotButton="0" quotePrefix="0" xfId="0">
      <alignment horizontal="left" vertical="top" wrapText="1"/>
    </xf>
    <xf numFmtId="171" fontId="13" fillId="13" borderId="1" applyAlignment="1" pivotButton="0" quotePrefix="0" xfId="4">
      <alignment horizontal="center"/>
    </xf>
    <xf numFmtId="0" fontId="13" fillId="18" borderId="0" applyAlignment="1" pivotButton="0" quotePrefix="0" xfId="0">
      <alignment horizontal="left"/>
    </xf>
    <xf numFmtId="187" fontId="13" fillId="18" borderId="0" applyAlignment="1" pivotButton="0" quotePrefix="0" xfId="0">
      <alignment horizontal="center"/>
    </xf>
    <xf numFmtId="171" fontId="13" fillId="18" borderId="0" applyAlignment="1" pivotButton="0" quotePrefix="0" xfId="4">
      <alignment horizontal="center"/>
    </xf>
    <xf numFmtId="0" fontId="32" fillId="6" borderId="0" applyAlignment="1" pivotButton="0" quotePrefix="0" xfId="0">
      <alignment horizontal="left" vertical="top"/>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0" fontId="47" fillId="6" borderId="0" applyAlignment="1" pivotButton="0" quotePrefix="0" xfId="0">
      <alignment vertical="center"/>
    </xf>
    <xf numFmtId="0" fontId="47" fillId="6" borderId="2" applyAlignment="1" pivotButton="0" quotePrefix="0" xfId="0">
      <alignment horizontal="right" vertical="center"/>
    </xf>
    <xf numFmtId="0" fontId="47" fillId="6" borderId="2" applyAlignment="1" pivotButton="0" quotePrefix="0" xfId="0">
      <alignment horizontal="right" vertical="center" wrapText="1"/>
    </xf>
    <xf numFmtId="3" fontId="47" fillId="6" borderId="2" applyAlignment="1" pivotButton="0" quotePrefix="0" xfId="2">
      <alignment horizontal="right" vertical="center"/>
    </xf>
    <xf numFmtId="0" fontId="47" fillId="6" borderId="6" applyAlignment="1" pivotButton="0" quotePrefix="0" xfId="0">
      <alignment vertical="center"/>
    </xf>
    <xf numFmtId="0" fontId="48" fillId="6" borderId="34" applyAlignment="1" pivotButton="0" quotePrefix="0" xfId="0">
      <alignment horizontal="right" vertical="center"/>
    </xf>
    <xf numFmtId="186" fontId="51" fillId="6" borderId="6" applyAlignment="1" pivotButton="0" quotePrefix="0" xfId="4">
      <alignment horizontal="right" vertical="center"/>
    </xf>
    <xf numFmtId="0" fontId="47" fillId="6" borderId="0" applyAlignment="1" pivotButton="0" quotePrefix="0" xfId="0">
      <alignment horizontal="left" vertical="center"/>
    </xf>
    <xf numFmtId="0" fontId="48" fillId="6" borderId="2" applyAlignment="1" pivotButton="0" quotePrefix="0" xfId="0">
      <alignment horizontal="right" vertical="center"/>
    </xf>
    <xf numFmtId="170" fontId="52" fillId="6" borderId="0" applyAlignment="1" pivotButton="0" quotePrefix="0" xfId="3">
      <alignment horizontal="right" vertical="center"/>
    </xf>
    <xf numFmtId="170" fontId="52" fillId="6" borderId="14" applyAlignment="1" pivotButton="0" quotePrefix="0" xfId="3">
      <alignment horizontal="right" vertical="center"/>
    </xf>
    <xf numFmtId="186" fontId="44" fillId="6" borderId="0" applyAlignment="1" pivotButton="0" quotePrefix="0" xfId="4">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 fontId="56" fillId="6" borderId="2" applyAlignment="1" pivotButton="0" quotePrefix="0" xfId="0">
      <alignment horizontal="right" vertical="center" wrapText="1"/>
    </xf>
    <xf numFmtId="186" fontId="43" fillId="6" borderId="0" applyAlignment="1" pivotButton="0" quotePrefix="0" xfId="4">
      <alignment horizontal="right" vertical="center"/>
    </xf>
    <xf numFmtId="9" fontId="56" fillId="6" borderId="2" applyAlignment="1" pivotButton="0" quotePrefix="0" xfId="4">
      <alignment horizontal="right" vertical="center"/>
    </xf>
    <xf numFmtId="9" fontId="57" fillId="6" borderId="2" applyAlignment="1" pivotButton="0" quotePrefix="0" xfId="0">
      <alignment horizontal="right" vertical="center" wrapText="1"/>
    </xf>
    <xf numFmtId="186" fontId="53" fillId="6" borderId="0" applyAlignment="1" pivotButton="0" quotePrefix="0" xfId="4">
      <alignment horizontal="right" vertical="center"/>
    </xf>
    <xf numFmtId="0" fontId="56" fillId="6" borderId="2" applyAlignment="1" pivotButton="0" quotePrefix="0" xfId="4">
      <alignment horizontal="right" vertical="center" wrapText="1"/>
    </xf>
    <xf numFmtId="0" fontId="56" fillId="6" borderId="2" applyAlignment="1" pivotButton="0" quotePrefix="0" xfId="4">
      <alignment horizontal="right" vertical="center"/>
    </xf>
    <xf numFmtId="186" fontId="50" fillId="3" borderId="24" applyAlignment="1" pivotButton="0" quotePrefix="0" xfId="3">
      <alignment vertical="center"/>
    </xf>
    <xf numFmtId="0" fontId="21" fillId="15" borderId="6" applyAlignment="1" pivotButton="0" quotePrefix="0" xfId="0">
      <alignment vertical="center"/>
    </xf>
    <xf numFmtId="0" fontId="47" fillId="15" borderId="34" applyAlignment="1" pivotButton="0" quotePrefix="0" xfId="0">
      <alignment horizontal="right" vertical="center"/>
    </xf>
    <xf numFmtId="0" fontId="48" fillId="15" borderId="34" applyAlignment="1" pivotButton="0" quotePrefix="0" xfId="0">
      <alignment horizontal="right" vertical="center"/>
    </xf>
    <xf numFmtId="0" fontId="48" fillId="15" borderId="6" applyAlignment="1" pivotButton="0" quotePrefix="0" xfId="0">
      <alignment horizontal="right" vertical="center"/>
    </xf>
    <xf numFmtId="186" fontId="53" fillId="6" borderId="14" applyAlignment="1" pivotButton="0" quotePrefix="0" xfId="4">
      <alignment horizontal="right" vertical="center"/>
    </xf>
    <xf numFmtId="181" fontId="0" fillId="0" borderId="0" pivotButton="0" quotePrefix="0" xfId="0"/>
    <xf numFmtId="0" fontId="7" fillId="6" borderId="0" applyAlignment="1" pivotButton="0" quotePrefix="0" xfId="0">
      <alignment horizontal="left"/>
    </xf>
    <xf numFmtId="165" fontId="7" fillId="6" borderId="9" applyAlignment="1" pivotButton="0" quotePrefix="0" xfId="0">
      <alignment vertical="center"/>
    </xf>
    <xf numFmtId="0" fontId="32" fillId="6" borderId="0" applyAlignment="1" pivotButton="0" quotePrefix="0" xfId="11">
      <alignment horizontal="justify" vertical="top" wrapText="1"/>
    </xf>
    <xf numFmtId="0" fontId="0" fillId="6" borderId="0" applyAlignment="1" pivotButton="0" quotePrefix="0" xfId="0">
      <alignment horizontal="justify" vertical="top" wrapText="1"/>
    </xf>
    <xf numFmtId="191" fontId="32" fillId="6" borderId="0" applyAlignment="1" pivotButton="0" quotePrefix="0" xfId="11">
      <alignment horizontal="justify" vertical="top" wrapText="1"/>
    </xf>
    <xf numFmtId="170" fontId="17" fillId="6" borderId="0" applyAlignment="1" pivotButton="0" quotePrefix="0" xfId="3">
      <alignment vertical="center"/>
    </xf>
    <xf numFmtId="0" fontId="32" fillId="16" borderId="9" pivotButton="0" quotePrefix="0" xfId="0"/>
    <xf numFmtId="4" fontId="32" fillId="6" borderId="0" applyAlignment="1" pivotButton="0" quotePrefix="0" xfId="11">
      <alignment horizontal="justify" vertical="top" wrapText="1"/>
    </xf>
    <xf numFmtId="0" fontId="45" fillId="15" borderId="0" applyAlignment="1" pivotButton="0" quotePrefix="0" xfId="0">
      <alignment horizontal="center" vertical="center"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0" fontId="48" fillId="6" borderId="0" applyAlignment="1" pivotButton="0" quotePrefix="0" xfId="0">
      <alignment horizontal="right" vertical="top" justifyLastLine="1"/>
    </xf>
    <xf numFmtId="3" fontId="48" fillId="6" borderId="0" applyAlignment="1" pivotButton="0" quotePrefix="0" xfId="2">
      <alignment horizontal="right" vertical="top" justifyLastLine="1"/>
    </xf>
    <xf numFmtId="3" fontId="48" fillId="6" borderId="2" applyAlignment="1" pivotButton="0" quotePrefix="0" xfId="2">
      <alignment horizontal="right" vertical="top" justifyLastLine="1"/>
    </xf>
    <xf numFmtId="169" fontId="49" fillId="6" borderId="41" applyAlignment="1" pivotButton="0" quotePrefix="0" xfId="3">
      <alignment horizontal="right" vertical="top" wrapText="1" justifyLastLine="1"/>
    </xf>
    <xf numFmtId="0" fontId="48" fillId="6" borderId="2" applyAlignment="1" pivotButton="0" quotePrefix="0" xfId="0">
      <alignment horizontal="right" vertical="top" wrapText="1" justifyLastLine="1"/>
    </xf>
    <xf numFmtId="0" fontId="48" fillId="6" borderId="2" applyAlignment="1" pivotButton="0" quotePrefix="0" xfId="0">
      <alignment horizontal="right" vertical="top" justifyLastLine="1"/>
    </xf>
    <xf numFmtId="180" fontId="49" fillId="6" borderId="2" applyAlignment="1" pivotButton="0" quotePrefix="0" xfId="0">
      <alignment horizontal="right" vertical="top" justifyLastLine="1"/>
    </xf>
    <xf numFmtId="0" fontId="34" fillId="6" borderId="1" applyAlignment="1" pivotButton="0" quotePrefix="0" xfId="0">
      <alignment horizontal="left" vertical="center"/>
    </xf>
    <xf numFmtId="0" fontId="34" fillId="0" borderId="10" applyAlignment="1" pivotButton="0" quotePrefix="0" xfId="0">
      <alignment horizontal="left" vertical="center"/>
    </xf>
    <xf numFmtId="0" fontId="58" fillId="19" borderId="0" applyAlignment="1" pivotButton="0" quotePrefix="0" xfId="0">
      <alignment horizontal="center" vertical="top" wrapText="1"/>
    </xf>
    <xf numFmtId="0" fontId="44" fillId="10" borderId="0" pivotButton="0" quotePrefix="0" xfId="0"/>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0" fontId="44" fillId="10" borderId="0" applyAlignment="1" pivotButton="0" quotePrefix="0" xfId="0">
      <alignment vertical="top"/>
    </xf>
    <xf numFmtId="0" fontId="44" fillId="10" borderId="1" applyAlignment="1" pivotButton="0" quotePrefix="0" xfId="0">
      <alignment vertical="top"/>
    </xf>
    <xf numFmtId="194" fontId="32" fillId="0" borderId="1" pivotButton="0" quotePrefix="0" xfId="0"/>
    <xf numFmtId="0" fontId="50" fillId="0" borderId="11" pivotButton="0" quotePrefix="0" xfId="0"/>
    <xf numFmtId="165" fontId="47" fillId="0" borderId="0" pivotButton="0" quotePrefix="0" xfId="0"/>
    <xf numFmtId="0" fontId="47" fillId="0" borderId="1" pivotButton="0" quotePrefix="0" xfId="0"/>
    <xf numFmtId="165" fontId="47" fillId="0" borderId="1" pivotButton="0" quotePrefix="0" xfId="0"/>
    <xf numFmtId="0" fontId="50" fillId="0" borderId="9" pivotButton="0" quotePrefix="0" xfId="0"/>
    <xf numFmtId="165" fontId="50" fillId="0"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0" fontId="34" fillId="3" borderId="1" applyAlignment="1" pivotButton="0" quotePrefix="0" xfId="0">
      <alignment horizontal="left"/>
    </xf>
    <xf numFmtId="170" fontId="34" fillId="3" borderId="1" pivotButton="0" quotePrefix="0" xfId="0"/>
    <xf numFmtId="10" fontId="0" fillId="0" borderId="0" pivotButton="0" quotePrefix="0" xfId="0"/>
    <xf numFmtId="0" fontId="58" fillId="19" borderId="0" applyAlignment="1" pivotButton="0" quotePrefix="0" xfId="0">
      <alignment horizontal="left" vertical="top" wrapText="1"/>
    </xf>
    <xf numFmtId="0" fontId="53" fillId="10" borderId="1" applyAlignment="1" pivotButton="0" quotePrefix="0" xfId="0">
      <alignment horizontal="center"/>
    </xf>
    <xf numFmtId="164" fontId="53" fillId="10" borderId="1" applyAlignment="1" pivotButton="0" quotePrefix="0" xfId="0">
      <alignment horizontal="center"/>
    </xf>
    <xf numFmtId="38" fontId="32" fillId="0" borderId="0" pivotButton="0" quotePrefix="0" xfId="2"/>
    <xf numFmtId="0" fontId="41" fillId="0" borderId="0" pivotButton="0" quotePrefix="0" xfId="0"/>
    <xf numFmtId="193" fontId="32" fillId="0" borderId="0" pivotButton="0" quotePrefix="0" xfId="3"/>
    <xf numFmtId="0" fontId="40" fillId="0" borderId="0" applyAlignment="1" pivotButton="0" quotePrefix="0" xfId="0">
      <alignment horizontal="center" vertical="center" wrapText="1"/>
    </xf>
    <xf numFmtId="0" fontId="40" fillId="15" borderId="0" applyAlignment="1" pivotButton="0" quotePrefix="0" xfId="0">
      <alignment vertical="center" wrapText="1"/>
    </xf>
    <xf numFmtId="0" fontId="40" fillId="0" borderId="0" applyAlignment="1" pivotButton="0" quotePrefix="0" xfId="0">
      <alignment vertical="center" wrapText="1"/>
    </xf>
    <xf numFmtId="0" fontId="67" fillId="6" borderId="9" applyAlignment="1" pivotButton="0" quotePrefix="0" xfId="0">
      <alignment vertical="center" wrapText="1"/>
    </xf>
    <xf numFmtId="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0" fontId="68" fillId="0" borderId="0" applyAlignment="1" pivotButton="0" quotePrefix="0" xfId="0">
      <alignment vertical="center" wrapText="1"/>
    </xf>
    <xf numFmtId="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0" fontId="32" fillId="6" borderId="48" applyAlignment="1" pivotButton="0" quotePrefix="0" xfId="0">
      <alignment horizontal="left" wrapText="1"/>
    </xf>
    <xf numFmtId="193" fontId="32" fillId="0" borderId="0" applyAlignment="1" pivotButton="0" quotePrefix="0" xfId="3">
      <alignment horizontal="left"/>
    </xf>
    <xf numFmtId="0" fontId="32" fillId="0" borderId="0" applyAlignment="1" pivotButton="0" quotePrefix="0" xfId="0">
      <alignment horizontal="left"/>
    </xf>
    <xf numFmtId="10" fontId="32" fillId="6" borderId="47" applyAlignment="1" pivotButton="0" quotePrefix="0" xfId="4">
      <alignment horizontal="right" vertical="top"/>
    </xf>
    <xf numFmtId="10" fontId="32" fillId="6" borderId="48" applyAlignment="1" pivotButton="0" quotePrefix="0" xfId="4">
      <alignment horizontal="right" vertical="top"/>
    </xf>
    <xf numFmtId="0" fontId="32" fillId="6" borderId="5" applyAlignment="1" pivotButton="0" quotePrefix="0" xfId="0">
      <alignment horizontal="left" wrapText="1"/>
    </xf>
    <xf numFmtId="10" fontId="32" fillId="6" borderId="5" applyAlignment="1" pivotButton="0" quotePrefix="0" xfId="4">
      <alignment horizontal="right" vertical="top"/>
    </xf>
    <xf numFmtId="0" fontId="39" fillId="15" borderId="1" pivotButton="0" quotePrefix="0" xfId="0"/>
    <xf numFmtId="0" fontId="39" fillId="15" borderId="1" applyAlignment="1" pivotButton="0" quotePrefix="0" xfId="0">
      <alignment horizontal="center"/>
    </xf>
    <xf numFmtId="167" fontId="32" fillId="0" borderId="0" applyAlignment="1" pivotButton="0" quotePrefix="0" xfId="3">
      <alignment horizontal="center"/>
    </xf>
    <xf numFmtId="193" fontId="48" fillId="0" borderId="0" applyAlignment="1" pivotButton="0" quotePrefix="0" xfId="3">
      <alignment horizontal="right"/>
    </xf>
    <xf numFmtId="0" fontId="32" fillId="0" borderId="0" applyAlignment="1" pivotButton="0" quotePrefix="0" xfId="0">
      <alignment horizontal="right"/>
    </xf>
    <xf numFmtId="49" fontId="32" fillId="0" borderId="0" pivotButton="0" quotePrefix="0" xfId="0"/>
    <xf numFmtId="0" fontId="32" fillId="3" borderId="9" pivotButton="0" quotePrefix="0" xfId="0"/>
    <xf numFmtId="167" fontId="32" fillId="3" borderId="9" applyAlignment="1" pivotButton="0" quotePrefix="0" xfId="0">
      <alignment horizontal="center"/>
    </xf>
    <xf numFmtId="164" fontId="32" fillId="0" borderId="0" pivotButton="0" quotePrefix="0" xfId="0"/>
    <xf numFmtId="10" fontId="32" fillId="0" borderId="0" applyAlignment="1" pivotButton="0" quotePrefix="0" xfId="4">
      <alignment horizontal="center"/>
    </xf>
    <xf numFmtId="167" fontId="32" fillId="0" borderId="0" applyAlignment="1" pivotButton="0" quotePrefix="0" xfId="0">
      <alignment horizontal="center"/>
    </xf>
    <xf numFmtId="0" fontId="34" fillId="3" borderId="9" pivotButton="0" quotePrefix="0" xfId="0"/>
    <xf numFmtId="10" fontId="34" fillId="3" borderId="9" pivotButton="0" quotePrefix="0" xfId="4"/>
    <xf numFmtId="0" fontId="40" fillId="15" borderId="0" applyAlignment="1" pivotButton="0" quotePrefix="0" xfId="0">
      <alignment horizontal="right" vertical="center" wrapText="1"/>
    </xf>
    <xf numFmtId="0" fontId="68" fillId="0" borderId="14" applyAlignment="1" pivotButton="0" quotePrefix="0" xfId="0">
      <alignment vertical="center" wrapText="1"/>
    </xf>
    <xf numFmtId="0" fontId="68" fillId="0" borderId="50" applyAlignment="1" pivotButton="0" quotePrefix="0" xfId="0">
      <alignment vertical="center" wrapText="1"/>
    </xf>
    <xf numFmtId="0" fontId="68" fillId="0" borderId="47" applyAlignment="1" pivotButton="0" quotePrefix="0" xfId="0">
      <alignment horizontal="right" vertical="center" wrapText="1"/>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0" fontId="68" fillId="0" borderId="51" applyAlignment="1" pivotButton="0" quotePrefix="0" xfId="0">
      <alignment vertical="center" wrapText="1"/>
    </xf>
    <xf numFmtId="0" fontId="68" fillId="0" borderId="48" applyAlignment="1" pivotButton="0" quotePrefix="0" xfId="0">
      <alignment horizontal="right" vertical="center" wrapText="1"/>
    </xf>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0" fontId="68" fillId="0" borderId="4" applyAlignment="1" pivotButton="0" quotePrefix="0" xfId="0">
      <alignment vertical="center" wrapText="1"/>
    </xf>
    <xf numFmtId="0" fontId="68" fillId="0" borderId="52" applyAlignment="1" pivotButton="0" quotePrefix="0" xfId="0">
      <alignment vertical="center" wrapText="1"/>
    </xf>
    <xf numFmtId="0" fontId="68" fillId="0" borderId="49" applyAlignment="1" pivotButton="0" quotePrefix="0" xfId="0">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0" fontId="68" fillId="11" borderId="17" applyAlignment="1" pivotButton="0" quotePrefix="0" xfId="0">
      <alignment vertical="center" wrapText="1"/>
    </xf>
    <xf numFmtId="0" fontId="68" fillId="11" borderId="8" applyAlignment="1" pivotButton="0" quotePrefix="0" xfId="0">
      <alignment vertical="center" wrapText="1"/>
    </xf>
    <xf numFmtId="0" fontId="68" fillId="11" borderId="9" applyAlignment="1" pivotButton="0" quotePrefix="0" xfId="0">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0" fontId="68" fillId="0" borderId="2" applyAlignment="1" pivotButton="0" quotePrefix="0" xfId="4">
      <alignment vertical="center" wrapText="1"/>
    </xf>
    <xf numFmtId="164" fontId="48" fillId="0" borderId="0" applyAlignment="1" pivotButton="0" quotePrefix="0" xfId="0">
      <alignment horizontal="right" vertical="center" wrapText="1"/>
    </xf>
    <xf numFmtId="0" fontId="68" fillId="0" borderId="0" applyAlignment="1" pivotButton="0" quotePrefix="0" xfId="0">
      <alignment horizontal="right" vertical="center" wrapText="1"/>
    </xf>
    <xf numFmtId="164" fontId="68" fillId="0" borderId="9" applyAlignment="1" pivotButton="0" quotePrefix="0" xfId="3">
      <alignment horizontal="right" vertical="center" wrapText="1"/>
    </xf>
    <xf numFmtId="0" fontId="40" fillId="15" borderId="17" applyAlignment="1" pivotButton="0" quotePrefix="0" xfId="0">
      <alignment vertical="center" wrapText="1"/>
    </xf>
    <xf numFmtId="0" fontId="40" fillId="15" borderId="8" applyAlignment="1" pivotButton="0" quotePrefix="0" xfId="0">
      <alignment vertical="center" wrapText="1"/>
    </xf>
    <xf numFmtId="0" fontId="40" fillId="15" borderId="9" applyAlignment="1" pivotButton="0" quotePrefix="0" xfId="0">
      <alignment horizontal="right" vertical="center" wrapText="1"/>
    </xf>
    <xf numFmtId="0" fontId="68" fillId="0" borderId="36" applyAlignment="1" pivotButton="0" quotePrefix="0" xfId="0">
      <alignment vertical="center" wrapText="1"/>
    </xf>
    <xf numFmtId="10" fontId="68" fillId="0" borderId="42" applyAlignment="1" pivotButton="0" quotePrefix="0" xfId="4">
      <alignment vertical="center" wrapText="1"/>
    </xf>
    <xf numFmtId="164" fontId="68" fillId="0" borderId="43" applyAlignment="1" pivotButton="0" quotePrefix="0" xfId="3">
      <alignment horizontal="right" vertical="center" wrapText="1"/>
    </xf>
    <xf numFmtId="0" fontId="68" fillId="10" borderId="43" applyAlignment="1" pivotButton="0" quotePrefix="0" xfId="0">
      <alignment horizontal="right" vertical="center" wrapText="1"/>
    </xf>
    <xf numFmtId="10" fontId="68" fillId="0" borderId="52" applyAlignment="1" pivotButton="0" quotePrefix="0" xfId="4">
      <alignment vertical="center" wrapText="1"/>
    </xf>
    <xf numFmtId="0" fontId="68" fillId="10" borderId="49" applyAlignment="1" pivotButton="0" quotePrefix="0" xfId="0">
      <alignment horizontal="right" vertical="center" wrapText="1"/>
    </xf>
    <xf numFmtId="164" fontId="68" fillId="0" borderId="49" applyAlignment="1" pivotButton="0" quotePrefix="0" xfId="3">
      <alignment horizontal="right" vertical="center" wrapText="1"/>
    </xf>
    <xf numFmtId="0" fontId="67" fillId="11" borderId="43" applyAlignment="1" pivotButton="0" quotePrefix="0" xfId="0">
      <alignment vertical="center" wrapText="1"/>
    </xf>
    <xf numFmtId="193" fontId="67" fillId="11" borderId="43" applyAlignment="1" pivotButton="0" quotePrefix="0" xfId="0">
      <alignment horizontal="right" vertical="center" wrapText="1"/>
    </xf>
    <xf numFmtId="0" fontId="67" fillId="3" borderId="43" applyAlignment="1" pivotButton="0" quotePrefix="0" xfId="0">
      <alignment horizontal="right" vertical="center" wrapText="1"/>
    </xf>
    <xf numFmtId="164" fontId="67" fillId="3" borderId="43" applyAlignment="1" pivotButton="0" quotePrefix="0" xfId="3">
      <alignment horizontal="right" vertical="center" wrapText="1"/>
    </xf>
    <xf numFmtId="0" fontId="67" fillId="11" borderId="49" applyAlignment="1" pivotButton="0" quotePrefix="0" xfId="0">
      <alignmen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0" fontId="32" fillId="0" borderId="0" pivotButton="0" quotePrefix="0" xfId="4"/>
    <xf numFmtId="0" fontId="39" fillId="15" borderId="0" applyAlignment="1" pivotButton="0" quotePrefix="0" xfId="0">
      <alignment horizontal="left"/>
    </xf>
    <xf numFmtId="0" fontId="39" fillId="15" borderId="0" applyAlignment="1" pivotButton="0" quotePrefix="0" xfId="0">
      <alignment horizontal="center"/>
    </xf>
    <xf numFmtId="0" fontId="48" fillId="6" borderId="0" applyAlignment="1" pivotButton="0" quotePrefix="0" xfId="0">
      <alignment vertical="center"/>
    </xf>
    <xf numFmtId="0" fontId="48" fillId="6" borderId="0" applyAlignment="1" pivotButton="0" quotePrefix="0" xfId="0">
      <alignment horizontal="center" vertical="center" wrapText="1"/>
    </xf>
    <xf numFmtId="0" fontId="48" fillId="6" borderId="0" applyAlignment="1" pivotButton="0" quotePrefix="0" xfId="0">
      <alignment vertical="center" wrapText="1"/>
    </xf>
    <xf numFmtId="0" fontId="40" fillId="12" borderId="20" applyAlignment="1" pivotButton="0" quotePrefix="0" xfId="0">
      <alignment vertical="center" wrapText="1"/>
    </xf>
    <xf numFmtId="0" fontId="48" fillId="6" borderId="0" applyAlignment="1" pivotButton="0" quotePrefix="0" xfId="0">
      <alignment horizontal="center"/>
    </xf>
    <xf numFmtId="0" fontId="48" fillId="0" borderId="56" applyAlignment="1" pivotButton="0" quotePrefix="0" xfId="0">
      <alignmen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0" fontId="48" fillId="6" borderId="0" applyAlignment="1" pivotButton="0" quotePrefix="0" xfId="0">
      <alignment horizontal="center" vertical="center"/>
    </xf>
    <xf numFmtId="0" fontId="48" fillId="0" borderId="22" applyAlignment="1" pivotButton="0" quotePrefix="0" xfId="0">
      <alignment vertical="center" wrapText="1"/>
    </xf>
    <xf numFmtId="10" fontId="48" fillId="0" borderId="5" applyAlignment="1" pivotButton="0" quotePrefix="0" xfId="0">
      <alignment horizontal="center" vertical="center" wrapText="1"/>
    </xf>
    <xf numFmtId="10" fontId="48" fillId="0" borderId="59" applyAlignment="1" pivotButton="0" quotePrefix="0" xfId="0">
      <alignment horizontal="center" vertical="center" wrapText="1"/>
    </xf>
    <xf numFmtId="0" fontId="44" fillId="3" borderId="11" applyAlignment="1" pivotButton="0" quotePrefix="0" xfId="0">
      <alignment vertical="center"/>
    </xf>
    <xf numFmtId="0" fontId="44" fillId="3" borderId="11" applyAlignment="1" pivotButton="0" quotePrefix="0" xfId="0">
      <alignment horizontal="center" vertical="center"/>
    </xf>
    <xf numFmtId="0" fontId="44" fillId="3" borderId="11" applyAlignment="1" pivotButton="0" quotePrefix="0" xfId="0">
      <alignment horizontal="center"/>
    </xf>
    <xf numFmtId="0" fontId="48" fillId="11" borderId="42" applyAlignment="1" pivotButton="0" quotePrefix="0" xfId="0">
      <alignment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0" fontId="44" fillId="3" borderId="1" applyAlignment="1" pivotButton="0" quotePrefix="0" xfId="0">
      <alignment vertical="center"/>
    </xf>
    <xf numFmtId="10" fontId="44" fillId="3" borderId="1" applyAlignment="1" pivotButton="0" quotePrefix="0" xfId="0">
      <alignment horizontal="center" vertical="center"/>
    </xf>
    <xf numFmtId="10" fontId="44" fillId="3" borderId="1" applyAlignment="1" pivotButton="0" quotePrefix="0" xfId="0">
      <alignment horizontal="center"/>
    </xf>
    <xf numFmtId="10" fontId="44" fillId="3" borderId="1" applyAlignment="1" pivotButton="0" quotePrefix="0" xfId="0">
      <alignment vertical="center"/>
    </xf>
    <xf numFmtId="0" fontId="44" fillId="11" borderId="52" applyAlignment="1" pivotButton="0" quotePrefix="0" xfId="0">
      <alignment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0" fontId="44" fillId="6" borderId="9" applyAlignment="1" pivotButton="0" quotePrefix="0" xfId="0">
      <alignment vertical="center"/>
    </xf>
    <xf numFmtId="10" fontId="44" fillId="6" borderId="9" applyAlignment="1" pivotButton="0" quotePrefix="0" xfId="0">
      <alignment horizontal="center" vertical="center"/>
    </xf>
    <xf numFmtId="10" fontId="44" fillId="6" borderId="9" applyAlignment="1" pivotButton="0" quotePrefix="0" xfId="0">
      <alignment horizontal="center"/>
    </xf>
    <xf numFmtId="0" fontId="32" fillId="0" borderId="9" pivotButton="0" quotePrefix="0" xfId="0"/>
    <xf numFmtId="2" fontId="31" fillId="6" borderId="0" pivotButton="0" quotePrefix="0" xfId="0"/>
    <xf numFmtId="0" fontId="44" fillId="11" borderId="0" applyAlignment="1" pivotButton="0" quotePrefix="0" xfId="0">
      <alignment vertical="center" wrapText="1"/>
    </xf>
    <xf numFmtId="193" fontId="44" fillId="11" borderId="0" applyAlignment="1" pivotButton="0" quotePrefix="0" xfId="0">
      <alignment horizontal="center" vertical="center" wrapText="1"/>
    </xf>
    <xf numFmtId="0" fontId="44" fillId="6" borderId="0" applyAlignment="1" pivotButton="0" quotePrefix="0" xfId="0">
      <alignment vertical="center"/>
    </xf>
    <xf numFmtId="10" fontId="44" fillId="6" borderId="0" applyAlignment="1" pivotButton="0" quotePrefix="0" xfId="0">
      <alignment horizontal="center" vertical="center"/>
    </xf>
    <xf numFmtId="10" fontId="44" fillId="6" borderId="0" applyAlignment="1" pivotButton="0" quotePrefix="0" xfId="0">
      <alignment horizontal="center"/>
    </xf>
    <xf numFmtId="10" fontId="44" fillId="6" borderId="0" applyAlignment="1" pivotButton="0" quotePrefix="0" xfId="0">
      <alignment vertical="center"/>
    </xf>
    <xf numFmtId="0" fontId="50" fillId="3" borderId="1" applyAlignment="1" pivotButton="0" quotePrefix="0" xfId="0">
      <alignment vertical="center"/>
    </xf>
    <xf numFmtId="165" fontId="50" fillId="3" borderId="1" applyAlignment="1" pivotButton="0" quotePrefix="0" xfId="0">
      <alignment horizontal="center" vertical="center"/>
    </xf>
    <xf numFmtId="178" fontId="5" fillId="0" borderId="9" applyAlignment="1" applyProtection="1" pivotButton="0" quotePrefix="0" xfId="0">
      <alignment horizontal="left"/>
      <protection locked="0" hidden="0"/>
    </xf>
    <xf numFmtId="0" fontId="5" fillId="0" borderId="9" applyAlignment="1" pivotButton="0" quotePrefix="0" xfId="0">
      <alignment horizontal="center"/>
    </xf>
    <xf numFmtId="175" fontId="47" fillId="0" borderId="0" applyAlignment="1" pivotButton="0" quotePrefix="0" xfId="0">
      <alignment horizontal="left"/>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7" fontId="47" fillId="0" borderId="0" applyAlignment="1" pivotButton="0" quotePrefix="0" xfId="0">
      <alignment horizontal="left"/>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0" fontId="21" fillId="17" borderId="0" applyAlignment="1" pivotButton="0" quotePrefix="0" xfId="0">
      <alignment wrapText="1"/>
    </xf>
    <xf numFmtId="168" fontId="47" fillId="0" borderId="1" pivotButton="0" quotePrefix="0" xfId="0"/>
    <xf numFmtId="37"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0" fontId="32" fillId="0" borderId="0" applyAlignment="1" pivotButton="0" quotePrefix="0" xfId="1">
      <alignment horizontal="left" vertical="top"/>
    </xf>
    <xf numFmtId="1" fontId="32" fillId="0" borderId="0" applyAlignment="1" pivotButton="0" quotePrefix="0" xfId="1">
      <alignment horizontal="left" vertical="top"/>
    </xf>
    <xf numFmtId="165" fontId="32" fillId="0" borderId="0" applyAlignment="1" pivotButton="0" quotePrefix="0" xfId="1">
      <alignment horizontal="left" vertical="top"/>
    </xf>
    <xf numFmtId="164" fontId="32" fillId="0" borderId="0" applyAlignment="1" pivotButton="0" quotePrefix="0" xfId="1">
      <alignment horizontal="left" vertical="top"/>
    </xf>
    <xf numFmtId="0" fontId="32" fillId="0" borderId="0" applyAlignment="1" pivotButton="0" quotePrefix="0" xfId="0">
      <alignment horizontal="left" vertical="top"/>
    </xf>
    <xf numFmtId="0" fontId="32" fillId="0" borderId="0" applyAlignment="1" pivotButton="0" quotePrefix="0" xfId="1">
      <alignment horizontal="left" vertical="center"/>
    </xf>
    <xf numFmtId="0" fontId="70" fillId="0" borderId="0" applyAlignment="1" pivotButton="0" quotePrefix="0" xfId="0">
      <alignment horizontal="left" vertical="top"/>
    </xf>
    <xf numFmtId="0" fontId="32" fillId="0" borderId="1" applyAlignment="1" pivotButton="0" quotePrefix="0" xfId="0">
      <alignment horizontal="left" vertical="top"/>
    </xf>
    <xf numFmtId="0" fontId="44" fillId="6" borderId="0" pivotButton="0" quotePrefix="0" xfId="0"/>
    <xf numFmtId="0" fontId="44" fillId="6" borderId="1" pivotButton="0" quotePrefix="0" xfId="0"/>
    <xf numFmtId="0" fontId="44" fillId="6" borderId="0" applyAlignment="1" pivotButton="0" quotePrefix="0" xfId="0">
      <alignment vertical="top"/>
    </xf>
    <xf numFmtId="0" fontId="44" fillId="6" borderId="0" applyAlignment="1" pivotButton="0" quotePrefix="0" xfId="0">
      <alignment horizontal="left" vertical="top"/>
    </xf>
    <xf numFmtId="0" fontId="48" fillId="6" borderId="0" applyAlignment="1" pivotButton="0" quotePrefix="0" xfId="0">
      <alignment vertical="top"/>
    </xf>
    <xf numFmtId="0" fontId="0" fillId="6" borderId="0" applyAlignment="1" pivotButton="0" quotePrefix="0" xfId="0">
      <alignment horizontal="left" indent="1"/>
    </xf>
    <xf numFmtId="0" fontId="0" fillId="6" borderId="1" applyAlignment="1" pivotButton="0" quotePrefix="0" xfId="0">
      <alignment horizontal="left"/>
    </xf>
    <xf numFmtId="0" fontId="34" fillId="6" borderId="1" applyAlignment="1" pivotButton="0" quotePrefix="0" xfId="0">
      <alignment horizontal="left" vertical="top" wrapText="1" indent="1"/>
    </xf>
    <xf numFmtId="0" fontId="34" fillId="6" borderId="0" applyAlignment="1" pivotButton="0" quotePrefix="0" xfId="0">
      <alignment horizontal="left" vertical="top" wrapText="1" indent="1"/>
    </xf>
    <xf numFmtId="0" fontId="50" fillId="22" borderId="11" pivotButton="0" quotePrefix="0" xfId="0"/>
    <xf numFmtId="165" fontId="47" fillId="22" borderId="0" pivotButton="0" quotePrefix="0" xfId="0"/>
    <xf numFmtId="0" fontId="47" fillId="22" borderId="1" pivotButton="0" quotePrefix="0" xfId="0"/>
    <xf numFmtId="165" fontId="47" fillId="22" borderId="1" pivotButton="0" quotePrefix="0" xfId="0"/>
    <xf numFmtId="0" fontId="0" fillId="6" borderId="0" pivotButton="0" quotePrefix="0" xfId="9"/>
    <xf numFmtId="0" fontId="39" fillId="19" borderId="0" applyAlignment="1" pivotButton="0" quotePrefix="0" xfId="0">
      <alignment horizontal="center"/>
    </xf>
    <xf numFmtId="169" fontId="32" fillId="0" borderId="1" applyAlignment="1" pivotButton="0" quotePrefix="0" xfId="0">
      <alignment horizontal="center" vertical="center"/>
    </xf>
    <xf numFmtId="0" fontId="32" fillId="0" borderId="1" applyAlignment="1" pivotButton="0" quotePrefix="0" xfId="0">
      <alignment horizontal="center"/>
    </xf>
    <xf numFmtId="179" fontId="32" fillId="0" borderId="1" applyAlignment="1" pivotButton="0" quotePrefix="0" xfId="0">
      <alignment horizontal="center"/>
    </xf>
    <xf numFmtId="165" fontId="32" fillId="0" borderId="1" applyAlignment="1" pivotButton="0" quotePrefix="0" xfId="3">
      <alignment horizontal="center"/>
    </xf>
    <xf numFmtId="194" fontId="32" fillId="6" borderId="1" pivotButton="0" quotePrefix="0" xfId="0"/>
    <xf numFmtId="0" fontId="50" fillId="6" borderId="9" pivotButton="0" quotePrefix="0" xfId="0"/>
    <xf numFmtId="165" fontId="50" fillId="6" borderId="11" pivotButton="0" quotePrefix="0" xfId="0"/>
    <xf numFmtId="0" fontId="44" fillId="6" borderId="0" applyAlignment="1" pivotButton="0" quotePrefix="0" xfId="0">
      <alignment vertical="top" wrapText="1"/>
    </xf>
    <xf numFmtId="0" fontId="34" fillId="6" borderId="0" applyAlignment="1" pivotButton="0" quotePrefix="0" xfId="0">
      <alignment vertical="top" wrapText="1"/>
    </xf>
    <xf numFmtId="0" fontId="0" fillId="0" borderId="0" applyAlignment="1" pivotButton="0" quotePrefix="0" xfId="0">
      <alignment horizontal="left"/>
    </xf>
    <xf numFmtId="0" fontId="48" fillId="6" borderId="2" applyAlignment="1" pivotButton="0" quotePrefix="0" xfId="0">
      <alignment vertical="center" justifyLastLine="1"/>
    </xf>
    <xf numFmtId="0" fontId="48" fillId="6" borderId="2" applyAlignment="1" pivotButton="0" quotePrefix="0" xfId="0">
      <alignment vertical="center" wrapText="1" justifyLastLine="1"/>
    </xf>
    <xf numFmtId="180" fontId="49" fillId="6" borderId="2" applyAlignment="1" pivotButton="0" quotePrefix="0" xfId="0">
      <alignment vertical="center" justifyLastLine="1"/>
    </xf>
    <xf numFmtId="3" fontId="48" fillId="6" borderId="2" applyAlignment="1" pivotButton="0" quotePrefix="0" xfId="2">
      <alignment vertical="center" justifyLastLine="1"/>
    </xf>
    <xf numFmtId="169" fontId="49" fillId="6" borderId="40" applyAlignment="1" pivotButton="0" quotePrefix="0" xfId="3">
      <alignment vertical="center" wrapText="1" justifyLastLine="1"/>
    </xf>
    <xf numFmtId="169" fontId="48" fillId="6" borderId="2" applyAlignment="1" pivotButton="0" quotePrefix="0" xfId="3">
      <alignment vertical="center" justifyLastLine="1"/>
    </xf>
    <xf numFmtId="0" fontId="0" fillId="0" borderId="0" applyAlignment="1" pivotButton="0" quotePrefix="0" xfId="0">
      <alignment horizontal="right"/>
    </xf>
    <xf numFmtId="186" fontId="50" fillId="3" borderId="37" applyAlignment="1" pivotButton="0" quotePrefix="0" xfId="3">
      <alignment horizontal="right" vertical="center"/>
    </xf>
    <xf numFmtId="170" fontId="50" fillId="8" borderId="38" applyAlignment="1" pivotButton="0" quotePrefix="0" xfId="3">
      <alignment horizontal="right" vertical="center"/>
    </xf>
    <xf numFmtId="9" fontId="50" fillId="6" borderId="0" applyAlignment="1" pivotButton="0" quotePrefix="0" xfId="4">
      <alignment vertical="center"/>
    </xf>
    <xf numFmtId="0" fontId="44" fillId="6" borderId="2" applyAlignment="1" pivotButton="0" quotePrefix="0" xfId="0">
      <alignment horizontal="right" vertical="center"/>
    </xf>
    <xf numFmtId="3" fontId="44" fillId="6" borderId="2" applyAlignment="1" pivotButton="0" quotePrefix="0" xfId="2">
      <alignment horizontal="right" vertical="center"/>
    </xf>
    <xf numFmtId="1" fontId="50" fillId="6" borderId="0" applyAlignment="1" pivotButton="0" quotePrefix="0" xfId="0">
      <alignment vertical="center"/>
    </xf>
    <xf numFmtId="3" fontId="44" fillId="6" borderId="2" applyAlignment="1" pivotButton="0" quotePrefix="0" xfId="0">
      <alignment horizontal="right" vertical="center" wrapText="1"/>
    </xf>
    <xf numFmtId="0" fontId="43" fillId="6" borderId="2" applyAlignment="1" pivotButton="0" quotePrefix="0" xfId="0">
      <alignment horizontal="right" vertical="center"/>
    </xf>
    <xf numFmtId="0" fontId="49" fillId="6" borderId="65" applyAlignment="1" pivotButton="0" quotePrefix="0" xfId="0">
      <alignment horizontal="right" vertical="center"/>
    </xf>
    <xf numFmtId="0" fontId="49" fillId="6" borderId="15" applyAlignment="1" pivotButton="0" quotePrefix="0" xfId="0">
      <alignment horizontal="right" vertical="center"/>
    </xf>
    <xf numFmtId="0" fontId="52" fillId="3" borderId="66" applyAlignment="1" pivotButton="0" quotePrefix="0" xfId="0">
      <alignment horizontal="right" vertical="center" wrapText="1"/>
    </xf>
    <xf numFmtId="9" fontId="47" fillId="3" borderId="66" applyAlignment="1" pivotButton="0" quotePrefix="0" xfId="4">
      <alignment horizontal="right" vertical="center"/>
    </xf>
    <xf numFmtId="1" fontId="52" fillId="6" borderId="15" applyAlignment="1" pivotButton="0" quotePrefix="0" xfId="0">
      <alignment horizontal="right" vertical="center"/>
    </xf>
    <xf numFmtId="1" fontId="56" fillId="6" borderId="15" applyAlignment="1" pivotButton="0" quotePrefix="0" xfId="0">
      <alignment horizontal="right" vertical="center" wrapText="1"/>
    </xf>
    <xf numFmtId="9" fontId="56" fillId="6" borderId="15" applyAlignment="1" pivotButton="0" quotePrefix="0" xfId="4">
      <alignment horizontal="right" vertical="center"/>
    </xf>
    <xf numFmtId="9" fontId="57" fillId="6" borderId="15" applyAlignment="1" pivotButton="0" quotePrefix="0" xfId="0">
      <alignment horizontal="right" vertical="center" wrapText="1"/>
    </xf>
    <xf numFmtId="9" fontId="56" fillId="6" borderId="15" applyAlignment="1" pivotButton="0" quotePrefix="0" xfId="4">
      <alignment horizontal="right" vertical="center" wrapText="1"/>
    </xf>
    <xf numFmtId="3" fontId="44" fillId="6" borderId="15" applyAlignment="1" pivotButton="0" quotePrefix="0" xfId="2">
      <alignment horizontal="right" vertical="center"/>
    </xf>
    <xf numFmtId="0" fontId="56" fillId="6" borderId="15" applyAlignment="1" pivotButton="0" quotePrefix="0" xfId="4">
      <alignment horizontal="right" vertical="center" wrapText="1"/>
    </xf>
    <xf numFmtId="0" fontId="56" fillId="6" borderId="15" applyAlignment="1" pivotButton="0" quotePrefix="0" xfId="4">
      <alignment horizontal="right" vertical="center"/>
    </xf>
    <xf numFmtId="0" fontId="52" fillId="3" borderId="65" applyAlignment="1" pivotButton="0" quotePrefix="0" xfId="0">
      <alignment vertical="center"/>
    </xf>
    <xf numFmtId="0" fontId="52" fillId="8" borderId="66" applyAlignment="1" pivotButton="0" quotePrefix="0" xfId="0">
      <alignment vertical="center"/>
    </xf>
    <xf numFmtId="0" fontId="50" fillId="3" borderId="24" applyAlignment="1" pivotButton="0" quotePrefix="0" xfId="0">
      <alignment vertical="center"/>
    </xf>
    <xf numFmtId="0" fontId="50" fillId="8" borderId="24" applyAlignment="1" pivotButton="0" quotePrefix="0" xfId="0">
      <alignment horizontal="right" vertical="center"/>
    </xf>
    <xf numFmtId="0" fontId="48" fillId="6" borderId="6" applyAlignment="1" pivotButton="0" quotePrefix="0" xfId="0">
      <alignment horizontal="right" vertical="center"/>
    </xf>
    <xf numFmtId="0" fontId="48" fillId="6" borderId="0" applyAlignment="1" pivotButton="0" quotePrefix="0" xfId="0">
      <alignment horizontal="right" vertical="center"/>
    </xf>
    <xf numFmtId="180" fontId="48" fillId="6" borderId="0" applyAlignment="1" pivotButton="0" quotePrefix="0" xfId="0">
      <alignment horizontal="right" vertical="center"/>
    </xf>
    <xf numFmtId="0" fontId="48" fillId="3" borderId="24" applyAlignment="1" pivotButton="0" quotePrefix="0" xfId="0">
      <alignment horizontal="right" vertical="center"/>
    </xf>
    <xf numFmtId="0" fontId="44" fillId="6" borderId="0" applyAlignment="1" pivotButton="0" quotePrefix="0" xfId="0">
      <alignment horizontal="right" vertical="center"/>
    </xf>
    <xf numFmtId="1" fontId="56" fillId="6" borderId="0" applyAlignment="1" pivotButton="0" quotePrefix="0" xfId="0">
      <alignment horizontal="right" vertical="center" wrapText="1"/>
    </xf>
    <xf numFmtId="9" fontId="56" fillId="6" borderId="0" applyAlignment="1" pivotButton="0" quotePrefix="0" xfId="4">
      <alignment horizontal="right" vertical="center"/>
    </xf>
    <xf numFmtId="9" fontId="57" fillId="6" borderId="0" applyAlignment="1" pivotButton="0" quotePrefix="0" xfId="0">
      <alignment horizontal="right" vertical="center" wrapText="1"/>
    </xf>
    <xf numFmtId="3" fontId="44" fillId="6" borderId="0" applyAlignment="1" pivotButton="0" quotePrefix="0" xfId="2">
      <alignment horizontal="right" vertical="center"/>
    </xf>
    <xf numFmtId="3" fontId="44" fillId="6" borderId="0" applyAlignment="1" pivotButton="0" quotePrefix="0" xfId="0">
      <alignment horizontal="right" vertical="center" wrapText="1"/>
    </xf>
    <xf numFmtId="0" fontId="43" fillId="6" borderId="0" applyAlignment="1" pivotButton="0" quotePrefix="0" xfId="0">
      <alignment horizontal="right" vertical="center"/>
    </xf>
    <xf numFmtId="0" fontId="56" fillId="6" borderId="0" applyAlignment="1" pivotButton="0" quotePrefix="0" xfId="4">
      <alignment horizontal="right" vertical="center" wrapText="1"/>
    </xf>
    <xf numFmtId="0" fontId="56" fillId="6" borderId="0" applyAlignment="1" pivotButton="0" quotePrefix="0" xfId="4">
      <alignment horizontal="right" vertical="center"/>
    </xf>
    <xf numFmtId="0" fontId="50" fillId="8" borderId="64" applyAlignment="1" pivotButton="0" quotePrefix="0" xfId="0">
      <alignment horizontal="right" vertical="center"/>
    </xf>
    <xf numFmtId="186" fontId="50" fillId="3" borderId="36" applyAlignment="1" pivotButton="0" quotePrefix="0" xfId="3">
      <alignment horizontal="right" vertical="center"/>
    </xf>
    <xf numFmtId="170" fontId="50" fillId="8" borderId="17" applyAlignment="1" pivotButton="0" quotePrefix="0" xfId="3">
      <alignment horizontal="right" vertical="center"/>
    </xf>
    <xf numFmtId="186" fontId="50" fillId="3" borderId="17" applyAlignment="1" pivotButton="0" quotePrefix="0" xfId="3">
      <alignment horizontal="right" vertical="center"/>
    </xf>
    <xf numFmtId="0" fontId="32" fillId="6" borderId="0" applyAlignment="1" pivotButton="0" quotePrefix="0" xfId="0">
      <alignment horizontal="left" wrapText="1"/>
    </xf>
    <xf numFmtId="0" fontId="44" fillId="3" borderId="0" applyAlignment="1" pivotButton="0" quotePrefix="0" xfId="0">
      <alignment horizontal="right" vertical="center" wrapText="1"/>
    </xf>
    <xf numFmtId="3" fontId="57" fillId="6" borderId="0" applyAlignment="1" pivotButton="0" quotePrefix="0" xfId="0">
      <alignment horizontal="right" vertical="center" wrapText="1"/>
    </xf>
    <xf numFmtId="3" fontId="57" fillId="6" borderId="0" applyAlignment="1" pivotButton="0" quotePrefix="0" xfId="0">
      <alignment horizontal="right" vertical="center"/>
    </xf>
    <xf numFmtId="170" fontId="52" fillId="6" borderId="2" applyAlignment="1" pivotButton="0" quotePrefix="0" xfId="3">
      <alignment horizontal="right" vertical="center"/>
    </xf>
    <xf numFmtId="186" fontId="53" fillId="6" borderId="2" applyAlignment="1" pivotButton="0" quotePrefix="0" xfId="4">
      <alignment horizontal="right" vertical="center"/>
    </xf>
    <xf numFmtId="186" fontId="50" fillId="3" borderId="11" applyAlignment="1" pivotButton="0" quotePrefix="0" xfId="3">
      <alignment horizontal="right" vertical="center"/>
    </xf>
    <xf numFmtId="170" fontId="50" fillId="8" borderId="9" applyAlignment="1" pivotButton="0" quotePrefix="0" xfId="3">
      <alignment horizontal="right" vertical="center"/>
    </xf>
    <xf numFmtId="0" fontId="48" fillId="3" borderId="6" applyAlignment="1" pivotButton="0" quotePrefix="0" xfId="0">
      <alignment horizontal="right" vertical="center"/>
    </xf>
    <xf numFmtId="170" fontId="44" fillId="3" borderId="11" applyAlignment="1" pivotButton="0" quotePrefix="0" xfId="3">
      <alignment horizontal="right" vertical="center"/>
    </xf>
    <xf numFmtId="0" fontId="48" fillId="15" borderId="9" applyAlignment="1" pivotButton="0" quotePrefix="0" xfId="0">
      <alignment horizontal="right" vertical="center"/>
    </xf>
    <xf numFmtId="0" fontId="40" fillId="15" borderId="0" applyAlignment="1" pivotButton="0" quotePrefix="0" xfId="0">
      <alignment horizontal="center" vertical="center" wrapText="1"/>
    </xf>
    <xf numFmtId="0" fontId="0" fillId="5" borderId="0" applyAlignment="1" pivotButton="0" quotePrefix="0" xfId="0">
      <alignment horizontal="right"/>
    </xf>
    <xf numFmtId="1" fontId="0" fillId="5" borderId="0" pivotButton="0" quotePrefix="0" xfId="0"/>
    <xf numFmtId="3" fontId="0" fillId="5" borderId="0" applyAlignment="1" pivotButton="0" quotePrefix="0" xfId="0">
      <alignment horizontal="right"/>
    </xf>
    <xf numFmtId="0" fontId="0" fillId="5" borderId="0" applyAlignment="1" pivotButton="0" quotePrefix="0" xfId="0">
      <alignment horizontal="right" wrapText="1"/>
    </xf>
    <xf numFmtId="0" fontId="0" fillId="5" borderId="0" pivotButton="0" quotePrefix="0" xfId="0"/>
    <xf numFmtId="9" fontId="0" fillId="5" borderId="0" applyAlignment="1" pivotButton="0" quotePrefix="0" xfId="4">
      <alignment horizontal="right"/>
    </xf>
    <xf numFmtId="169" fontId="0" fillId="5" borderId="0" pivotButton="0" quotePrefix="0" xfId="0"/>
    <xf numFmtId="14" fontId="0" fillId="5" borderId="0" pivotButton="0" quotePrefix="0" xfId="0"/>
    <xf numFmtId="14" fontId="0" fillId="5" borderId="0" applyAlignment="1" pivotButton="0" quotePrefix="0" xfId="0">
      <alignment horizontal="right"/>
    </xf>
    <xf numFmtId="0" fontId="5" fillId="5" borderId="0" pivotButton="0" quotePrefix="0" xfId="0"/>
    <xf numFmtId="169" fontId="0" fillId="6" borderId="0" applyAlignment="1" pivotButton="0" quotePrefix="0" xfId="0">
      <alignment horizontal="right"/>
    </xf>
    <xf numFmtId="0" fontId="62" fillId="6" borderId="0" applyAlignment="1" pivotButton="0" quotePrefix="0" xfId="0">
      <alignment horizontal="left" vertical="center"/>
    </xf>
    <xf numFmtId="0" fontId="32" fillId="6" borderId="0" applyAlignment="1" pivotButton="0" quotePrefix="0" xfId="0">
      <alignment horizontal="left" vertical="center"/>
    </xf>
    <xf numFmtId="0" fontId="32" fillId="6" borderId="0" applyAlignment="1" pivotButton="0" quotePrefix="0" xfId="0">
      <alignment horizontal="left" vertical="center"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0" fontId="60" fillId="10" borderId="0" pivotButton="0" quotePrefix="0" xfId="0"/>
    <xf numFmtId="0" fontId="59" fillId="10" borderId="0" applyAlignment="1" pivotButton="0" quotePrefix="0" xfId="0">
      <alignment horizontal="right"/>
    </xf>
    <xf numFmtId="179" fontId="59" fillId="10" borderId="0" applyAlignment="1" pivotButton="0" quotePrefix="0" xfId="0">
      <alignment horizontal="right"/>
    </xf>
    <xf numFmtId="0" fontId="60" fillId="9" borderId="0" pivotButton="0" quotePrefix="0" xfId="0"/>
    <xf numFmtId="0" fontId="59" fillId="9" borderId="0" applyAlignment="1" pivotButton="0" quotePrefix="0" xfId="0">
      <alignment horizontal="right"/>
    </xf>
    <xf numFmtId="3" fontId="59" fillId="10" borderId="0" applyAlignment="1" pivotButton="0" quotePrefix="0" xfId="0">
      <alignment horizontal="right"/>
    </xf>
    <xf numFmtId="1" fontId="59" fillId="10" borderId="0" applyAlignment="1" pivotButton="0" quotePrefix="0" xfId="0">
      <alignment horizontal="right"/>
    </xf>
    <xf numFmtId="0" fontId="59" fillId="10" borderId="0" applyAlignment="1" pivotButton="0" quotePrefix="0" xfId="0">
      <alignment horizontal="right" wrapText="1"/>
    </xf>
    <xf numFmtId="9" fontId="59" fillId="10" borderId="0" applyAlignment="1" pivotButton="0" quotePrefix="0" xfId="0">
      <alignment horizontal="right"/>
    </xf>
    <xf numFmtId="0" fontId="60" fillId="10" borderId="1" pivotButton="0" quotePrefix="0" xfId="0"/>
    <xf numFmtId="9" fontId="59" fillId="10" borderId="1" applyAlignment="1" pivotButton="0" quotePrefix="0" xfId="0">
      <alignment horizontal="right"/>
    </xf>
    <xf numFmtId="0" fontId="58" fillId="9" borderId="0" applyAlignment="1" pivotButton="0" quotePrefix="0" xfId="0">
      <alignment horizontal="center"/>
    </xf>
    <xf numFmtId="0" fontId="60" fillId="6" borderId="0" pivotButton="0" quotePrefix="0" xfId="0"/>
    <xf numFmtId="193" fontId="59" fillId="6" borderId="0" applyAlignment="1" pivotButton="0" quotePrefix="0" xfId="0">
      <alignment horizontal="center"/>
    </xf>
    <xf numFmtId="164" fontId="59" fillId="6" borderId="0" applyAlignment="1" pivotButton="0" quotePrefix="0" xfId="0">
      <alignment horizontal="center"/>
    </xf>
    <xf numFmtId="0" fontId="60" fillId="6" borderId="1" pivotButton="0" quotePrefix="0" xfId="0"/>
    <xf numFmtId="193" fontId="59" fillId="6" borderId="1" applyAlignment="1" pivotButton="0" quotePrefix="0" xfId="0">
      <alignment horizontal="center"/>
    </xf>
    <xf numFmtId="164" fontId="59" fillId="6" borderId="1" applyAlignment="1" pivotButton="0" quotePrefix="0" xfId="0">
      <alignment horizontal="center"/>
    </xf>
    <xf numFmtId="0" fontId="39" fillId="6" borderId="0" applyAlignment="1" pivotButton="0" quotePrefix="0" xfId="10">
      <alignment horizontal="center"/>
    </xf>
    <xf numFmtId="0" fontId="50" fillId="6" borderId="0" pivotButton="0" quotePrefix="0" xfId="0"/>
    <xf numFmtId="0" fontId="47" fillId="6" borderId="0" applyAlignment="1" pivotButton="0" quotePrefix="0" xfId="11">
      <alignment horizontal="left" wrapText="1"/>
    </xf>
    <xf numFmtId="0" fontId="0" fillId="6" borderId="0" applyAlignment="1" pivotButton="0" quotePrefix="0" xfId="0">
      <alignment horizontal="justify" wrapText="1"/>
    </xf>
    <xf numFmtId="0" fontId="0" fillId="5" borderId="0" applyAlignment="1" pivotButton="0" quotePrefix="0" xfId="0">
      <alignment horizontal="justify"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0" fontId="47" fillId="6" borderId="0" applyAlignment="1" pivotButton="0" quotePrefix="0" xfId="11">
      <alignment horizontal="justify" wrapText="1"/>
    </xf>
    <xf numFmtId="0" fontId="61" fillId="6" borderId="0" applyAlignment="1" pivotButton="0" quotePrefix="0" xfId="0">
      <alignment horizontal="justify" wrapText="1"/>
    </xf>
    <xf numFmtId="0" fontId="50" fillId="6" borderId="0" applyAlignment="1" pivotButton="0" quotePrefix="0" xfId="0">
      <alignment horizontal="left"/>
    </xf>
    <xf numFmtId="0" fontId="50" fillId="6" borderId="1" applyAlignment="1" pivotButton="0" quotePrefix="0" xfId="0">
      <alignment horizontal="left"/>
    </xf>
    <xf numFmtId="0" fontId="5" fillId="6" borderId="0" applyAlignment="1" pivotButton="0" quotePrefix="0" xfId="0">
      <alignment wrapText="1"/>
    </xf>
    <xf numFmtId="0" fontId="47" fillId="6" borderId="0" applyAlignment="1" pivotButton="0" quotePrefix="0" xfId="11">
      <alignment wrapText="1"/>
    </xf>
    <xf numFmtId="0" fontId="62" fillId="6" borderId="0" applyAlignment="1" pivotButton="0" quotePrefix="0" xfId="0">
      <alignment horizontal="left"/>
    </xf>
    <xf numFmtId="0" fontId="32" fillId="6" borderId="0" applyAlignment="1" pivotButton="0" quotePrefix="0" xfId="0">
      <alignment horizontal="left"/>
    </xf>
    <xf numFmtId="191" fontId="32" fillId="6" borderId="0" applyAlignment="1" pivotButton="0" quotePrefix="0" xfId="0">
      <alignment horizontal="left" wrapText="1"/>
    </xf>
    <xf numFmtId="195" fontId="32" fillId="6" borderId="0" applyAlignment="1" pivotButton="0" quotePrefix="0" xfId="0">
      <alignment horizontal="left"/>
    </xf>
    <xf numFmtId="191" fontId="34" fillId="6" borderId="11" applyAlignment="1" pivotButton="0" quotePrefix="0" xfId="0">
      <alignment horizontal="left" wrapText="1"/>
    </xf>
    <xf numFmtId="195" fontId="34" fillId="6" borderId="11" applyAlignment="1" pivotButton="0" quotePrefix="0" xfId="0">
      <alignment horizontal="left"/>
    </xf>
    <xf numFmtId="0" fontId="34" fillId="6" borderId="1" applyAlignment="1" pivotButton="0" quotePrefix="0" xfId="0">
      <alignment horizontal="left"/>
    </xf>
    <xf numFmtId="0" fontId="34" fillId="17" borderId="0" pivotButton="0" quotePrefix="0" xfId="0"/>
    <xf numFmtId="0" fontId="39" fillId="17" borderId="0" applyAlignment="1" pivotButton="0" quotePrefix="0" xfId="10">
      <alignment horizontal="center"/>
    </xf>
    <xf numFmtId="169" fontId="32" fillId="6" borderId="0" applyAlignment="1" pivotButton="0" quotePrefix="0" xfId="11">
      <alignment horizontal="center" wrapText="1"/>
    </xf>
    <xf numFmtId="169" fontId="0" fillId="6" borderId="0" applyAlignment="1" pivotButton="0" quotePrefix="0" xfId="0">
      <alignment horizontal="center" wrapText="1"/>
    </xf>
    <xf numFmtId="0" fontId="39" fillId="19" borderId="0" pivotButton="0" quotePrefix="0" xfId="0"/>
    <xf numFmtId="169" fontId="31" fillId="19" borderId="0" applyAlignment="1" pivotButton="0" quotePrefix="0" xfId="11">
      <alignment horizontal="center" wrapText="1"/>
    </xf>
    <xf numFmtId="0" fontId="5" fillId="6" borderId="0" pivotButton="0" quotePrefix="0" xfId="0"/>
    <xf numFmtId="0" fontId="34" fillId="6" borderId="1" pivotButton="0" quotePrefix="0" xfId="0"/>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0" fontId="58" fillId="19" borderId="0" applyAlignment="1" pivotButton="0" quotePrefix="0" xfId="0">
      <alignment horizontal="center" wrapText="1"/>
    </xf>
    <xf numFmtId="0" fontId="44" fillId="10" borderId="1" pivotButton="0" quotePrefix="0" xfId="0"/>
    <xf numFmtId="0" fontId="0" fillId="6" borderId="0" applyAlignment="1" pivotButton="0" quotePrefix="0" xfId="0">
      <alignment horizontal="left" wrapText="1" indent="1"/>
    </xf>
    <xf numFmtId="0" fontId="47" fillId="5" borderId="0" applyAlignment="1" pivotButton="0" quotePrefix="0" xfId="11">
      <alignment horizontal="left" wrapText="1"/>
    </xf>
    <xf numFmtId="0" fontId="5" fillId="5" borderId="0" applyAlignment="1" pivotButton="0" quotePrefix="0" xfId="0">
      <alignment wrapText="1"/>
    </xf>
    <xf numFmtId="0" fontId="32" fillId="6" borderId="0" applyAlignment="1" pivotButton="0" quotePrefix="0" xfId="0">
      <alignment horizontal="left" vertical="center" indent="1"/>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0" fontId="48" fillId="5" borderId="0" pivotButton="0" quotePrefix="0" xfId="0"/>
    <xf numFmtId="0" fontId="48" fillId="5" borderId="0" applyAlignment="1" pivotButton="0" quotePrefix="0" xfId="0">
      <alignment horizontal="left"/>
    </xf>
    <xf numFmtId="10" fontId="48" fillId="5" borderId="0" applyAlignment="1" pivotButton="0" quotePrefix="0" xfId="0">
      <alignment horizontal="left"/>
    </xf>
    <xf numFmtId="0" fontId="32" fillId="5" borderId="0" applyAlignment="1" pivotButton="0" quotePrefix="0" xfId="0">
      <alignment horizontal="justify" vertical="top" wrapText="1"/>
    </xf>
    <xf numFmtId="0" fontId="32" fillId="5" borderId="0" applyAlignment="1" pivotButton="0" quotePrefix="0" xfId="0">
      <alignment horizontal="justify" vertical="top"/>
    </xf>
    <xf numFmtId="179" fontId="32" fillId="5" borderId="0" applyAlignment="1" pivotButton="0" quotePrefix="0" xfId="0">
      <alignment horizontal="justify" vertical="top"/>
    </xf>
    <xf numFmtId="0" fontId="48" fillId="5" borderId="0" applyAlignment="1" pivotButton="0" quotePrefix="0" xfId="11">
      <alignment horizontal="justify" vertical="top" wrapText="1"/>
    </xf>
    <xf numFmtId="0" fontId="48" fillId="5" borderId="67" applyAlignment="1" pivotButton="0" quotePrefix="0" xfId="11">
      <alignment horizontal="justify" vertical="top" wrapText="1"/>
    </xf>
    <xf numFmtId="0" fontId="48" fillId="5" borderId="0" applyAlignment="1" pivotButton="0" quotePrefix="0" xfId="0">
      <alignment vertical="top"/>
    </xf>
    <xf numFmtId="0" fontId="48" fillId="5" borderId="0" applyAlignment="1" pivotButton="0" quotePrefix="0" xfId="0">
      <alignment horizontal="justify" vertical="top" wrapText="1"/>
    </xf>
    <xf numFmtId="0" fontId="1" fillId="5" borderId="0" pivotButton="0" quotePrefix="0" xfId="0"/>
    <xf numFmtId="0" fontId="0" fillId="5" borderId="0" applyAlignment="1" pivotButton="0" quotePrefix="0" xfId="0">
      <alignment wrapText="1"/>
    </xf>
    <xf numFmtId="0" fontId="0" fillId="5" borderId="1" pivotButton="0" quotePrefix="0" xfId="0"/>
    <xf numFmtId="0" fontId="32" fillId="5" borderId="0" applyAlignment="1" pivotButton="0" quotePrefix="0" xfId="0">
      <alignment horizontal="justify" vertical="center" wrapText="1"/>
    </xf>
    <xf numFmtId="37" fontId="32" fillId="5" borderId="0" applyAlignment="1" pivotButton="0" quotePrefix="0" xfId="0">
      <alignment horizontal="justify" vertical="center" wrapText="1"/>
    </xf>
    <xf numFmtId="0" fontId="32" fillId="5" borderId="69" applyAlignment="1" pivotButton="0" quotePrefix="0" xfId="0">
      <alignment horizontal="left" vertical="top" wrapText="1"/>
    </xf>
    <xf numFmtId="0" fontId="32" fillId="5" borderId="70" applyAlignment="1" pivotButton="0" quotePrefix="0" xfId="0">
      <alignment horizontal="left" vertical="top" wrapText="1"/>
    </xf>
    <xf numFmtId="0" fontId="48" fillId="5" borderId="70" applyAlignment="1" pivotButton="0" quotePrefix="0" xfId="0">
      <alignment horizontal="left" vertical="top" wrapText="1"/>
    </xf>
    <xf numFmtId="0" fontId="48" fillId="5" borderId="71" applyAlignment="1" pivotButton="0" quotePrefix="0" xfId="0">
      <alignment horizontal="left" vertical="top" wrapText="1"/>
    </xf>
    <xf numFmtId="197" fontId="17" fillId="0" borderId="0" applyAlignment="1" pivotButton="0" quotePrefix="0" xfId="3">
      <alignment horizontal="right"/>
    </xf>
    <xf numFmtId="197" fontId="19" fillId="3" borderId="1" applyAlignment="1" pivotButton="0" quotePrefix="0" xfId="3">
      <alignment horizontal="right"/>
    </xf>
    <xf numFmtId="3" fontId="60" fillId="10" borderId="0" applyAlignment="1" pivotButton="0" quotePrefix="0" xfId="0">
      <alignment horizontal="left" indent="1"/>
    </xf>
    <xf numFmtId="0" fontId="34" fillId="5" borderId="74" pivotButton="0" quotePrefix="0" xfId="0"/>
    <xf numFmtId="0" fontId="34" fillId="5" borderId="0" pivotButton="0" quotePrefix="0" xfId="0"/>
    <xf numFmtId="0" fontId="32" fillId="6" borderId="61" pivotButton="0" quotePrefix="0" xfId="0"/>
    <xf numFmtId="0" fontId="32" fillId="6" borderId="62" pivotButton="0" quotePrefix="0" xfId="0"/>
    <xf numFmtId="0" fontId="34" fillId="5" borderId="63" pivotButton="0" quotePrefix="0" xfId="0"/>
    <xf numFmtId="0" fontId="32" fillId="6" borderId="12" pivotButton="0" quotePrefix="0" xfId="0"/>
    <xf numFmtId="0" fontId="34" fillId="5" borderId="13" pivotButton="0" quotePrefix="0" xfId="0"/>
    <xf numFmtId="0" fontId="32" fillId="0" borderId="13" pivotButton="0" quotePrefix="0" xfId="0"/>
    <xf numFmtId="0" fontId="32" fillId="6" borderId="13" pivotButton="0" quotePrefix="0" xfId="0"/>
    <xf numFmtId="0" fontId="32" fillId="6" borderId="31" pivotButton="0" quotePrefix="0" xfId="0"/>
    <xf numFmtId="0" fontId="32" fillId="6" borderId="33" pivotButton="0" quotePrefix="0" xfId="0"/>
    <xf numFmtId="0" fontId="32" fillId="6" borderId="32" pivotButton="0" quotePrefix="0" xfId="0"/>
    <xf numFmtId="0" fontId="34" fillId="5" borderId="72" pivotButton="0" quotePrefix="0" xfId="0"/>
    <xf numFmtId="9" fontId="32" fillId="0" borderId="0" pivotButton="0" quotePrefix="0" xfId="4"/>
    <xf numFmtId="3" fontId="17" fillId="0" borderId="0" pivotButton="0" quotePrefix="0" xfId="0"/>
    <xf numFmtId="0" fontId="47" fillId="5" borderId="2" applyAlignment="1" pivotButton="0" quotePrefix="0" xfId="0">
      <alignment horizontal="right" vertical="center" wrapText="1"/>
    </xf>
    <xf numFmtId="0" fontId="49" fillId="5" borderId="2" applyAlignment="1" pivotButton="0" quotePrefix="0" xfId="0">
      <alignment horizontal="right" vertical="center"/>
    </xf>
    <xf numFmtId="165" fontId="49" fillId="5" borderId="2" applyAlignment="1" pivotButton="0" quotePrefix="0" xfId="3">
      <alignment horizontal="right" vertical="center"/>
    </xf>
    <xf numFmtId="0" fontId="49" fillId="5" borderId="2" applyAlignment="1" pivotButton="0" quotePrefix="0" xfId="0">
      <alignment horizontal="right" vertical="center" wrapText="1"/>
    </xf>
    <xf numFmtId="165" fontId="41" fillId="5" borderId="2" applyAlignment="1" pivotButton="0" quotePrefix="0" xfId="3">
      <alignment horizontal="right" vertical="center" wrapText="1"/>
    </xf>
    <xf numFmtId="0" fontId="48" fillId="5" borderId="2" applyAlignment="1" pivotButton="0" quotePrefix="0" xfId="0">
      <alignment horizontal="right" vertical="center" wrapText="1" justifyLastLine="1"/>
    </xf>
    <xf numFmtId="0" fontId="48" fillId="5" borderId="2" applyAlignment="1" pivotButton="0" quotePrefix="0" xfId="0">
      <alignment horizontal="right" vertical="center" justifyLastLine="1"/>
    </xf>
    <xf numFmtId="180" fontId="49" fillId="5" borderId="2" applyAlignment="1" pivotButton="0" quotePrefix="0" xfId="0">
      <alignment horizontal="right" vertical="center" justifyLastLine="1"/>
    </xf>
    <xf numFmtId="169" fontId="48" fillId="5" borderId="2" applyAlignment="1" pivotButton="0" quotePrefix="0" xfId="3">
      <alignment horizontal="right" vertical="center" justifyLastLine="1"/>
    </xf>
    <xf numFmtId="3" fontId="48" fillId="5" borderId="2" applyAlignment="1" pivotButton="0" quotePrefix="0" xfId="2">
      <alignment horizontal="right" vertical="center"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 fontId="52" fillId="5" borderId="15" applyAlignment="1" pivotButton="0" quotePrefix="0" xfId="0">
      <alignment horizontal="right" vertical="center"/>
    </xf>
    <xf numFmtId="186" fontId="44" fillId="5" borderId="37" applyAlignment="1" pivotButton="0" quotePrefix="0" xfId="4">
      <alignment horizontal="right" vertical="center"/>
    </xf>
    <xf numFmtId="170" fontId="52" fillId="5" borderId="14" applyAlignment="1" pivotButton="0" quotePrefix="0" xfId="3">
      <alignment horizontal="right" vertical="center"/>
    </xf>
    <xf numFmtId="186" fontId="44" fillId="5" borderId="14" applyAlignment="1" pivotButton="0" quotePrefix="0" xfId="4">
      <alignment horizontal="right" vertical="center"/>
    </xf>
    <xf numFmtId="170" fontId="44" fillId="5" borderId="14" applyAlignment="1" pivotButton="0" quotePrefix="0" xfId="3">
      <alignment horizontal="right" vertical="center"/>
    </xf>
    <xf numFmtId="186" fontId="44" fillId="5" borderId="2" applyAlignment="1" pivotButton="0" quotePrefix="0" xfId="4">
      <alignment horizontal="right" vertical="center"/>
    </xf>
    <xf numFmtId="170" fontId="52" fillId="5" borderId="2" applyAlignment="1" pivotButton="0" quotePrefix="0" xfId="3">
      <alignment horizontal="right" vertical="center"/>
    </xf>
    <xf numFmtId="170" fontId="44" fillId="5" borderId="2" applyAlignment="1" pivotButton="0" quotePrefix="0" xfId="3">
      <alignment horizontal="right" vertical="center"/>
    </xf>
    <xf numFmtId="186" fontId="43" fillId="5" borderId="14" applyAlignment="1" pivotButton="0" quotePrefix="0" xfId="4">
      <alignment horizontal="right" vertical="center"/>
    </xf>
    <xf numFmtId="186" fontId="53" fillId="5" borderId="14" applyAlignment="1" pivotButton="0" quotePrefix="0" xfId="4">
      <alignment horizontal="right" vertical="center"/>
    </xf>
    <xf numFmtId="186" fontId="52" fillId="5" borderId="14" applyAlignment="1" pivotButton="0" quotePrefix="0" xfId="4">
      <alignment horizontal="right" vertical="center"/>
    </xf>
    <xf numFmtId="186" fontId="43" fillId="5" borderId="2" applyAlignment="1" pivotButton="0" quotePrefix="0" xfId="4">
      <alignment horizontal="right" vertical="center"/>
    </xf>
    <xf numFmtId="186" fontId="53" fillId="5" borderId="2" applyAlignment="1" pivotButton="0" quotePrefix="0" xfId="4">
      <alignment horizontal="right" vertical="center"/>
    </xf>
    <xf numFmtId="186" fontId="52" fillId="5" borderId="2" applyAlignment="1" pivotButton="0" quotePrefix="0" xfId="4">
      <alignment horizontal="right" vertical="center"/>
    </xf>
    <xf numFmtId="0" fontId="5" fillId="5" borderId="61" pivotButton="0" quotePrefix="0" xfId="0"/>
    <xf numFmtId="0" fontId="5" fillId="5" borderId="62" pivotButton="0" quotePrefix="0" xfId="0"/>
    <xf numFmtId="0" fontId="5" fillId="5" borderId="63" applyAlignment="1" pivotButton="0" quotePrefix="0" xfId="0">
      <alignment horizontal="right"/>
    </xf>
    <xf numFmtId="0" fontId="5" fillId="5" borderId="12" pivotButton="0" quotePrefix="0" xfId="0"/>
    <xf numFmtId="0" fontId="5" fillId="5" borderId="13" applyAlignment="1" pivotButton="0" quotePrefix="0" xfId="0">
      <alignment horizontal="right"/>
    </xf>
    <xf numFmtId="0" fontId="5" fillId="5" borderId="31" pivotButton="0" quotePrefix="0" xfId="0"/>
    <xf numFmtId="0" fontId="5" fillId="5" borderId="33" pivotButton="0" quotePrefix="0" xfId="0"/>
    <xf numFmtId="0" fontId="5" fillId="5" borderId="32" applyAlignment="1" pivotButton="0" quotePrefix="0" xfId="0">
      <alignment horizontal="right"/>
    </xf>
    <xf numFmtId="170" fontId="0" fillId="5" borderId="0" pivotButton="0" quotePrefix="0" xfId="0"/>
    <xf numFmtId="170" fontId="4" fillId="5" borderId="0" applyAlignment="1" pivotButton="0" quotePrefix="0" xfId="0">
      <alignment vertical="center"/>
    </xf>
    <xf numFmtId="37" fontId="4" fillId="5" borderId="0" pivotButton="0" quotePrefix="0" xfId="0"/>
    <xf numFmtId="3" fontId="4" fillId="5" borderId="0" applyAlignment="1" pivotButton="0" quotePrefix="0" xfId="0">
      <alignment vertical="center"/>
    </xf>
    <xf numFmtId="3" fontId="19" fillId="5" borderId="11" applyAlignment="1" pivotButton="0" quotePrefix="0" xfId="0">
      <alignment horizontal="center"/>
    </xf>
    <xf numFmtId="165" fontId="19" fillId="5" borderId="11" applyAlignment="1" pivotButton="0" quotePrefix="0" xfId="0">
      <alignment horizontal="center"/>
    </xf>
    <xf numFmtId="3" fontId="17" fillId="5" borderId="0"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0" fontId="4" fillId="5" borderId="1" pivotButton="0" quotePrefix="0" xfId="0"/>
    <xf numFmtId="3" fontId="4" fillId="5" borderId="1" applyAlignment="1" pivotButton="0" quotePrefix="0" xfId="0">
      <alignment horizontal="left"/>
    </xf>
    <xf numFmtId="3" fontId="4" fillId="5" borderId="1" applyAlignment="1" pivotButton="0" quotePrefix="0" xfId="0">
      <alignment horizontal="center"/>
    </xf>
    <xf numFmtId="165" fontId="4" fillId="5" borderId="1" pivotButton="0" quotePrefix="0" xfId="0"/>
    <xf numFmtId="0" fontId="32" fillId="5" borderId="0" pivotButton="0" quotePrefix="0" xfId="0"/>
    <xf numFmtId="0" fontId="3" fillId="5" borderId="0" pivotButton="0" quotePrefix="0" xfId="0"/>
    <xf numFmtId="0" fontId="3" fillId="5" borderId="0" applyAlignment="1" pivotButton="0" quotePrefix="0" xfId="0">
      <alignment vertical="center"/>
    </xf>
    <xf numFmtId="0" fontId="33" fillId="5" borderId="61" applyAlignment="1" pivotButton="0" quotePrefix="0" xfId="0">
      <alignment horizontal="left" vertical="center"/>
    </xf>
    <xf numFmtId="0" fontId="34" fillId="5" borderId="62" pivotButton="0" quotePrefix="0" xfId="0"/>
    <xf numFmtId="0" fontId="3" fillId="5" borderId="13" pivotButton="0" quotePrefix="0" xfId="0"/>
    <xf numFmtId="0" fontId="3" fillId="5" borderId="13" applyAlignment="1" pivotButton="0" quotePrefix="0" xfId="0">
      <alignment vertical="center"/>
    </xf>
    <xf numFmtId="0" fontId="3" fillId="5" borderId="12" pivotButton="0" quotePrefix="0" xfId="0"/>
    <xf numFmtId="0" fontId="3" fillId="5" borderId="31" pivotButton="0" quotePrefix="0" xfId="0"/>
    <xf numFmtId="0" fontId="3" fillId="5" borderId="33" pivotButton="0" quotePrefix="0" xfId="0"/>
    <xf numFmtId="0" fontId="3" fillId="5" borderId="32" pivotButton="0" quotePrefix="0" xfId="0"/>
    <xf numFmtId="0" fontId="8" fillId="0" borderId="0" applyAlignment="1" pivotButton="0" quotePrefix="1" xfId="0">
      <alignment horizontal="center" vertical="center"/>
    </xf>
    <xf numFmtId="164" fontId="23" fillId="0" borderId="0" applyAlignment="1" pivotButton="0" quotePrefix="0" xfId="0">
      <alignment horizontal="center"/>
    </xf>
    <xf numFmtId="0" fontId="25" fillId="0" borderId="0" applyAlignment="1" pivotButton="0" quotePrefix="0" xfId="0">
      <alignment horizontal="center"/>
    </xf>
    <xf numFmtId="169" fontId="32" fillId="0" borderId="0" pivotButton="0" quotePrefix="0" xfId="0"/>
    <xf numFmtId="169" fontId="4" fillId="0" borderId="0" pivotButton="0" quotePrefix="0" xfId="0"/>
    <xf numFmtId="0" fontId="3" fillId="0" borderId="0" pivotButton="0" quotePrefix="0" xfId="0"/>
    <xf numFmtId="0" fontId="32" fillId="0" borderId="0" applyAlignment="1" pivotButton="0" quotePrefix="0" xfId="0">
      <alignment horizontal="center"/>
    </xf>
    <xf numFmtId="0" fontId="23" fillId="0" borderId="0" applyAlignment="1" pivotButton="0" quotePrefix="0" xfId="0">
      <alignment horizontal="center"/>
    </xf>
    <xf numFmtId="169" fontId="7" fillId="0" borderId="0" pivotButton="0" quotePrefix="0" xfId="0"/>
    <xf numFmtId="0" fontId="3" fillId="0" borderId="0" applyAlignment="1" pivotButton="0" quotePrefix="0" xfId="0">
      <alignment vertical="center"/>
    </xf>
    <xf numFmtId="169" fontId="23" fillId="0" borderId="0" applyAlignment="1" pivotButton="0" quotePrefix="0" xfId="0">
      <alignment vertical="center"/>
    </xf>
    <xf numFmtId="14" fontId="44" fillId="5" borderId="9" applyAlignment="1" pivotButton="0" quotePrefix="0" xfId="8">
      <alignment horizontal="center" vertic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3" fontId="44" fillId="5" borderId="9" applyAlignment="1" pivotButton="0" quotePrefix="0" xfId="8">
      <alignment horizontal="right" vertical="center"/>
    </xf>
    <xf numFmtId="3" fontId="44" fillId="5" borderId="9" applyAlignment="1" pivotButton="0" quotePrefix="0" xfId="8">
      <alignment horizontal="center" vertical="center"/>
    </xf>
    <xf numFmtId="1" fontId="44" fillId="5" borderId="9" applyAlignment="1" pivotButton="0" quotePrefix="0" xfId="8">
      <alignment horizontal="center" vertical="center" wrapText="1"/>
    </xf>
    <xf numFmtId="10" fontId="1" fillId="5" borderId="0" applyAlignment="1" pivotButton="0" quotePrefix="0" xfId="8">
      <alignment horizontal="center" vertical="center"/>
    </xf>
    <xf numFmtId="10" fontId="48" fillId="5" borderId="0" applyAlignment="1" pivotButton="0" quotePrefix="0" xfId="8">
      <alignment horizontal="center" vertical="center" wrapText="1"/>
    </xf>
    <xf numFmtId="10" fontId="1" fillId="5" borderId="1" applyAlignment="1" pivotButton="0" quotePrefix="0" xfId="8">
      <alignment horizontal="center" vertical="center"/>
    </xf>
    <xf numFmtId="10" fontId="48" fillId="5" borderId="1" applyAlignment="1" pivotButton="0" quotePrefix="0" xfId="8">
      <alignment horizontal="center" vertical="center" wrapText="1"/>
    </xf>
    <xf numFmtId="0" fontId="1" fillId="6" borderId="1" pivotButton="0" quotePrefix="0" xfId="9"/>
    <xf numFmtId="14" fontId="1" fillId="6" borderId="1" pivotButton="0" quotePrefix="0" xfId="9"/>
    <xf numFmtId="188" fontId="1" fillId="6" borderId="1" pivotButton="0" quotePrefix="0" xfId="9"/>
    <xf numFmtId="167" fontId="1" fillId="6" borderId="1" pivotButton="0" quotePrefix="0" xfId="9"/>
    <xf numFmtId="3" fontId="1" fillId="6" borderId="1" pivotButton="0" quotePrefix="0" xfId="9"/>
    <xf numFmtId="0" fontId="5" fillId="6" borderId="0" applyAlignment="1" pivotButton="0" quotePrefix="0" xfId="8">
      <alignment horizontal="center"/>
    </xf>
    <xf numFmtId="0" fontId="48" fillId="5" borderId="1" pivotButton="0" quotePrefix="0" xfId="0"/>
    <xf numFmtId="0" fontId="48" fillId="5" borderId="0" applyAlignment="1" pivotButton="0" quotePrefix="0" xfId="0">
      <alignment horizontal="center"/>
    </xf>
    <xf numFmtId="0" fontId="44" fillId="5" borderId="9" applyAlignment="1" pivotButton="0" quotePrefix="0" xfId="0">
      <alignment horizontal="center"/>
    </xf>
    <xf numFmtId="167" fontId="48" fillId="5" borderId="9" applyAlignment="1" pivotButton="0" quotePrefix="0" xfId="0">
      <alignment horizontal="center"/>
    </xf>
    <xf numFmtId="0" fontId="48" fillId="5" borderId="9" applyAlignment="1" pivotButton="0" quotePrefix="0" xfId="0">
      <alignment horizontal="center"/>
    </xf>
    <xf numFmtId="0" fontId="48" fillId="5" borderId="1" applyAlignment="1" pivotButton="0" quotePrefix="0" xfId="0">
      <alignment horizontal="center"/>
    </xf>
    <xf numFmtId="0" fontId="30" fillId="19" borderId="0" applyAlignment="1" pivotButton="0" quotePrefix="0" xfId="0">
      <alignment horizontal="center" vertical="center"/>
    </xf>
    <xf numFmtId="0" fontId="30" fillId="19"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right" vertical="center"/>
    </xf>
    <xf numFmtId="180" fontId="41" fillId="5" borderId="16" applyAlignment="1" pivotButton="0" quotePrefix="0" xfId="0">
      <alignment horizontal="center" vertical="center" wrapText="1"/>
    </xf>
    <xf numFmtId="9" fontId="5" fillId="5" borderId="0" applyAlignment="1" pivotButton="0" quotePrefix="0" xfId="4">
      <alignment horizontal="center" vertical="center"/>
    </xf>
    <xf numFmtId="3" fontId="41" fillId="5" borderId="16" applyAlignment="1" pivotButton="0" quotePrefix="0" xfId="0">
      <alignment horizontal="center" vertical="center" wrapText="1"/>
    </xf>
    <xf numFmtId="0" fontId="41" fillId="5" borderId="16" applyAlignment="1" pivotButton="0" quotePrefix="0" xfId="0">
      <alignment horizontal="center" vertical="center" wrapText="1"/>
    </xf>
    <xf numFmtId="2" fontId="41" fillId="5" borderId="16" applyAlignment="1" pivotButton="0" quotePrefix="0" xfId="4">
      <alignment horizontal="center" vertical="center" wrapText="1"/>
    </xf>
    <xf numFmtId="9" fontId="41" fillId="5" borderId="21" applyAlignment="1" pivotButton="0" quotePrefix="0" xfId="4">
      <alignment horizontal="center" vertical="center" wrapText="1"/>
    </xf>
    <xf numFmtId="9" fontId="5" fillId="5" borderId="14" applyAlignment="1" pivotButton="0" quotePrefix="0" xfId="4">
      <alignment horizontal="center" vertical="center"/>
    </xf>
    <xf numFmtId="0" fontId="32" fillId="5" borderId="0" applyAlignment="1" pivotButton="0" quotePrefix="0" xfId="1">
      <alignment horizontal="left" vertical="top" wrapText="1"/>
    </xf>
    <xf numFmtId="0" fontId="32" fillId="5" borderId="0" applyAlignment="1" pivotButton="0" quotePrefix="0" xfId="1">
      <alignment horizontal="left" vertical="top"/>
    </xf>
    <xf numFmtId="3" fontId="32" fillId="5" borderId="0" applyAlignment="1" pivotButton="0" quotePrefix="0" xfId="1">
      <alignment horizontal="left" vertical="top"/>
    </xf>
    <xf numFmtId="14" fontId="32" fillId="5" borderId="0" applyAlignment="1" pivotButton="0" quotePrefix="0" xfId="1">
      <alignment horizontal="left" vertical="top"/>
    </xf>
    <xf numFmtId="14" fontId="39" fillId="19" borderId="18" pivotButton="0" quotePrefix="0" xfId="0"/>
    <xf numFmtId="0" fontId="31" fillId="19" borderId="36" pivotButton="0" quotePrefix="0" xfId="0"/>
    <xf numFmtId="0" fontId="5" fillId="0" borderId="4" pivotButton="0" quotePrefix="0" xfId="0"/>
    <xf numFmtId="0" fontId="0" fillId="5" borderId="2" pivotButton="0" quotePrefix="0" xfId="0"/>
    <xf numFmtId="169" fontId="0" fillId="5" borderId="14" pivotButton="0" quotePrefix="0" xfId="0"/>
    <xf numFmtId="0" fontId="0" fillId="5" borderId="3" pivotButton="0" quotePrefix="0" xfId="0"/>
    <xf numFmtId="169" fontId="0" fillId="5" borderId="4" pivotButton="0" quotePrefix="0" xfId="0"/>
    <xf numFmtId="0" fontId="0" fillId="0" borderId="2" pivotButton="0" quotePrefix="0" xfId="0"/>
    <xf numFmtId="169" fontId="0" fillId="0" borderId="14" pivotButton="0" quotePrefix="0" xfId="3"/>
    <xf numFmtId="0" fontId="0" fillId="0" borderId="3" pivotButton="0" quotePrefix="0" xfId="0"/>
    <xf numFmtId="167" fontId="0" fillId="0" borderId="4" pivotButton="0" quotePrefix="0" xfId="3"/>
    <xf numFmtId="0" fontId="32" fillId="5" borderId="0" applyAlignment="1" pivotButton="0" quotePrefix="0" xfId="1">
      <alignment horizontal="left" vertical="center"/>
    </xf>
    <xf numFmtId="0" fontId="32" fillId="5" borderId="0" applyAlignment="1" pivotButton="0" quotePrefix="0" xfId="0">
      <alignment horizontal="left" vertical="top" wrapText="1"/>
    </xf>
    <xf numFmtId="0" fontId="32" fillId="5" borderId="1" applyAlignment="1" pivotButton="0" quotePrefix="0" xfId="1">
      <alignment horizontal="left" vertical="top" wrapText="1"/>
    </xf>
    <xf numFmtId="0" fontId="34" fillId="6" borderId="9" applyAlignment="1" pivotButton="0" quotePrefix="0" xfId="0">
      <alignment horizontal="center" wrapText="1"/>
    </xf>
    <xf numFmtId="0" fontId="34" fillId="6" borderId="9" applyAlignment="1" pivotButton="0" quotePrefix="0" xfId="0">
      <alignment horizontal="left" wrapText="1"/>
    </xf>
    <xf numFmtId="167" fontId="32" fillId="5" borderId="0" applyAlignment="1" pivotButton="0" quotePrefix="0" xfId="3">
      <alignment horizontal="center"/>
    </xf>
    <xf numFmtId="193" fontId="32" fillId="5" borderId="0" pivotButton="0" quotePrefix="0" xfId="3"/>
    <xf numFmtId="0" fontId="41" fillId="5" borderId="0" pivotButton="0" quotePrefix="0" xfId="0"/>
    <xf numFmtId="0" fontId="48" fillId="5" borderId="0" applyAlignment="1" pivotButton="0" quotePrefix="0" xfId="0">
      <alignment horizontal="center" vertical="center" wrapText="1"/>
    </xf>
    <xf numFmtId="0" fontId="48" fillId="5" borderId="0" applyAlignment="1" pivotButton="0" quotePrefix="0" xfId="0">
      <alignment horizontal="center" wrapText="1"/>
    </xf>
    <xf numFmtId="0" fontId="48" fillId="5" borderId="0" applyAlignment="1" pivotButton="0" quotePrefix="0" xfId="0">
      <alignment horizontal="center" vertical="center"/>
    </xf>
    <xf numFmtId="10" fontId="44" fillId="5" borderId="9" applyAlignment="1" pivotButton="0" quotePrefix="0" xfId="0">
      <alignment horizontal="center" vertical="center"/>
    </xf>
    <xf numFmtId="0" fontId="69" fillId="6" borderId="72" pivotButton="0" quotePrefix="0" xfId="0"/>
    <xf numFmtId="0" fontId="69" fillId="6" borderId="73" pivotButton="0" quotePrefix="0" xfId="0"/>
    <xf numFmtId="0" fontId="69" fillId="6" borderId="74" pivotButton="0" quotePrefix="0" xfId="0"/>
    <xf numFmtId="164" fontId="68" fillId="5" borderId="9" applyAlignment="1" pivotButton="0" quotePrefix="0" xfId="0">
      <alignment horizontal="center" vertical="center" wrapText="1"/>
    </xf>
    <xf numFmtId="0" fontId="25" fillId="19" borderId="6" applyAlignment="1" pivotButton="0" quotePrefix="0" xfId="0">
      <alignment horizontal="center"/>
    </xf>
    <xf numFmtId="0" fontId="6" fillId="19" borderId="0" applyAlignment="1" pivotButton="0" quotePrefix="0" xfId="0">
      <alignment horizontal="left" vertical="center" indent="1"/>
    </xf>
    <xf numFmtId="0" fontId="6" fillId="19" borderId="0" applyAlignment="1" applyProtection="1" pivotButton="0" quotePrefix="0" xfId="0">
      <alignment horizontal="left" vertical="center"/>
      <protection locked="0" hidden="0"/>
    </xf>
    <xf numFmtId="0" fontId="6" fillId="19" borderId="0" applyAlignment="1" applyProtection="1" pivotButton="0" quotePrefix="0" xfId="0">
      <alignment horizontal="centerContinuous"/>
      <protection locked="0" hidden="0"/>
    </xf>
    <xf numFmtId="196" fontId="6" fillId="19" borderId="0" applyAlignment="1" applyProtection="1" pivotButton="0" quotePrefix="0" xfId="0">
      <alignment horizontal="centerContinuous"/>
      <protection locked="0" hidden="0"/>
    </xf>
    <xf numFmtId="0" fontId="6" fillId="19" borderId="0" applyAlignment="1" pivotButton="0" quotePrefix="0" xfId="0">
      <alignment horizontal="left" vertical="center"/>
    </xf>
    <xf numFmtId="0" fontId="22" fillId="19" borderId="0" applyAlignment="1" pivotButton="0" quotePrefix="0" xfId="0">
      <alignment horizontal="left"/>
    </xf>
    <xf numFmtId="0" fontId="6" fillId="19" borderId="0" applyAlignment="1" pivotButton="0" quotePrefix="0" xfId="0">
      <alignment horizontal="centerContinuous"/>
    </xf>
    <xf numFmtId="0" fontId="6" fillId="19" borderId="0" applyAlignment="1" pivotButton="0" quotePrefix="0" xfId="0">
      <alignment horizontal="center" wrapText="1"/>
    </xf>
    <xf numFmtId="0" fontId="6" fillId="19" borderId="0" applyAlignment="1" pivotButton="0" quotePrefix="0" xfId="0">
      <alignment horizontal="center"/>
    </xf>
    <xf numFmtId="0" fontId="25" fillId="19" borderId="0" pivotButton="0" quotePrefix="0" xfId="0"/>
    <xf numFmtId="165" fontId="4" fillId="19" borderId="0" pivotButton="0" quotePrefix="0" xfId="3"/>
    <xf numFmtId="166" fontId="4" fillId="19" borderId="0" pivotButton="0" quotePrefix="0" xfId="3"/>
    <xf numFmtId="0" fontId="4" fillId="19" borderId="0" applyAlignment="1" pivotButton="0" quotePrefix="0" xfId="0">
      <alignment horizontal="center"/>
    </xf>
    <xf numFmtId="167" fontId="4" fillId="19" borderId="0" pivotButton="0" quotePrefix="0" xfId="0"/>
    <xf numFmtId="168" fontId="4" fillId="19" borderId="0" pivotButton="0" quotePrefix="0" xfId="2"/>
    <xf numFmtId="193" fontId="32" fillId="6" borderId="0" pivotButton="0" quotePrefix="0" xfId="3"/>
    <xf numFmtId="193" fontId="1" fillId="6" borderId="0" pivotButton="0" quotePrefix="0" xfId="9"/>
    <xf numFmtId="0" fontId="64" fillId="6" borderId="0" applyAlignment="1" pivotButton="0" quotePrefix="0" xfId="0">
      <alignment horizontal="left" wrapText="1"/>
    </xf>
    <xf numFmtId="0" fontId="0" fillId="6" borderId="0" applyAlignment="1" pivotButton="0" quotePrefix="0" xfId="0">
      <alignment horizontal="left" wrapText="1"/>
    </xf>
    <xf numFmtId="0" fontId="72" fillId="0" borderId="0" pivotButton="0" quotePrefix="0" xfId="0"/>
    <xf numFmtId="0" fontId="0" fillId="6" borderId="0" applyAlignment="1" pivotButton="0" quotePrefix="0" xfId="0">
      <alignment vertical="top"/>
    </xf>
    <xf numFmtId="0" fontId="74" fillId="6" borderId="10" applyAlignment="1" pivotButton="0" quotePrefix="0" xfId="14">
      <alignment horizontal="center" vertical="center" wrapText="1"/>
    </xf>
    <xf numFmtId="0" fontId="15" fillId="6" borderId="0" applyAlignment="1" pivotButton="0" quotePrefix="0" xfId="0">
      <alignment vertical="top"/>
    </xf>
    <xf numFmtId="0" fontId="18" fillId="6" borderId="0" applyAlignment="1" pivotButton="0" quotePrefix="0" xfId="0">
      <alignment horizontal="justify" vertical="top" wrapText="1"/>
    </xf>
    <xf numFmtId="0" fontId="75" fillId="6" borderId="0" pivotButton="0" quotePrefix="0" xfId="0"/>
    <xf numFmtId="0" fontId="48" fillId="6" borderId="0" applyAlignment="1" pivotButton="0" quotePrefix="0" xfId="0">
      <alignment horizontal="justify" vertical="top" wrapText="1"/>
    </xf>
    <xf numFmtId="0" fontId="58" fillId="6" borderId="0" applyAlignment="1" pivotButton="0" quotePrefix="0" xfId="0">
      <alignment horizontal="center" wrapText="1"/>
    </xf>
    <xf numFmtId="49" fontId="0" fillId="5" borderId="0" applyAlignment="1" pivotButton="0" quotePrefix="0" xfId="0">
      <alignment horizontal="center"/>
    </xf>
    <xf numFmtId="167" fontId="0" fillId="5" borderId="0" applyAlignment="1" pivotButton="0" quotePrefix="0" xfId="0">
      <alignment horizontal="center"/>
    </xf>
    <xf numFmtId="198" fontId="0" fillId="5" borderId="0" applyAlignment="1" pivotButton="0" quotePrefix="0" xfId="0">
      <alignment horizontal="center"/>
    </xf>
    <xf numFmtId="198" fontId="0" fillId="0" borderId="0" pivotButton="0" quotePrefix="0" xfId="0"/>
    <xf numFmtId="198" fontId="0" fillId="10" borderId="0" pivotButton="0" quotePrefix="0" xfId="0"/>
    <xf numFmtId="0" fontId="29" fillId="0" borderId="0" applyAlignment="1" pivotButton="0" quotePrefix="0" xfId="0">
      <alignment horizontal="right"/>
    </xf>
    <xf numFmtId="171" fontId="0" fillId="5" borderId="0" applyAlignment="1" pivotButton="0" quotePrefix="0" xfId="0">
      <alignment horizontal="center"/>
    </xf>
    <xf numFmtId="199" fontId="0" fillId="5" borderId="0" applyAlignment="1" pivotButton="0" quotePrefix="0" xfId="0">
      <alignment horizontal="center"/>
    </xf>
    <xf numFmtId="0" fontId="5" fillId="24" borderId="0" pivotButton="0" quotePrefix="0" xfId="0"/>
    <xf numFmtId="49" fontId="0" fillId="0" borderId="0" pivotButton="0" quotePrefix="0" xfId="0"/>
    <xf numFmtId="167" fontId="17" fillId="10" borderId="0" applyAlignment="1" pivotButton="0" quotePrefix="0" xfId="0">
      <alignment vertical="center"/>
    </xf>
    <xf numFmtId="167" fontId="4" fillId="10" borderId="0" applyAlignment="1" pivotButton="0" quotePrefix="0" xfId="0">
      <alignment vertical="center"/>
    </xf>
    <xf numFmtId="198" fontId="4" fillId="10" borderId="0" applyAlignment="1" pivotButton="0" quotePrefix="0" xfId="2">
      <alignment vertical="center"/>
    </xf>
    <xf numFmtId="198" fontId="4" fillId="10" borderId="1" applyAlignment="1" pivotButton="0" quotePrefix="0" xfId="2">
      <alignment vertical="center"/>
    </xf>
    <xf numFmtId="171" fontId="4" fillId="10" borderId="0" applyAlignment="1" pivotButton="0" quotePrefix="0" xfId="0">
      <alignment vertical="center"/>
    </xf>
    <xf numFmtId="199" fontId="4" fillId="10" borderId="0" applyAlignment="1" pivotButton="0" quotePrefix="0" xfId="0">
      <alignment vertical="center"/>
    </xf>
    <xf numFmtId="171" fontId="4" fillId="10" borderId="1" applyAlignment="1" pivotButton="0" quotePrefix="0" xfId="0">
      <alignment vertical="center"/>
    </xf>
    <xf numFmtId="0" fontId="17" fillId="10" borderId="11" applyAlignment="1" pivotButton="0" quotePrefix="0" xfId="0">
      <alignment vertical="center"/>
    </xf>
    <xf numFmtId="3" fontId="17" fillId="10" borderId="11" applyAlignment="1" pivotButton="0" quotePrefix="0" xfId="0">
      <alignment horizontal="left"/>
    </xf>
    <xf numFmtId="0" fontId="17" fillId="10" borderId="0" applyAlignment="1" pivotButton="0" quotePrefix="0" xfId="0">
      <alignment vertical="center"/>
    </xf>
    <xf numFmtId="3" fontId="4" fillId="10" borderId="0" applyAlignment="1" pivotButton="0" quotePrefix="0" xfId="0">
      <alignment horizontal="left"/>
    </xf>
    <xf numFmtId="3" fontId="17" fillId="10" borderId="0" applyAlignment="1" pivotButton="0" quotePrefix="0" xfId="0">
      <alignment horizontal="left" vertical="center"/>
    </xf>
    <xf numFmtId="3" fontId="4" fillId="10" borderId="1" applyAlignment="1" pivotButton="0" quotePrefix="0" xfId="0">
      <alignment horizontal="left"/>
    </xf>
    <xf numFmtId="0" fontId="79" fillId="0" borderId="0" pivotButton="0" quotePrefix="0" xfId="0"/>
    <xf numFmtId="0" fontId="80" fillId="0" borderId="0"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0" fontId="79"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32" fillId="6" borderId="0" applyAlignment="1" pivotButton="0" quotePrefix="0" xfId="11">
      <alignment horizontal="left" wrapText="1"/>
    </xf>
    <xf numFmtId="0" fontId="0" fillId="0" borderId="0" pivotButton="0" quotePrefix="0" xfId="0"/>
    <xf numFmtId="191" fontId="32" fillId="6" borderId="0" applyAlignment="1" pivotButton="0" quotePrefix="0" xfId="11">
      <alignment horizontal="left" vertical="center" wrapText="1"/>
    </xf>
    <xf numFmtId="0" fontId="47" fillId="5" borderId="0" applyAlignment="1" pivotButton="0" quotePrefix="0" xfId="11">
      <alignment horizontal="left" wrapText="1"/>
    </xf>
    <xf numFmtId="0" fontId="32" fillId="6" borderId="0" applyAlignment="1" pivotButton="0" quotePrefix="0" xfId="11">
      <alignment horizontal="left" vertical="center" wrapText="1"/>
    </xf>
    <xf numFmtId="0" fontId="0" fillId="6" borderId="0" applyAlignment="1" pivotButton="0" quotePrefix="0" xfId="0">
      <alignment horizontal="left" wrapText="1"/>
    </xf>
    <xf numFmtId="0" fontId="0" fillId="6" borderId="0" pivotButton="0" quotePrefix="0" xfId="0"/>
    <xf numFmtId="0" fontId="32" fillId="5" borderId="0" applyAlignment="1" pivotButton="0" quotePrefix="0" xfId="11">
      <alignment horizontal="left" vertical="center" wrapText="1"/>
    </xf>
    <xf numFmtId="191" fontId="32" fillId="6" borderId="0" applyAlignment="1" pivotButton="0" quotePrefix="0" xfId="11">
      <alignment horizontal="left" wrapText="1"/>
    </xf>
    <xf numFmtId="1" fontId="39" fillId="19" borderId="0" applyAlignment="1" pivotButton="0" quotePrefix="0" xfId="11">
      <alignment horizontal="left" wrapText="1"/>
    </xf>
    <xf numFmtId="0" fontId="48" fillId="5" borderId="0" applyAlignment="1" pivotButton="0" quotePrefix="0" xfId="0">
      <alignment horizontal="left" vertical="top" wrapText="1"/>
    </xf>
    <xf numFmtId="196" fontId="47" fillId="6" borderId="0" applyAlignment="1" pivotButton="0" quotePrefix="0" xfId="11">
      <alignment horizontal="left" wrapText="1"/>
    </xf>
    <xf numFmtId="0" fontId="64" fillId="6" borderId="0" applyAlignment="1" pivotButton="0" quotePrefix="0" xfId="0">
      <alignment horizontal="left" wrapText="1"/>
    </xf>
    <xf numFmtId="179" fontId="47" fillId="5" borderId="0" applyAlignment="1" pivotButton="0" quotePrefix="0" xfId="11">
      <alignment horizontal="left" wrapText="1"/>
    </xf>
    <xf numFmtId="0" fontId="0" fillId="5" borderId="0" applyAlignment="1" pivotButton="0" quotePrefix="0" xfId="0">
      <alignment horizontal="left" wrapText="1"/>
    </xf>
    <xf numFmtId="0" fontId="0" fillId="5" borderId="1" applyAlignment="1" pivotButton="0" quotePrefix="0" xfId="0">
      <alignment horizontal="center"/>
    </xf>
    <xf numFmtId="0" fontId="0" fillId="0" borderId="1" pivotButton="0" quotePrefix="0" xfId="0"/>
    <xf numFmtId="0" fontId="32" fillId="5" borderId="0" applyAlignment="1" pivotButton="0" quotePrefix="0" xfId="11">
      <alignment horizontal="left" wrapText="1"/>
    </xf>
    <xf numFmtId="0" fontId="18" fillId="5" borderId="1" applyAlignment="1" pivotButton="0" quotePrefix="0" xfId="0">
      <alignment horizontal="left" vertical="top" wrapText="1"/>
    </xf>
    <xf numFmtId="1" fontId="32" fillId="6" borderId="0" applyAlignment="1" pivotButton="0" quotePrefix="0" xfId="11">
      <alignment horizontal="left" vertical="center" wrapText="1"/>
    </xf>
    <xf numFmtId="0" fontId="32" fillId="6" borderId="0" applyAlignment="1" pivotButton="0" quotePrefix="0" xfId="0">
      <alignment horizontal="left" vertical="center" wrapText="1"/>
    </xf>
    <xf numFmtId="171" fontId="32" fillId="6" borderId="0" applyAlignment="1" pivotButton="0" quotePrefix="0" xfId="4">
      <alignment horizontal="left" wrapText="1"/>
    </xf>
    <xf numFmtId="0" fontId="47" fillId="6" borderId="0" applyAlignment="1" pivotButton="0" quotePrefix="0" xfId="11">
      <alignment horizontal="left" wrapText="1"/>
    </xf>
    <xf numFmtId="0" fontId="47" fillId="5" borderId="1" applyAlignment="1" pivotButton="0" quotePrefix="0" xfId="11">
      <alignment horizontal="left" wrapText="1"/>
    </xf>
    <xf numFmtId="0" fontId="32" fillId="6" borderId="1" applyAlignment="1" pivotButton="0" quotePrefix="0" xfId="11">
      <alignment horizontal="left" wrapText="1"/>
    </xf>
    <xf numFmtId="0" fontId="48" fillId="6" borderId="0" applyAlignment="1" pivotButton="0" quotePrefix="0" xfId="0">
      <alignment horizontal="justify" vertical="top" wrapText="1"/>
    </xf>
    <xf numFmtId="0" fontId="58" fillId="16" borderId="0" applyAlignment="1" pivotButton="0" quotePrefix="0" xfId="0">
      <alignment horizontal="center"/>
    </xf>
    <xf numFmtId="179" fontId="47" fillId="6" borderId="0" applyAlignment="1" pivotButton="0" quotePrefix="0" xfId="11">
      <alignment horizontal="left" wrapText="1"/>
    </xf>
    <xf numFmtId="0" fontId="39" fillId="16" borderId="11" applyAlignment="1" pivotButton="0" quotePrefix="0" xfId="10">
      <alignment horizontal="center"/>
    </xf>
    <xf numFmtId="0" fontId="0" fillId="0" borderId="11" pivotButton="0" quotePrefix="0" xfId="0"/>
    <xf numFmtId="0" fontId="32" fillId="5" borderId="0" applyAlignment="1" pivotButton="0" quotePrefix="0" xfId="0">
      <alignment horizontal="left" vertical="center" wrapText="1"/>
    </xf>
    <xf numFmtId="0" fontId="5" fillId="6" borderId="0" applyAlignment="1" pivotButton="0" quotePrefix="0" xfId="0">
      <alignment wrapText="1"/>
    </xf>
    <xf numFmtId="0" fontId="39" fillId="16" borderId="0" applyAlignment="1" pivotButton="0" quotePrefix="0" xfId="10">
      <alignment horizontal="center"/>
    </xf>
    <xf numFmtId="0" fontId="58" fillId="16" borderId="11" applyAlignment="1" pivotButton="0" quotePrefix="0" xfId="0">
      <alignment horizontal="center"/>
    </xf>
    <xf numFmtId="0" fontId="58" fillId="16" borderId="0" applyAlignment="1" pivotButton="0" quotePrefix="0" xfId="0">
      <alignment horizontal="center" wrapText="1"/>
    </xf>
    <xf numFmtId="0" fontId="50" fillId="6" borderId="0" applyAlignment="1" pivotButton="0" quotePrefix="0" xfId="0">
      <alignment horizontal="left" vertical="top" wrapText="1"/>
    </xf>
    <xf numFmtId="3" fontId="0" fillId="5" borderId="0" applyAlignment="1" pivotButton="0" quotePrefix="0" xfId="0">
      <alignment horizontal="left" wrapText="1"/>
    </xf>
    <xf numFmtId="1" fontId="32" fillId="6" borderId="1" applyAlignment="1" pivotButton="0" quotePrefix="0" xfId="11">
      <alignment horizontal="left" vertical="center" wrapText="1"/>
    </xf>
    <xf numFmtId="0" fontId="34" fillId="6" borderId="0" applyAlignment="1" pivotButton="0" quotePrefix="0" xfId="10">
      <alignment horizontal="left"/>
    </xf>
    <xf numFmtId="0" fontId="47" fillId="6" borderId="0" applyAlignment="1" pivotButton="0" quotePrefix="0" xfId="11">
      <alignment horizontal="justify" wrapText="1"/>
    </xf>
    <xf numFmtId="0" fontId="47" fillId="5" borderId="0" applyAlignment="1" pivotButton="0" quotePrefix="0" xfId="11">
      <alignment horizontal="justify" wrapText="1"/>
    </xf>
    <xf numFmtId="0" fontId="18" fillId="5" borderId="0" applyAlignment="1" pivotButton="0" quotePrefix="0" xfId="0">
      <alignment horizontal="left" vertical="top" wrapText="1"/>
    </xf>
    <xf numFmtId="0" fontId="18" fillId="6" borderId="0" applyAlignment="1" pivotButton="0" quotePrefix="0" xfId="0">
      <alignment horizontal="left" vertical="top" wrapText="1"/>
    </xf>
    <xf numFmtId="9" fontId="32" fillId="6" borderId="0" applyAlignment="1" pivotButton="0" quotePrefix="0" xfId="4">
      <alignment horizontal="left" vertical="center" wrapText="1"/>
    </xf>
    <xf numFmtId="0" fontId="0" fillId="6" borderId="0" applyAlignment="1" pivotButton="0" quotePrefix="0" xfId="0">
      <alignment horizontal="center"/>
    </xf>
    <xf numFmtId="0" fontId="58" fillId="16" borderId="0" applyAlignment="1" pivotButton="0" quotePrefix="0" xfId="0">
      <alignment horizontal="center" vertical="top" wrapText="1"/>
    </xf>
    <xf numFmtId="0" fontId="55" fillId="19" borderId="47" applyAlignment="1" pivotButton="0" quotePrefix="0" xfId="0">
      <alignment horizontal="center"/>
    </xf>
    <xf numFmtId="0" fontId="0" fillId="0" borderId="47" pivotButton="0" quotePrefix="0" xfId="0"/>
    <xf numFmtId="0" fontId="48" fillId="5" borderId="0" applyAlignment="1" pivotButton="0" quotePrefix="0" xfId="0">
      <alignment horizontal="left"/>
    </xf>
    <xf numFmtId="0" fontId="8" fillId="16" borderId="0" applyAlignment="1" pivotButton="0" quotePrefix="0" xfId="0">
      <alignment horizontal="center" vertical="center" wrapText="1" justifyLastLine="1"/>
    </xf>
    <xf numFmtId="0" fontId="48" fillId="5" borderId="1" applyAlignment="1" pivotButton="0" quotePrefix="0" xfId="0">
      <alignment horizontal="left"/>
    </xf>
    <xf numFmtId="0" fontId="53" fillId="10" borderId="1" applyAlignment="1" pivotButton="0" quotePrefix="0" xfId="0">
      <alignment horizontal="left" vertical="top" wrapText="1"/>
    </xf>
    <xf numFmtId="10" fontId="48" fillId="6" borderId="5" applyAlignment="1" pivotButton="0" quotePrefix="0" xfId="4">
      <alignment horizontal="center"/>
    </xf>
    <xf numFmtId="0" fontId="0" fillId="0" borderId="5" pivotButton="0" quotePrefix="0" xfId="0"/>
    <xf numFmtId="0" fontId="44" fillId="10" borderId="1" applyAlignment="1" pivotButton="0" quotePrefix="0" xfId="0">
      <alignment horizontal="left" vertical="top"/>
    </xf>
    <xf numFmtId="10" fontId="48" fillId="6" borderId="49" applyAlignment="1" pivotButton="0" quotePrefix="0" xfId="4">
      <alignment horizontal="center"/>
    </xf>
    <xf numFmtId="0" fontId="0" fillId="0" borderId="49" pivotButton="0" quotePrefix="0" xfId="0"/>
    <xf numFmtId="0" fontId="32" fillId="5" borderId="0" applyAlignment="1" pivotButton="0" quotePrefix="0" xfId="11">
      <alignment horizontal="justify" vertical="top" wrapText="1"/>
    </xf>
    <xf numFmtId="0" fontId="39" fillId="16" borderId="0" applyAlignment="1" pivotButton="0" quotePrefix="0" xfId="10">
      <alignment horizontal="center" vertical="center"/>
    </xf>
    <xf numFmtId="0" fontId="32" fillId="5" borderId="1" applyAlignment="1" pivotButton="0" quotePrefix="0" xfId="11">
      <alignment horizontal="justify" vertical="center" wrapText="1"/>
    </xf>
    <xf numFmtId="0" fontId="32" fillId="6" borderId="0" applyAlignment="1" pivotButton="0" quotePrefix="0" xfId="0">
      <alignment horizontal="left" vertical="top" wrapText="1"/>
    </xf>
    <xf numFmtId="0" fontId="32" fillId="6" borderId="0" applyAlignment="1" pivotButton="0" quotePrefix="0" xfId="11">
      <alignment horizontal="left" vertical="top" wrapText="1"/>
    </xf>
    <xf numFmtId="0" fontId="40" fillId="20" borderId="0" applyAlignment="1" pivotButton="0" quotePrefix="0" xfId="10">
      <alignment horizontal="center" vertical="center"/>
    </xf>
    <xf numFmtId="0" fontId="32" fillId="6" borderId="1" applyAlignment="1" pivotButton="0" quotePrefix="0" xfId="11">
      <alignment horizontal="justify" vertical="top" wrapText="1"/>
    </xf>
    <xf numFmtId="0" fontId="40" fillId="21" borderId="0" applyAlignment="1" pivotButton="0" quotePrefix="0" xfId="0">
      <alignment horizontal="center" vertical="center"/>
    </xf>
    <xf numFmtId="0" fontId="32" fillId="5" borderId="1" applyAlignment="1" pivotButton="0" quotePrefix="0" xfId="11">
      <alignment horizontal="justify" vertical="top" wrapText="1"/>
    </xf>
    <xf numFmtId="200" fontId="32" fillId="6" borderId="1" applyAlignment="1" pivotButton="0" quotePrefix="0" xfId="11">
      <alignment horizontal="justify" vertical="top" wrapText="1"/>
    </xf>
    <xf numFmtId="0" fontId="32" fillId="5" borderId="1" applyAlignment="1" pivotButton="0" quotePrefix="0" xfId="11">
      <alignment horizontal="left" vertical="top" wrapText="1"/>
    </xf>
    <xf numFmtId="0" fontId="32" fillId="5" borderId="67" applyAlignment="1" pivotButton="0" quotePrefix="0" xfId="11">
      <alignment horizontal="justify" vertical="top" wrapText="1"/>
    </xf>
    <xf numFmtId="0" fontId="0" fillId="0" borderId="67" pivotButton="0" quotePrefix="0" xfId="0"/>
    <xf numFmtId="0" fontId="32" fillId="6" borderId="0" applyAlignment="1" pivotButton="0" quotePrefix="0" xfId="11">
      <alignment horizontal="justify" vertical="top" wrapText="1"/>
    </xf>
    <xf numFmtId="2" fontId="32" fillId="6" borderId="1" applyAlignment="1" pivotButton="0" quotePrefix="0" xfId="11">
      <alignment horizontal="justify" vertical="top" wrapText="1"/>
    </xf>
    <xf numFmtId="17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191" fontId="32" fillId="6" borderId="0" applyAlignment="1" pivotButton="0" quotePrefix="0" xfId="11">
      <alignment horizontal="justify" vertical="top" wrapText="1"/>
    </xf>
    <xf numFmtId="191" fontId="32" fillId="6" borderId="0" applyAlignment="1" pivotButton="0" quotePrefix="0" xfId="11">
      <alignment horizontal="left" vertical="top" wrapText="1"/>
    </xf>
    <xf numFmtId="0" fontId="32" fillId="5" borderId="67" applyAlignment="1" pivotButton="0" quotePrefix="0" xfId="11">
      <alignment horizontal="left" vertical="top" wrapText="1"/>
    </xf>
    <xf numFmtId="200" fontId="32" fillId="5" borderId="0" applyAlignment="1" pivotButton="0" quotePrefix="0" xfId="11">
      <alignment horizontal="justify" vertical="top" wrapText="1"/>
    </xf>
    <xf numFmtId="0" fontId="32" fillId="5" borderId="0" applyAlignment="1" pivotButton="0" quotePrefix="0" xfId="11">
      <alignment horizontal="left" vertical="top" wrapText="1"/>
    </xf>
    <xf numFmtId="0" fontId="32" fillId="6" borderId="67" applyAlignment="1" pivotButton="0" quotePrefix="0" xfId="11">
      <alignment horizontal="justify" vertical="top" wrapText="1"/>
    </xf>
    <xf numFmtId="9" fontId="32" fillId="6" borderId="0" applyAlignment="1" pivotButton="0" quotePrefix="0" xfId="4">
      <alignment horizontal="justify" vertical="top" wrapText="1"/>
    </xf>
    <xf numFmtId="20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202" fontId="32" fillId="6" borderId="0" applyAlignment="1" pivotButton="0" quotePrefix="0" xfId="11">
      <alignment horizontal="justify" vertical="top" wrapText="1"/>
    </xf>
    <xf numFmtId="0" fontId="32" fillId="6" borderId="0" applyAlignment="1" pivotButton="0" quotePrefix="0" xfId="11">
      <alignment horizontal="justify" wrapText="1"/>
    </xf>
    <xf numFmtId="0" fontId="8" fillId="16" borderId="0" applyAlignment="1" pivotButton="0" quotePrefix="0" xfId="0">
      <alignment horizontal="center"/>
    </xf>
    <xf numFmtId="0" fontId="2" fillId="2" borderId="0" applyAlignment="1" pivotButton="0" quotePrefix="0" xfId="0">
      <alignment horizontal="center" vertical="center" justifyLastLine="1"/>
    </xf>
    <xf numFmtId="0" fontId="2" fillId="15" borderId="11" applyAlignment="1" pivotButton="0" quotePrefix="0" xfId="0">
      <alignment horizontal="left" vertical="center" justifyLastLine="1"/>
    </xf>
    <xf numFmtId="0" fontId="58" fillId="16" borderId="0" applyAlignment="1" pivotButton="0" quotePrefix="0" xfId="0">
      <alignment horizontal="center" vertical="center" justifyLastLine="1"/>
    </xf>
    <xf numFmtId="0" fontId="45" fillId="15" borderId="0" applyAlignment="1" pivotButton="0" quotePrefix="0" xfId="0">
      <alignment horizontal="center" vertical="center" justifyLastLine="1"/>
    </xf>
    <xf numFmtId="0" fontId="0" fillId="0" borderId="0" applyAlignment="1" pivotButton="0" quotePrefix="0" xfId="0">
      <alignment horizontal="right"/>
    </xf>
    <xf numFmtId="0" fontId="39" fillId="16" borderId="0" applyAlignment="1" pivotButton="0" quotePrefix="0" xfId="0">
      <alignment horizontal="center" justifyLastLine="1"/>
    </xf>
    <xf numFmtId="165" fontId="50" fillId="22" borderId="1" applyAlignment="1" pivotButton="0" quotePrefix="0" xfId="0">
      <alignment horizontal="right"/>
    </xf>
    <xf numFmtId="3" fontId="48" fillId="6" borderId="2" applyAlignment="1" pivotButton="0" quotePrefix="0" xfId="2">
      <alignment horizontal="right" vertical="center" justifyLastLine="1"/>
    </xf>
    <xf numFmtId="0" fontId="48" fillId="6" borderId="2" applyAlignment="1" pivotButton="0" quotePrefix="0" xfId="0">
      <alignment horizontal="right" vertical="center" wrapText="1" justifyLastLine="1"/>
    </xf>
    <xf numFmtId="0" fontId="48" fillId="6" borderId="2" applyAlignment="1" pivotButton="0" quotePrefix="0" xfId="0">
      <alignment horizontal="right" vertical="center" justifyLastLine="1"/>
    </xf>
    <xf numFmtId="169" fontId="49" fillId="6" borderId="40" applyAlignment="1" pivotButton="0" quotePrefix="0" xfId="3">
      <alignment horizontal="right" vertical="center" wrapText="1" justifyLastLine="1"/>
    </xf>
    <xf numFmtId="0" fontId="0" fillId="0" borderId="7" pivotButton="0" quotePrefix="0" xfId="0"/>
    <xf numFmtId="169" fontId="48" fillId="6" borderId="2" applyAlignment="1" pivotButton="0" quotePrefix="0" xfId="3">
      <alignment horizontal="right" vertical="center" justifyLastLine="1"/>
    </xf>
    <xf numFmtId="3" fontId="48" fillId="6" borderId="2" applyAlignment="1" pivotButton="0" quotePrefix="0" xfId="2">
      <alignment horizontal="right" vertical="center" wrapText="1" justifyLastLine="1"/>
    </xf>
    <xf numFmtId="0" fontId="45" fillId="4" borderId="0" applyAlignment="1" pivotButton="0" quotePrefix="0" xfId="0">
      <alignment horizontal="center" vertical="center" justifyLastLine="1"/>
    </xf>
    <xf numFmtId="0" fontId="39" fillId="16" borderId="0" applyAlignment="1" pivotButton="0" quotePrefix="0" xfId="0">
      <alignment horizontal="center" vertical="center"/>
    </xf>
    <xf numFmtId="180" fontId="49" fillId="6" borderId="2" applyAlignment="1" pivotButton="0" quotePrefix="0" xfId="0">
      <alignment horizontal="right" vertical="center" justifyLastLine="1"/>
    </xf>
    <xf numFmtId="0" fontId="76" fillId="16" borderId="0" applyAlignment="1" pivotButton="0" quotePrefix="0" xfId="0">
      <alignment horizontal="center"/>
    </xf>
    <xf numFmtId="0" fontId="77" fillId="0" borderId="0" pivotButton="0" quotePrefix="0" xfId="0"/>
    <xf numFmtId="0" fontId="5" fillId="23" borderId="0" applyAlignment="1" pivotButton="0" quotePrefix="0" xfId="0">
      <alignment horizontal="center"/>
    </xf>
    <xf numFmtId="0" fontId="58" fillId="9" borderId="0" applyAlignment="1" pivotButton="0" quotePrefix="0" xfId="0">
      <alignment horizontal="center"/>
    </xf>
    <xf numFmtId="0" fontId="78" fillId="16" borderId="0" applyAlignment="1" pivotButton="0" quotePrefix="0" xfId="0">
      <alignment horizontal="center"/>
    </xf>
    <xf numFmtId="0" fontId="8" fillId="16" borderId="0" applyAlignment="1" pivotButton="0" quotePrefix="1" xfId="0">
      <alignment horizontal="center" vertical="center"/>
    </xf>
    <xf numFmtId="3" fontId="32" fillId="0" borderId="0" pivotButton="0" quotePrefix="0" xfId="0"/>
    <xf numFmtId="165" fontId="32" fillId="0" borderId="0" pivotButton="0" quotePrefix="0" xfId="0"/>
    <xf numFmtId="0" fontId="8" fillId="0" borderId="0" applyAlignment="1" pivotButton="0" quotePrefix="1" xfId="0">
      <alignment horizontal="center" vertical="center"/>
    </xf>
    <xf numFmtId="0" fontId="32" fillId="0" borderId="0" pivotButton="0" quotePrefix="0" xfId="0"/>
    <xf numFmtId="0" fontId="8" fillId="2" borderId="0" applyAlignment="1" pivotButton="0" quotePrefix="1" xfId="0">
      <alignment horizontal="center" vertical="center"/>
    </xf>
    <xf numFmtId="0" fontId="8" fillId="2" borderId="0" applyAlignment="1" pivotButton="0" quotePrefix="0" xfId="0">
      <alignment horizontal="center" vertical="center"/>
    </xf>
    <xf numFmtId="0" fontId="4" fillId="0" borderId="0" pivotButton="0" quotePrefix="0" xfId="0"/>
    <xf numFmtId="165" fontId="50" fillId="0" borderId="1" applyAlignment="1" pivotButton="0" quotePrefix="0" xfId="0">
      <alignment horizontal="right"/>
    </xf>
    <xf numFmtId="3" fontId="48" fillId="6" borderId="0" applyAlignment="1" pivotButton="0" quotePrefix="0" xfId="2">
      <alignment horizontal="right" vertical="top"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169" fontId="49" fillId="6" borderId="7" applyAlignment="1" pivotButton="0" quotePrefix="0" xfId="3">
      <alignment horizontal="right" vertical="top" wrapText="1" justifyLastLine="1"/>
    </xf>
    <xf numFmtId="1" fontId="49" fillId="6" borderId="0" applyAlignment="1" pivotButton="0" quotePrefix="0" xfId="3">
      <alignment horizontal="right" vertical="top" justifyLastLine="1"/>
    </xf>
    <xf numFmtId="0" fontId="48" fillId="6" borderId="0" applyAlignment="1" pivotButton="0" quotePrefix="0" xfId="0">
      <alignment horizontal="right" vertical="top" justifyLastLine="1"/>
    </xf>
    <xf numFmtId="169" fontId="48" fillId="6" borderId="0" applyAlignment="1" pivotButton="0" quotePrefix="0" xfId="3">
      <alignment horizontal="right" vertical="top" justifyLastLine="1"/>
    </xf>
    <xf numFmtId="0" fontId="0" fillId="0" borderId="0" applyAlignment="1" pivotButton="0" quotePrefix="0" xfId="0">
      <alignment wrapText="1"/>
    </xf>
    <xf numFmtId="3" fontId="48" fillId="0" borderId="0" applyAlignment="1" pivotButton="0" quotePrefix="0" xfId="2">
      <alignment horizontal="right" vertical="center" justifyLastLine="1"/>
    </xf>
    <xf numFmtId="0" fontId="48" fillId="0" borderId="15" applyAlignment="1" pivotButton="0" quotePrefix="0" xfId="0">
      <alignment horizontal="right" vertical="center" justifyLastLine="1"/>
    </xf>
    <xf numFmtId="0" fontId="0" fillId="0" borderId="14" pivotButton="0" quotePrefix="0" xfId="0"/>
    <xf numFmtId="0" fontId="48" fillId="0" borderId="2" applyAlignment="1" pivotButton="0" quotePrefix="0" xfId="0">
      <alignment horizontal="right" vertical="center" justifyLastLine="1"/>
    </xf>
    <xf numFmtId="0" fontId="39" fillId="2" borderId="0" applyAlignment="1" pivotButton="0" quotePrefix="0" xfId="0">
      <alignment horizontal="center" vertical="center" justifyLastLine="1"/>
    </xf>
    <xf numFmtId="0" fontId="48" fillId="6" borderId="2" applyAlignment="1" pivotButton="0" quotePrefix="0" xfId="0">
      <alignment horizontal="right" vertical="top" justifyLastLine="1"/>
    </xf>
    <xf numFmtId="169" fontId="48" fillId="0" borderId="0" applyAlignment="1" pivotButton="0" quotePrefix="0" xfId="3">
      <alignment horizontal="right" vertical="center" justifyLastLine="1"/>
    </xf>
    <xf numFmtId="180" fontId="49" fillId="0" borderId="15" applyAlignment="1" pivotButton="0" quotePrefix="0" xfId="0">
      <alignment horizontal="right" vertical="center" justifyLastLine="1"/>
    </xf>
    <xf numFmtId="169" fontId="48" fillId="0" borderId="15" applyAlignment="1" pivotButton="0" quotePrefix="0" xfId="3">
      <alignment horizontal="right" vertical="center" justifyLastLine="1"/>
    </xf>
    <xf numFmtId="169" fontId="48" fillId="6" borderId="15" applyAlignment="1" pivotButton="0" quotePrefix="0" xfId="3">
      <alignment horizontal="right" vertical="top" justifyLastLine="1"/>
    </xf>
    <xf numFmtId="3" fontId="48" fillId="0" borderId="15" applyAlignment="1" pivotButton="0" quotePrefix="0" xfId="2">
      <alignment horizontal="right" vertical="center" justifyLastLine="1"/>
    </xf>
    <xf numFmtId="0" fontId="48" fillId="0" borderId="0" applyAlignment="1" pivotButton="0" quotePrefix="0" xfId="0">
      <alignment horizontal="right" vertical="center" justifyLastLine="1"/>
    </xf>
    <xf numFmtId="0" fontId="48" fillId="6" borderId="15" applyAlignment="1" pivotButton="0" quotePrefix="0" xfId="0">
      <alignment horizontal="right" vertical="top" wrapText="1" justifyLastLine="1"/>
    </xf>
    <xf numFmtId="3" fontId="48" fillId="0" borderId="2" applyAlignment="1" pivotButton="0" quotePrefix="0" xfId="2">
      <alignment horizontal="right" vertical="center" justifyLastLine="1"/>
    </xf>
    <xf numFmtId="0" fontId="48" fillId="0" borderId="2" applyAlignment="1" pivotButton="0" quotePrefix="0" xfId="0">
      <alignment horizontal="right" vertical="center" wrapText="1" justifyLastLine="1"/>
    </xf>
    <xf numFmtId="0" fontId="49" fillId="6" borderId="2" applyAlignment="1" pivotButton="0" quotePrefix="0" xfId="3">
      <alignment horizontal="right" vertical="top" justifyLastLine="1"/>
    </xf>
    <xf numFmtId="0" fontId="48" fillId="0" borderId="15" applyAlignment="1" pivotButton="0" quotePrefix="0" xfId="0">
      <alignment horizontal="right" vertical="center" wrapText="1" justifyLastLine="1"/>
    </xf>
    <xf numFmtId="0" fontId="48" fillId="0" borderId="0" applyAlignment="1" pivotButton="0" quotePrefix="0" xfId="0">
      <alignment horizontal="right" vertical="center" wrapText="1" justifyLastLine="1"/>
    </xf>
    <xf numFmtId="180" fontId="49" fillId="0" borderId="2" applyAlignment="1" pivotButton="0" quotePrefix="0" xfId="0">
      <alignment horizontal="right" vertical="center" justifyLastLine="1"/>
    </xf>
    <xf numFmtId="169" fontId="49" fillId="6" borderId="75" applyAlignment="1" pivotButton="0" quotePrefix="0" xfId="3">
      <alignment horizontal="right" vertical="top" wrapText="1" justifyLastLine="1"/>
    </xf>
    <xf numFmtId="0" fontId="0" fillId="0" borderId="41" pivotButton="0" quotePrefix="0" xfId="0"/>
    <xf numFmtId="169" fontId="49" fillId="0" borderId="75" applyAlignment="1" pivotButton="0" quotePrefix="0" xfId="3">
      <alignment horizontal="right" vertical="center" wrapText="1" justifyLastLine="1"/>
    </xf>
    <xf numFmtId="169" fontId="48" fillId="0" borderId="2" applyAlignment="1" pivotButton="0" quotePrefix="0" xfId="3">
      <alignment horizontal="right" vertical="center" justifyLastLine="1"/>
    </xf>
    <xf numFmtId="168" fontId="48" fillId="0" borderId="15" applyAlignment="1" pivotButton="0" quotePrefix="0" xfId="2">
      <alignment horizontal="right" vertical="center" justifyLastLine="1"/>
    </xf>
    <xf numFmtId="3" fontId="48" fillId="6" borderId="15" applyAlignment="1" pivotButton="0" quotePrefix="0" xfId="2">
      <alignment horizontal="right" vertical="top" justifyLastLine="1"/>
    </xf>
    <xf numFmtId="0" fontId="39" fillId="4" borderId="0" applyAlignment="1" pivotButton="0" quotePrefix="0" xfId="0">
      <alignment horizontal="center" vertical="center" justifyLastLine="1"/>
    </xf>
    <xf numFmtId="0" fontId="48" fillId="6" borderId="2" applyAlignment="1" pivotButton="0" quotePrefix="0" xfId="0">
      <alignment horizontal="right" vertical="top" wrapText="1" justifyLastLine="1"/>
    </xf>
    <xf numFmtId="0" fontId="46" fillId="4" borderId="0" applyAlignment="1" pivotButton="0" quotePrefix="0" xfId="0">
      <alignment horizontal="center" vertical="center" justifyLastLine="1"/>
    </xf>
    <xf numFmtId="0" fontId="48" fillId="6" borderId="15" applyAlignment="1" pivotButton="0" quotePrefix="0" xfId="0">
      <alignment horizontal="right" vertical="top" justifyLastLine="1"/>
    </xf>
    <xf numFmtId="180" fontId="49" fillId="6" borderId="2" applyAlignment="1" pivotButton="0" quotePrefix="0" xfId="0">
      <alignment horizontal="right" vertical="top"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80" fontId="49" fillId="0" borderId="0" applyAlignment="1" pivotButton="0" quotePrefix="0" xfId="0">
      <alignment horizontal="right" vertical="center" justifyLastLine="1"/>
    </xf>
    <xf numFmtId="3" fontId="48" fillId="6" borderId="2" applyAlignment="1" pivotButton="0" quotePrefix="0" xfId="2">
      <alignment horizontal="right" vertical="top" justifyLastLine="1"/>
    </xf>
    <xf numFmtId="0" fontId="58" fillId="16" borderId="0" applyAlignment="1" pivotButton="0" quotePrefix="0" xfId="0">
      <alignment horizontal="center" vertical="center"/>
    </xf>
    <xf numFmtId="0" fontId="44" fillId="3" borderId="10" applyAlignment="1" pivotButton="0" quotePrefix="0" xfId="0">
      <alignment horizontal="left" vertical="center" wrapText="1"/>
    </xf>
    <xf numFmtId="0" fontId="0" fillId="0" borderId="9" pivotButton="0" quotePrefix="0" xfId="0"/>
    <xf numFmtId="0" fontId="0" fillId="0" borderId="17" pivotButton="0" quotePrefix="0" xfId="0"/>
    <xf numFmtId="0" fontId="41" fillId="6" borderId="15" applyAlignment="1" pivotButton="0" quotePrefix="0" xfId="0">
      <alignment vertical="center" wrapText="1"/>
    </xf>
    <xf numFmtId="3" fontId="41" fillId="5" borderId="15" applyAlignment="1" pivotButton="0" quotePrefix="0" xfId="0">
      <alignment horizontal="center" vertical="center" wrapText="1"/>
    </xf>
    <xf numFmtId="0" fontId="41" fillId="5" borderId="15" applyAlignment="1" pivotButton="0" quotePrefix="0" xfId="0">
      <alignment horizontal="center" vertical="center" wrapText="1"/>
    </xf>
    <xf numFmtId="167" fontId="41" fillId="5" borderId="15" applyAlignment="1" pivotButton="0" quotePrefix="0" xfId="3">
      <alignment horizontal="center" vertical="center" wrapText="1"/>
    </xf>
    <xf numFmtId="0" fontId="41" fillId="6" borderId="15" applyAlignment="1" pivotButton="0" quotePrefix="0" xfId="0">
      <alignment horizontal="left" vertical="center" wrapText="1"/>
    </xf>
    <xf numFmtId="167" fontId="41" fillId="6" borderId="15" applyAlignment="1" pivotButton="0" quotePrefix="0" xfId="0">
      <alignment vertical="center" wrapText="1"/>
    </xf>
    <xf numFmtId="180" fontId="41" fillId="5" borderId="15" applyAlignment="1" pivotButton="0" quotePrefix="0" xfId="3">
      <alignment horizontal="center" vertical="center" wrapText="1"/>
    </xf>
    <xf numFmtId="169" fontId="41" fillId="5" borderId="15" applyAlignment="1" pivotButton="0" quotePrefix="0" xfId="3">
      <alignment horizontal="center" vertical="center" wrapText="1"/>
    </xf>
    <xf numFmtId="0" fontId="41" fillId="6" borderId="22" applyAlignment="1" pivotButton="0" quotePrefix="0" xfId="0">
      <alignment vertical="center" wrapText="1"/>
    </xf>
    <xf numFmtId="0" fontId="0" fillId="0" borderId="4" pivotButton="0" quotePrefix="0" xfId="0"/>
    <xf numFmtId="0" fontId="39" fillId="16" borderId="76" applyAlignment="1" pivotButton="0" quotePrefix="0" xfId="0">
      <alignment horizontal="center" vertical="center" wrapText="1"/>
    </xf>
    <xf numFmtId="0" fontId="0" fillId="0" borderId="77" pivotButton="0" quotePrefix="0" xfId="0"/>
    <xf numFmtId="0" fontId="42" fillId="15" borderId="2" applyAlignment="1" pivotButton="0" quotePrefix="0" xfId="0">
      <alignment horizontal="left" vertical="center" wrapText="1"/>
    </xf>
    <xf numFmtId="0" fontId="13" fillId="4" borderId="0" pivotButton="0" quotePrefix="0" xfId="0"/>
    <xf numFmtId="0" fontId="42" fillId="15" borderId="11" applyAlignment="1" pivotButton="0" quotePrefix="0" xfId="0">
      <alignment horizontal="center" vertical="center" wrapText="1"/>
    </xf>
    <xf numFmtId="167" fontId="41" fillId="0" borderId="15" applyAlignment="1" pivotButton="0" quotePrefix="0" xfId="3">
      <alignment horizontal="center" vertical="center" wrapText="1"/>
    </xf>
    <xf numFmtId="167" fontId="43" fillId="3" borderId="10" applyAlignment="1" pivotButton="0" quotePrefix="0" xfId="3">
      <alignment horizontal="center" vertical="center" wrapText="1"/>
    </xf>
    <xf numFmtId="0" fontId="40" fillId="15" borderId="0" applyAlignment="1" pivotButton="0" quotePrefix="0" xfId="0">
      <alignment horizontal="center" vertical="center" wrapText="1"/>
    </xf>
    <xf numFmtId="0" fontId="41" fillId="0" borderId="15" applyAlignment="1" pivotButton="0" quotePrefix="0" xfId="0">
      <alignment horizontal="center" vertical="center" wrapText="1"/>
    </xf>
    <xf numFmtId="0" fontId="40" fillId="4" borderId="14" applyAlignment="1" pivotButton="0" quotePrefix="0" xfId="0">
      <alignment horizontal="center" vertical="top" wrapText="1"/>
    </xf>
    <xf numFmtId="1" fontId="41" fillId="5" borderId="15" applyAlignment="1" pivotButton="0" quotePrefix="0" xfId="0">
      <alignment horizontal="center" vertical="center" wrapText="1"/>
    </xf>
    <xf numFmtId="9" fontId="41" fillId="5" borderId="15" applyAlignment="1" pivotButton="0" quotePrefix="0" xfId="4">
      <alignment horizontal="center" vertical="center" wrapText="1"/>
    </xf>
    <xf numFmtId="0" fontId="40" fillId="15" borderId="2" applyAlignment="1" pivotButton="0" quotePrefix="0" xfId="0">
      <alignment horizontal="left" vertical="center" wrapText="1"/>
    </xf>
    <xf numFmtId="0" fontId="42" fillId="15" borderId="0" applyAlignment="1" pivotButton="0" quotePrefix="0" xfId="0">
      <alignment horizontal="center" vertical="center" wrapText="1"/>
    </xf>
    <xf numFmtId="167" fontId="41" fillId="6" borderId="22" applyAlignment="1" pivotButton="0" quotePrefix="0" xfId="0">
      <alignment vertical="center" wrapText="1"/>
    </xf>
    <xf numFmtId="3" fontId="41" fillId="0" borderId="15" applyAlignment="1" pivotButton="0" quotePrefix="0" xfId="0">
      <alignment horizontal="center" vertical="center" wrapText="1"/>
    </xf>
    <xf numFmtId="167" fontId="41" fillId="0" borderId="22" applyAlignment="1" pivotButton="0" quotePrefix="0" xfId="3">
      <alignment horizontal="center" vertical="center" wrapText="1"/>
    </xf>
    <xf numFmtId="2" fontId="41" fillId="5" borderId="15" applyAlignment="1" pivotButton="0" quotePrefix="0" xfId="4">
      <alignment horizontal="center" vertical="center" wrapText="1"/>
    </xf>
    <xf numFmtId="0" fontId="41" fillId="0" borderId="15" applyAlignment="1" pivotButton="0" quotePrefix="0" xfId="0">
      <alignment horizontal="left" vertical="center" wrapText="1"/>
    </xf>
    <xf numFmtId="167" fontId="41" fillId="5" borderId="22" applyAlignment="1" pivotButton="0" quotePrefix="0" xfId="3">
      <alignment horizontal="center" vertical="center" wrapText="1"/>
    </xf>
    <xf numFmtId="180" fontId="41" fillId="0" borderId="15" applyAlignment="1" pivotButton="0" quotePrefix="0" xfId="3">
      <alignment horizontal="center" vertical="center" wrapText="1"/>
    </xf>
    <xf numFmtId="167" fontId="43" fillId="3" borderId="10" applyAlignment="1" pivotButton="0" quotePrefix="0" xfId="0">
      <alignment vertical="center" wrapText="1"/>
    </xf>
    <xf numFmtId="3" fontId="41" fillId="5" borderId="15" applyAlignment="1" pivotButton="0" quotePrefix="0" xfId="3">
      <alignment horizontal="center" vertical="center" wrapText="1"/>
    </xf>
    <xf numFmtId="1" fontId="4" fillId="5" borderId="0" applyAlignment="1" pivotButton="0" quotePrefix="0" xfId="0">
      <alignment horizontal="center" vertical="top"/>
    </xf>
    <xf numFmtId="3" fontId="7" fillId="3" borderId="78" applyAlignment="1" pivotButton="0" quotePrefix="0" xfId="0">
      <alignment horizontal="center" vertical="top" wrapText="1"/>
    </xf>
    <xf numFmtId="1" fontId="7" fillId="3" borderId="78" applyAlignment="1" pivotButton="0" quotePrefix="0" xfId="0">
      <alignment horizontal="center" vertical="top"/>
    </xf>
    <xf numFmtId="3" fontId="7" fillId="3" borderId="78" applyAlignment="1" pivotButton="0" quotePrefix="0" xfId="0">
      <alignment horizontal="center" vertical="top"/>
    </xf>
    <xf numFmtId="3" fontId="4" fillId="5" borderId="0" applyAlignment="1" pivotButton="0" quotePrefix="0" xfId="0">
      <alignment horizontal="center" vertical="top"/>
    </xf>
    <xf numFmtId="0" fontId="8" fillId="16" borderId="0" applyAlignment="1" pivotButton="0" quotePrefix="0" xfId="0">
      <alignment horizontal="center" vertical="center"/>
    </xf>
    <xf numFmtId="0" fontId="8" fillId="4" borderId="0" applyAlignment="1" pivotButton="0" quotePrefix="0" xfId="0">
      <alignment horizontal="center"/>
    </xf>
    <xf numFmtId="166" fontId="4" fillId="0" borderId="0" applyAlignment="1" pivotButton="0" quotePrefix="0" xfId="3">
      <alignment horizontal="center"/>
    </xf>
    <xf numFmtId="203" fontId="9" fillId="0" borderId="0" applyAlignment="1" pivotButton="0" quotePrefix="0" xfId="0">
      <alignment horizontal="left" vertical="top" wrapText="1"/>
    </xf>
    <xf numFmtId="0" fontId="20" fillId="2" borderId="0" applyAlignment="1" pivotButton="0" quotePrefix="0" xfId="6">
      <alignment horizontal="center" vertical="top"/>
    </xf>
    <xf numFmtId="170" fontId="4" fillId="0" borderId="0" applyAlignment="1" pivotButton="0" quotePrefix="0" xfId="3">
      <alignment horizontal="center"/>
    </xf>
    <xf numFmtId="166" fontId="4" fillId="0" borderId="0" applyAlignment="1" pivotButton="0" quotePrefix="0" xfId="3">
      <alignment horizontal="center" vertical="center"/>
    </xf>
    <xf numFmtId="203" fontId="24" fillId="0" borderId="0" applyAlignment="1" pivotButton="0" quotePrefix="0" xfId="0">
      <alignment horizontal="left" vertical="top" wrapText="1"/>
    </xf>
    <xf numFmtId="173" fontId="9" fillId="0" borderId="0" applyAlignment="1" pivotButton="0" quotePrefix="0" xfId="0">
      <alignment horizontal="left" vertical="top" wrapText="1"/>
    </xf>
    <xf numFmtId="170" fontId="4" fillId="0" borderId="0" applyAlignment="1" pivotButton="0" quotePrefix="0" xfId="3">
      <alignment horizontal="center" vertical="center"/>
    </xf>
    <xf numFmtId="0" fontId="8"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2" fillId="2" borderId="0" applyAlignment="1" pivotButton="0" quotePrefix="0" xfId="0">
      <alignment horizontal="center" vertical="top" wrapText="1"/>
    </xf>
    <xf numFmtId="0" fontId="32" fillId="5" borderId="0" applyAlignment="1" pivotButton="0" quotePrefix="0" xfId="0">
      <alignment horizontal="left" wrapText="1"/>
    </xf>
    <xf numFmtId="193" fontId="32" fillId="0" borderId="0" pivotButton="0" quotePrefix="0" xfId="3"/>
    <xf numFmtId="0" fontId="39" fillId="15" borderId="0" applyAlignment="1" pivotButton="0" quotePrefix="0" xfId="0">
      <alignment horizontal="center"/>
    </xf>
    <xf numFmtId="169" fontId="32" fillId="0" borderId="0" applyAlignment="1" pivotButton="0" quotePrefix="0" xfId="3">
      <alignment horizontal="right"/>
    </xf>
    <xf numFmtId="0" fontId="34" fillId="3" borderId="1" applyAlignment="1" pivotButton="0" quotePrefix="0" xfId="0">
      <alignment horizontal="left"/>
    </xf>
    <xf numFmtId="170" fontId="47" fillId="0" borderId="11" applyAlignment="1" pivotButton="0" quotePrefix="0" xfId="0">
      <alignment horizontal="center"/>
    </xf>
    <xf numFmtId="169" fontId="32" fillId="0" borderId="9" applyAlignment="1" pivotButton="0" quotePrefix="0" xfId="3">
      <alignment horizontal="right"/>
    </xf>
    <xf numFmtId="10" fontId="32" fillId="5" borderId="1" applyAlignment="1" pivotButton="0" quotePrefix="0" xfId="4">
      <alignment horizontal="right" vertical="top"/>
    </xf>
    <xf numFmtId="0" fontId="39" fillId="15" borderId="1" applyAlignment="1" pivotButton="0" quotePrefix="0" xfId="0">
      <alignment horizontal="right"/>
    </xf>
    <xf numFmtId="0" fontId="40" fillId="16" borderId="0" applyAlignment="1" pivotButton="0" quotePrefix="0" xfId="0">
      <alignment horizontal="center" vertical="center" wrapText="1"/>
    </xf>
    <xf numFmtId="169" fontId="32" fillId="0" borderId="1" applyAlignment="1" pivotButton="0" quotePrefix="0" xfId="3">
      <alignment horizontal="right"/>
    </xf>
    <xf numFmtId="10" fontId="32" fillId="5" borderId="0" applyAlignment="1" pivotButton="0" quotePrefix="0" xfId="4">
      <alignment horizontal="right" vertical="top"/>
    </xf>
    <xf numFmtId="10" fontId="34" fillId="3" borderId="9" applyAlignment="1" pivotButton="0" quotePrefix="0" xfId="4">
      <alignment horizontal="right"/>
    </xf>
    <xf numFmtId="10" fontId="39" fillId="15" borderId="0" applyAlignment="1" pivotButton="0" quotePrefix="0" xfId="4">
      <alignment horizontal="right"/>
    </xf>
    <xf numFmtId="0" fontId="39" fillId="16" borderId="1" applyAlignment="1" pivotButton="0" quotePrefix="0" xfId="0">
      <alignment horizontal="center" vertical="center"/>
    </xf>
    <xf numFmtId="0" fontId="21" fillId="16" borderId="0" applyAlignment="1" pivotButton="0" quotePrefix="0" xfId="0">
      <alignment horizontal="center" vertical="center"/>
    </xf>
    <xf numFmtId="10" fontId="34" fillId="3" borderId="1" applyAlignment="1" pivotButton="0" quotePrefix="0" xfId="4">
      <alignment horizontal="right"/>
    </xf>
    <xf numFmtId="169" fontId="32" fillId="3" borderId="9" applyAlignment="1" pivotButton="0" quotePrefix="0" xfId="3">
      <alignment horizontal="right"/>
    </xf>
    <xf numFmtId="170" fontId="50" fillId="3" borderId="9" applyAlignment="1" pivotButton="0" quotePrefix="0" xfId="0">
      <alignment horizontal="center"/>
    </xf>
    <xf numFmtId="0" fontId="40" fillId="12" borderId="55" applyAlignment="1" pivotButton="0" quotePrefix="0" xfId="0">
      <alignment horizontal="center" vertical="center" wrapText="1"/>
    </xf>
    <xf numFmtId="0" fontId="0" fillId="0" borderId="23" pivotButton="0" quotePrefix="0" xfId="0"/>
    <xf numFmtId="0" fontId="0" fillId="0" borderId="55" pivotButton="0" quotePrefix="0" xfId="0"/>
    <xf numFmtId="10" fontId="32" fillId="3" borderId="0" applyAlignment="1" pivotButton="0" quotePrefix="0" xfId="4">
      <alignment horizontal="right"/>
    </xf>
    <xf numFmtId="0" fontId="40" fillId="12" borderId="69" applyAlignment="1" pivotButton="0" quotePrefix="0" xfId="0">
      <alignment horizontal="center" vertical="center" wrapText="1"/>
    </xf>
    <xf numFmtId="0" fontId="0" fillId="0" borderId="53" pivotButton="0" quotePrefix="0" xfId="0"/>
    <xf numFmtId="0" fontId="0" fillId="0" borderId="54" pivotButton="0" quotePrefix="0" xfId="0"/>
    <xf numFmtId="193" fontId="68" fillId="6" borderId="9" applyAlignment="1" pivotButton="0" quotePrefix="0" xfId="0">
      <alignment horizontal="center" vertical="center" wrapText="1"/>
    </xf>
    <xf numFmtId="0" fontId="21" fillId="17" borderId="1" applyAlignment="1" pivotButton="0" quotePrefix="0" xfId="0">
      <alignment horizontal="center"/>
    </xf>
    <xf numFmtId="170" fontId="47" fillId="0" borderId="0" applyAlignment="1" pivotButton="0" quotePrefix="0" xfId="0">
      <alignment horizontal="center"/>
    </xf>
    <xf numFmtId="0" fontId="40" fillId="16" borderId="46" applyAlignment="1" pivotButton="0" quotePrefix="0" xfId="0">
      <alignment horizontal="center" vertical="center" wrapText="1"/>
    </xf>
    <xf numFmtId="0" fontId="0" fillId="0" borderId="46" pivotButton="0" quotePrefix="0" xfId="0"/>
    <xf numFmtId="170" fontId="50" fillId="0" borderId="9" applyAlignment="1" pivotButton="0" quotePrefix="0" xfId="0">
      <alignment horizontal="center"/>
    </xf>
    <xf numFmtId="0" fontId="39" fillId="16" borderId="0" applyAlignment="1" pivotButton="0" quotePrefix="0" xfId="0">
      <alignment horizontal="center"/>
    </xf>
    <xf numFmtId="169" fontId="32" fillId="5" borderId="11" applyAlignment="1" pivotButton="0" quotePrefix="0" xfId="3">
      <alignment horizontal="right"/>
    </xf>
    <xf numFmtId="0" fontId="5" fillId="0" borderId="9" applyAlignment="1" pivotButton="0" quotePrefix="0" xfId="0">
      <alignment horizontal="center"/>
    </xf>
    <xf numFmtId="170" fontId="47" fillId="0" borderId="1" applyAlignment="1" pivotButton="0" quotePrefix="0" xfId="0">
      <alignment horizontal="center"/>
    </xf>
    <xf numFmtId="0" fontId="32" fillId="3" borderId="11" applyAlignment="1" pivotButton="0" quotePrefix="0" xfId="0">
      <alignment horizontal="left"/>
    </xf>
    <xf numFmtId="170" fontId="50" fillId="3" borderId="9" applyAlignment="1" pivotButton="0" quotePrefix="0" xfId="0">
      <alignment horizontal="center" vertical="center"/>
    </xf>
    <xf numFmtId="0" fontId="82" fillId="36" borderId="0" applyAlignment="1" pivotButton="0" quotePrefix="0" xfId="0">
      <alignment horizontal="center" vertical="center"/>
    </xf>
    <xf numFmtId="0" fontId="83" fillId="0" borderId="10" pivotButton="0" quotePrefix="0" xfId="0"/>
    <xf numFmtId="0" fontId="84" fillId="37" borderId="0" applyAlignment="1" pivotButton="0" quotePrefix="0" xfId="0">
      <alignment horizontal="center" vertical="center"/>
    </xf>
    <xf numFmtId="0" fontId="85" fillId="37" borderId="10" applyAlignment="1" pivotButton="0" quotePrefix="0" xfId="0">
      <alignment horizontal="center" vertical="center" wrapText="1"/>
    </xf>
    <xf numFmtId="0" fontId="86" fillId="38" borderId="10" applyAlignment="1" pivotButton="0" quotePrefix="0" xfId="0">
      <alignment horizontal="center" vertical="center"/>
    </xf>
    <xf numFmtId="0" fontId="87" fillId="0" borderId="10" applyAlignment="1" pivotButton="0" quotePrefix="0" xfId="0">
      <alignment vertical="top" wrapText="1"/>
    </xf>
    <xf numFmtId="0" fontId="83" fillId="0" borderId="10" applyAlignment="1" pivotButton="0" quotePrefix="0" xfId="0">
      <alignment horizontal="center" vertical="center"/>
    </xf>
    <xf numFmtId="0" fontId="83" fillId="0" borderId="10" applyAlignment="1" pivotButton="0" quotePrefix="0" xfId="0">
      <alignment horizontal="left" vertical="center"/>
    </xf>
    <xf numFmtId="3" fontId="87" fillId="0" borderId="10" applyAlignment="1" pivotButton="0" quotePrefix="0" xfId="0">
      <alignment vertical="top" wrapText="1"/>
    </xf>
    <xf numFmtId="0" fontId="83" fillId="39" borderId="10" pivotButton="0" quotePrefix="0" xfId="0"/>
    <xf numFmtId="0" fontId="83" fillId="0" borderId="10" pivotButton="0" quotePrefix="0" xfId="0"/>
    <xf numFmtId="0" fontId="88" fillId="36" borderId="0" applyAlignment="1" pivotButton="0" quotePrefix="0" xfId="0">
      <alignment horizontal="center" vertical="center"/>
    </xf>
    <xf numFmtId="0" fontId="86" fillId="38" borderId="10" applyAlignment="1" pivotButton="0" quotePrefix="0" xfId="0">
      <alignment horizontal="center"/>
    </xf>
    <xf numFmtId="0" fontId="87" fillId="0" borderId="10" applyAlignment="1" pivotButton="0" quotePrefix="0" xfId="0">
      <alignment vertical="center"/>
    </xf>
    <xf numFmtId="0" fontId="83" fillId="0" borderId="10" applyAlignment="1" pivotButton="0" quotePrefix="0" xfId="0">
      <alignment horizontal="left"/>
    </xf>
    <xf numFmtId="3" fontId="87" fillId="0" borderId="10" applyAlignment="1" pivotButton="0" quotePrefix="0" xfId="0">
      <alignment vertical="center"/>
    </xf>
    <xf numFmtId="4" fontId="87" fillId="0" borderId="10" applyAlignment="1" pivotButton="0" quotePrefix="0" xfId="0">
      <alignment vertical="center"/>
    </xf>
    <xf numFmtId="4" fontId="89" fillId="35" borderId="10" applyAlignment="1" pivotButton="0" quotePrefix="0" xfId="0">
      <alignment vertical="center"/>
    </xf>
    <xf numFmtId="4" fontId="89" fillId="40" borderId="10" applyAlignment="1" pivotButton="0" quotePrefix="0" xfId="0">
      <alignment vertical="center"/>
    </xf>
    <xf numFmtId="4" fontId="89" fillId="0" borderId="10" applyAlignment="1" pivotButton="0" quotePrefix="0" xfId="0">
      <alignment vertical="center"/>
    </xf>
    <xf numFmtId="0" fontId="89" fillId="35" borderId="10" applyAlignment="1" pivotButton="0" quotePrefix="0" xfId="0">
      <alignment vertical="center"/>
    </xf>
    <xf numFmtId="0" fontId="89" fillId="40" borderId="10" applyAlignment="1" pivotButton="0" quotePrefix="0" xfId="0">
      <alignment vertical="center"/>
    </xf>
    <xf numFmtId="0" fontId="89" fillId="0" borderId="10" applyAlignment="1" pivotButton="0" quotePrefix="0" xfId="0">
      <alignment vertical="center"/>
    </xf>
    <xf numFmtId="3" fontId="83" fillId="0" borderId="10" applyAlignment="1" pivotButton="0" quotePrefix="0" xfId="0">
      <alignment horizontal="right"/>
    </xf>
    <xf numFmtId="0" fontId="88" fillId="36" borderId="0" applyAlignment="1" pivotButton="0" quotePrefix="0" xfId="0">
      <alignment horizontal="left" vertical="center"/>
    </xf>
    <xf numFmtId="0" fontId="90" fillId="41" borderId="0" applyAlignment="1" pivotButton="0" quotePrefix="0" xfId="0">
      <alignment horizontal="left" vertical="center"/>
    </xf>
    <xf numFmtId="0" fontId="91" fillId="38" borderId="10" applyAlignment="1" pivotButton="0" quotePrefix="0" xfId="0">
      <alignment horizontal="center" vertical="center" wrapText="1"/>
    </xf>
    <xf numFmtId="0" fontId="83" fillId="41" borderId="10" applyAlignment="1" pivotButton="0" quotePrefix="0" xfId="0">
      <alignment horizontal="left" vertical="center"/>
    </xf>
    <xf numFmtId="3" fontId="83" fillId="41" borderId="10" applyAlignment="1" pivotButton="0" quotePrefix="0" xfId="0">
      <alignment horizontal="right" vertical="center"/>
    </xf>
    <xf numFmtId="189" fontId="83" fillId="41" borderId="10" applyAlignment="1" pivotButton="0" quotePrefix="0" xfId="0">
      <alignment horizontal="right" vertical="center"/>
    </xf>
    <xf numFmtId="0" fontId="83" fillId="41" borderId="10" applyAlignment="1" pivotButton="0" quotePrefix="0" xfId="0">
      <alignment horizontal="left" vertical="center" wrapText="1"/>
    </xf>
    <xf numFmtId="3" fontId="83" fillId="0" borderId="10" applyAlignment="1" pivotButton="0" quotePrefix="0" xfId="0">
      <alignment horizontal="right" vertical="center"/>
    </xf>
    <xf numFmtId="189" fontId="83" fillId="0" borderId="10" applyAlignment="1" pivotButton="0" quotePrefix="0" xfId="0">
      <alignment horizontal="right" vertical="center"/>
    </xf>
    <xf numFmtId="0" fontId="83" fillId="0" borderId="10" applyAlignment="1" pivotButton="0" quotePrefix="0" xfId="0">
      <alignment horizontal="left" vertical="center" wrapText="1"/>
    </xf>
    <xf numFmtId="0" fontId="83" fillId="40" borderId="10" applyAlignment="1" pivotButton="0" quotePrefix="0" xfId="0">
      <alignment horizontal="left" vertical="center"/>
    </xf>
    <xf numFmtId="3" fontId="83" fillId="40" borderId="10" applyAlignment="1" pivotButton="0" quotePrefix="0" xfId="0">
      <alignment horizontal="right" vertical="center"/>
    </xf>
    <xf numFmtId="38" fontId="83" fillId="40" borderId="10" applyAlignment="1" pivotButton="0" quotePrefix="0" xfId="0">
      <alignment horizontal="right" vertical="center"/>
    </xf>
    <xf numFmtId="0" fontId="83" fillId="40" borderId="10" applyAlignment="1" pivotButton="0" quotePrefix="0" xfId="0">
      <alignment horizontal="left" vertical="center" wrapText="1"/>
    </xf>
    <xf numFmtId="189" fontId="83" fillId="40" borderId="10" applyAlignment="1" pivotButton="0" quotePrefix="0" xfId="0">
      <alignment horizontal="right" vertical="center"/>
    </xf>
    <xf numFmtId="38" fontId="83" fillId="41" borderId="10" applyAlignment="1" pivotButton="0" quotePrefix="0" xfId="0">
      <alignment horizontal="right" vertical="center"/>
    </xf>
    <xf numFmtId="38" fontId="83" fillId="0" borderId="10" applyAlignment="1" pivotButton="0" quotePrefix="0" xfId="0">
      <alignment horizontal="right" vertical="center"/>
    </xf>
    <xf numFmtId="0" fontId="83" fillId="42" borderId="10" applyAlignment="1" pivotButton="0" quotePrefix="0" xfId="0">
      <alignment horizontal="left" vertical="center"/>
    </xf>
    <xf numFmtId="3" fontId="83" fillId="42" borderId="10" applyAlignment="1" pivotButton="0" quotePrefix="0" xfId="0">
      <alignment horizontal="right" vertical="center"/>
    </xf>
    <xf numFmtId="189" fontId="83" fillId="42" borderId="10" applyAlignment="1" pivotButton="0" quotePrefix="0" xfId="0">
      <alignment horizontal="right" vertical="center"/>
    </xf>
    <xf numFmtId="0" fontId="83" fillId="42" borderId="10" applyAlignment="1" pivotButton="0" quotePrefix="0" xfId="0">
      <alignment horizontal="left" vertical="center" wrapText="1"/>
    </xf>
    <xf numFmtId="0" fontId="83" fillId="43" borderId="10" applyAlignment="1" pivotButton="0" quotePrefix="0" xfId="0">
      <alignment horizontal="left" vertical="center"/>
    </xf>
    <xf numFmtId="3" fontId="83" fillId="43" borderId="10" applyAlignment="1" pivotButton="0" quotePrefix="0" xfId="0">
      <alignment horizontal="right" vertical="center"/>
    </xf>
    <xf numFmtId="38" fontId="83" fillId="43" borderId="10" applyAlignment="1" pivotButton="0" quotePrefix="0" xfId="0">
      <alignment horizontal="right" vertical="center"/>
    </xf>
    <xf numFmtId="0" fontId="83" fillId="43" borderId="10" applyAlignment="1" pivotButton="0" quotePrefix="0" xfId="0">
      <alignment horizontal="left" vertical="center" wrapText="1"/>
    </xf>
    <xf numFmtId="189" fontId="83" fillId="43" borderId="10" applyAlignment="1" pivotButton="0" quotePrefix="0" xfId="0">
      <alignment horizontal="right" vertical="center"/>
    </xf>
    <xf numFmtId="0" fontId="92" fillId="44" borderId="0" applyAlignment="1" pivotButton="0" quotePrefix="0" xfId="0">
      <alignment horizontal="left"/>
    </xf>
    <xf numFmtId="0" fontId="0" fillId="0" borderId="0" applyAlignment="1" pivotButton="0" quotePrefix="0" xfId="0">
      <alignment horizontal="center"/>
    </xf>
    <xf numFmtId="0" fontId="92" fillId="45" borderId="82" applyAlignment="1" pivotButton="0" quotePrefix="0" xfId="0">
      <alignment horizontal="center"/>
    </xf>
    <xf numFmtId="0" fontId="0" fillId="46" borderId="82" applyAlignment="1" pivotButton="0" quotePrefix="0" xfId="0">
      <alignment horizontal="center"/>
    </xf>
    <xf numFmtId="0" fontId="32" fillId="46" borderId="82" applyAlignment="1" pivotButton="0" quotePrefix="0" xfId="0">
      <alignment horizontal="center"/>
    </xf>
    <xf numFmtId="0" fontId="34" fillId="46" borderId="82" applyAlignment="1" pivotButton="0" quotePrefix="0" xfId="0">
      <alignment horizontal="center"/>
    </xf>
    <xf numFmtId="169" fontId="0" fillId="5" borderId="0" pivotButton="0" quotePrefix="0" xfId="0"/>
    <xf numFmtId="167" fontId="0" fillId="0" borderId="0" pivotButton="0" quotePrefix="0" xfId="0"/>
    <xf numFmtId="170" fontId="0" fillId="0" borderId="0" pivotButton="0" quotePrefix="0" xfId="0"/>
    <xf numFmtId="169" fontId="0" fillId="6" borderId="0" applyAlignment="1" pivotButton="0" quotePrefix="0" xfId="0">
      <alignment horizontal="right"/>
    </xf>
    <xf numFmtId="179" fontId="59" fillId="10" borderId="0" applyAlignment="1" pivotButton="0" quotePrefix="0" xfId="0">
      <alignment horizontal="right"/>
    </xf>
    <xf numFmtId="193" fontId="59" fillId="6" borderId="0" applyAlignment="1" pivotButton="0" quotePrefix="0" xfId="0">
      <alignment horizontal="center"/>
    </xf>
    <xf numFmtId="164" fontId="59" fillId="6" borderId="0" applyAlignment="1" pivotButton="0" quotePrefix="0" xfId="0">
      <alignment horizontal="center"/>
    </xf>
    <xf numFmtId="193" fontId="59" fillId="6" borderId="1" applyAlignment="1" pivotButton="0" quotePrefix="0" xfId="0">
      <alignment horizontal="center"/>
    </xf>
    <xf numFmtId="164" fontId="59" fillId="6" borderId="1" applyAlignment="1" pivotButton="0" quotePrefix="0" xfId="0">
      <alignment horizontal="center"/>
    </xf>
    <xf numFmtId="179" fontId="47" fillId="5" borderId="0" applyAlignment="1" pivotButton="0" quotePrefix="0" xfId="11">
      <alignment horizontal="left"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191" fontId="32" fillId="6" borderId="0" applyAlignment="1" pivotButton="0" quotePrefix="0" xfId="11">
      <alignment horizontal="left" vertical="center" wrapText="1"/>
    </xf>
    <xf numFmtId="169" fontId="32" fillId="6" borderId="0" applyAlignment="1" pivotButton="0" quotePrefix="0" xfId="11">
      <alignment horizontal="center" wrapText="1"/>
    </xf>
    <xf numFmtId="169" fontId="0" fillId="6" borderId="0" applyAlignment="1" pivotButton="0" quotePrefix="0" xfId="0">
      <alignment horizontal="center" wrapText="1"/>
    </xf>
    <xf numFmtId="169" fontId="31" fillId="19" borderId="0" applyAlignment="1" pivotButton="0" quotePrefix="0" xfId="11">
      <alignment horizontal="center" wrapText="1"/>
    </xf>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191" fontId="32" fillId="6" borderId="0" applyAlignment="1" pivotButton="0" quotePrefix="0" xfId="0">
      <alignment horizontal="left" wrapText="1"/>
    </xf>
    <xf numFmtId="195" fontId="32" fillId="6" borderId="0" applyAlignment="1" pivotButton="0" quotePrefix="0" xfId="0">
      <alignment horizontal="left"/>
    </xf>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91" fontId="34" fillId="6" borderId="11" applyAlignment="1" pivotButton="0" quotePrefix="0" xfId="0">
      <alignment horizontal="left" wrapText="1"/>
    </xf>
    <xf numFmtId="195" fontId="34" fillId="6" borderId="11" applyAlignment="1" pivotButton="0" quotePrefix="0" xfId="0">
      <alignment horizontal="left"/>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191" fontId="32" fillId="6" borderId="0" applyAlignment="1" pivotButton="0" quotePrefix="0" xfId="11">
      <alignment horizontal="left" wrapText="1"/>
    </xf>
    <xf numFmtId="171" fontId="32" fillId="6" borderId="0" applyAlignment="1" pivotButton="0" quotePrefix="0" xfId="4">
      <alignment horizontal="left" wrapText="1"/>
    </xf>
    <xf numFmtId="187" fontId="13" fillId="13" borderId="0" applyAlignment="1" pivotButton="0" quotePrefix="0" xfId="0">
      <alignment horizontal="center"/>
    </xf>
    <xf numFmtId="171" fontId="13" fillId="13" borderId="0" applyAlignment="1" pivotButton="0" quotePrefix="0" xfId="4">
      <alignment horizontal="center"/>
    </xf>
    <xf numFmtId="187" fontId="13" fillId="18" borderId="0" applyAlignment="1" pivotButton="0" quotePrefix="0" xfId="0">
      <alignment horizontal="center"/>
    </xf>
    <xf numFmtId="171" fontId="13" fillId="18" borderId="0" applyAlignment="1" pivotButton="0" quotePrefix="0" xfId="4">
      <alignment horizontal="center"/>
    </xf>
    <xf numFmtId="187" fontId="13" fillId="13" borderId="1" applyAlignment="1" pivotButton="0" quotePrefix="0" xfId="0">
      <alignment horizontal="center"/>
    </xf>
    <xf numFmtId="171" fontId="13" fillId="13" borderId="1" applyAlignment="1" pivotButton="0" quotePrefix="0" xfId="4">
      <alignment horizontal="center"/>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179" fontId="32" fillId="5" borderId="0" applyAlignment="1" pivotButton="0" quotePrefix="0" xfId="0">
      <alignment horizontal="justify" vertical="top"/>
    </xf>
    <xf numFmtId="19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191" fontId="32" fillId="6" borderId="0" applyAlignment="1" pivotButton="0" quotePrefix="0" xfId="11">
      <alignment horizontal="left" vertical="top" wrapText="1"/>
    </xf>
    <xf numFmtId="202" fontId="32" fillId="6" borderId="0" applyAlignment="1" pivotButton="0" quotePrefix="0" xfId="11">
      <alignment horizontal="justify" vertical="top" wrapText="1"/>
    </xf>
    <xf numFmtId="171" fontId="32" fillId="6" borderId="0" applyAlignment="1" pivotButton="0" quotePrefix="0" xfId="11">
      <alignment horizontal="justify" vertical="top" wrapText="1"/>
    </xf>
    <xf numFmtId="20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200" fontId="32" fillId="5" borderId="0" applyAlignment="1" pivotButton="0" quotePrefix="0" xfId="11">
      <alignment horizontal="justify" vertical="top" wrapText="1"/>
    </xf>
    <xf numFmtId="200" fontId="32" fillId="6" borderId="1" applyAlignment="1" pivotButton="0" quotePrefix="0" xfId="11">
      <alignment horizontal="justify" vertical="top" wrapText="1"/>
    </xf>
    <xf numFmtId="165" fontId="17" fillId="0" borderId="0" applyAlignment="1" pivotButton="0" quotePrefix="0" xfId="3">
      <alignment horizontal="left"/>
    </xf>
    <xf numFmtId="166" fontId="17" fillId="0" borderId="0" applyAlignment="1" pivotButton="0" quotePrefix="0" xfId="3">
      <alignment horizontal="left"/>
    </xf>
    <xf numFmtId="165" fontId="16" fillId="3" borderId="9" applyAlignment="1" pivotButton="0" quotePrefix="0" xfId="3">
      <alignment horizontal="left"/>
    </xf>
    <xf numFmtId="166" fontId="19" fillId="3" borderId="9" applyAlignment="1" pivotButton="0" quotePrefix="0" xfId="3">
      <alignment horizontal="left"/>
    </xf>
    <xf numFmtId="167" fontId="17" fillId="0" borderId="0" applyAlignment="1" pivotButton="0" quotePrefix="0" xfId="3">
      <alignment horizontal="right"/>
    </xf>
    <xf numFmtId="197" fontId="17" fillId="0" borderId="0" applyAlignment="1" pivotButton="0" quotePrefix="0" xfId="3">
      <alignment horizontal="right"/>
    </xf>
    <xf numFmtId="167" fontId="16" fillId="3" borderId="11" applyAlignment="1" pivotButton="0" quotePrefix="0" xfId="0">
      <alignment horizontal="right" vertical="top"/>
    </xf>
    <xf numFmtId="165" fontId="16" fillId="3" borderId="1" applyAlignment="1" pivotButton="0" quotePrefix="0" xfId="3">
      <alignment horizontal="left"/>
    </xf>
    <xf numFmtId="197" fontId="19" fillId="3" borderId="1" applyAlignment="1" pivotButton="0" quotePrefix="0" xfId="3">
      <alignment horizontal="right"/>
    </xf>
    <xf numFmtId="170" fontId="17" fillId="0" borderId="0" applyAlignment="1" pivotButton="0" quotePrefix="0" xfId="3">
      <alignment horizontal="right"/>
    </xf>
    <xf numFmtId="166" fontId="19" fillId="3" borderId="1" applyAlignment="1" pivotButton="0" quotePrefix="0" xfId="3">
      <alignment horizontal="left"/>
    </xf>
    <xf numFmtId="169" fontId="32" fillId="0" borderId="1" applyAlignment="1" pivotButton="0" quotePrefix="0" xfId="0">
      <alignment horizontal="center" vertical="center"/>
    </xf>
    <xf numFmtId="179" fontId="32" fillId="0" borderId="1" applyAlignment="1" pivotButton="0" quotePrefix="0" xfId="0">
      <alignment horizontal="center"/>
    </xf>
    <xf numFmtId="165" fontId="32" fillId="0" borderId="1" applyAlignment="1" pivotButton="0" quotePrefix="0" xfId="3">
      <alignment horizontal="center"/>
    </xf>
    <xf numFmtId="169" fontId="4" fillId="0" borderId="1" applyAlignment="1" pivotButton="0" quotePrefix="0" xfId="0">
      <alignment horizontal="center" vertical="center"/>
    </xf>
    <xf numFmtId="179" fontId="4" fillId="0" borderId="1" applyAlignment="1" pivotButton="0" quotePrefix="0" xfId="0">
      <alignment horizontal="center"/>
    </xf>
    <xf numFmtId="165" fontId="4" fillId="0" borderId="1" applyAlignment="1" pivotButton="0" quotePrefix="0" xfId="3">
      <alignment horizontal="center"/>
    </xf>
    <xf numFmtId="180" fontId="49" fillId="6" borderId="2" applyAlignment="1" pivotButton="0" quotePrefix="0" xfId="0">
      <alignment vertical="center" justifyLastLine="1"/>
    </xf>
    <xf numFmtId="180" fontId="49" fillId="5" borderId="2" applyAlignment="1" pivotButton="0" quotePrefix="0" xfId="0">
      <alignment horizontal="right" vertical="center" justifyLastLine="1"/>
    </xf>
    <xf numFmtId="180" fontId="49" fillId="6" borderId="2" applyAlignment="1" pivotButton="0" quotePrefix="0" xfId="0">
      <alignment horizontal="right" vertical="center" justifyLastLine="1"/>
    </xf>
    <xf numFmtId="165" fontId="49" fillId="5" borderId="2" applyAlignment="1" pivotButton="0" quotePrefix="0" xfId="3">
      <alignment horizontal="right" vertical="center"/>
    </xf>
    <xf numFmtId="169" fontId="48" fillId="6" borderId="2" applyAlignment="1" pivotButton="0" quotePrefix="0" xfId="3">
      <alignment vertical="center" justifyLastLine="1"/>
    </xf>
    <xf numFmtId="169" fontId="48" fillId="5" borderId="2" applyAlignment="1" pivotButton="0" quotePrefix="0" xfId="3">
      <alignment horizontal="right" vertical="center" justifyLastLine="1"/>
    </xf>
    <xf numFmtId="169" fontId="48" fillId="6" borderId="2" applyAlignment="1" pivotButton="0" quotePrefix="0" xfId="3">
      <alignment horizontal="right" vertical="center" justifyLastLine="1"/>
    </xf>
    <xf numFmtId="165" fontId="41" fillId="5" borderId="2" applyAlignment="1" pivotButton="0" quotePrefix="0" xfId="3">
      <alignment horizontal="right" vertical="center" wrapText="1"/>
    </xf>
    <xf numFmtId="169" fontId="49" fillId="6" borderId="40" applyAlignment="1" pivotButton="0" quotePrefix="0" xfId="3">
      <alignment vertical="center" wrapText="1"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69" fontId="49" fillId="6" borderId="40" applyAlignment="1" pivotButton="0" quotePrefix="0" xfId="3">
      <alignment horizontal="right" vertical="center" wrapText="1" justifyLastLine="1"/>
    </xf>
    <xf numFmtId="170" fontId="50" fillId="3" borderId="34" applyAlignment="1" pivotButton="0" quotePrefix="0" xfId="3">
      <alignment horizontal="right" vertical="center"/>
    </xf>
    <xf numFmtId="170" fontId="44" fillId="3" borderId="6" applyAlignment="1" pivotButton="0" quotePrefix="0" xfId="3">
      <alignment horizontal="right" vertical="center"/>
    </xf>
    <xf numFmtId="170" fontId="44" fillId="3" borderId="11" applyAlignment="1" pivotButton="0" quotePrefix="0" xfId="3">
      <alignment horizontal="right" vertical="center"/>
    </xf>
    <xf numFmtId="186" fontId="44" fillId="5" borderId="37" applyAlignment="1" pivotButton="0" quotePrefix="0" xfId="4">
      <alignment horizontal="right" vertical="center"/>
    </xf>
    <xf numFmtId="186" fontId="44" fillId="5" borderId="2" applyAlignment="1" pivotButton="0" quotePrefix="0" xfId="4">
      <alignment horizontal="right" vertical="center"/>
    </xf>
    <xf numFmtId="186" fontId="51" fillId="6" borderId="6" applyAlignment="1" pivotButton="0" quotePrefix="0" xfId="4">
      <alignment horizontal="right" vertical="center"/>
    </xf>
    <xf numFmtId="170" fontId="52" fillId="5" borderId="14" applyAlignment="1" pivotButton="0" quotePrefix="0" xfId="3">
      <alignment horizontal="right" vertical="center"/>
    </xf>
    <xf numFmtId="170" fontId="52" fillId="5" borderId="2" applyAlignment="1" pivotButton="0" quotePrefix="0" xfId="3">
      <alignment horizontal="right" vertical="center"/>
    </xf>
    <xf numFmtId="170" fontId="52" fillId="6" borderId="0" applyAlignment="1" pivotButton="0" quotePrefix="0" xfId="3">
      <alignment horizontal="right" vertical="center"/>
    </xf>
    <xf numFmtId="186" fontId="44" fillId="5" borderId="14" applyAlignment="1" pivotButton="0" quotePrefix="0" xfId="4">
      <alignment horizontal="right" vertical="center"/>
    </xf>
    <xf numFmtId="186" fontId="44" fillId="6" borderId="0" applyAlignment="1" pivotButton="0" quotePrefix="0" xfId="4">
      <alignment horizontal="right" vertical="center"/>
    </xf>
    <xf numFmtId="170" fontId="44" fillId="5" borderId="14" applyAlignment="1" pivotButton="0" quotePrefix="0" xfId="3">
      <alignment horizontal="right" vertical="center"/>
    </xf>
    <xf numFmtId="170" fontId="44" fillId="5" borderId="2" applyAlignment="1" pivotButton="0" quotePrefix="0" xfId="3">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80" fontId="48" fillId="6" borderId="0" applyAlignment="1" pivotButton="0" quotePrefix="0" xfId="0">
      <alignment horizontal="right" vertical="center"/>
    </xf>
    <xf numFmtId="170" fontId="52" fillId="6" borderId="14" applyAlignment="1" pivotButton="0" quotePrefix="0" xfId="3">
      <alignment horizontal="right" vertical="center"/>
    </xf>
    <xf numFmtId="170" fontId="52" fillId="6" borderId="2" applyAlignment="1" pivotButton="0" quotePrefix="0" xfId="3">
      <alignment horizontal="right" vertical="center"/>
    </xf>
    <xf numFmtId="170" fontId="44" fillId="3" borderId="38" applyAlignment="1" pivotButton="0" quotePrefix="0" xfId="0">
      <alignment horizontal="right" vertical="center"/>
    </xf>
    <xf numFmtId="170" fontId="44" fillId="3" borderId="9" applyAlignment="1" pivotButton="0" quotePrefix="0" xfId="0">
      <alignment horizontal="right" vertical="center"/>
    </xf>
    <xf numFmtId="170" fontId="44" fillId="3" borderId="24" applyAlignment="1" pivotButton="0" quotePrefix="0" xfId="0">
      <alignment horizontal="right" vertical="center"/>
    </xf>
    <xf numFmtId="186" fontId="43" fillId="5" borderId="14" applyAlignment="1" pivotButton="0" quotePrefix="0" xfId="4">
      <alignment horizontal="right" vertical="center"/>
    </xf>
    <xf numFmtId="186" fontId="43" fillId="5" borderId="2" applyAlignment="1" pivotButton="0" quotePrefix="0" xfId="4">
      <alignment horizontal="right" vertical="center"/>
    </xf>
    <xf numFmtId="186" fontId="43" fillId="3" borderId="0" applyAlignment="1" pivotButton="0" quotePrefix="0" xfId="4">
      <alignment horizontal="right" vertical="center"/>
    </xf>
    <xf numFmtId="186" fontId="43" fillId="6" borderId="0" applyAlignment="1" pivotButton="0" quotePrefix="0" xfId="4">
      <alignment horizontal="right" vertical="center"/>
    </xf>
    <xf numFmtId="186" fontId="53" fillId="5" borderId="14" applyAlignment="1" pivotButton="0" quotePrefix="0" xfId="4">
      <alignment horizontal="right" vertical="center"/>
    </xf>
    <xf numFmtId="186" fontId="53" fillId="5" borderId="2" applyAlignment="1" pivotButton="0" quotePrefix="0" xfId="4">
      <alignment horizontal="right" vertical="center"/>
    </xf>
    <xf numFmtId="186" fontId="53" fillId="6" borderId="0" applyAlignment="1" pivotButton="0" quotePrefix="0" xfId="4">
      <alignment horizontal="right" vertical="center"/>
    </xf>
    <xf numFmtId="186" fontId="52" fillId="5" borderId="14" applyAlignment="1" pivotButton="0" quotePrefix="0" xfId="4">
      <alignment horizontal="right" vertical="center"/>
    </xf>
    <xf numFmtId="186" fontId="52" fillId="5" borderId="2" applyAlignment="1" pivotButton="0" quotePrefix="0" xfId="4">
      <alignment horizontal="right" vertical="center"/>
    </xf>
    <xf numFmtId="186" fontId="52" fillId="3" borderId="0" applyAlignment="1" pivotButton="0" quotePrefix="0" xfId="4">
      <alignment horizontal="right" vertical="center"/>
    </xf>
    <xf numFmtId="186" fontId="53" fillId="6" borderId="14" applyAlignment="1" pivotButton="0" quotePrefix="0" xfId="4">
      <alignment horizontal="right" vertical="center"/>
    </xf>
    <xf numFmtId="186" fontId="53" fillId="6" borderId="2" applyAlignment="1" pivotButton="0" quotePrefix="0" xfId="4">
      <alignment horizontal="right" vertical="center"/>
    </xf>
    <xf numFmtId="186" fontId="50" fillId="3" borderId="37" applyAlignment="1" pivotButton="0" quotePrefix="0" xfId="3">
      <alignment horizontal="right" vertical="center"/>
    </xf>
    <xf numFmtId="186" fontId="50" fillId="3" borderId="36" applyAlignment="1" pivotButton="0" quotePrefix="0" xfId="3">
      <alignment horizontal="right" vertical="center"/>
    </xf>
    <xf numFmtId="186" fontId="50" fillId="3" borderId="17" applyAlignment="1" pivotButton="0" quotePrefix="0" xfId="3">
      <alignment horizontal="right" vertical="center"/>
    </xf>
    <xf numFmtId="186" fontId="50" fillId="3" borderId="11" applyAlignment="1" pivotButton="0" quotePrefix="0" xfId="3">
      <alignment horizontal="right" vertical="center"/>
    </xf>
    <xf numFmtId="186" fontId="50" fillId="3" borderId="24" applyAlignment="1" pivotButton="0" quotePrefix="0" xfId="3">
      <alignment vertical="center"/>
    </xf>
    <xf numFmtId="170" fontId="50" fillId="8" borderId="38" applyAlignment="1" pivotButton="0" quotePrefix="0" xfId="3">
      <alignment horizontal="right" vertical="center"/>
    </xf>
    <xf numFmtId="170" fontId="50" fillId="8" borderId="17" applyAlignment="1" pivotButton="0" quotePrefix="0" xfId="3">
      <alignment horizontal="right" vertical="center"/>
    </xf>
    <xf numFmtId="170" fontId="50" fillId="8" borderId="9" applyAlignment="1" pivotButton="0" quotePrefix="0" xfId="3">
      <alignment horizontal="right" vertical="center"/>
    </xf>
    <xf numFmtId="170" fontId="50" fillId="8" borderId="24" applyAlignment="1" pivotButton="0" quotePrefix="0" xfId="3">
      <alignment vertical="center"/>
    </xf>
    <xf numFmtId="170" fontId="0" fillId="5" borderId="0" pivotButton="0" quotePrefix="0" xfId="0"/>
    <xf numFmtId="194" fontId="32" fillId="6" borderId="1" pivotButton="0" quotePrefix="0" xfId="0"/>
    <xf numFmtId="165" fontId="47" fillId="22" borderId="0" pivotButton="0" quotePrefix="0" xfId="0"/>
    <xf numFmtId="165" fontId="47" fillId="22" borderId="1" pivotButton="0" quotePrefix="0" xfId="0"/>
    <xf numFmtId="165" fontId="50" fillId="22" borderId="1" applyAlignment="1" pivotButton="0" quotePrefix="0" xfId="0">
      <alignment horizontal="right"/>
    </xf>
    <xf numFmtId="165" fontId="50" fillId="6"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170" fontId="34" fillId="3" borderId="1"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198" fontId="0" fillId="10" borderId="0" pivotButton="0" quotePrefix="0" xfId="0"/>
    <xf numFmtId="198" fontId="0" fillId="5" borderId="0" applyAlignment="1" pivotButton="0" quotePrefix="0" xfId="0">
      <alignment horizontal="center"/>
    </xf>
    <xf numFmtId="167" fontId="0" fillId="5" borderId="0" applyAlignment="1" pivotButton="0" quotePrefix="0" xfId="0">
      <alignment horizontal="center"/>
    </xf>
    <xf numFmtId="171" fontId="0" fillId="5" borderId="0" applyAlignment="1" pivotButton="0" quotePrefix="0" xfId="0">
      <alignment horizontal="center"/>
    </xf>
    <xf numFmtId="199" fontId="0" fillId="5" borderId="0" applyAlignment="1" pivotButton="0" quotePrefix="0" xfId="0">
      <alignment horizontal="center"/>
    </xf>
    <xf numFmtId="198" fontId="0" fillId="0" borderId="0" pivotButton="0" quotePrefix="0" xfId="0"/>
    <xf numFmtId="165" fontId="32" fillId="0" borderId="0" pivotButton="0" quotePrefix="0" xfId="0"/>
    <xf numFmtId="165" fontId="19" fillId="6" borderId="1" applyAlignment="1" pivotButton="0" quotePrefix="0" xfId="0">
      <alignment horizontal="center"/>
    </xf>
    <xf numFmtId="165" fontId="17" fillId="6" borderId="0" applyAlignment="1" pivotButton="0" quotePrefix="0" xfId="0">
      <alignment vertical="center"/>
    </xf>
    <xf numFmtId="167" fontId="17" fillId="10" borderId="0" applyAlignment="1" pivotButton="0" quotePrefix="0" xfId="0">
      <alignment vertical="center"/>
    </xf>
    <xf numFmtId="170" fontId="17" fillId="6" borderId="0" applyAlignment="1" pivotButton="0" quotePrefix="0" xfId="0">
      <alignment vertical="center"/>
    </xf>
    <xf numFmtId="167" fontId="4" fillId="10" borderId="0" applyAlignment="1" pivotButton="0" quotePrefix="0" xfId="0">
      <alignment vertical="center"/>
    </xf>
    <xf numFmtId="170" fontId="4" fillId="6" borderId="0" applyAlignment="1" pivotButton="0" quotePrefix="0" xfId="0">
      <alignment vertical="center"/>
    </xf>
    <xf numFmtId="165" fontId="4" fillId="6" borderId="0" applyAlignment="1" pivotButton="0" quotePrefix="0" xfId="0">
      <alignment vertical="center"/>
    </xf>
    <xf numFmtId="170" fontId="4" fillId="5" borderId="0" applyAlignment="1" pivotButton="0" quotePrefix="0" xfId="0">
      <alignment vertical="center"/>
    </xf>
    <xf numFmtId="165" fontId="4" fillId="6" borderId="11" applyAlignment="1" pivotButton="0" quotePrefix="0" xfId="0">
      <alignment vertical="center"/>
    </xf>
    <xf numFmtId="198" fontId="4" fillId="10" borderId="0" applyAlignment="1" pivotButton="0" quotePrefix="0" xfId="2">
      <alignment vertical="center"/>
    </xf>
    <xf numFmtId="182" fontId="4" fillId="6" borderId="0" applyAlignment="1" pivotButton="0" quotePrefix="0" xfId="2">
      <alignment vertical="center"/>
    </xf>
    <xf numFmtId="198" fontId="4" fillId="10"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165" fontId="4" fillId="6" borderId="1" applyAlignment="1" pivotButton="0" quotePrefix="0" xfId="3">
      <alignment vertical="center"/>
    </xf>
    <xf numFmtId="165" fontId="17" fillId="6" borderId="1" applyAlignment="1" pivotButton="0" quotePrefix="0" xfId="0">
      <alignment vertical="center"/>
    </xf>
    <xf numFmtId="170" fontId="23" fillId="0" borderId="0" applyAlignment="1" pivotButton="0" quotePrefix="0" xfId="0">
      <alignment vertical="center"/>
    </xf>
    <xf numFmtId="171" fontId="4" fillId="10"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166" fontId="23" fillId="0" borderId="0" applyAlignment="1" pivotButton="0" quotePrefix="0" xfId="3">
      <alignment vertical="center"/>
    </xf>
    <xf numFmtId="199" fontId="4" fillId="10" borderId="0" applyAlignment="1" pivotButton="0" quotePrefix="0" xfId="0">
      <alignment vertical="center"/>
    </xf>
    <xf numFmtId="184" fontId="4" fillId="6" borderId="0" applyAlignment="1" pivotButton="0" quotePrefix="0" xfId="0">
      <alignment vertical="center"/>
    </xf>
    <xf numFmtId="184" fontId="4" fillId="6" borderId="1" applyAlignment="1" pivotButton="0" quotePrefix="0" xfId="0">
      <alignment vertical="center"/>
    </xf>
    <xf numFmtId="171" fontId="4" fillId="6" borderId="0" applyAlignment="1" pivotButton="0" quotePrefix="0" xfId="0">
      <alignment vertical="center"/>
    </xf>
    <xf numFmtId="171" fontId="4" fillId="10" borderId="1" applyAlignment="1" pivotButton="0" quotePrefix="0" xfId="0">
      <alignment vertical="center"/>
    </xf>
    <xf numFmtId="165"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174" fontId="7" fillId="6" borderId="0" applyAlignment="1" applyProtection="1" pivotButton="0" quotePrefix="0" xfId="0">
      <alignment horizontal="left"/>
      <protection locked="0" hidden="0"/>
    </xf>
    <xf numFmtId="165" fontId="19" fillId="6" borderId="0" pivotButton="0" quotePrefix="0" xfId="0"/>
    <xf numFmtId="170" fontId="17" fillId="6" borderId="0" applyAlignment="1" pivotButton="0" quotePrefix="0" xfId="3">
      <alignment vertical="center"/>
    </xf>
    <xf numFmtId="166" fontId="17" fillId="6" borderId="0" applyAlignment="1" pivotButton="0" quotePrefix="0" xfId="3">
      <alignment vertical="center"/>
    </xf>
    <xf numFmtId="165" fontId="19" fillId="5" borderId="11"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165" fontId="4" fillId="5" borderId="1" pivotButton="0" quotePrefix="0" xfId="0"/>
    <xf numFmtId="169" fontId="32" fillId="0" borderId="0" pivotButton="0" quotePrefix="0" xfId="0"/>
    <xf numFmtId="165" fontId="4" fillId="6" borderId="0" pivotButton="0" quotePrefix="0" xfId="0"/>
    <xf numFmtId="169" fontId="4" fillId="0" borderId="0" pivotButton="0" quotePrefix="0" xfId="0"/>
    <xf numFmtId="167" fontId="4" fillId="0" borderId="0" pivotButton="0" quotePrefix="0" xfId="0"/>
    <xf numFmtId="165" fontId="32" fillId="6" borderId="0" pivotButton="0" quotePrefix="0" xfId="0"/>
    <xf numFmtId="165" fontId="32" fillId="6" borderId="0" applyAlignment="1" pivotButton="0" quotePrefix="0" xfId="0">
      <alignment vertical="center"/>
    </xf>
    <xf numFmtId="169" fontId="7" fillId="0" borderId="0" pivotButton="0" quotePrefix="0" xfId="0"/>
    <xf numFmtId="167" fontId="7" fillId="0" borderId="0" pivotButton="0" quotePrefix="0" xfId="0"/>
    <xf numFmtId="164" fontId="23" fillId="0" borderId="0" applyAlignment="1" pivotButton="0" quotePrefix="0" xfId="0">
      <alignment horizontal="center"/>
    </xf>
    <xf numFmtId="182" fontId="4" fillId="6" borderId="1" applyAlignment="1" pivotButton="0" quotePrefix="0" xfId="2">
      <alignment vertical="center"/>
    </xf>
    <xf numFmtId="171" fontId="4" fillId="6" borderId="1" applyAlignment="1" pivotButton="0" quotePrefix="0" xfId="0">
      <alignment vertical="center"/>
    </xf>
    <xf numFmtId="165" fontId="7" fillId="6" borderId="9" applyAlignment="1" pivotButton="0" quotePrefix="0" xfId="0">
      <alignment vertical="center"/>
    </xf>
    <xf numFmtId="169" fontId="23" fillId="0" borderId="0" applyAlignment="1" pivotButton="0" quotePrefix="0" xfId="0">
      <alignment vertical="center"/>
    </xf>
    <xf numFmtId="170" fontId="32" fillId="6" borderId="0" pivotButton="0" quotePrefix="0" xfId="0"/>
    <xf numFmtId="165" fontId="7" fillId="6" borderId="0" pivotButton="0" quotePrefix="0" xfId="0"/>
    <xf numFmtId="166" fontId="17" fillId="6" borderId="1" applyAlignment="1" pivotButton="0" quotePrefix="0" xfId="3">
      <alignment vertical="center"/>
    </xf>
    <xf numFmtId="185" fontId="4" fillId="6" borderId="0" applyAlignment="1" pivotButton="0" quotePrefix="0" xfId="0">
      <alignment horizontal="left"/>
    </xf>
    <xf numFmtId="185" fontId="7" fillId="6" borderId="0" applyAlignment="1" pivotButton="0" quotePrefix="0" xfId="0">
      <alignment horizontal="left"/>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165" fontId="17" fillId="6" borderId="1" applyAlignment="1" pivotButton="0" quotePrefix="0" xfId="3">
      <alignment horizontal="right" vertical="center"/>
    </xf>
    <xf numFmtId="170" fontId="24" fillId="6" borderId="9" applyAlignment="1" pivotButton="0" quotePrefix="0" xfId="0">
      <alignmen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24" fillId="6" borderId="0" applyAlignment="1" pivotButton="0" quotePrefix="0" xfId="0">
      <alignmen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165" fontId="17" fillId="6" borderId="11" applyAlignment="1" pivotButton="0" quotePrefix="0" xfId="0">
      <alignment vertical="center"/>
    </xf>
    <xf numFmtId="168" fontId="32" fillId="6" borderId="0" pivotButton="0" quotePrefix="0" xfId="2"/>
    <xf numFmtId="185" fontId="24" fillId="6" borderId="1" applyAlignment="1" pivotButton="0" quotePrefix="0" xfId="0">
      <alignment horizontal="left"/>
    </xf>
    <xf numFmtId="169" fontId="4" fillId="6" borderId="0" pivotButton="0" quotePrefix="0" xfId="0"/>
    <xf numFmtId="167" fontId="4" fillId="6" borderId="0" pivotButton="0" quotePrefix="0" xfId="0"/>
    <xf numFmtId="169" fontId="7" fillId="3" borderId="0" pivotButton="0" quotePrefix="0" xfId="0"/>
    <xf numFmtId="167" fontId="7" fillId="3" borderId="0" pivotButton="0" quotePrefix="0" xfId="0"/>
    <xf numFmtId="164" fontId="23" fillId="6" borderId="1" applyAlignment="1" pivotButton="0" quotePrefix="0" xfId="0">
      <alignment horizontal="center"/>
    </xf>
    <xf numFmtId="188" fontId="1" fillId="6" borderId="0" pivotButton="0" quotePrefix="0" xfId="8"/>
    <xf numFmtId="188" fontId="1" fillId="6" borderId="0" applyAlignment="1" pivotButton="0" quotePrefix="0" xfId="8">
      <alignment wrapText="1"/>
    </xf>
    <xf numFmtId="188" fontId="44" fillId="6" borderId="1" applyAlignment="1" pivotButton="0" quotePrefix="0" xfId="8">
      <alignment horizont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193" fontId="1" fillId="6" borderId="0" pivotButton="0" quotePrefix="0" xfId="9"/>
    <xf numFmtId="188" fontId="1" fillId="6" borderId="0" pivotButton="0" quotePrefix="0" xfId="9"/>
    <xf numFmtId="167" fontId="1" fillId="6" borderId="0" pivotButton="0" quotePrefix="0" xfId="9"/>
    <xf numFmtId="167" fontId="1" fillId="6" borderId="0" applyAlignment="1" pivotButton="0" quotePrefix="0" xfId="8">
      <alignment horizontal="right" vertical="center"/>
    </xf>
    <xf numFmtId="188" fontId="1" fillId="6" borderId="1" pivotButton="0" quotePrefix="0" xfId="9"/>
    <xf numFmtId="167" fontId="1" fillId="6" borderId="1" pivotButton="0" quotePrefix="0" xfId="9"/>
    <xf numFmtId="189" fontId="5" fillId="6" borderId="0" applyAlignment="1" pivotButton="0" quotePrefix="0" xfId="8">
      <alignment wrapText="1"/>
    </xf>
    <xf numFmtId="167" fontId="5" fillId="6" borderId="0" applyAlignment="1" pivotButton="0" quotePrefix="0" xfId="8">
      <alignment horizontal="right"/>
    </xf>
    <xf numFmtId="188" fontId="1" fillId="6" borderId="1" pivotButton="0" quotePrefix="0" xfId="8"/>
    <xf numFmtId="189" fontId="5" fillId="6" borderId="1" applyAlignment="1" pivotButton="0" quotePrefix="0" xfId="8">
      <alignment wrapText="1"/>
    </xf>
    <xf numFmtId="167" fontId="5" fillId="6" borderId="1" applyAlignment="1" pivotButton="0" quotePrefix="0" xfId="8">
      <alignment horizontal="right"/>
    </xf>
    <xf numFmtId="180" fontId="49" fillId="6" borderId="0" applyAlignment="1" pivotButton="0" quotePrefix="0" xfId="0">
      <alignment horizontal="right" vertical="top" justifyLastLine="1"/>
    </xf>
    <xf numFmtId="180" fontId="49" fillId="6" borderId="2" applyAlignment="1" pivotButton="0" quotePrefix="0" xfId="0">
      <alignment horizontal="right" vertical="top" justifyLastLine="1"/>
    </xf>
    <xf numFmtId="180" fontId="49" fillId="6" borderId="15" applyAlignment="1" pivotButton="0" quotePrefix="0" xfId="0">
      <alignment horizontal="right" vertical="top" justifyLastLine="1"/>
    </xf>
    <xf numFmtId="169" fontId="49" fillId="6" borderId="15" applyAlignment="1" pivotButton="0" quotePrefix="0" xfId="0">
      <alignment horizontal="right" vertical="top"/>
    </xf>
    <xf numFmtId="169" fontId="48" fillId="6" borderId="0" applyAlignment="1" pivotButton="0" quotePrefix="0" xfId="3">
      <alignment horizontal="right" vertical="top" justifyLastLine="1"/>
    </xf>
    <xf numFmtId="169" fontId="48" fillId="6" borderId="2" applyAlignment="1" pivotButton="0" quotePrefix="0" xfId="3">
      <alignment horizontal="right" vertical="top" justifyLastLine="1"/>
    </xf>
    <xf numFmtId="169" fontId="48" fillId="6" borderId="15" applyAlignment="1" pivotButton="0" quotePrefix="0" xfId="3">
      <alignment horizontal="right" vertical="top" justifyLastLine="1"/>
    </xf>
    <xf numFmtId="165" fontId="41" fillId="6" borderId="15" applyAlignment="1" pivotButton="0" quotePrefix="0" xfId="3">
      <alignment horizontal="right" vertical="top" wrapText="1"/>
    </xf>
    <xf numFmtId="169" fontId="49" fillId="6" borderId="41" applyAlignment="1" pivotButton="0" quotePrefix="0" xfId="3">
      <alignment horizontal="right" vertical="top" wrapText="1" justifyLastLine="1"/>
    </xf>
    <xf numFmtId="169" fontId="49" fillId="6" borderId="7" applyAlignment="1" pivotButton="0" quotePrefix="0" xfId="3">
      <alignment horizontal="right" vertical="top" wrapText="1" justifyLastLine="1"/>
    </xf>
    <xf numFmtId="170" fontId="50" fillId="3" borderId="65" applyAlignment="1" pivotButton="0" quotePrefix="0" xfId="3">
      <alignment horizontal="right" vertical="top"/>
    </xf>
    <xf numFmtId="170" fontId="44" fillId="3" borderId="37" applyAlignment="1" pivotButton="0" quotePrefix="0" xfId="3">
      <alignment horizontal="right" vertical="top"/>
    </xf>
    <xf numFmtId="170" fontId="44" fillId="3" borderId="6" applyAlignment="1" pivotButton="0" quotePrefix="0" xfId="3">
      <alignment horizontal="right" vertical="top"/>
    </xf>
    <xf numFmtId="190" fontId="48" fillId="6" borderId="37" applyAlignment="1" pivotButton="0" quotePrefix="0" xfId="4">
      <alignment horizontal="right" vertical="top"/>
    </xf>
    <xf numFmtId="186" fontId="51" fillId="6" borderId="6" applyAlignment="1" pivotButton="0" quotePrefix="0" xfId="4">
      <alignment horizontal="right" vertical="top"/>
    </xf>
    <xf numFmtId="190" fontId="41" fillId="6" borderId="14" applyAlignment="1" pivotButton="0" quotePrefix="0" xfId="4">
      <alignment horizontal="right" vertical="top"/>
    </xf>
    <xf numFmtId="186" fontId="43" fillId="6" borderId="0" applyAlignment="1" pivotButton="0" quotePrefix="0" xfId="4">
      <alignment horizontal="right" vertical="top"/>
    </xf>
    <xf numFmtId="190" fontId="52" fillId="6" borderId="14" applyAlignment="1" pivotButton="0" quotePrefix="0" xfId="3">
      <alignment horizontal="right" vertical="top"/>
    </xf>
    <xf numFmtId="170" fontId="52" fillId="6" borderId="0" applyAlignment="1" pivotButton="0" quotePrefix="0" xfId="3">
      <alignment horizontal="right" vertical="top"/>
    </xf>
    <xf numFmtId="190" fontId="52" fillId="3" borderId="38" applyAlignment="1" pivotButton="0" quotePrefix="0" xfId="0">
      <alignment horizontal="right" vertical="top" wrapText="1"/>
    </xf>
    <xf numFmtId="170" fontId="44" fillId="3" borderId="38" applyAlignment="1" pivotButton="0" quotePrefix="0" xfId="0">
      <alignment horizontal="right" vertical="top"/>
    </xf>
    <xf numFmtId="170" fontId="44" fillId="3" borderId="24" applyAlignment="1" pivotButton="0" quotePrefix="0" xfId="0">
      <alignment horizontal="right" vertical="top"/>
    </xf>
    <xf numFmtId="186" fontId="48" fillId="15" borderId="37" applyAlignment="1" pivotButton="0" quotePrefix="0" xfId="0">
      <alignment horizontal="right" vertical="top"/>
    </xf>
    <xf numFmtId="186" fontId="55" fillId="0" borderId="0" applyAlignment="1" pivotButton="0" quotePrefix="0" xfId="0">
      <alignment horizontal="right" vertical="top"/>
    </xf>
    <xf numFmtId="186" fontId="43" fillId="3" borderId="0" applyAlignment="1" pivotButton="0" quotePrefix="0" xfId="4">
      <alignment horizontal="right" vertical="top"/>
    </xf>
    <xf numFmtId="190" fontId="49" fillId="6" borderId="14" applyAlignment="1" pivotButton="0" quotePrefix="0" xfId="4">
      <alignment horizontal="right" vertical="top"/>
    </xf>
    <xf numFmtId="186" fontId="52" fillId="3" borderId="0" applyAlignment="1" pivotButton="0" quotePrefix="0" xfId="4">
      <alignment horizontal="right" vertical="top"/>
    </xf>
    <xf numFmtId="190" fontId="50" fillId="3" borderId="37" applyAlignment="1" pivotButton="0" quotePrefix="0" xfId="3">
      <alignment horizontal="right"/>
    </xf>
    <xf numFmtId="190" fontId="50" fillId="3" borderId="37" pivotButton="0" quotePrefix="0" xfId="3"/>
    <xf numFmtId="186" fontId="50" fillId="3" borderId="6" pivotButton="0" quotePrefix="0" xfId="3"/>
    <xf numFmtId="170" fontId="50" fillId="8" borderId="38" applyAlignment="1" pivotButton="0" quotePrefix="0" xfId="3">
      <alignment horizontal="right"/>
    </xf>
    <xf numFmtId="170" fontId="50" fillId="8" borderId="66" pivotButton="0" quotePrefix="0" xfId="3"/>
    <xf numFmtId="170" fontId="50" fillId="8" borderId="39" pivotButton="0" quotePrefix="0" xfId="3"/>
    <xf numFmtId="170" fontId="50" fillId="8" borderId="64" pivotButton="0" quotePrefix="0" xfId="3"/>
    <xf numFmtId="194" fontId="32" fillId="0" borderId="1" pivotButton="0" quotePrefix="0" xfId="0"/>
    <xf numFmtId="165" fontId="47" fillId="0" borderId="0" pivotButton="0" quotePrefix="0" xfId="0"/>
    <xf numFmtId="165" fontId="47" fillId="0" borderId="1" pivotButton="0" quotePrefix="0" xfId="0"/>
    <xf numFmtId="165" fontId="50" fillId="0" borderId="1" applyAlignment="1" pivotButton="0" quotePrefix="0" xfId="0">
      <alignment horizontal="right"/>
    </xf>
    <xf numFmtId="165" fontId="50" fillId="0" borderId="11" pivotButton="0" quotePrefix="0" xfId="0"/>
    <xf numFmtId="166" fontId="0" fillId="0" borderId="0" pivotButton="0" quotePrefix="0" xfId="0"/>
    <xf numFmtId="169" fontId="5" fillId="0" borderId="11" pivotButton="0" quotePrefix="0" xfId="0"/>
    <xf numFmtId="167" fontId="5" fillId="0" borderId="36" pivotButton="0" quotePrefix="0" xfId="0"/>
    <xf numFmtId="169" fontId="5" fillId="0" borderId="1" pivotButton="0" quotePrefix="0" xfId="0"/>
    <xf numFmtId="167" fontId="5" fillId="0" borderId="4" pivotButton="0" quotePrefix="0" xfId="0"/>
    <xf numFmtId="167" fontId="48" fillId="5" borderId="9" applyAlignment="1" pivotButton="0" quotePrefix="0" xfId="0">
      <alignment horizontal="center"/>
    </xf>
    <xf numFmtId="164" fontId="53" fillId="10" borderId="1" applyAlignment="1" pivotButton="0" quotePrefix="0" xfId="0">
      <alignment horizontal="center"/>
    </xf>
    <xf numFmtId="180" fontId="49" fillId="0" borderId="15" applyAlignment="1" pivotButton="0" quotePrefix="0" xfId="0">
      <alignment horizontal="right" vertical="center" justifyLastLine="1"/>
    </xf>
    <xf numFmtId="180" fontId="49" fillId="0" borderId="2" applyAlignment="1" pivotButton="0" quotePrefix="0" xfId="0">
      <alignment horizontal="right" vertical="center" justifyLastLine="1"/>
    </xf>
    <xf numFmtId="180" fontId="49" fillId="0" borderId="0" applyAlignment="1" pivotButton="0" quotePrefix="0" xfId="0">
      <alignment horizontal="right" vertical="center" justifyLastLine="1"/>
    </xf>
    <xf numFmtId="165" fontId="49" fillId="0" borderId="2" applyAlignment="1" pivotButton="0" quotePrefix="0" xfId="3">
      <alignment horizontal="right" vertical="center"/>
    </xf>
    <xf numFmtId="169" fontId="48" fillId="0" borderId="15" applyAlignment="1" pivotButton="0" quotePrefix="0" xfId="3">
      <alignment horizontal="right" vertical="center" justifyLastLine="1"/>
    </xf>
    <xf numFmtId="169" fontId="48" fillId="0" borderId="2" applyAlignment="1" pivotButton="0" quotePrefix="0" xfId="3">
      <alignment horizontal="right" vertical="center" justifyLastLine="1"/>
    </xf>
    <xf numFmtId="169" fontId="48" fillId="0" borderId="0" applyAlignment="1" pivotButton="0" quotePrefix="0" xfId="3">
      <alignment horizontal="right" vertical="center" justifyLastLine="1"/>
    </xf>
    <xf numFmtId="168" fontId="48" fillId="0" borderId="15" applyAlignment="1" pivotButton="0" quotePrefix="0" xfId="2">
      <alignment horizontal="right" vertical="center" justifyLastLine="1"/>
    </xf>
    <xf numFmtId="165" fontId="41" fillId="0" borderId="2" applyAlignment="1" pivotButton="0" quotePrefix="0" xfId="3">
      <alignment horizontal="right" vertical="center" wrapText="1"/>
    </xf>
    <xf numFmtId="169" fontId="49" fillId="6" borderId="75" applyAlignment="1" pivotButton="0" quotePrefix="0" xfId="3">
      <alignment horizontal="right" vertical="top" wrapText="1" justifyLastLine="1"/>
    </xf>
    <xf numFmtId="169" fontId="49" fillId="0" borderId="75" applyAlignment="1" pivotButton="0" quotePrefix="0" xfId="3">
      <alignment horizontal="right" vertical="center" wrapText="1"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170" fontId="44" fillId="3" borderId="0" applyAlignment="1" pivotButton="0" quotePrefix="0" xfId="3">
      <alignment horizontal="right" vertical="center"/>
    </xf>
    <xf numFmtId="186" fontId="44" fillId="0" borderId="6" applyAlignment="1" pivotButton="0" quotePrefix="0" xfId="4">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186" fontId="51" fillId="0" borderId="0" applyAlignment="1" pivotButton="0" quotePrefix="0" xfId="4">
      <alignment horizontal="righ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180" fontId="53" fillId="0" borderId="0" applyAlignment="1" pivotButton="0" quotePrefix="0" xfId="0">
      <alignment horizontal="right" vertical="center"/>
    </xf>
    <xf numFmtId="170" fontId="44" fillId="3" borderId="0"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186" fontId="43" fillId="3" borderId="14" applyAlignment="1" pivotButton="0" quotePrefix="0" xfId="4">
      <alignment horizontal="right" vertical="center"/>
    </xf>
    <xf numFmtId="186" fontId="43" fillId="0" borderId="14" applyAlignment="1" pivotButton="0" quotePrefix="0" xfId="4">
      <alignment horizontal="righ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168" fontId="56" fillId="0" borderId="2" applyAlignment="1" pivotButton="0" quotePrefix="0" xfId="2">
      <alignment horizontal="right" vertical="center"/>
    </xf>
    <xf numFmtId="168" fontId="56" fillId="0" borderId="0" applyAlignment="1" pivotButton="0" quotePrefix="0" xfId="2">
      <alignment horizontal="right" vertical="center"/>
    </xf>
    <xf numFmtId="186" fontId="52" fillId="3" borderId="14" applyAlignment="1" pivotButton="0" quotePrefix="0" xfId="4">
      <alignment horizontal="right" vertical="center"/>
    </xf>
    <xf numFmtId="186" fontId="53" fillId="0" borderId="1" applyAlignment="1" pivotButton="0" quotePrefix="0" xfId="4">
      <alignment horizontal="right" vertical="center"/>
    </xf>
    <xf numFmtId="186" fontId="50" fillId="3" borderId="6" applyAlignment="1" pivotButton="0" quotePrefix="0" xfId="3">
      <alignment vertical="center"/>
    </xf>
    <xf numFmtId="186" fontId="50" fillId="3" borderId="1" applyAlignment="1" pivotButton="0" quotePrefix="0" xfId="3">
      <alignment vertical="center"/>
    </xf>
    <xf numFmtId="186" fontId="50" fillId="3" borderId="38" applyAlignment="1" pivotButton="0" quotePrefix="0" xfId="3">
      <alignment vertical="center"/>
    </xf>
    <xf numFmtId="186" fontId="50" fillId="3" borderId="0"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170" fontId="50" fillId="8" borderId="0" applyAlignment="1" pivotButton="0" quotePrefix="0" xfId="3">
      <alignment vertical="center"/>
    </xf>
    <xf numFmtId="166" fontId="0" fillId="0" borderId="0" pivotButton="0" quotePrefix="0" xfId="3"/>
    <xf numFmtId="181" fontId="0" fillId="0" borderId="0" pivotButton="0" quotePrefix="0" xfId="3"/>
    <xf numFmtId="167" fontId="0" fillId="0" borderId="0" pivotButton="0" quotePrefix="0" xfId="4"/>
    <xf numFmtId="171" fontId="0" fillId="0" borderId="0" pivotButton="0" quotePrefix="0" xfId="4"/>
    <xf numFmtId="169" fontId="0" fillId="5" borderId="14" pivotButton="0" quotePrefix="0" xfId="0"/>
    <xf numFmtId="165" fontId="32" fillId="0" borderId="0" applyAlignment="1" pivotButton="0" quotePrefix="0" xfId="1">
      <alignment horizontal="left" vertical="top"/>
    </xf>
    <xf numFmtId="164" fontId="32" fillId="0" borderId="0" applyAlignment="1" pivotButton="0" quotePrefix="0" xfId="1">
      <alignment horizontal="left" vertical="top"/>
    </xf>
    <xf numFmtId="169" fontId="0" fillId="5" borderId="4" pivotButton="0" quotePrefix="0" xfId="0"/>
    <xf numFmtId="169" fontId="0" fillId="0" borderId="14" pivotButton="0" quotePrefix="0" xfId="3"/>
    <xf numFmtId="167" fontId="0" fillId="0" borderId="4" pivotButton="0" quotePrefix="0" xfId="3"/>
    <xf numFmtId="181" fontId="0" fillId="0" borderId="0" pivotButton="0" quotePrefix="0" xfId="0"/>
    <xf numFmtId="167" fontId="41" fillId="6" borderId="15" applyAlignment="1" pivotButton="0" quotePrefix="0" xfId="0">
      <alignment vertical="center" wrapText="1"/>
    </xf>
    <xf numFmtId="169" fontId="41" fillId="5" borderId="15" applyAlignment="1" pivotButton="0" quotePrefix="0" xfId="3">
      <alignment horizontal="center" vertical="center" wrapText="1"/>
    </xf>
    <xf numFmtId="167" fontId="41" fillId="5" borderId="15" applyAlignment="1" pivotButton="0" quotePrefix="0" xfId="3">
      <alignment horizontal="center" vertical="center" wrapText="1"/>
    </xf>
    <xf numFmtId="167" fontId="41" fillId="0" borderId="15" applyAlignment="1" pivotButton="0" quotePrefix="0" xfId="3">
      <alignment horizontal="center" vertical="center" wrapText="1"/>
    </xf>
    <xf numFmtId="180" fontId="41" fillId="5" borderId="15" applyAlignment="1" pivotButton="0" quotePrefix="0" xfId="3">
      <alignment horizontal="center" vertical="center" wrapText="1"/>
    </xf>
    <xf numFmtId="180" fontId="41" fillId="0" borderId="15" applyAlignment="1" pivotButton="0" quotePrefix="0" xfId="3">
      <alignment horizontal="center" vertical="center" wrapText="1"/>
    </xf>
    <xf numFmtId="167" fontId="41" fillId="6" borderId="22" applyAlignment="1" pivotButton="0" quotePrefix="0" xfId="0">
      <alignment vertical="center" wrapText="1"/>
    </xf>
    <xf numFmtId="167" fontId="41" fillId="5" borderId="22" applyAlignment="1" pivotButton="0" quotePrefix="0" xfId="3">
      <alignment horizontal="center" vertical="center" wrapText="1"/>
    </xf>
    <xf numFmtId="167" fontId="41" fillId="0" borderId="22" applyAlignment="1" pivotButton="0" quotePrefix="0" xfId="3">
      <alignment horizontal="center" vertical="center" wrapText="1"/>
    </xf>
    <xf numFmtId="167" fontId="43" fillId="3" borderId="10" applyAlignment="1" pivotButton="0" quotePrefix="0" xfId="0">
      <alignment vertical="center" wrapText="1"/>
    </xf>
    <xf numFmtId="167" fontId="43" fillId="3" borderId="10" applyAlignment="1" pivotButton="0" quotePrefix="0" xfId="3">
      <alignment horizontal="center" vertical="center" wrapText="1"/>
    </xf>
    <xf numFmtId="180" fontId="41" fillId="5" borderId="16" applyAlignment="1" pivotButton="0" quotePrefix="0" xfId="0">
      <alignment horizontal="center" vertical="center" wrapText="1"/>
    </xf>
    <xf numFmtId="180" fontId="41" fillId="0" borderId="16" applyAlignment="1" pivotButton="0" quotePrefix="0" xfId="0">
      <alignment horizontal="center" vertical="center" wrapText="1"/>
    </xf>
    <xf numFmtId="164" fontId="43" fillId="3" borderId="8" applyAlignment="1" pivotButton="0" quotePrefix="0" xfId="0">
      <alignment horizontal="center" vertical="center" wrapText="1"/>
    </xf>
    <xf numFmtId="164" fontId="43" fillId="3" borderId="17" applyAlignment="1" pivotButton="0" quotePrefix="0" xfId="0">
      <alignment horizontal="center" vertical="center" wrapText="1"/>
    </xf>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164" fontId="0" fillId="0" borderId="0" pivotButton="0" quotePrefix="0" xfId="0"/>
    <xf numFmtId="180" fontId="4" fillId="5" borderId="0" applyAlignment="1" pivotButton="0" quotePrefix="0" xfId="0">
      <alignment horizontal="center" vertical="top"/>
    </xf>
    <xf numFmtId="180" fontId="17" fillId="5" borderId="0" applyAlignment="1" pivotButton="0" quotePrefix="0" xfId="0">
      <alignment vertical="top"/>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67" fontId="4" fillId="5" borderId="0" applyAlignment="1" pivotButton="0" quotePrefix="0" xfId="0">
      <alignment horizontal="center" vertical="center" wrapText="1" shrinkToFit="1"/>
    </xf>
    <xf numFmtId="18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96" fontId="6" fillId="19" borderId="0" applyAlignment="1" applyProtection="1" pivotButton="0" quotePrefix="0" xfId="0">
      <alignment horizontal="centerContinuous"/>
      <protection locked="0" hidden="0"/>
    </xf>
    <xf numFmtId="165" fontId="4" fillId="0" borderId="0" pivotButton="0" quotePrefix="0" xfId="3"/>
    <xf numFmtId="166" fontId="4" fillId="0" borderId="0" pivotButton="0" quotePrefix="0" xfId="3"/>
    <xf numFmtId="170" fontId="4" fillId="0" borderId="0" pivotButton="0" quotePrefix="0" xfId="3"/>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165" fontId="3" fillId="0" borderId="0" pivotButton="0" quotePrefix="0" xfId="0"/>
    <xf numFmtId="165" fontId="4" fillId="0" borderId="0" pivotButton="0" quotePrefix="0" xfId="0"/>
    <xf numFmtId="165" fontId="7" fillId="3" borderId="9" pivotButton="0" quotePrefix="0" xfId="3"/>
    <xf numFmtId="166" fontId="7" fillId="3" borderId="9" pivotButton="0" quotePrefix="0" xfId="3"/>
    <xf numFmtId="167" fontId="7" fillId="3" borderId="9" pivotButton="0" quotePrefix="0" xfId="0"/>
    <xf numFmtId="170" fontId="7" fillId="3" borderId="9" pivotButton="0" quotePrefix="0" xfId="3"/>
    <xf numFmtId="165" fontId="4" fillId="19" borderId="0" pivotButton="0" quotePrefix="0" xfId="3"/>
    <xf numFmtId="166" fontId="4" fillId="19" borderId="0" pivotButton="0" quotePrefix="0" xfId="3"/>
    <xf numFmtId="167" fontId="4" fillId="19" borderId="0" pivotButton="0" quotePrefix="0" xfId="0"/>
    <xf numFmtId="165" fontId="4" fillId="4" borderId="0" pivotButton="0" quotePrefix="0" xfId="3"/>
    <xf numFmtId="167" fontId="4" fillId="4" borderId="0" pivotButton="0" quotePrefix="0" xfId="0"/>
    <xf numFmtId="168" fontId="4" fillId="0" borderId="0" pivotButton="0" quotePrefix="0" xfId="2"/>
    <xf numFmtId="168" fontId="4" fillId="0" borderId="0" pivotButton="0" quotePrefix="0" xfId="3"/>
    <xf numFmtId="168" fontId="4" fillId="19" borderId="0" pivotButton="0" quotePrefix="0" xfId="2"/>
    <xf numFmtId="168" fontId="4" fillId="4" borderId="0" pivotButton="0" quotePrefix="0" xfId="2"/>
    <xf numFmtId="167" fontId="24" fillId="4" borderId="0" applyProtection="1" pivotButton="0" quotePrefix="0" xfId="0">
      <protection locked="0" hidden="0"/>
    </xf>
    <xf numFmtId="169" fontId="4" fillId="0" borderId="0" pivotButton="0" quotePrefix="0" xfId="3"/>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3" borderId="9" applyAlignment="1" pivotButton="0" quotePrefix="0" xfId="3">
      <alignment horizontal="right"/>
    </xf>
    <xf numFmtId="165" fontId="7" fillId="0" borderId="0" applyAlignment="1" pivotButton="0" quotePrefix="0" xfId="3">
      <alignment horizontal="right"/>
    </xf>
    <xf numFmtId="169" fontId="26" fillId="0" borderId="0" pivotButton="0" quotePrefix="0" xfId="3"/>
    <xf numFmtId="167" fontId="3" fillId="0" borderId="0" pivotButton="0" quotePrefix="0" xfId="0"/>
    <xf numFmtId="165" fontId="7" fillId="0" borderId="9" pivotButton="0" quotePrefix="0" xfId="3"/>
    <xf numFmtId="167" fontId="7" fillId="0" borderId="9" pivotButton="0" quotePrefix="0" xfId="0"/>
    <xf numFmtId="165" fontId="3" fillId="0" borderId="9" pivotButton="0" quotePrefix="0" xfId="0"/>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171" fontId="4" fillId="0" borderId="13" applyAlignment="1" pivotButton="0" quotePrefix="0" xfId="4">
      <alignment horizontal="center" vertical="center"/>
    </xf>
    <xf numFmtId="166" fontId="4" fillId="0" borderId="19" pivotButton="0" quotePrefix="0" xfId="3"/>
    <xf numFmtId="165" fontId="9" fillId="5" borderId="2" pivotButton="0" quotePrefix="0" xfId="3"/>
    <xf numFmtId="167" fontId="4" fillId="0" borderId="0" applyAlignment="1" pivotButton="0" quotePrefix="0" xfId="3">
      <alignment horizontal="center"/>
    </xf>
    <xf numFmtId="165" fontId="9" fillId="0" borderId="2" pivotButton="0" quotePrefix="0" xfId="3"/>
    <xf numFmtId="167" fontId="9" fillId="0" borderId="15" applyAlignment="1" pivotButton="0" quotePrefix="0" xfId="3">
      <alignment horizontal="center"/>
    </xf>
    <xf numFmtId="165" fontId="9" fillId="0" borderId="0" pivotButton="0" quotePrefix="0" xfId="3"/>
    <xf numFmtId="166" fontId="9" fillId="0" borderId="0" pivotButton="0" quotePrefix="0" xfId="3"/>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169" fontId="7" fillId="3" borderId="8" pivotButton="0" quotePrefix="0" xfId="0"/>
    <xf numFmtId="167" fontId="7" fillId="3" borderId="9" applyAlignment="1" pivotButton="0" quotePrefix="0" xfId="0">
      <alignment horizontal="center"/>
    </xf>
    <xf numFmtId="169" fontId="7" fillId="3" borderId="8" applyAlignment="1" pivotButton="0" quotePrefix="0" xfId="0">
      <alignment horizontal="center"/>
    </xf>
    <xf numFmtId="169" fontId="7" fillId="0" borderId="9" pivotButton="0" quotePrefix="0" xfId="0"/>
    <xf numFmtId="172" fontId="4" fillId="0" borderId="32" applyAlignment="1" pivotButton="0" quotePrefix="0" xfId="0">
      <alignment horizontal="right" vertical="center"/>
    </xf>
    <xf numFmtId="169" fontId="23" fillId="0" borderId="12" applyAlignment="1" pivotButton="0" quotePrefix="0" xfId="0">
      <alignment horizontal="right" vertical="center"/>
    </xf>
    <xf numFmtId="169" fontId="23" fillId="0" borderId="31" applyAlignment="1" pivotButton="0" quotePrefix="0" xfId="0">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166" fontId="4" fillId="0" borderId="0" applyAlignment="1" pivotButton="0" quotePrefix="0" xfId="3">
      <alignment horizontal="center"/>
    </xf>
    <xf numFmtId="170" fontId="4" fillId="0" borderId="0" applyAlignment="1" pivotButton="0" quotePrefix="0" xfId="3">
      <alignment horizontal="center"/>
    </xf>
    <xf numFmtId="165" fontId="4" fillId="0" borderId="0" applyAlignment="1" pivotButton="0" quotePrefix="0" xfId="3">
      <alignment horizontal="center" vertical="center"/>
    </xf>
    <xf numFmtId="169" fontId="4" fillId="0" borderId="15" applyAlignment="1" pivotButton="0" quotePrefix="0" xfId="3">
      <alignment horizontal="center" vertical="center"/>
    </xf>
    <xf numFmtId="173" fontId="9" fillId="0" borderId="0" applyAlignment="1" pivotButton="0" quotePrefix="0" xfId="0">
      <alignment horizontal="left" vertical="top" wrapText="1"/>
    </xf>
    <xf numFmtId="170" fontId="9" fillId="0" borderId="0" applyAlignment="1" pivotButton="0" quotePrefix="0" xfId="3">
      <alignment horizontal="center" vertical="center"/>
    </xf>
    <xf numFmtId="167" fontId="9" fillId="0" borderId="15" applyAlignment="1" pivotButton="0" quotePrefix="0" xfId="3">
      <alignment horizontal="center" vertical="center"/>
    </xf>
    <xf numFmtId="170" fontId="4" fillId="0" borderId="0" applyAlignment="1" pivotButton="0" quotePrefix="0" xfId="3">
      <alignment horizontal="center" vertical="center"/>
    </xf>
    <xf numFmtId="167" fontId="4" fillId="0" borderId="15" applyAlignment="1" pivotButton="0" quotePrefix="0" xfId="3">
      <alignment horizontal="center" vertical="center"/>
    </xf>
    <xf numFmtId="170" fontId="4" fillId="0" borderId="0" applyAlignment="1" pivotButton="0" quotePrefix="0" xfId="0">
      <alignment horizontal="center" vertical="center"/>
    </xf>
    <xf numFmtId="203" fontId="9" fillId="0" borderId="0" applyAlignment="1" pivotButton="0" quotePrefix="0" xfId="0">
      <alignment horizontal="left" vertical="top" wrapText="1"/>
    </xf>
    <xf numFmtId="166" fontId="4" fillId="0" borderId="0" applyAlignment="1" pivotButton="0" quotePrefix="0" xfId="3">
      <alignment horizontal="center" vertic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5" fontId="4" fillId="0" borderId="15" applyAlignment="1" pivotButton="0" quotePrefix="0" xfId="3">
      <alignment horizontal="center" vertical="center"/>
    </xf>
    <xf numFmtId="203" fontId="24" fillId="0" borderId="0" applyAlignment="1" pivotButton="0" quotePrefix="0" xfId="0">
      <alignment horizontal="left" vertical="top" wrapText="1"/>
    </xf>
    <xf numFmtId="170" fontId="9" fillId="0" borderId="15" applyAlignment="1" pivotButton="0" quotePrefix="0" xfId="3">
      <alignment horizontal="center" vertical="center"/>
    </xf>
    <xf numFmtId="166" fontId="4" fillId="0" borderId="15" applyAlignment="1" pivotButton="0" quotePrefix="0" xfId="3">
      <alignment horizontal="center" vertical="center"/>
    </xf>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170" fontId="17"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169" fontId="9" fillId="0" borderId="0" pivotButton="0" quotePrefix="0" xfId="0"/>
    <xf numFmtId="167" fontId="4" fillId="0" borderId="0" applyProtection="1" pivotButton="0" quotePrefix="0" xfId="3">
      <protection locked="0" hidden="0"/>
    </xf>
    <xf numFmtId="169" fontId="9" fillId="0" borderId="0" applyAlignment="1" pivotButton="0" quotePrefix="0" xfId="0">
      <alignment horizontal="right"/>
    </xf>
    <xf numFmtId="169" fontId="19" fillId="3" borderId="9" pivotButton="0" quotePrefix="0" xfId="0"/>
    <xf numFmtId="166" fontId="7" fillId="3" borderId="9" applyProtection="1" pivotButton="0" quotePrefix="0" xfId="3">
      <protection locked="0" hidden="0"/>
    </xf>
    <xf numFmtId="169" fontId="17" fillId="0" borderId="0" pivotButton="0" quotePrefix="0" xfId="0"/>
    <xf numFmtId="167" fontId="7" fillId="3" borderId="9" applyProtection="1" pivotButton="0" quotePrefix="0" xfId="3">
      <protection locked="0" hidden="0"/>
    </xf>
    <xf numFmtId="167" fontId="17" fillId="4" borderId="0" pivotButton="0" quotePrefix="0" xfId="0"/>
    <xf numFmtId="166" fontId="4" fillId="4" borderId="0" applyProtection="1" pivotButton="0" quotePrefix="0" xfId="3">
      <protection locked="0" hidden="0"/>
    </xf>
    <xf numFmtId="167" fontId="4" fillId="0" borderId="0" pivotButton="0" quotePrefix="0" xfId="3"/>
    <xf numFmtId="171" fontId="19" fillId="0" borderId="0" applyAlignment="1" pivotButton="0" quotePrefix="0" xfId="4">
      <alignment horizontal="center"/>
    </xf>
    <xf numFmtId="169" fontId="19" fillId="0" borderId="0" pivotButton="0" quotePrefix="0" xfId="3"/>
    <xf numFmtId="167" fontId="7" fillId="0" borderId="0" applyProtection="1" pivotButton="0" quotePrefix="0" xfId="3">
      <protection locked="0" hidden="0"/>
    </xf>
    <xf numFmtId="180" fontId="17" fillId="6" borderId="0" applyAlignment="1" pivotButton="0" quotePrefix="0" xfId="0">
      <alignment horizontal="center"/>
    </xf>
    <xf numFmtId="167" fontId="17" fillId="6" borderId="0" applyAlignment="1" pivotButton="0" quotePrefix="0" xfId="3">
      <alignment horizontal="center"/>
    </xf>
    <xf numFmtId="170" fontId="17" fillId="6" borderId="0" applyAlignment="1" pivotButton="0" quotePrefix="0" xfId="3">
      <alignment horizontal="center"/>
    </xf>
    <xf numFmtId="169" fontId="0" fillId="0" borderId="0" pivotButton="0" quotePrefix="0" xfId="0"/>
    <xf numFmtId="180" fontId="17" fillId="0" borderId="0" applyAlignment="1" pivotButton="0" quotePrefix="0" xfId="0">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5" fontId="7" fillId="3" borderId="9" applyAlignment="1" pivotButton="0" quotePrefix="0" xfId="4">
      <alignment horizontal="righ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169" fontId="16" fillId="3" borderId="9" applyAlignment="1" pivotButton="0" quotePrefix="0" xfId="0">
      <alignment horizontal="right" vertical="center" wrapText="1"/>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9" fillId="3" borderId="1" applyAlignment="1" pivotButton="0" quotePrefix="0" xfId="0">
      <alignment horizontal="center"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175" fontId="17" fillId="0" borderId="0" applyAlignment="1" pivotButton="0" quotePrefix="0" xfId="0">
      <alignment horizontal="left"/>
    </xf>
    <xf numFmtId="165" fontId="17" fillId="0" borderId="0" pivotButton="0" quotePrefix="0" xfId="0"/>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65" fontId="17" fillId="0" borderId="11" pivotButton="0" quotePrefix="0" xfId="0"/>
    <xf numFmtId="165" fontId="17" fillId="0" borderId="0" applyProtection="1" pivotButton="0" quotePrefix="0" xfId="3">
      <protection locked="0" hidden="0"/>
    </xf>
    <xf numFmtId="165" fontId="19" fillId="0" borderId="11" pivotButton="0" quotePrefix="0" xfId="0"/>
    <xf numFmtId="170" fontId="19" fillId="0" borderId="11" pivotButton="0" quotePrefix="0" xfId="0"/>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165" fontId="9" fillId="0" borderId="0"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170" fontId="7" fillId="3" borderId="1" pivotButton="0" quotePrefix="0" xfId="0"/>
    <xf numFmtId="193" fontId="32" fillId="0" borderId="0" pivotButton="0" quotePrefix="0" xfId="3"/>
    <xf numFmtId="168" fontId="47" fillId="0" borderId="1" pivotButton="0" quotePrefix="0" xfId="0"/>
    <xf numFmtId="170"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164" fontId="68" fillId="5" borderId="9" applyAlignment="1" pivotButton="0" quotePrefix="0" xfId="0">
      <alignment horizontal="center" vertical="center" wrapText="1"/>
    </xf>
    <xf numFmtId="19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193" fontId="32" fillId="0" borderId="0" applyAlignment="1" pivotButton="0" quotePrefix="0" xfId="3">
      <alignment horizontal="left"/>
    </xf>
    <xf numFmtId="193" fontId="32" fillId="6" borderId="0" pivotButton="0" quotePrefix="0" xfId="3"/>
    <xf numFmtId="193" fontId="32" fillId="5" borderId="0" pivotButton="0" quotePrefix="0" xfId="3"/>
    <xf numFmtId="167" fontId="32" fillId="0" borderId="0" applyAlignment="1" pivotButton="0" quotePrefix="0" xfId="3">
      <alignment horizontal="center"/>
    </xf>
    <xf numFmtId="169" fontId="32" fillId="5" borderId="11" applyAlignment="1" pivotButton="0" quotePrefix="0" xfId="3">
      <alignment horizontal="right"/>
    </xf>
    <xf numFmtId="193" fontId="48" fillId="0" borderId="0" applyAlignment="1" pivotButton="0" quotePrefix="0" xfId="3">
      <alignment horizontal="right"/>
    </xf>
    <xf numFmtId="167" fontId="32" fillId="5" borderId="0" applyAlignment="1" pivotButton="0" quotePrefix="0" xfId="3">
      <alignment horizontal="center"/>
    </xf>
    <xf numFmtId="169" fontId="32" fillId="0" borderId="0" applyAlignment="1" pivotButton="0" quotePrefix="0" xfId="3">
      <alignment horizontal="right"/>
    </xf>
    <xf numFmtId="169" fontId="32" fillId="0" borderId="1" applyAlignment="1" pivotButton="0" quotePrefix="0" xfId="3">
      <alignment horizontal="right"/>
    </xf>
    <xf numFmtId="167" fontId="32" fillId="3" borderId="9" applyAlignment="1" pivotButton="0" quotePrefix="0" xfId="0">
      <alignment horizontal="center"/>
    </xf>
    <xf numFmtId="169" fontId="32" fillId="3" borderId="9" applyAlignment="1" pivotButton="0" quotePrefix="0" xfId="3">
      <alignment horizontal="right"/>
    </xf>
    <xf numFmtId="164" fontId="32" fillId="0" borderId="0" pivotButton="0" quotePrefix="0" xfId="0"/>
    <xf numFmtId="167" fontId="32" fillId="0" borderId="0" applyAlignment="1" pivotButton="0" quotePrefix="0" xfId="0">
      <alignment horizontal="center"/>
    </xf>
    <xf numFmtId="169" fontId="32" fillId="0" borderId="9" applyAlignment="1" pivotButton="0" quotePrefix="0" xfId="3">
      <alignment horizontal="right"/>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64" fontId="48" fillId="0" borderId="0" applyAlignment="1" pivotButton="0" quotePrefix="0" xfId="0">
      <alignment horizontal="right" vertical="center" wrapText="1"/>
    </xf>
    <xf numFmtId="164" fontId="68" fillId="0" borderId="9" applyAlignment="1" pivotButton="0" quotePrefix="0" xfId="3">
      <alignment horizontal="right" vertical="center" wrapText="1"/>
    </xf>
    <xf numFmtId="164" fontId="68" fillId="0" borderId="43" applyAlignment="1" pivotButton="0" quotePrefix="0" xfId="3">
      <alignment horizontal="right" vertical="center" wrapText="1"/>
    </xf>
    <xf numFmtId="164" fontId="68" fillId="0" borderId="49" applyAlignment="1" pivotButton="0" quotePrefix="0" xfId="3">
      <alignment horizontal="right" vertical="center" wrapText="1"/>
    </xf>
    <xf numFmtId="193" fontId="67" fillId="11" borderId="43" applyAlignment="1" pivotButton="0" quotePrefix="0" xfId="0">
      <alignment horizontal="right" vertical="center" wrapText="1"/>
    </xf>
    <xf numFmtId="164" fontId="67" fillId="3" borderId="43" applyAlignment="1" pivotButton="0" quotePrefix="0" xfId="3">
      <alignment horizontal="righ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193" fontId="44" fillId="11" borderId="0" applyAlignment="1" pivotButton="0" quotePrefix="0" xfId="0">
      <alignment horizontal="center" vertical="center" wrapText="1"/>
    </xf>
    <xf numFmtId="165" fontId="50" fillId="3" borderId="1" applyAlignment="1" pivotButton="0" quotePrefix="0" xfId="0">
      <alignment horizontal="center" vertical="center"/>
    </xf>
    <xf numFmtId="170" fontId="50" fillId="3" borderId="9" applyAlignment="1" pivotButton="0" quotePrefix="0" xfId="0">
      <alignment horizontal="center" vertical="center"/>
    </xf>
    <xf numFmtId="178" fontId="5" fillId="0" borderId="9" applyAlignment="1" applyProtection="1" pivotButton="0" quotePrefix="0" xfId="0">
      <alignment horizontal="left"/>
      <protection locked="0" hidden="0"/>
    </xf>
    <xf numFmtId="175" fontId="47" fillId="0" borderId="0" applyAlignment="1" pivotButton="0" quotePrefix="0" xfId="0">
      <alignment horizontal="left"/>
    </xf>
    <xf numFmtId="170" fontId="47" fillId="0" borderId="11" applyAlignment="1" pivotButton="0" quotePrefix="0" xfId="0">
      <alignment horizontal="center"/>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0" fontId="47" fillId="0" borderId="0" applyAlignment="1" pivotButton="0" quotePrefix="0" xfId="0">
      <alignment horizontal="center"/>
    </xf>
    <xf numFmtId="177" fontId="47" fillId="0" borderId="0" applyAlignment="1" pivotButton="0" quotePrefix="0" xfId="0">
      <alignment horizontal="left"/>
    </xf>
    <xf numFmtId="170" fontId="47" fillId="0" borderId="1" applyAlignment="1" pivotButton="0" quotePrefix="0" xfId="0">
      <alignment horizontal="center"/>
    </xf>
    <xf numFmtId="170" fontId="50" fillId="0" borderId="9" applyAlignment="1" pivotButton="0" quotePrefix="0" xfId="0">
      <alignment horizontal="center"/>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170" fontId="50" fillId="3" borderId="9" applyAlignment="1" pivotButton="0" quotePrefix="0" xfId="0">
      <alignment horizontal="center"/>
    </xf>
    <xf numFmtId="189" fontId="83" fillId="41" borderId="10" applyAlignment="1" pivotButton="0" quotePrefix="0" xfId="0">
      <alignment horizontal="right" vertical="center"/>
    </xf>
    <xf numFmtId="189" fontId="83" fillId="0" borderId="10" applyAlignment="1" pivotButton="0" quotePrefix="0" xfId="0">
      <alignment horizontal="right" vertical="center"/>
    </xf>
    <xf numFmtId="189" fontId="83" fillId="40" borderId="10" applyAlignment="1" pivotButton="0" quotePrefix="0" xfId="0">
      <alignment horizontal="right" vertical="center"/>
    </xf>
    <xf numFmtId="189" fontId="83" fillId="42" borderId="10" applyAlignment="1" pivotButton="0" quotePrefix="0" xfId="0">
      <alignment horizontal="right" vertical="center"/>
    </xf>
    <xf numFmtId="189" fontId="83" fillId="43" borderId="10" applyAlignment="1" pivotButton="0" quotePrefix="0" xfId="0">
      <alignment horizontal="right" vertical="center"/>
    </xf>
    <xf numFmtId="0" fontId="85" fillId="37" borderId="83" applyAlignment="1" pivotButton="0" quotePrefix="0" xfId="0">
      <alignment horizontal="center" vertical="center" wrapText="1"/>
    </xf>
    <xf numFmtId="0" fontId="86" fillId="38" borderId="83" applyAlignment="1" pivotButton="0" quotePrefix="0" xfId="0">
      <alignment horizontal="center" vertical="center"/>
    </xf>
    <xf numFmtId="0" fontId="87" fillId="0" borderId="83" applyAlignment="1" pivotButton="0" quotePrefix="0" xfId="0">
      <alignment vertical="top" wrapText="1"/>
    </xf>
    <xf numFmtId="0" fontId="83" fillId="0" borderId="83" applyAlignment="1" pivotButton="0" quotePrefix="0" xfId="0">
      <alignment horizontal="center" vertical="center"/>
    </xf>
    <xf numFmtId="0" fontId="83" fillId="0" borderId="83" applyAlignment="1" pivotButton="0" quotePrefix="0" xfId="0">
      <alignment horizontal="left" vertical="center"/>
    </xf>
    <xf numFmtId="3" fontId="87" fillId="0" borderId="83" applyAlignment="1" pivotButton="0" quotePrefix="0" xfId="0">
      <alignment vertical="top" wrapText="1"/>
    </xf>
    <xf numFmtId="0" fontId="83" fillId="39" borderId="83" pivotButton="0" quotePrefix="0" xfId="0"/>
    <xf numFmtId="0" fontId="83" fillId="0" borderId="83" pivotButton="0" quotePrefix="0" xfId="0"/>
    <xf numFmtId="0" fontId="86" fillId="38" borderId="83" applyAlignment="1" pivotButton="0" quotePrefix="0" xfId="0">
      <alignment horizontal="center"/>
    </xf>
    <xf numFmtId="0" fontId="87" fillId="0" borderId="83" applyAlignment="1" pivotButton="0" quotePrefix="0" xfId="0">
      <alignment vertical="center"/>
    </xf>
    <xf numFmtId="0" fontId="83" fillId="0" borderId="83" applyAlignment="1" pivotButton="0" quotePrefix="0" xfId="0">
      <alignment horizontal="left"/>
    </xf>
    <xf numFmtId="3" fontId="87" fillId="0" borderId="83" applyAlignment="1" pivotButton="0" quotePrefix="0" xfId="0">
      <alignment vertical="center"/>
    </xf>
    <xf numFmtId="4" fontId="87" fillId="0" borderId="83" applyAlignment="1" pivotButton="0" quotePrefix="0" xfId="0">
      <alignment vertical="center"/>
    </xf>
    <xf numFmtId="4" fontId="89" fillId="35" borderId="83" applyAlignment="1" pivotButton="0" quotePrefix="0" xfId="0">
      <alignment vertical="center"/>
    </xf>
    <xf numFmtId="4" fontId="89" fillId="40" borderId="83" applyAlignment="1" pivotButton="0" quotePrefix="0" xfId="0">
      <alignment vertical="center"/>
    </xf>
    <xf numFmtId="4" fontId="89" fillId="40" borderId="83" applyAlignment="1" pivotButton="0" quotePrefix="0" xfId="0">
      <alignment vertical="center" wrapText="1"/>
    </xf>
    <xf numFmtId="4" fontId="89" fillId="0" borderId="83" applyAlignment="1" pivotButton="0" quotePrefix="0" xfId="0">
      <alignment vertical="center"/>
    </xf>
    <xf numFmtId="0" fontId="87" fillId="0" borderId="83" applyAlignment="1" pivotButton="0" quotePrefix="0" xfId="0">
      <alignment vertical="center" wrapText="1"/>
    </xf>
    <xf numFmtId="0" fontId="89" fillId="35" borderId="83" applyAlignment="1" pivotButton="0" quotePrefix="0" xfId="0">
      <alignment vertical="center"/>
    </xf>
    <xf numFmtId="0" fontId="89" fillId="40" borderId="83" applyAlignment="1" pivotButton="0" quotePrefix="0" xfId="0">
      <alignment vertical="center"/>
    </xf>
    <xf numFmtId="0" fontId="89" fillId="0" borderId="83" applyAlignment="1" pivotButton="0" quotePrefix="0" xfId="0">
      <alignment vertical="center"/>
    </xf>
    <xf numFmtId="3" fontId="83" fillId="0" borderId="83" applyAlignment="1" pivotButton="0" quotePrefix="0" xfId="0">
      <alignment horizontal="right"/>
    </xf>
    <xf numFmtId="0" fontId="91" fillId="38" borderId="83" applyAlignment="1" pivotButton="0" quotePrefix="0" xfId="0">
      <alignment horizontal="center" vertical="center" wrapText="1"/>
    </xf>
    <xf numFmtId="0" fontId="83" fillId="41" borderId="83" applyAlignment="1" pivotButton="0" quotePrefix="0" xfId="0">
      <alignment horizontal="left" vertical="center"/>
    </xf>
    <xf numFmtId="3" fontId="83" fillId="41" borderId="83" applyAlignment="1" pivotButton="0" quotePrefix="0" xfId="0">
      <alignment horizontal="right" vertical="center"/>
    </xf>
    <xf numFmtId="189" fontId="83" fillId="41" borderId="83" applyAlignment="1" pivotButton="0" quotePrefix="0" xfId="0">
      <alignment horizontal="right" vertical="center"/>
    </xf>
    <xf numFmtId="0" fontId="83" fillId="41" borderId="83" applyAlignment="1" pivotButton="0" quotePrefix="0" xfId="0">
      <alignment horizontal="left" vertical="center" wrapText="1"/>
    </xf>
    <xf numFmtId="3" fontId="83" fillId="0" borderId="83" applyAlignment="1" pivotButton="0" quotePrefix="0" xfId="0">
      <alignment horizontal="right" vertical="center"/>
    </xf>
    <xf numFmtId="189" fontId="83" fillId="0" borderId="83" applyAlignment="1" pivotButton="0" quotePrefix="0" xfId="0">
      <alignment horizontal="right" vertical="center"/>
    </xf>
    <xf numFmtId="0" fontId="83" fillId="0" borderId="83" applyAlignment="1" pivotButton="0" quotePrefix="0" xfId="0">
      <alignment horizontal="left" vertical="center" wrapText="1"/>
    </xf>
    <xf numFmtId="0" fontId="83" fillId="40" borderId="83" applyAlignment="1" pivotButton="0" quotePrefix="0" xfId="0">
      <alignment horizontal="left" vertical="center"/>
    </xf>
    <xf numFmtId="3" fontId="83" fillId="40" borderId="83" applyAlignment="1" pivotButton="0" quotePrefix="0" xfId="0">
      <alignment horizontal="right" vertical="center"/>
    </xf>
    <xf numFmtId="38" fontId="83" fillId="40" borderId="83" applyAlignment="1" pivotButton="0" quotePrefix="0" xfId="0">
      <alignment horizontal="right" vertical="center"/>
    </xf>
    <xf numFmtId="0" fontId="83" fillId="40" borderId="83" applyAlignment="1" pivotButton="0" quotePrefix="0" xfId="0">
      <alignment horizontal="left" vertical="center" wrapText="1"/>
    </xf>
    <xf numFmtId="189" fontId="83" fillId="40" borderId="83" applyAlignment="1" pivotButton="0" quotePrefix="0" xfId="0">
      <alignment horizontal="right" vertical="center"/>
    </xf>
    <xf numFmtId="38" fontId="83" fillId="41" borderId="83" applyAlignment="1" pivotButton="0" quotePrefix="0" xfId="0">
      <alignment horizontal="right" vertical="center"/>
    </xf>
    <xf numFmtId="38" fontId="83" fillId="0" borderId="83" applyAlignment="1" pivotButton="0" quotePrefix="0" xfId="0">
      <alignment horizontal="right" vertical="center"/>
    </xf>
    <xf numFmtId="0" fontId="83" fillId="42" borderId="83" applyAlignment="1" pivotButton="0" quotePrefix="0" xfId="0">
      <alignment horizontal="left" vertical="center"/>
    </xf>
    <xf numFmtId="3" fontId="83" fillId="42" borderId="83" applyAlignment="1" pivotButton="0" quotePrefix="0" xfId="0">
      <alignment horizontal="right" vertical="center"/>
    </xf>
    <xf numFmtId="189" fontId="83" fillId="42" borderId="83" applyAlignment="1" pivotButton="0" quotePrefix="0" xfId="0">
      <alignment horizontal="right" vertical="center"/>
    </xf>
    <xf numFmtId="0" fontId="83" fillId="42" borderId="83" applyAlignment="1" pivotButton="0" quotePrefix="0" xfId="0">
      <alignment horizontal="left" vertical="center" wrapText="1"/>
    </xf>
    <xf numFmtId="0" fontId="83" fillId="43" borderId="83" applyAlignment="1" pivotButton="0" quotePrefix="0" xfId="0">
      <alignment horizontal="left" vertical="center"/>
    </xf>
    <xf numFmtId="3" fontId="83" fillId="43" borderId="83" applyAlignment="1" pivotButton="0" quotePrefix="0" xfId="0">
      <alignment horizontal="right" vertical="center"/>
    </xf>
    <xf numFmtId="38" fontId="83" fillId="43" borderId="83" applyAlignment="1" pivotButton="0" quotePrefix="0" xfId="0">
      <alignment horizontal="right" vertical="center"/>
    </xf>
    <xf numFmtId="0" fontId="83" fillId="43" borderId="83" applyAlignment="1" pivotButton="0" quotePrefix="0" xfId="0">
      <alignment horizontal="left" vertical="center" wrapText="1"/>
    </xf>
    <xf numFmtId="189" fontId="83" fillId="43" borderId="83" applyAlignment="1" pivotButton="0" quotePrefix="0" xfId="0">
      <alignment horizontal="right" vertical="center"/>
    </xf>
    <xf numFmtId="0" fontId="93" fillId="0" borderId="0" pivotButton="0" quotePrefix="0" xfId="0"/>
    <xf numFmtId="0" fontId="94" fillId="47" borderId="0" applyAlignment="1" pivotButton="0" quotePrefix="0" xfId="0">
      <alignment vertical="center" wrapText="1"/>
    </xf>
    <xf numFmtId="0" fontId="94" fillId="48" borderId="0" pivotButton="0" quotePrefix="0" xfId="0"/>
    <xf numFmtId="0" fontId="95" fillId="49" borderId="0" pivotButton="0" quotePrefix="0" xfId="0"/>
    <xf numFmtId="169" fontId="96" fillId="49" borderId="0" pivotButton="0" quotePrefix="0" xfId="0"/>
    <xf numFmtId="0" fontId="94" fillId="50" borderId="0" pivotButton="0" quotePrefix="0" xfId="0"/>
    <xf numFmtId="0" fontId="97" fillId="51" borderId="0" pivotButton="0" quotePrefix="0" xfId="0"/>
    <xf numFmtId="0" fontId="98" fillId="52" borderId="0" pivotButton="0" quotePrefix="0" xfId="0"/>
    <xf numFmtId="0" fontId="0" fillId="0" borderId="0" applyAlignment="1" pivotButton="0" quotePrefix="0" xfId="0">
      <alignment vertical="top" wrapText="1"/>
    </xf>
    <xf numFmtId="2" fontId="0" fillId="0" borderId="0" pivotButton="0" quotePrefix="0" xfId="0"/>
    <xf numFmtId="0" fontId="99" fillId="0" borderId="0" pivotButton="0" quotePrefix="0" xfId="0"/>
    <xf numFmtId="0" fontId="100" fillId="0" borderId="0" pivotButton="0" quotePrefix="0" xfId="0"/>
    <xf numFmtId="0" fontId="101" fillId="0" borderId="84" applyAlignment="1" pivotButton="0" quotePrefix="0" xfId="0">
      <alignment vertical="top"/>
    </xf>
    <xf numFmtId="0" fontId="93" fillId="0" borderId="84" pivotButton="0" quotePrefix="0" xfId="0"/>
    <xf numFmtId="0" fontId="101" fillId="0" borderId="84" pivotButton="0" quotePrefix="0" xfId="0"/>
    <xf numFmtId="0" fontId="101" fillId="0" borderId="84" applyAlignment="1" pivotButton="0" quotePrefix="0" xfId="0">
      <alignment horizontal="left" vertical="center"/>
    </xf>
    <xf numFmtId="0" fontId="102" fillId="47" borderId="84" applyAlignment="1" pivotButton="0" quotePrefix="0" xfId="0">
      <alignment vertical="center" wrapText="1"/>
    </xf>
    <xf numFmtId="0" fontId="102" fillId="47" borderId="0" pivotButton="0" quotePrefix="0" xfId="0"/>
    <xf numFmtId="0" fontId="101" fillId="0" borderId="84" applyAlignment="1" pivotButton="0" quotePrefix="0" xfId="0">
      <alignment vertical="center"/>
    </xf>
    <xf numFmtId="0" fontId="102" fillId="53" borderId="84" applyAlignment="1" pivotButton="0" quotePrefix="1" xfId="0">
      <alignment horizontal="center" vertical="center"/>
    </xf>
    <xf numFmtId="0" fontId="102" fillId="53" borderId="84" pivotButton="0" quotePrefix="0" xfId="0"/>
    <xf numFmtId="0" fontId="101" fillId="44" borderId="85" applyAlignment="1" pivotButton="0" quotePrefix="0" xfId="0">
      <alignment horizontal="center"/>
    </xf>
    <xf numFmtId="0" fontId="101" fillId="0" borderId="84" applyAlignment="1" pivotButton="0" quotePrefix="0" xfId="0">
      <alignment horizontal="center"/>
    </xf>
    <xf numFmtId="0" fontId="100" fillId="0" borderId="84" pivotButton="0" quotePrefix="0" xfId="0"/>
    <xf numFmtId="0" fontId="101" fillId="0" borderId="84" applyAlignment="1" pivotButton="0" quotePrefix="0" xfId="0">
      <alignment horizontal="left" vertical="center" indent="1"/>
    </xf>
    <xf numFmtId="0" fontId="101" fillId="54" borderId="84" applyAlignment="1" pivotButton="0" quotePrefix="0" xfId="0">
      <alignment vertical="center"/>
    </xf>
    <xf numFmtId="0" fontId="101" fillId="0" borderId="84" applyAlignment="1" pivotButton="0" quotePrefix="0" xfId="0">
      <alignment horizontal="left" vertical="center" indent="2"/>
    </xf>
    <xf numFmtId="0" fontId="101" fillId="44" borderId="85" applyAlignment="1" pivotButton="0" quotePrefix="0" xfId="0">
      <alignment horizontal="right"/>
    </xf>
    <xf numFmtId="0" fontId="101" fillId="44" borderId="85" pivotButton="0" quotePrefix="0" xfId="0"/>
    <xf numFmtId="0" fontId="102" fillId="53" borderId="84" applyAlignment="1" pivotButton="0" quotePrefix="0" xfId="0">
      <alignment horizontal="left" vertical="center" indent="2"/>
    </xf>
    <xf numFmtId="0" fontId="102" fillId="53" borderId="84" applyAlignment="1" pivotButton="0" quotePrefix="0" xfId="0">
      <alignment vertical="center"/>
    </xf>
    <xf numFmtId="0" fontId="101" fillId="44" borderId="85" applyAlignment="1" pivotButton="0" quotePrefix="0" xfId="0">
      <alignment horizontal="center" vertical="center"/>
    </xf>
    <xf numFmtId="0" fontId="101" fillId="44" borderId="85" applyAlignment="1" pivotButton="0" quotePrefix="0" xfId="0">
      <alignment vertical="center"/>
    </xf>
    <xf numFmtId="0" fontId="101" fillId="0" borderId="84" applyAlignment="1" pivotButton="0" quotePrefix="0" xfId="2">
      <alignment vertical="center"/>
    </xf>
    <xf numFmtId="0" fontId="102" fillId="53" borderId="84" applyAlignment="1" pivotButton="0" quotePrefix="0" xfId="2">
      <alignment vertical="center"/>
    </xf>
    <xf numFmtId="0" fontId="101" fillId="0" borderId="84" applyAlignment="1" pivotButton="0" quotePrefix="0" xfId="3">
      <alignment vertical="center"/>
    </xf>
    <xf numFmtId="0" fontId="101" fillId="0" borderId="84" applyAlignment="1" pivotButton="0" quotePrefix="0" xfId="0">
      <alignment horizontal="center" vertical="center"/>
    </xf>
    <xf numFmtId="0" fontId="101" fillId="0" borderId="84" applyAlignment="1" pivotButton="0" quotePrefix="0" xfId="0">
      <alignment horizontal="left" vertical="center" indent="3"/>
    </xf>
    <xf numFmtId="0" fontId="101" fillId="0" borderId="84" applyAlignment="1" pivotButton="0" quotePrefix="0" xfId="4">
      <alignment vertical="center"/>
    </xf>
    <xf numFmtId="0" fontId="101" fillId="0" borderId="84" applyAlignment="1" applyProtection="1" pivotButton="0" quotePrefix="0" xfId="0">
      <alignment horizontal="left"/>
      <protection locked="0" hidden="0"/>
    </xf>
    <xf numFmtId="0" fontId="101" fillId="0" borderId="84" applyAlignment="1" applyProtection="1" pivotButton="0" quotePrefix="0" xfId="0">
      <alignment horizontal="center"/>
      <protection locked="0" hidden="0"/>
    </xf>
    <xf numFmtId="0" fontId="101" fillId="0" borderId="84" applyAlignment="1" pivotButton="0" quotePrefix="0" xfId="0">
      <alignment horizontal="left"/>
    </xf>
    <xf numFmtId="0" fontId="101" fillId="0" borderId="84" applyAlignment="1" pivotButton="0" quotePrefix="1" xfId="0">
      <alignment horizontal="center" vertical="center"/>
    </xf>
    <xf numFmtId="0" fontId="101" fillId="0" borderId="84" applyAlignment="1" pivotButton="0" quotePrefix="0" xfId="0">
      <alignment horizontal="right"/>
    </xf>
    <xf numFmtId="0" fontId="101" fillId="0" borderId="84" applyAlignment="1" pivotButton="0" quotePrefix="1" xfId="0">
      <alignment vertical="center"/>
    </xf>
    <xf numFmtId="0" fontId="101" fillId="0" borderId="84" applyAlignment="1" pivotButton="0" quotePrefix="0" xfId="0">
      <alignment horizontal="right" vertical="center"/>
    </xf>
    <xf numFmtId="0" fontId="101" fillId="0" borderId="84" applyAlignment="1" pivotButton="0" quotePrefix="0" xfId="3">
      <alignment horizontal="right" vertical="center"/>
    </xf>
    <xf numFmtId="0" fontId="101" fillId="0" borderId="84" applyAlignment="1" pivotButton="0" quotePrefix="0" xfId="0">
      <alignment horizontal="left" vertical="center" wrapText="1"/>
    </xf>
    <xf numFmtId="0" fontId="101" fillId="0" borderId="84" pivotButton="0" quotePrefix="0" xfId="2"/>
    <xf numFmtId="0" fontId="102" fillId="47" borderId="86" applyAlignment="1" pivotButton="0" quotePrefix="0" xfId="0">
      <alignment vertical="center" wrapText="1"/>
    </xf>
    <xf numFmtId="0" fontId="94" fillId="55" borderId="84" applyAlignment="1" pivotButton="0" quotePrefix="0" xfId="0">
      <alignment horizontal="left" vertical="center" indent="1"/>
    </xf>
    <xf numFmtId="0" fontId="94" fillId="55" borderId="84" applyAlignment="1" pivotButton="0" quotePrefix="0" xfId="0">
      <alignment vertical="center"/>
    </xf>
    <xf numFmtId="0" fontId="98" fillId="56" borderId="84" applyAlignment="1" pivotButton="0" quotePrefix="0" xfId="0">
      <alignment horizontal="left" vertical="center" indent="2"/>
    </xf>
    <xf numFmtId="0" fontId="98" fillId="56" borderId="84" pivotButton="0" quotePrefix="0" xfId="0"/>
    <xf numFmtId="0" fontId="98" fillId="56" borderId="84" applyAlignment="1" pivotButton="0" quotePrefix="0" xfId="0">
      <alignment vertical="center"/>
    </xf>
    <xf numFmtId="0" fontId="92" fillId="0" borderId="84" applyAlignment="1" pivotButton="0" quotePrefix="0" xfId="0">
      <alignment horizontal="left" vertical="center" indent="2"/>
    </xf>
    <xf numFmtId="0" fontId="101" fillId="54" borderId="84" pivotButton="0" quotePrefix="0" xfId="0"/>
    <xf numFmtId="0" fontId="92" fillId="0" borderId="84" applyAlignment="1" pivotButton="0" quotePrefix="0" xfId="0">
      <alignment horizontal="left" vertical="center" indent="1"/>
    </xf>
    <xf numFmtId="0" fontId="92" fillId="0" borderId="84" applyAlignment="1" pivotButton="0" quotePrefix="0" xfId="0">
      <alignment vertical="center"/>
    </xf>
    <xf numFmtId="0" fontId="94" fillId="57" borderId="84" applyAlignment="1" pivotButton="0" quotePrefix="0" xfId="0">
      <alignment horizontal="left" vertical="center" indent="2"/>
    </xf>
    <xf numFmtId="0" fontId="94" fillId="57" borderId="84" applyAlignment="1" pivotButton="0" quotePrefix="0" xfId="0">
      <alignment vertical="center"/>
    </xf>
    <xf numFmtId="0" fontId="94" fillId="57" borderId="84" applyAlignment="1" pivotButton="0" quotePrefix="0" xfId="0">
      <alignment horizontal="center" vertical="center"/>
    </xf>
    <xf numFmtId="0" fontId="94" fillId="57" borderId="84" pivotButton="0" quotePrefix="0" xfId="0"/>
    <xf numFmtId="0" fontId="100" fillId="0" borderId="84" applyAlignment="1" pivotButton="0" quotePrefix="0" xfId="3">
      <alignment vertical="center"/>
    </xf>
    <xf numFmtId="0" fontId="101" fillId="44" borderId="85" applyAlignment="1" pivotButton="0" quotePrefix="0" xfId="4">
      <alignment vertical="center"/>
    </xf>
    <xf numFmtId="0" fontId="103" fillId="0" borderId="84" applyAlignment="1" pivotButton="0" quotePrefix="0" xfId="0">
      <alignment vertical="center"/>
    </xf>
    <xf numFmtId="0" fontId="94" fillId="57" borderId="84" applyAlignment="1" pivotButton="0" quotePrefix="0" xfId="0">
      <alignment horizontal="left" vertical="center" indent="1"/>
    </xf>
    <xf numFmtId="0" fontId="94" fillId="57" borderId="84" applyAlignment="1" pivotButton="0" quotePrefix="0" xfId="3">
      <alignment vertical="center"/>
    </xf>
    <xf numFmtId="0" fontId="92" fillId="0" borderId="84" pivotButton="0" quotePrefix="0" xfId="0"/>
    <xf numFmtId="0" fontId="104" fillId="0" borderId="84" pivotButton="0" quotePrefix="0" xfId="0"/>
    <xf numFmtId="0" fontId="104" fillId="0" borderId="84" applyAlignment="1" pivotButton="0" quotePrefix="0" xfId="0">
      <alignment horizontal="left" vertical="center" indent="2"/>
    </xf>
    <xf numFmtId="0" fontId="104" fillId="0" borderId="84" applyAlignment="1" pivotButton="0" quotePrefix="0" xfId="0">
      <alignment vertical="center"/>
    </xf>
    <xf numFmtId="0" fontId="92" fillId="0" borderId="0" pivotButton="0" quotePrefix="0" xfId="0"/>
    <xf numFmtId="0" fontId="105" fillId="58" borderId="0" pivotButton="0" quotePrefix="0" xfId="0"/>
    <xf numFmtId="0" fontId="92" fillId="51" borderId="0" pivotButton="0" quotePrefix="0" xfId="0"/>
  </cellXfs>
  <cellStyles count="15">
    <cellStyle name="Normal" xfId="0" builtinId="0"/>
    <cellStyle name="Normal 22 2" xfId="1"/>
    <cellStyle name="Comma" xfId="2" builtinId="3"/>
    <cellStyle name="Currency" xfId="3" builtinId="4"/>
    <cellStyle name="Percent" xfId="4" builtinId="5"/>
    <cellStyle name="Subtitle" xfId="5"/>
    <cellStyle name="TableTitle" xfId="6"/>
    <cellStyle name="TableHeading" xfId="7"/>
    <cellStyle name="Normal 3" xfId="8"/>
    <cellStyle name="Normal 2" xfId="9"/>
    <cellStyle name="tblHeader" xfId="10"/>
    <cellStyle name="tblText" xfId="11"/>
    <cellStyle name="Percent 2 2" xfId="12"/>
    <cellStyle name="Normal 4" xfId="13"/>
    <cellStyle name="Instructions" xfId="14"/>
  </cellStyles>
  <dxfs count="11">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color rgb="00FFFFFF"/>
      </font>
      <fill>
        <patternFill patternType="solid">
          <fgColor rgb="00FFFFFF"/>
        </patternFill>
      </fill>
      <border>
        <left style="thin">
          <color rgb="00FFFFFF"/>
        </left>
        <right style="thin">
          <color rgb="00FFFFFF"/>
        </right>
        <top style="thin">
          <color rgb="00FFFFFF"/>
        </top>
        <bottom style="thin">
          <color rgb="00FFFFFF"/>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externalLink" Target="/xl/externalLinks/externalLink1.xml" Id="rId29" /><Relationship Type="http://schemas.openxmlformats.org/officeDocument/2006/relationships/externalLink" Target="/xl/externalLinks/externalLink2.xml" Id="rId30" /><Relationship Type="http://schemas.openxmlformats.org/officeDocument/2006/relationships/externalLink" Target="/xl/externalLinks/externalLink3.xml" Id="rId31" /><Relationship Type="http://schemas.openxmlformats.org/officeDocument/2006/relationships/externalLink" Target="/xl/externalLinks/externalLink4.xml" Id="rId32" /><Relationship Type="http://schemas.openxmlformats.org/officeDocument/2006/relationships/externalLink" Target="/xl/externalLinks/externalLink5.xml" Id="rId33" /><Relationship Type="http://schemas.openxmlformats.org/officeDocument/2006/relationships/externalLink" Target="/xl/externalLinks/externalLink6.xml" Id="rId34" /><Relationship Type="http://schemas.openxmlformats.org/officeDocument/2006/relationships/externalLink" Target="/xl/externalLinks/externalLink7.xml" Id="rId35" /><Relationship Type="http://schemas.openxmlformats.org/officeDocument/2006/relationships/externalLink" Target="/xl/externalLinks/externalLink8.xml" Id="rId36" /><Relationship Type="http://schemas.openxmlformats.org/officeDocument/2006/relationships/externalLink" Target="/xl/externalLinks/externalLink9.xml" Id="rId37" /><Relationship Type="http://schemas.openxmlformats.org/officeDocument/2006/relationships/externalLink" Target="/xl/externalLinks/externalLink10.xml" Id="rId38" /><Relationship Type="http://schemas.openxmlformats.org/officeDocument/2006/relationships/externalLink" Target="/xl/externalLinks/externalLink11.xml" Id="rId39" /><Relationship Type="http://schemas.openxmlformats.org/officeDocument/2006/relationships/externalLink" Target="/xl/externalLinks/externalLink12.xml" Id="rId40" /><Relationship Type="http://schemas.openxmlformats.org/officeDocument/2006/relationships/externalLink" Target="/xl/externalLinks/externalLink13.xml" Id="rId41" /><Relationship Type="http://schemas.openxmlformats.org/officeDocument/2006/relationships/externalLink" Target="/xl/externalLinks/externalLink14.xml" Id="rId42" /><Relationship Type="http://schemas.openxmlformats.org/officeDocument/2006/relationships/styles" Target="styles.xml" Id="rId43" /><Relationship Type="http://schemas.openxmlformats.org/officeDocument/2006/relationships/theme" Target="theme/theme1.xml" Id="rId44" /></Relationships>
</file>

<file path=xl/comments/comment1.xml><?xml version="1.0" encoding="utf-8"?>
<comments xmlns="http://schemas.openxmlformats.org/spreadsheetml/2006/main">
  <authors>
    <author>Claude</author>
  </authors>
  <commentList>
    <comment ref="A107" authorId="0" shapeId="0">
      <text>
        <t>Value: P104
Source: Owner Income Statement, Green Industrial Development Group, 26100 E 68th Ave, R0226379</t>
      </text>
    </comment>
    <comment ref="C107" authorId="0" shapeId="0">
      <text>
        <t>Value: R0226379
Source: Owner Income Statement, Green Industrial Development Group, 26100 E 68th Ave, R0226379</t>
      </text>
    </comment>
    <comment ref="D107" authorId="0" shapeId="0">
      <text>
        <t>Value: 26100 E 68th Ave
Source: Owner Income Statement, Green Industrial Development Group, 26100 E 68th Ave, R0226379</t>
      </text>
    </comment>
    <comment ref="E107" authorId="0" shapeId="0">
      <text>
        <t>Value: Aurora
Source: Owner Income Statement, Green Industrial Development Group, 26100 E 68th Ave, R0226379</t>
      </text>
    </comment>
    <comment ref="F107" authorId="0" shapeId="0">
      <text>
        <t>Value: CO
Source: Owner Income Statement, Green Industrial Development Group, 26100 E 68th Ave, R0226379</t>
      </text>
    </comment>
    <comment ref="G107" authorId="0" shapeId="0">
      <text>
        <t>Value: Industrial
Source: Owner Income Statement, Green Industrial Development Group, 26100 E 68th Ave, R0226379</t>
      </text>
    </comment>
    <comment ref="H107" authorId="0" shapeId="0">
      <text>
        <t>Value: Industrial Multi-Tenant
Source: Owner Income Statement, Green Industrial Development Group, 26100 E 68th Ave, R0226379</t>
      </text>
    </comment>
    <comment ref="I107" authorId="0" shapeId="0">
      <text>
        <t>Value: None
Source: Owner Income Statement, Green Industrial Development Group, 26100 E 68th Ave, R0226379</t>
      </text>
    </comment>
    <comment ref="J107" authorId="0" shapeId="0">
      <text>
        <t>Value: 187720
Source: User-provided, 2026-06-03</t>
      </text>
    </comment>
    <comment ref="K107" authorId="0" shapeId="0">
      <text>
        <t>Value: None
Source: Owner Income Statement, Green Industrial Development Group, 26100 E 68th Ave, R0226379</t>
      </text>
    </comment>
    <comment ref="L107" authorId="0" shapeId="0">
      <text>
        <t>Value: R0226379
Source: Owner Income Statement, Green Industrial Development Group, 26100 E 68th Ave, R0226379</t>
      </text>
    </comment>
    <comment ref="M107" authorId="0" shapeId="0">
      <text>
        <t>Value: Green Industrial Development Group (.ptg)
Source: Owner Income Statement, Green Industrial Development Group, 26100 E 68th Ave, R0226379</t>
      </text>
    </comment>
    <comment ref="N107" authorId="0" shapeId="0">
      <text>
        <t>Value: Owner Income Statement 2023 &amp; 2024
Source: Owner Income Statement, Green Industrial Development Group, 26100 E 68th Ave, R0226379</t>
      </text>
    </comment>
    <comment ref="O107" authorId="0" shapeId="0">
      <text>
        <t>Value: 2026-06-03
Source: Owner Income Statement, Green Industrial Development Group, 26100 E 68th Ave, R0226379</t>
      </text>
    </comment>
    <comment ref="P107" authorId="0" shapeId="0">
      <text>
        <t>Value: Building 1; Filing 3 Block 1 Lot 1; CAM reimb + TBB structure; SF unknown; 2023-2024 actuals
Source: Owner Income Statement, Green Industrial Development Group, 26100 E 68th Ave, R0226379</t>
      </text>
    </comment>
  </commentList>
</comments>
</file>

<file path=xl/comments/comment2.xml><?xml version="1.0" encoding="utf-8"?>
<comments xmlns="http://schemas.openxmlformats.org/spreadsheetml/2006/main">
  <authors>
    <author>Claude</author>
  </authors>
  <commentList>
    <comment ref="A196" authorId="0" shapeId="0">
      <text>
        <t>Value: P104
Source: Owner Income Statement, Green Industrial Development Group, 26100 E 68th Ave, R0226379, 2024</t>
      </text>
    </comment>
    <comment ref="C196" authorId="0" shapeId="0">
      <text>
        <t>Value: R0226379
Source: Owner Income Statement, Green Industrial Development Group, 26100 E 68th Ave, R0226379, 2024</t>
      </text>
    </comment>
    <comment ref="D196" authorId="0" shapeId="0">
      <text>
        <t>Value: 26100 E 68th Ave
Source: Owner Income Statement, Green Industrial Development Group, 26100 E 68th Ave, R0226379, 2024</t>
      </text>
    </comment>
    <comment ref="E196" authorId="0" shapeId="0">
      <text>
        <t>Value: Aurora
Source: Owner Income Statement, Green Industrial Development Group, 26100 E 68th Ave, R0226379, 2024</t>
      </text>
    </comment>
    <comment ref="F196" authorId="0" shapeId="0">
      <text>
        <t>Value: CO
Source: Owner Income Statement, Green Industrial Development Group, 26100 E 68th Ave, R0226379, 2024</t>
      </text>
    </comment>
    <comment ref="G196" authorId="0" shapeId="0">
      <text>
        <t>Value: Industrial
Source: Owner Income Statement, Green Industrial Development Group, 26100 E 68th Ave, R0226379, 2024</t>
      </text>
    </comment>
    <comment ref="H196" authorId="0" shapeId="0">
      <text>
        <t>Value: Industrial Multi-Tenant
Source: Owner Income Statement, Green Industrial Development Group, 26100 E 68th Ave, R0226379, 2024</t>
      </text>
    </comment>
    <comment ref="J196" authorId="0" shapeId="0">
      <text>
        <t>Value: 187720
Source: User-provided, 2026-06-03</t>
      </text>
    </comment>
    <comment ref="K196" authorId="0" shapeId="0">
      <text>
        <t>Value: 2024
Source: Owner Income Statement, Green Industrial Development Group, 26100 E 68th Ave, R0226379, 2024</t>
      </text>
    </comment>
    <comment ref="L196" authorId="0" shapeId="0">
      <text>
        <t>Value: 1379735.79
Source: Owner Income Statement, Green Industrial Development Group, 26100 E 68th Ave, R0226379, 2024</t>
      </text>
    </comment>
    <comment ref="M196" authorId="0" shapeId="0">
      <text>
        <t>Value: 1145329.2999999998
Source: Owner Income Statement, Green Industrial Development Group, 26100 E 68th Ave, R0226379, 2024</t>
      </text>
    </comment>
    <comment ref="N196" authorId="0" shapeId="0">
      <text>
        <t>Value: 2525065.09
Source: Owner Income Statement, Green Industrial Development Group, 26100 E 68th Ave, R0226379, 2024</t>
      </text>
    </comment>
    <comment ref="O196" authorId="0" shapeId="0">
      <text>
        <t>Value: 176616.01
Source: Owner Income Statement, Green Industrial Development Group, 26100 E 68th Ave, R0226379, 2024</t>
      </text>
    </comment>
    <comment ref="P196" authorId="0" shapeId="0">
      <text>
        <t>Value: 113481.13
Source: Owner Income Statement, Green Industrial Development Group, 26100 E 68th Ave, R0226379, 2024</t>
      </text>
    </comment>
    <comment ref="S196" authorId="0" shapeId="0">
      <text>
        <t>Value: 17075.9
Source: Owner Income Statement, Green Industrial Development Group, 26100 E 68th Ave, R0226379, 2024</t>
      </text>
    </comment>
    <comment ref="T196" authorId="0" shapeId="0">
      <text>
        <t>Value: 2503.95
Source: Owner Income Statement, Green Industrial Development Group, 26100 E 68th Ave, R0226379, 2024</t>
      </text>
    </comment>
    <comment ref="V196" authorId="0" shapeId="0">
      <text>
        <t>Value: 5930.82
Source: Owner Income Statement, Green Industrial Development Group, 26100 E 68th Ave, R0226379, 2024</t>
      </text>
    </comment>
    <comment ref="W196" authorId="0" shapeId="0">
      <text>
        <t>Value: 13699.17
Source: Owner Income Statement, Green Industrial Development Group, 26100 E 68th Ave, R0226379, 2024</t>
      </text>
    </comment>
    <comment ref="X196" authorId="0" shapeId="0">
      <text>
        <t>Value: 16241.979999999998
Source: Owner Income Statement, Green Industrial Development Group, 26100 E 68th Ave, R0226379, 2024</t>
      </text>
    </comment>
    <comment ref="Y196" authorId="0" shapeId="0">
      <text>
        <t>Value: 55451.82
Source: Owner Income Statement, Green Industrial Development Group, 26100 E 68th Ave, R0226379, 2024</t>
      </text>
    </comment>
    <comment ref="AA196" authorId="0" shapeId="0">
      <text>
        <t>Value: 9292.15
Source: Owner Income Statement, Green Industrial Development Group, 26100 E 68th Ave, R0226379, 2024</t>
      </text>
    </comment>
    <comment ref="AB196" authorId="0" shapeId="0">
      <text>
        <t>Value: 32179.95
Source: Owner Income Statement, Green Industrial Development Group, 26100 E 68th Ave, R0226379, 2024</t>
      </text>
    </comment>
    <comment ref="AC196" authorId="0" shapeId="0">
      <text>
        <t>Value: 68623.09999999999
Source: Owner Income Statement, Green Industrial Development Group, 26100 E 68th Ave, R0226379, 2024</t>
      </text>
    </comment>
    <comment ref="AD196" authorId="0" shapeId="0">
      <text>
        <t>Value: 29263.75
Source: Owner Income Statement, Green Industrial Development Group, 26100 E 68th Ave, R0226379, 2024</t>
      </text>
    </comment>
    <comment ref="AE196" authorId="0" shapeId="0">
      <text>
        <t>Value: 11425.16
Source: Owner Income Statement, Green Industrial Development Group, 26100 E 68th Ave, R0226379, 2024</t>
      </text>
    </comment>
    <comment ref="AF196" authorId="0" shapeId="0">
      <text>
        <t>Value: 40688.91
Source: Owner Income Statement, Green Industrial Development Group, 26100 E 68th Ave, R0226379, 2024</t>
      </text>
    </comment>
    <comment ref="AG196" authorId="0" shapeId="0">
      <text>
        <t>Value: 4476.68
Source: Owner Income Statement, Green Industrial Development Group, 26100 E 68th Ave, R0226379, 2024</t>
      </text>
    </comment>
    <comment ref="AH196" authorId="0" shapeId="0">
      <text>
        <t>Value: 592603.42
Source: Owner Income Statement, Green Industrial Development Group, 26100 E 68th Ave, R0226379, 2024</t>
      </text>
    </comment>
    <comment ref="AI196" authorId="0" shapeId="0">
      <text>
        <t>Value: 681745.35
Source: Owner Income Statement, Green Industrial Development Group, 26100 E 68th Ave, R0226379, 2024</t>
      </text>
    </comment>
    <comment ref="AJ196" authorId="0" shapeId="0">
      <text>
        <t>Value: 1274348.77
Source: Owner Income Statement, Green Industrial Development Group, 26100 E 68th Ave, R0226379, 2024</t>
      </text>
    </comment>
    <comment ref="AK196" authorId="0" shapeId="0">
      <text>
        <t>Value: 1250716.32
Source: Owner Income Statement, Green Industrial Development Group, 26100 E 68th Ave, R0226379, 2024</t>
      </text>
    </comment>
    <comment ref="AM196" authorId="0" shapeId="0">
      <text>
        <t>Value: 2024 actuals; CAM reimb + TBB structure; TBBs (178,730.57) included in Total OPX; RE Taxes include Metro District (179,316.74); Mgmt = CAM Mgmt + non-recov mgmt; Landscape+Snow+Security+Sweeping in Contract Svcs; SF unknown
Source: Owner Income Statement, Green Industrial Development Group, 26100 E 68th Ave, R0226379, 2024</t>
      </text>
    </comment>
    <comment ref="A197" authorId="0" shapeId="0">
      <text>
        <t>Value: P104
Source: Owner Income Statement, Green Industrial Development Group, 26100 E 68th Ave, R0226379, 2023</t>
      </text>
    </comment>
    <comment ref="C197" authorId="0" shapeId="0">
      <text>
        <t>Value: R0226379
Source: Owner Income Statement, Green Industrial Development Group, 26100 E 68th Ave, R0226379, 2023</t>
      </text>
    </comment>
    <comment ref="D197" authorId="0" shapeId="0">
      <text>
        <t>Value: 26100 E 68th Ave
Source: Owner Income Statement, Green Industrial Development Group, 26100 E 68th Ave, R0226379, 2023</t>
      </text>
    </comment>
    <comment ref="E197" authorId="0" shapeId="0">
      <text>
        <t>Value: Aurora
Source: Owner Income Statement, Green Industrial Development Group, 26100 E 68th Ave, R0226379, 2023</t>
      </text>
    </comment>
    <comment ref="F197" authorId="0" shapeId="0">
      <text>
        <t>Value: CO
Source: Owner Income Statement, Green Industrial Development Group, 26100 E 68th Ave, R0226379, 2023</t>
      </text>
    </comment>
    <comment ref="G197" authorId="0" shapeId="0">
      <text>
        <t>Value: Industrial
Source: Owner Income Statement, Green Industrial Development Group, 26100 E 68th Ave, R0226379, 2023</t>
      </text>
    </comment>
    <comment ref="H197" authorId="0" shapeId="0">
      <text>
        <t>Value: Industrial Multi-Tenant
Source: Owner Income Statement, Green Industrial Development Group, 26100 E 68th Ave, R0226379, 2023</t>
      </text>
    </comment>
    <comment ref="J197" authorId="0" shapeId="0">
      <text>
        <t>Value: 187720
Source: User-provided, 2026-06-03</t>
      </text>
    </comment>
    <comment ref="K197" authorId="0" shapeId="0">
      <text>
        <t>Value: 2023
Source: Owner Income Statement, Green Industrial Development Group, 26100 E 68th Ave, R0226379, 2023</t>
      </text>
    </comment>
    <comment ref="L197" authorId="0" shapeId="0">
      <text>
        <t>Value: 1185113.75
Source: Owner Income Statement, Green Industrial Development Group, 26100 E 68th Ave, R0226379, 2023</t>
      </text>
    </comment>
    <comment ref="M197" authorId="0" shapeId="0">
      <text>
        <t>Value: 1132267.35
Source: Owner Income Statement, Green Industrial Development Group, 26100 E 68th Ave, R0226379, 2023</t>
      </text>
    </comment>
    <comment ref="N197" authorId="0" shapeId="0">
      <text>
        <t>Value: 2317381.1
Source: Owner Income Statement, Green Industrial Development Group, 26100 E 68th Ave, R0226379, 2023</t>
      </text>
    </comment>
    <comment ref="O197" authorId="0" shapeId="0">
      <text>
        <t>Value: 116967.52
Source: Owner Income Statement, Green Industrial Development Group, 26100 E 68th Ave, R0226379, 2023</t>
      </text>
    </comment>
    <comment ref="P197" authorId="0" shapeId="0">
      <text>
        <t>Value: 106274.14
Source: Owner Income Statement, Green Industrial Development Group, 26100 E 68th Ave, R0226379, 2023</t>
      </text>
    </comment>
    <comment ref="S197" authorId="0" shapeId="0">
      <text>
        <t>Value: 3365.97
Source: Owner Income Statement, Green Industrial Development Group, 26100 E 68th Ave, R0226379, 2023</t>
      </text>
    </comment>
    <comment ref="T197" authorId="0" shapeId="0">
      <text>
        <t>Value: 4470.25
Source: Owner Income Statement, Green Industrial Development Group, 26100 E 68th Ave, R0226379, 2023</t>
      </text>
    </comment>
    <comment ref="V197" authorId="0" shapeId="0">
      <text>
        <t>Value: 27567.8
Source: Owner Income Statement, Green Industrial Development Group, 26100 E 68th Ave, R0226379, 2023</t>
      </text>
    </comment>
    <comment ref="W197" authorId="0" shapeId="0">
      <text>
        <t>Value: 17386.24
Source: Owner Income Statement, Green Industrial Development Group, 26100 E 68th Ave, R0226379, 2023</t>
      </text>
    </comment>
    <comment ref="X197" authorId="0" shapeId="0">
      <text>
        <t>Value: 15567.46
Source: Owner Income Statement, Green Industrial Development Group, 26100 E 68th Ave, R0226379, 2023</t>
      </text>
    </comment>
    <comment ref="Y197" authorId="0" shapeId="0">
      <text>
        <t>Value: 68357.72
Source: Owner Income Statement, Green Industrial Development Group, 26100 E 68th Ave, R0226379, 2023</t>
      </text>
    </comment>
    <comment ref="AA197" authorId="0" shapeId="0">
      <text>
        <t>Value: 10701.130000000001
Source: Owner Income Statement, Green Industrial Development Group, 26100 E 68th Ave, R0226379, 2023</t>
      </text>
    </comment>
    <comment ref="AB197" authorId="0" shapeId="0">
      <text>
        <t>Value: 28242.53
Source: Owner Income Statement, Green Industrial Development Group, 26100 E 68th Ave, R0226379, 2023</t>
      </text>
    </comment>
    <comment ref="AC197" authorId="0" shapeId="0">
      <text>
        <t>Value: 91036.76999999999
Source: Owner Income Statement, Green Industrial Development Group, 26100 E 68th Ave, R0226379, 2023</t>
      </text>
    </comment>
    <comment ref="AD197" authorId="0" shapeId="0">
      <text>
        <t>Value: 25899.28
Source: Owner Income Statement, Green Industrial Development Group, 26100 E 68th Ave, R0226379, 2023</t>
      </text>
    </comment>
    <comment ref="AE197" authorId="0" shapeId="0">
      <text>
        <t>Value: 11031.13
Source: Owner Income Statement, Green Industrial Development Group, 26100 E 68th Ave, R0226379, 2023</t>
      </text>
    </comment>
    <comment ref="AF197" authorId="0" shapeId="0">
      <text>
        <t>Value: 36930.409999999996
Source: Owner Income Statement, Green Industrial Development Group, 26100 E 68th Ave, R0226379, 2023</t>
      </text>
    </comment>
    <comment ref="AG197" authorId="0" shapeId="0">
      <text>
        <t>Value: 9341.34
Source: Owner Income Statement, Green Industrial Development Group, 26100 E 68th Ave, R0226379, 2023</t>
      </text>
    </comment>
    <comment ref="AH197" authorId="0" shapeId="0">
      <text>
        <t>Value: 540838.58
Source: Owner Income Statement, Green Industrial Development Group, 26100 E 68th Ave, R0226379, 2023</t>
      </text>
    </comment>
    <comment ref="AI197" authorId="0" shapeId="0">
      <text>
        <t>Value: 659137.36
Source: Owner Income Statement, Green Industrial Development Group, 26100 E 68th Ave, R0226379, 2023</t>
      </text>
    </comment>
    <comment ref="AJ197" authorId="0" shapeId="0">
      <text>
        <t>Value: 1199975.94
Source: Owner Income Statement, Green Industrial Development Group, 26100 E 68th Ave, R0226379, 2023</t>
      </text>
    </comment>
    <comment ref="AK197" authorId="0" shapeId="0">
      <text>
        <t>Value: 1117405.16
Source: Owner Income Statement, Green Industrial Development Group, 26100 E 68th Ave, R0226379, 2023</t>
      </text>
    </comment>
    <comment ref="AM197" authorId="0" shapeId="0">
      <text>
        <t>Value: 2023 actuals; CAM reimb + TBB structure; TBBs (171,359.08) included in Total OPX; RE Taxes include Metro District (172,730.34); Int Unit R&amp;M includes R&amp;M-Other (23,055.03); Other/Admin includes Personal Prop Tax (1,206.89); SF unknown
Source: Owner Income Statement, Green Industrial Development Group, 26100 E 68th Ave, R0226379, 2023</t>
      </text>
    </comment>
  </commentList>
</comments>
</file>

<file path=xl/externalLinks/_rels/externalLink1.xml.rels><Relationships xmlns="http://schemas.openxmlformats.org/package/2006/relationships"><Relationship Type="http://schemas.openxmlformats.org/officeDocument/2006/relationships/externalLinkPath" Target="file:///\\darkhelmet\cvc-darkhelmet\CB%20Files\CB%202008\08-0690_Cortez\ARC%20Merrill%20Lynch%20MHP%200606.xls" TargetMode="External" Id="rId1" /></Relationships>
</file>

<file path=xl/externalLinks/_rels/externalLink2.xml.rels><Relationships xmlns="http://schemas.openxmlformats.org/package/2006/relationships"><Relationship Type="http://schemas.openxmlformats.org/officeDocument/2006/relationships/externalLinkPath" Target="file:///\\vader\CVC-Vader\AppraisalFinalCopies\2012\14059\Valuation\Copy%20of%20Excess_Rent.xls" TargetMode="External" Id="rId1" /></Relationships>
</file>

<file path=xl/externalLinks/_rels/externalLink3.xml.rels><Relationships xmlns="http://schemas.openxmlformats.org/package/2006/relationships"><Relationship Type="http://schemas.microsoft.com/office/2006/relationships/xlExternalLinkPath/xlPathMissing" Target="0118000415%204900%20Florence%20Street1" TargetMode="External" Id="rId1" /></Relationships>
</file>

<file path=xl/externalLinks/_rels/externalLink4.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4195%20Centennial%20Boulevard\Elite%20Vision%20Improved%20Sales%20Revised.xlsx" TargetMode="External" Id="rId1" /></Relationships>
</file>

<file path=xl/externalLinks/_rels/externalLink5.xml.rels><Relationships xmlns="http://schemas.openxmlformats.org/package/2006/relationships"><Relationship Type="http://schemas.openxmlformats.org/officeDocument/2006/relationships/externalLinkPath" Target="file:///\\gcfilesrv\ASR$\Users\scraig\Desktop\More%20Stuff\Templates\Income%20Approach,%20Owner-User.xlsx" TargetMode="External" Id="rId1" /></Relationships>
</file>

<file path=xl/externalLinks/_rels/externalLink6.xml.rels><Relationships xmlns="http://schemas.openxmlformats.org/package/2006/relationships"><Relationship Type="http://schemas.openxmlformats.org/officeDocument/2006/relationships/externalLinkPath" Target="file:///C:\Users\scraig\Desktop\More%20Stuff\Templates\Income%20Approach,%20Owner-User.xlsx" TargetMode="External" Id="rId1" /></Relationships>
</file>

<file path=xl/externalLinks/_rels/externalLink7.xml.rels><Relationships xmlns="http://schemas.openxmlformats.org/package/2006/relationships"><Relationship Type="http://schemas.openxmlformats.org/officeDocument/2006/relationships/externalLinkPath" Target="file:///D:\Appraisals\BBGAppraisals-2021\BBGDenver\Researchers\Templates\Eval%20Template\Newest%20Eval%20and%20Restricted%20Template\Commercial-Base-Excel%20-%20v3.2.4%20(2).xlsm" TargetMode="External" Id="rId1" /></Relationships>
</file>

<file path=xl/externalLinks/_rels/externalLink8.xml.rels><Relationships xmlns="http://schemas.openxmlformats.org/package/2006/relationships"><Relationship Type="http://schemas.openxmlformats.org/officeDocument/2006/relationships/externalLinkPath" Target="file:///\\gcfilesrv\ASR$\01_Commercial\06_2021%20Review_Valuation_Appeals\2021%20-%20BAA%20Appeal\JDB\2021BAA6146%20-%20LYONS%20REAL%20ESTATE%20HOLDINGS%20LLC\R0088278.xlsx" TargetMode="External" Id="rId1" /></Relationships>
</file>

<file path=xl/externalLinks/_rels/externalLink9.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Template%20Stuff\Commercial-Base-Excel.xlsm" TargetMode="External" Id="rId1" /></Relationships>
</file>

<file path=xl/externalLinks/_rels/externalLink10.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older%20version\6945%20Tutt%20Boulevard%20Analysis%20Revised%20New.xls" TargetMode="External" Id="rId1" /></Relationships>
</file>

<file path=xl/externalLinks/_rels/externalLink11.xml.rels><Relationships xmlns="http://schemas.openxmlformats.org/package/2006/relationships"><Relationship Type="http://schemas.openxmlformats.org/officeDocument/2006/relationships/externalLinkPath" Target="file:///\\eaglefive\CVC-EagleFive\Documents%20and%20Settings\pwalsh\My%20Documents\Payroll\Cost%20Approach.xls" TargetMode="External" Id="rId1" /></Relationships>
</file>

<file path=xl/externalLinks/_rels/externalLink12.xml.rels><Relationships xmlns="http://schemas.openxmlformats.org/package/2006/relationships"><Relationship Type="http://schemas.openxmlformats.org/officeDocument/2006/relationships/externalLinkPath" Target="file:///C:\Users\jbatchelder\AppData\Local\Microsoft\Windows\INetCache\Content.Outlook\QS388HG5\ST%20Retail%20IA%20%20SCA%205668%20Beeler%20Street.xlsx" TargetMode="External" Id="rId1" /></Relationships>
</file>

<file path=xl/externalLinks/_rels/externalLink13.xml.rels><Relationships xmlns="http://schemas.openxmlformats.org/package/2006/relationships"><Relationship Type="http://schemas.openxmlformats.org/officeDocument/2006/relationships/externalLinkPath" Target="file:///C:\Users\JBatchelder\Box%20Sync\BBGAppraisalFiles\2019\0119005598%20-%20%20Denver%20CO%2080237,%20Denver\Working%20Documents\3603%20s%20monaco%20parkway%20(jbatchelder@bbgres.com).xlsm" TargetMode="External" Id="rId1" /></Relationships>
</file>

<file path=xl/externalLinks/_rels/externalLink14.xml.rels><Relationships xmlns="http://schemas.openxmlformats.org/package/2006/relationships"><Relationship Type="http://schemas.openxmlformats.org/officeDocument/2006/relationships/externalLinkPath" Target="file:///D:\Appraisals\BBGAppraisals-2023\0123100874%20-%201024%20Cherokee%20Street,%20Denver\Working%20Documents\1024%20Cherokee%20Street%20FE.xlsm"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Instructions"/>
      <sheetName val="Raw Data Fields"/>
      <sheetName val="Inputs"/>
      <sheetName val="Methodology"/>
      <sheetName val="RevSel"/>
      <sheetName val="ExpSel"/>
      <sheetName val="ARC Property List"/>
      <sheetName val="Values"/>
      <sheetName val="SFC"/>
      <sheetName val="Intro"/>
      <sheetName val="Restricted"/>
      <sheetName val="Survey Results"/>
      <sheetName val="Exposure"/>
      <sheetName val="Area"/>
      <sheetName val="Demos"/>
      <sheetName val="MktStdy"/>
      <sheetName val="MktStdyRents"/>
      <sheetName val="Zoning"/>
      <sheetName val="Site"/>
      <sheetName val="Improv"/>
      <sheetName val="ImpAnalysis"/>
      <sheetName val="Tax"/>
      <sheetName val="TaxAssum"/>
      <sheetName val="Tax Comps"/>
      <sheetName val="L Sum"/>
      <sheetName val="L Grid"/>
      <sheetName val="L Sum (2)"/>
      <sheetName val="L Grid (2)"/>
      <sheetName val="Ins Val (2)"/>
      <sheetName val="Cost"/>
      <sheetName val="Cost_Comps"/>
      <sheetName val="Ins Val"/>
      <sheetName val="LUD"/>
      <sheetName val="IS_Sum"/>
      <sheetName val="IS Grid"/>
      <sheetName val="IS Concl"/>
      <sheetName val="Rent Sum"/>
      <sheetName val="Comp. Rents"/>
      <sheetName val="Mkt Rent-Pads"/>
      <sheetName val="Mkt Rent-Rental Units"/>
      <sheetName val="ARC Financials"/>
      <sheetName val="Op History"/>
      <sheetName val="OpHistDial"/>
      <sheetName val="Exp Comps"/>
      <sheetName val="Exp Charts"/>
      <sheetName val="ExpChartDial"/>
      <sheetName val="Cap Rates"/>
      <sheetName val="Dir Cap"/>
      <sheetName val="DirCapDial"/>
      <sheetName val="DCF Assum"/>
      <sheetName val="APT DCF"/>
      <sheetName val="DCF Dial"/>
      <sheetName val="Key Assumptions"/>
      <sheetName val="Int Rev"/>
      <sheetName val="Job Center"/>
      <sheetName val="Macr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Raw Data Fields"/>
      <sheetName val="License"/>
      <sheetName val="Start Here"/>
      <sheetName val="Inputs"/>
      <sheetName val="RevSel"/>
      <sheetName val="ExpSel"/>
      <sheetName val="InputsRangeNames"/>
      <sheetName val="WA Import"/>
      <sheetName val="MapImport"/>
      <sheetName val="Values"/>
      <sheetName val="SFC"/>
      <sheetName val="Intro"/>
      <sheetName val="Restricted"/>
      <sheetName val="Survey Results"/>
      <sheetName val="Exposure"/>
      <sheetName val="Area"/>
      <sheetName val="Demos"/>
      <sheetName val="MPAA Trends"/>
      <sheetName val="Rest Trends"/>
      <sheetName val="LTL Trends"/>
      <sheetName val="PRW Trends"/>
      <sheetName val="MfgHousing"/>
      <sheetName val="TortoWheaton"/>
      <sheetName val="MktStdy"/>
      <sheetName val="MktStdyRents"/>
      <sheetName val="Site"/>
      <sheetName val="Improv"/>
      <sheetName val="ImpAnalysis"/>
      <sheetName val="Zoning"/>
      <sheetName val="Tax"/>
      <sheetName val="TaxAssum"/>
      <sheetName val="Tax Comps"/>
      <sheetName val="Ground Lease"/>
      <sheetName val="L Sum"/>
      <sheetName val="L Grid"/>
      <sheetName val="L Sum Narr"/>
      <sheetName val="L Sum (2)"/>
      <sheetName val="L Grid (2)"/>
      <sheetName val="L Sum Narr (2)"/>
      <sheetName val="CostComponents"/>
      <sheetName val="Cost"/>
      <sheetName val="Cost_Comps"/>
      <sheetName val="CostCompAssump"/>
      <sheetName val="Ins Val"/>
      <sheetName val="LUD"/>
      <sheetName val="IS_Sum"/>
      <sheetName val="ISGridSel"/>
      <sheetName val="IS Grid"/>
      <sheetName val="IS_Sum Narr"/>
      <sheetName val="IS Concl"/>
      <sheetName val="Natl Comps"/>
      <sheetName val="IS_Sum (2)"/>
      <sheetName val="ISGridSel (2)"/>
      <sheetName val="IS Grid (2)"/>
      <sheetName val="IS_Sum Narr (2)"/>
      <sheetName val="RentSumDisplay"/>
      <sheetName val="Rent Sum"/>
      <sheetName val="Rent Grid"/>
      <sheetName val="Rent Sum Narr"/>
      <sheetName val="RentSumDisplay (2)"/>
      <sheetName val="Rent Sum (2)"/>
      <sheetName val="Rent Sum Narr (2)"/>
      <sheetName val="Comp. Rents"/>
      <sheetName val="Lease Abstract"/>
      <sheetName val="BMR"/>
      <sheetName val="Mkt Rent"/>
      <sheetName val="Op History"/>
      <sheetName val="OpHistDial"/>
      <sheetName val="Exp Comps"/>
      <sheetName val="Exp Charts"/>
      <sheetName val="Cap Rates"/>
      <sheetName val="Dir Cap"/>
      <sheetName val="DirCapDial"/>
      <sheetName val="Dir Cap (2)"/>
      <sheetName val="DCF Assum"/>
      <sheetName val="APT DCF"/>
      <sheetName val="Int Rev"/>
      <sheetName val="Job Center"/>
    </sheetNames>
    <sheetDataSet>
      <sheetData sheetId="0" refreshError="1"/>
      <sheetData sheetId="1" refreshError="1"/>
      <sheetData sheetId="2" refreshError="1"/>
      <sheetData sheetId="3" refreshError="1">
        <row r="4">
          <cell r="C4" t="str">
            <v>08-277DN-0690</v>
          </cell>
        </row>
        <row r="9">
          <cell r="C9" t="str">
            <v>Jared Lay</v>
          </cell>
        </row>
        <row r="10">
          <cell r="C10" t="str">
            <v>Tom Baroch, MAI</v>
          </cell>
        </row>
        <row r="12">
          <cell r="C12" t="str">
            <v>Office Name - P/C ****</v>
          </cell>
        </row>
        <row r="13">
          <cell r="C13" t="str">
            <v>Complete</v>
          </cell>
        </row>
        <row r="14">
          <cell r="C14" t="str">
            <v>Summary</v>
          </cell>
        </row>
        <row r="15">
          <cell r="C15" t="str">
            <v>Robert Oehler</v>
          </cell>
        </row>
        <row r="16">
          <cell r="C16" t="str">
            <v>President and CEO</v>
          </cell>
        </row>
        <row r="18">
          <cell r="C18" t="str">
            <v>626-773-8878</v>
          </cell>
        </row>
        <row r="19">
          <cell r="C19" t="str">
            <v>626-773-8870</v>
          </cell>
        </row>
        <row r="21">
          <cell r="C21" t="str">
            <v>Pacific Alliance Bank</v>
          </cell>
        </row>
        <row r="24">
          <cell r="C24" t="str">
            <v>8400 East Valley Boulevard</v>
          </cell>
        </row>
        <row r="25">
          <cell r="C25" t="str">
            <v>Rosemead</v>
          </cell>
        </row>
        <row r="26">
          <cell r="C26" t="str">
            <v>California</v>
          </cell>
        </row>
        <row r="27">
          <cell r="C27">
            <v>91770</v>
          </cell>
        </row>
        <row r="30">
          <cell r="C30">
            <v>39679</v>
          </cell>
        </row>
        <row r="31">
          <cell r="C31">
            <v>39674</v>
          </cell>
        </row>
        <row r="32">
          <cell r="C32">
            <v>39679</v>
          </cell>
        </row>
        <row r="34">
          <cell r="C34" t="str">
            <v>Leased Fee Interest</v>
          </cell>
        </row>
        <row r="36">
          <cell r="C36" t="str">
            <v>Existing</v>
          </cell>
        </row>
        <row r="37">
          <cell r="C37">
            <v>0</v>
          </cell>
        </row>
        <row r="39">
          <cell r="C39" t="str">
            <v>As Is</v>
          </cell>
        </row>
        <row r="40">
          <cell r="C40"/>
          <cell r="D40">
            <v>6</v>
          </cell>
        </row>
        <row r="41">
          <cell r="C41"/>
          <cell r="D41">
            <v>6</v>
          </cell>
        </row>
        <row r="42">
          <cell r="C42">
            <v>0.03</v>
          </cell>
        </row>
        <row r="43">
          <cell r="C43">
            <v>39674</v>
          </cell>
        </row>
        <row r="44">
          <cell r="C44">
            <v>39674</v>
          </cell>
        </row>
        <row r="45">
          <cell r="C45">
            <v>39674</v>
          </cell>
        </row>
        <row r="47">
          <cell r="D47" t="b">
            <v>0</v>
          </cell>
        </row>
        <row r="52">
          <cell r="D52" t="b">
            <v>0</v>
          </cell>
          <cell r="E52" t="str">
            <v>Fee Simple</v>
          </cell>
        </row>
        <row r="56">
          <cell r="C56" t="str">
            <v>Great Scott's Restaurant</v>
          </cell>
        </row>
        <row r="58">
          <cell r="C58">
            <v>1900</v>
          </cell>
        </row>
        <row r="59">
          <cell r="C59" t="str">
            <v>1551 Cortez Street</v>
          </cell>
        </row>
        <row r="60">
          <cell r="C60" t="str">
            <v>Unincorporated Adams County</v>
          </cell>
        </row>
        <row r="61">
          <cell r="C61" t="str">
            <v>Colorado</v>
          </cell>
        </row>
        <row r="62">
          <cell r="C62">
            <v>80221</v>
          </cell>
        </row>
        <row r="63">
          <cell r="C63" t="str">
            <v>Adams</v>
          </cell>
          <cell r="D63" t="str">
            <v>County</v>
          </cell>
        </row>
        <row r="65">
          <cell r="C65" t="str">
            <v>Standard</v>
          </cell>
          <cell r="D65" t="str">
            <v>Single</v>
          </cell>
        </row>
        <row r="66">
          <cell r="C66" t="str">
            <v>1719-334-14-016</v>
          </cell>
        </row>
        <row r="70">
          <cell r="C70" t="str">
            <v>Retail</v>
          </cell>
        </row>
        <row r="73">
          <cell r="C73" t="str">
            <v>RET_Restaurant</v>
          </cell>
        </row>
        <row r="74">
          <cell r="C74" t="str">
            <v>Retail</v>
          </cell>
        </row>
        <row r="75">
          <cell r="C75" t="str">
            <v>Restaurant</v>
          </cell>
        </row>
        <row r="76">
          <cell r="C76" t="str">
            <v>Retail</v>
          </cell>
        </row>
        <row r="77">
          <cell r="C77">
            <v>250</v>
          </cell>
        </row>
        <row r="78">
          <cell r="C78">
            <v>0.9399908172635445</v>
          </cell>
        </row>
        <row r="79">
          <cell r="C79">
            <v>40946</v>
          </cell>
        </row>
        <row r="81">
          <cell r="C81">
            <v>0</v>
          </cell>
        </row>
        <row r="82">
          <cell r="C82">
            <v>0</v>
          </cell>
        </row>
        <row r="83">
          <cell r="C83">
            <v>0</v>
          </cell>
        </row>
        <row r="85">
          <cell r="C85">
            <v>0.9399908172635445</v>
          </cell>
        </row>
        <row r="93">
          <cell r="C93">
            <v>112</v>
          </cell>
        </row>
        <row r="95">
          <cell r="C95">
            <v>12000</v>
          </cell>
        </row>
        <row r="96">
          <cell r="C96">
            <v>108000</v>
          </cell>
        </row>
        <row r="97">
          <cell r="C97">
            <v>0</v>
          </cell>
        </row>
        <row r="98">
          <cell r="C98">
            <v>0</v>
          </cell>
        </row>
        <row r="99">
          <cell r="C99">
            <v>0</v>
          </cell>
        </row>
        <row r="102">
          <cell r="C102">
            <v>20</v>
          </cell>
        </row>
        <row r="103">
          <cell r="C103">
            <v>100</v>
          </cell>
        </row>
        <row r="104">
          <cell r="C104">
            <v>0.1</v>
          </cell>
        </row>
        <row r="105">
          <cell r="C105">
            <v>0.9</v>
          </cell>
        </row>
        <row r="106">
          <cell r="C106">
            <v>0</v>
          </cell>
        </row>
        <row r="107">
          <cell r="C107">
            <v>0</v>
          </cell>
        </row>
        <row r="108">
          <cell r="C108">
            <v>0</v>
          </cell>
        </row>
        <row r="109">
          <cell r="C109">
            <v>0.05</v>
          </cell>
        </row>
        <row r="117">
          <cell r="C117">
            <v>35</v>
          </cell>
        </row>
        <row r="118">
          <cell r="C118">
            <v>10</v>
          </cell>
        </row>
        <row r="132">
          <cell r="D132">
            <v>1</v>
          </cell>
        </row>
        <row r="133">
          <cell r="C133" t="str">
            <v>Restaurant</v>
          </cell>
        </row>
        <row r="134">
          <cell r="C134">
            <v>4680</v>
          </cell>
        </row>
        <row r="142">
          <cell r="C142">
            <v>0</v>
          </cell>
        </row>
        <row r="143">
          <cell r="C143" t="str">
            <v>---</v>
          </cell>
        </row>
        <row r="144">
          <cell r="C144">
            <v>0</v>
          </cell>
        </row>
        <row r="146">
          <cell r="C146">
            <v>4680</v>
          </cell>
        </row>
        <row r="147">
          <cell r="C147">
            <v>4680</v>
          </cell>
        </row>
        <row r="148">
          <cell r="C148" t="str">
            <v>1</v>
          </cell>
          <cell r="D148" t="str">
            <v>Unit</v>
          </cell>
        </row>
        <row r="149">
          <cell r="C149">
            <v>1</v>
          </cell>
        </row>
        <row r="150">
          <cell r="D150">
            <v>0</v>
          </cell>
        </row>
        <row r="151">
          <cell r="D151">
            <v>7.0000000000000007E-2</v>
          </cell>
        </row>
        <row r="152">
          <cell r="C152">
            <v>0.92999999999999994</v>
          </cell>
        </row>
        <row r="154">
          <cell r="C154">
            <v>1</v>
          </cell>
        </row>
        <row r="155">
          <cell r="C155">
            <v>1</v>
          </cell>
        </row>
        <row r="156">
          <cell r="C156">
            <v>1975</v>
          </cell>
        </row>
        <row r="158">
          <cell r="C158" t="str">
            <v>average</v>
          </cell>
        </row>
        <row r="159">
          <cell r="C159">
            <v>38</v>
          </cell>
        </row>
        <row r="160">
          <cell r="C160">
            <v>15</v>
          </cell>
        </row>
        <row r="161">
          <cell r="C161">
            <v>50</v>
          </cell>
        </row>
        <row r="164">
          <cell r="C164" t="str">
            <v>Potential Rental Income</v>
          </cell>
        </row>
        <row r="165">
          <cell r="C165"/>
        </row>
        <row r="166">
          <cell r="C166"/>
        </row>
        <row r="167">
          <cell r="C167"/>
        </row>
        <row r="168">
          <cell r="C168"/>
        </row>
        <row r="169">
          <cell r="C169"/>
        </row>
        <row r="170">
          <cell r="C170"/>
        </row>
        <row r="171">
          <cell r="C171"/>
        </row>
        <row r="173">
          <cell r="C173"/>
        </row>
        <row r="174">
          <cell r="C174"/>
        </row>
        <row r="175">
          <cell r="C175"/>
        </row>
        <row r="176">
          <cell r="C176"/>
        </row>
        <row r="177">
          <cell r="C177"/>
        </row>
        <row r="178">
          <cell r="C178"/>
        </row>
        <row r="179">
          <cell r="C179"/>
        </row>
        <row r="180">
          <cell r="C180"/>
        </row>
        <row r="181">
          <cell r="C181"/>
        </row>
        <row r="182">
          <cell r="C182"/>
        </row>
        <row r="183">
          <cell r="C183"/>
        </row>
        <row r="184">
          <cell r="C184"/>
        </row>
        <row r="185">
          <cell r="C185" t="str">
            <v>Management Fee</v>
          </cell>
        </row>
        <row r="186">
          <cell r="C186"/>
        </row>
        <row r="187">
          <cell r="C187"/>
        </row>
        <row r="188">
          <cell r="C188"/>
        </row>
        <row r="189">
          <cell r="C189"/>
        </row>
        <row r="190">
          <cell r="C190"/>
        </row>
        <row r="191">
          <cell r="C191"/>
        </row>
        <row r="192">
          <cell r="C192" t="str">
            <v>Reserves for Replacement</v>
          </cell>
        </row>
      </sheetData>
      <sheetData sheetId="4" refreshError="1"/>
      <sheetData sheetId="5" refreshError="1"/>
      <sheetData sheetId="6" refreshError="1">
        <row r="2">
          <cell r="E2">
            <v>1</v>
          </cell>
          <cell r="G2">
            <v>71</v>
          </cell>
          <cell r="J2">
            <v>1</v>
          </cell>
          <cell r="K2">
            <v>2</v>
          </cell>
          <cell r="N2">
            <v>2</v>
          </cell>
          <cell r="O2">
            <v>2</v>
          </cell>
          <cell r="P2">
            <v>2</v>
          </cell>
          <cell r="T2">
            <v>1</v>
          </cell>
          <cell r="U2">
            <v>3</v>
          </cell>
          <cell r="V2">
            <v>9</v>
          </cell>
          <cell r="W2">
            <v>4</v>
          </cell>
          <cell r="X2">
            <v>3</v>
          </cell>
        </row>
        <row r="4">
          <cell r="A4">
            <v>1</v>
          </cell>
          <cell r="E4" t="str">
            <v>Assignment</v>
          </cell>
          <cell r="I4" t="str">
            <v>A</v>
          </cell>
          <cell r="J4" t="str">
            <v>Fireproofed structural steel frames with reinforced concrete or masonry floors and roofs</v>
          </cell>
          <cell r="K4" t="str">
            <v>A +</v>
          </cell>
          <cell r="N4" t="str">
            <v>$ Per AC</v>
          </cell>
          <cell r="O4">
            <v>0.9399908172635445</v>
          </cell>
          <cell r="P4" t="str">
            <v>Subject Acs.</v>
          </cell>
          <cell r="Q4">
            <v>0</v>
          </cell>
          <cell r="S4" t="str">
            <v>Land Value</v>
          </cell>
          <cell r="T4" t="str">
            <v>General Investment</v>
          </cell>
          <cell r="U4" t="str">
            <v>General Investment</v>
          </cell>
          <cell r="V4" t="str">
            <v>Regional Mall</v>
          </cell>
          <cell r="W4" t="str">
            <v>Apartment</v>
          </cell>
          <cell r="X4" t="str">
            <v>poor</v>
          </cell>
          <cell r="Y4" t="str">
            <v>---</v>
          </cell>
        </row>
        <row r="5">
          <cell r="A5">
            <v>2</v>
          </cell>
          <cell r="E5" t="str">
            <v>Cancelled</v>
          </cell>
          <cell r="I5" t="str">
            <v>B</v>
          </cell>
          <cell r="J5" t="str">
            <v>Reinforced concrete frames and concrete or masonry floors and roofs</v>
          </cell>
          <cell r="K5" t="str">
            <v>A</v>
          </cell>
          <cell r="N5" t="str">
            <v>$ PSF</v>
          </cell>
          <cell r="O5">
            <v>40946</v>
          </cell>
          <cell r="P5" t="str">
            <v>Subject SF</v>
          </cell>
          <cell r="Q5">
            <v>0</v>
          </cell>
          <cell r="S5" t="str">
            <v>As Is</v>
          </cell>
          <cell r="T5" t="str">
            <v>Apartments</v>
          </cell>
          <cell r="U5" t="str">
            <v>Apartments</v>
          </cell>
          <cell r="V5" t="str">
            <v>Power Center</v>
          </cell>
          <cell r="W5" t="str">
            <v>Industrial</v>
          </cell>
          <cell r="X5" t="str">
            <v>fair</v>
          </cell>
          <cell r="Y5" t="str">
            <v>Retail Space</v>
          </cell>
        </row>
        <row r="6">
          <cell r="A6">
            <v>3</v>
          </cell>
          <cell r="E6" t="str">
            <v>Completed</v>
          </cell>
          <cell r="I6" t="str">
            <v>C</v>
          </cell>
          <cell r="J6" t="str">
            <v>Masonry/concrete ext. walls &amp; wood/steel roof &amp; floor struct., exc. concrete slab on grade</v>
          </cell>
          <cell r="K6" t="str">
            <v>A -</v>
          </cell>
          <cell r="N6" t="str">
            <v>$ Per Unit</v>
          </cell>
          <cell r="O6">
            <v>250</v>
          </cell>
          <cell r="P6" t="str">
            <v>Subject Units</v>
          </cell>
          <cell r="Q6">
            <v>0</v>
          </cell>
          <cell r="S6" t="str">
            <v>As Complete</v>
          </cell>
          <cell r="T6" t="str">
            <v>Net Leased Investments</v>
          </cell>
          <cell r="U6" t="str">
            <v>Net Leased Investments</v>
          </cell>
          <cell r="V6" t="str">
            <v>Strip Shopping Center</v>
          </cell>
          <cell r="W6" t="str">
            <v>Office</v>
          </cell>
          <cell r="X6" t="str">
            <v>average</v>
          </cell>
          <cell r="Y6" t="str">
            <v>Anchors</v>
          </cell>
        </row>
        <row r="7">
          <cell r="A7">
            <v>4</v>
          </cell>
          <cell r="E7" t="str">
            <v>Draft</v>
          </cell>
          <cell r="I7" t="str">
            <v>D</v>
          </cell>
          <cell r="J7" t="str">
            <v>Wood frame, floor and structure; considered combustible</v>
          </cell>
          <cell r="K7" t="str">
            <v>A/B</v>
          </cell>
          <cell r="S7" t="str">
            <v>As Stabilized</v>
          </cell>
          <cell r="T7" t="str">
            <v>Business Parks</v>
          </cell>
          <cell r="U7" t="str">
            <v>Business Parks</v>
          </cell>
          <cell r="V7" t="str">
            <v>CBD Office</v>
          </cell>
          <cell r="W7" t="str">
            <v>Retail</v>
          </cell>
          <cell r="X7" t="str">
            <v>good</v>
          </cell>
          <cell r="Y7" t="str">
            <v>Jr. Anchors</v>
          </cell>
        </row>
        <row r="8">
          <cell r="A8">
            <v>5</v>
          </cell>
          <cell r="E8" t="str">
            <v>On Hold</v>
          </cell>
          <cell r="I8" t="str">
            <v>S</v>
          </cell>
          <cell r="J8" t="str">
            <v>Frames, roofs and walls of incombustible metal</v>
          </cell>
          <cell r="K8" t="str">
            <v>B +</v>
          </cell>
          <cell r="S8" t="str">
            <v>Retrospective Value</v>
          </cell>
          <cell r="T8" t="str">
            <v>Industrial R&amp;D</v>
          </cell>
          <cell r="U8" t="str">
            <v>Industrial R&amp;D</v>
          </cell>
          <cell r="V8" t="str">
            <v>Suburban Office</v>
          </cell>
          <cell r="X8" t="str">
            <v>excellent</v>
          </cell>
          <cell r="Y8" t="str">
            <v>End Cap</v>
          </cell>
        </row>
        <row r="9">
          <cell r="A9">
            <v>6</v>
          </cell>
          <cell r="E9" t="str">
            <v>Proposal</v>
          </cell>
          <cell r="K9" t="str">
            <v>B</v>
          </cell>
          <cell r="S9"/>
          <cell r="T9" t="str">
            <v>Self Storage</v>
          </cell>
          <cell r="U9" t="str">
            <v>Self Storage</v>
          </cell>
          <cell r="V9" t="str">
            <v>Flex/R&amp;D</v>
          </cell>
          <cell r="Y9" t="str">
            <v>In-line</v>
          </cell>
        </row>
        <row r="10">
          <cell r="A10">
            <v>7</v>
          </cell>
          <cell r="E10" t="str">
            <v>Verbal</v>
          </cell>
          <cell r="K10" t="str">
            <v>B -</v>
          </cell>
          <cell r="T10" t="str">
            <v>Warehouse/Distribution</v>
          </cell>
          <cell r="U10" t="str">
            <v>Warehouse/Distribution</v>
          </cell>
          <cell r="V10" t="str">
            <v>Warehouse</v>
          </cell>
          <cell r="Y10" t="str">
            <v>Bank</v>
          </cell>
        </row>
        <row r="11">
          <cell r="A11">
            <v>8</v>
          </cell>
          <cell r="K11" t="str">
            <v>B/C</v>
          </cell>
          <cell r="T11" t="str">
            <v>Suburban Office</v>
          </cell>
          <cell r="U11" t="str">
            <v>Suburban Office</v>
          </cell>
          <cell r="V11" t="str">
            <v>Apartment</v>
          </cell>
          <cell r="Y11" t="str">
            <v>Restaurant</v>
          </cell>
        </row>
        <row r="12">
          <cell r="A12">
            <v>9</v>
          </cell>
          <cell r="K12" t="str">
            <v>C +</v>
          </cell>
          <cell r="T12" t="str">
            <v>Urban Office</v>
          </cell>
          <cell r="U12" t="str">
            <v>Urban Office</v>
          </cell>
          <cell r="V12" t="str">
            <v>Net Lease</v>
          </cell>
          <cell r="Y12" t="str">
            <v>Theater</v>
          </cell>
        </row>
        <row r="13">
          <cell r="A13">
            <v>10</v>
          </cell>
          <cell r="K13" t="str">
            <v>C</v>
          </cell>
          <cell r="T13" t="str">
            <v>Regional Malls</v>
          </cell>
          <cell r="U13" t="str">
            <v>Regional Malls</v>
          </cell>
          <cell r="V13" t="str">
            <v>Domestic Self Storage</v>
          </cell>
          <cell r="Y13" t="str">
            <v>Auto Dealership</v>
          </cell>
        </row>
        <row r="14">
          <cell r="A14">
            <v>11</v>
          </cell>
          <cell r="K14" t="str">
            <v>C -</v>
          </cell>
          <cell r="T14" t="str">
            <v>Power Centers</v>
          </cell>
          <cell r="U14" t="str">
            <v>Power Centers</v>
          </cell>
          <cell r="Y14" t="str">
            <v>Storage</v>
          </cell>
        </row>
        <row r="15">
          <cell r="A15">
            <v>12</v>
          </cell>
          <cell r="K15" t="str">
            <v>C/D</v>
          </cell>
          <cell r="T15" t="str">
            <v>Community Centers</v>
          </cell>
          <cell r="U15" t="str">
            <v>Community Centers</v>
          </cell>
          <cell r="Y15" t="str">
            <v>Pad Site</v>
          </cell>
        </row>
        <row r="16">
          <cell r="A16">
            <v>13</v>
          </cell>
          <cell r="K16" t="str">
            <v>D +</v>
          </cell>
          <cell r="T16" t="str">
            <v>Neighborhood Centers</v>
          </cell>
          <cell r="U16" t="str">
            <v>Neighborhood Centers</v>
          </cell>
          <cell r="Y16" t="str">
            <v>Ground Lease</v>
          </cell>
        </row>
        <row r="17">
          <cell r="A17">
            <v>14</v>
          </cell>
          <cell r="K17" t="str">
            <v>D</v>
          </cell>
          <cell r="T17" t="str">
            <v>Strip Centers</v>
          </cell>
          <cell r="U17" t="str">
            <v>Strip Centers</v>
          </cell>
          <cell r="Y17" t="str">
            <v>---</v>
          </cell>
        </row>
        <row r="18">
          <cell r="A18">
            <v>15</v>
          </cell>
          <cell r="K18" t="str">
            <v>D -</v>
          </cell>
          <cell r="T18" t="str">
            <v>Hotels</v>
          </cell>
          <cell r="U18" t="str">
            <v>Hotels</v>
          </cell>
          <cell r="Y18" t="str">
            <v>Office Space</v>
          </cell>
        </row>
        <row r="19">
          <cell r="A19">
            <v>16</v>
          </cell>
          <cell r="T19" t="str">
            <v>All Responses</v>
          </cell>
          <cell r="U19" t="str">
            <v>All Responses</v>
          </cell>
          <cell r="Y19" t="str">
            <v>Ground Floor Retail</v>
          </cell>
        </row>
        <row r="20">
          <cell r="A20">
            <v>17</v>
          </cell>
          <cell r="Y20" t="str">
            <v>Low &amp; Mid Floors</v>
          </cell>
        </row>
        <row r="21">
          <cell r="A21">
            <v>18</v>
          </cell>
          <cell r="Y21" t="str">
            <v>Upper Floors</v>
          </cell>
        </row>
        <row r="22">
          <cell r="A22">
            <v>19</v>
          </cell>
          <cell r="Y22" t="str">
            <v>Premium Floors</v>
          </cell>
        </row>
        <row r="23">
          <cell r="A23">
            <v>20</v>
          </cell>
          <cell r="Y23" t="str">
            <v>Storage</v>
          </cell>
        </row>
        <row r="24">
          <cell r="A24">
            <v>21</v>
          </cell>
          <cell r="Y24" t="str">
            <v>---</v>
          </cell>
        </row>
        <row r="25">
          <cell r="A25">
            <v>22</v>
          </cell>
          <cell r="Y25" t="str">
            <v>Industrial Space</v>
          </cell>
        </row>
        <row r="26">
          <cell r="A26">
            <v>23</v>
          </cell>
          <cell r="Y26" t="str">
            <v>Warehouse</v>
          </cell>
        </row>
        <row r="27">
          <cell r="A27">
            <v>24</v>
          </cell>
          <cell r="Y27" t="str">
            <v>Office Service</v>
          </cell>
        </row>
        <row r="28">
          <cell r="A28">
            <v>25</v>
          </cell>
          <cell r="Y28" t="str">
            <v>Flex</v>
          </cell>
        </row>
        <row r="29">
          <cell r="A29">
            <v>26</v>
          </cell>
          <cell r="Y29" t="str">
            <v>Tech</v>
          </cell>
        </row>
        <row r="30">
          <cell r="A30">
            <v>27</v>
          </cell>
          <cell r="Y30" t="str">
            <v>Manufacturing</v>
          </cell>
        </row>
        <row r="31">
          <cell r="A31">
            <v>28</v>
          </cell>
          <cell r="Y31" t="str">
            <v>Distribution</v>
          </cell>
        </row>
        <row r="32">
          <cell r="A32">
            <v>29</v>
          </cell>
          <cell r="Y32" t="str">
            <v>Break Bulk</v>
          </cell>
        </row>
        <row r="33">
          <cell r="A33">
            <v>30</v>
          </cell>
          <cell r="Y33" t="str">
            <v>Research &amp; Development</v>
          </cell>
        </row>
        <row r="34">
          <cell r="A34">
            <v>31</v>
          </cell>
          <cell r="Y34" t="str">
            <v>Clean Room</v>
          </cell>
        </row>
        <row r="35">
          <cell r="A35">
            <v>32</v>
          </cell>
          <cell r="Y35" t="str">
            <v>Cold Storage</v>
          </cell>
        </row>
        <row r="36">
          <cell r="A36">
            <v>33</v>
          </cell>
          <cell r="Y36" t="str">
            <v>Ambient</v>
          </cell>
        </row>
        <row r="37">
          <cell r="A37">
            <v>34</v>
          </cell>
          <cell r="Y37" t="str">
            <v>Cooler</v>
          </cell>
        </row>
        <row r="38">
          <cell r="A38">
            <v>35</v>
          </cell>
          <cell r="Y38" t="str">
            <v>Freezer</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row r="56">
          <cell r="A56">
            <v>53</v>
          </cell>
        </row>
        <row r="57">
          <cell r="A57">
            <v>54</v>
          </cell>
        </row>
        <row r="58">
          <cell r="A58">
            <v>55</v>
          </cell>
        </row>
        <row r="59">
          <cell r="A59">
            <v>56</v>
          </cell>
        </row>
        <row r="60">
          <cell r="A60">
            <v>57</v>
          </cell>
        </row>
        <row r="61">
          <cell r="A61">
            <v>58</v>
          </cell>
        </row>
        <row r="62">
          <cell r="A62">
            <v>59</v>
          </cell>
        </row>
        <row r="63">
          <cell r="A63">
            <v>60</v>
          </cell>
        </row>
        <row r="64">
          <cell r="A64">
            <v>61</v>
          </cell>
        </row>
        <row r="65">
          <cell r="A65">
            <v>62</v>
          </cell>
        </row>
        <row r="66">
          <cell r="A66">
            <v>63</v>
          </cell>
        </row>
        <row r="67">
          <cell r="A67">
            <v>64</v>
          </cell>
        </row>
        <row r="68">
          <cell r="A68">
            <v>65</v>
          </cell>
        </row>
        <row r="69">
          <cell r="A69">
            <v>66</v>
          </cell>
        </row>
        <row r="70">
          <cell r="A70">
            <v>67</v>
          </cell>
        </row>
        <row r="71">
          <cell r="A71">
            <v>68</v>
          </cell>
        </row>
        <row r="72">
          <cell r="A72">
            <v>69</v>
          </cell>
        </row>
        <row r="73">
          <cell r="A73">
            <v>70</v>
          </cell>
        </row>
        <row r="74">
          <cell r="A74">
            <v>71</v>
          </cell>
        </row>
        <row r="75">
          <cell r="A75">
            <v>72</v>
          </cell>
        </row>
        <row r="76">
          <cell r="A76">
            <v>73</v>
          </cell>
        </row>
        <row r="77">
          <cell r="A77">
            <v>74</v>
          </cell>
        </row>
        <row r="78">
          <cell r="A78">
            <v>75</v>
          </cell>
        </row>
        <row r="79">
          <cell r="A79">
            <v>76</v>
          </cell>
        </row>
        <row r="80">
          <cell r="A80">
            <v>77</v>
          </cell>
        </row>
        <row r="81">
          <cell r="A81">
            <v>78</v>
          </cell>
        </row>
        <row r="82">
          <cell r="A82">
            <v>79</v>
          </cell>
        </row>
        <row r="83">
          <cell r="A83">
            <v>80</v>
          </cell>
        </row>
        <row r="84">
          <cell r="A84">
            <v>81</v>
          </cell>
        </row>
        <row r="85">
          <cell r="A85">
            <v>82</v>
          </cell>
        </row>
        <row r="86">
          <cell r="A86">
            <v>83</v>
          </cell>
        </row>
        <row r="87">
          <cell r="A87">
            <v>84</v>
          </cell>
        </row>
        <row r="88">
          <cell r="A88">
            <v>85</v>
          </cell>
        </row>
        <row r="89">
          <cell r="A89">
            <v>86</v>
          </cell>
        </row>
        <row r="90">
          <cell r="A90">
            <v>87</v>
          </cell>
        </row>
        <row r="91">
          <cell r="A91">
            <v>88</v>
          </cell>
        </row>
        <row r="92">
          <cell r="A92">
            <v>89</v>
          </cell>
        </row>
        <row r="93">
          <cell r="A93">
            <v>90</v>
          </cell>
        </row>
        <row r="94">
          <cell r="A94">
            <v>91</v>
          </cell>
        </row>
        <row r="95">
          <cell r="A95">
            <v>92</v>
          </cell>
        </row>
        <row r="96">
          <cell r="A96">
            <v>93</v>
          </cell>
        </row>
        <row r="97">
          <cell r="A97">
            <v>94</v>
          </cell>
        </row>
        <row r="98">
          <cell r="A98">
            <v>95</v>
          </cell>
        </row>
        <row r="99">
          <cell r="A99">
            <v>96</v>
          </cell>
        </row>
        <row r="100">
          <cell r="A100">
            <v>97</v>
          </cell>
        </row>
        <row r="101">
          <cell r="A101">
            <v>98</v>
          </cell>
        </row>
        <row r="102">
          <cell r="A102">
            <v>99</v>
          </cell>
        </row>
        <row r="103">
          <cell r="A103">
            <v>100</v>
          </cell>
        </row>
        <row r="104">
          <cell r="A104">
            <v>101</v>
          </cell>
        </row>
        <row r="105">
          <cell r="A105">
            <v>102</v>
          </cell>
        </row>
        <row r="106">
          <cell r="A106">
            <v>103</v>
          </cell>
        </row>
        <row r="107">
          <cell r="A107">
            <v>104</v>
          </cell>
        </row>
      </sheetData>
      <sheetData sheetId="7" refreshError="1">
        <row r="8">
          <cell r="J8" t="str">
            <v>Rosie's Diner</v>
          </cell>
          <cell r="Q8" t="str">
            <v>14061 East Iliff Avenue</v>
          </cell>
          <cell r="S8" t="str">
            <v>Aurora</v>
          </cell>
          <cell r="T8">
            <v>80014</v>
          </cell>
          <cell r="V8" t="str">
            <v>CO</v>
          </cell>
          <cell r="AA8">
            <v>0.82</v>
          </cell>
          <cell r="AD8">
            <v>0</v>
          </cell>
          <cell r="AN8">
            <v>0</v>
          </cell>
          <cell r="AP8">
            <v>0</v>
          </cell>
          <cell r="AT8">
            <v>3604</v>
          </cell>
          <cell r="AU8">
            <v>2000</v>
          </cell>
          <cell r="AW8">
            <v>0</v>
          </cell>
          <cell r="BD8">
            <v>38749</v>
          </cell>
          <cell r="BI8">
            <v>900000</v>
          </cell>
          <cell r="BM8">
            <v>900000</v>
          </cell>
          <cell r="CC8">
            <v>0</v>
          </cell>
          <cell r="CE8">
            <v>0</v>
          </cell>
          <cell r="CG8">
            <v>0</v>
          </cell>
          <cell r="CH8">
            <v>0</v>
          </cell>
          <cell r="CI8">
            <v>249.72</v>
          </cell>
          <cell r="CJ8">
            <v>0</v>
          </cell>
          <cell r="GM8" t="str">
            <v>Sale</v>
          </cell>
        </row>
        <row r="9">
          <cell r="J9" t="str">
            <v>Thornton Restauant</v>
          </cell>
          <cell r="Q9" t="str">
            <v>610-650 East 104th Avenue</v>
          </cell>
          <cell r="S9" t="str">
            <v>Thornton</v>
          </cell>
          <cell r="T9">
            <v>80233</v>
          </cell>
          <cell r="V9" t="str">
            <v>CO</v>
          </cell>
          <cell r="AA9">
            <v>0.78</v>
          </cell>
          <cell r="AD9">
            <v>0</v>
          </cell>
          <cell r="AN9">
            <v>0</v>
          </cell>
          <cell r="AP9">
            <v>0</v>
          </cell>
          <cell r="AT9">
            <v>4686</v>
          </cell>
          <cell r="AU9">
            <v>1974</v>
          </cell>
          <cell r="AW9">
            <v>0</v>
          </cell>
          <cell r="BD9">
            <v>39083</v>
          </cell>
          <cell r="BI9">
            <v>1004000</v>
          </cell>
          <cell r="BM9">
            <v>1004000</v>
          </cell>
          <cell r="CC9">
            <v>0</v>
          </cell>
          <cell r="CE9">
            <v>0</v>
          </cell>
          <cell r="CG9">
            <v>0</v>
          </cell>
          <cell r="CH9">
            <v>0</v>
          </cell>
          <cell r="CI9">
            <v>214.26</v>
          </cell>
          <cell r="CJ9">
            <v>0</v>
          </cell>
          <cell r="GM9" t="str">
            <v>Sale</v>
          </cell>
        </row>
        <row r="10">
          <cell r="J10" t="str">
            <v>India Garden Restaurant</v>
          </cell>
          <cell r="Q10" t="str">
            <v>7180 East Hampden Avenue</v>
          </cell>
          <cell r="S10" t="str">
            <v>Denver</v>
          </cell>
          <cell r="T10">
            <v>80224</v>
          </cell>
          <cell r="V10" t="str">
            <v>CO</v>
          </cell>
          <cell r="AA10">
            <v>0.52</v>
          </cell>
          <cell r="AD10">
            <v>0</v>
          </cell>
          <cell r="AN10">
            <v>0</v>
          </cell>
          <cell r="AP10">
            <v>0</v>
          </cell>
          <cell r="AT10">
            <v>6297</v>
          </cell>
          <cell r="AU10">
            <v>1974</v>
          </cell>
          <cell r="AW10">
            <v>0</v>
          </cell>
          <cell r="BD10">
            <v>39203</v>
          </cell>
          <cell r="BI10">
            <v>1200000</v>
          </cell>
          <cell r="BM10">
            <v>1200000</v>
          </cell>
          <cell r="CC10">
            <v>0</v>
          </cell>
          <cell r="CE10">
            <v>0</v>
          </cell>
          <cell r="CG10">
            <v>0</v>
          </cell>
          <cell r="CH10">
            <v>0</v>
          </cell>
          <cell r="CI10">
            <v>190.57</v>
          </cell>
          <cell r="CJ10">
            <v>0</v>
          </cell>
          <cell r="GM10" t="str">
            <v>Sale</v>
          </cell>
        </row>
        <row r="11">
          <cell r="J11" t="str">
            <v>The Chalet</v>
          </cell>
          <cell r="Q11" t="str">
            <v>7340 West 38th Avenue</v>
          </cell>
          <cell r="S11" t="str">
            <v>Wheat Ridge</v>
          </cell>
          <cell r="T11">
            <v>80033</v>
          </cell>
          <cell r="V11" t="str">
            <v>CO</v>
          </cell>
          <cell r="AA11">
            <v>0.47</v>
          </cell>
          <cell r="AD11">
            <v>0</v>
          </cell>
          <cell r="AN11">
            <v>0</v>
          </cell>
          <cell r="AP11">
            <v>0</v>
          </cell>
          <cell r="AT11">
            <v>2817</v>
          </cell>
          <cell r="AU11">
            <v>1957</v>
          </cell>
          <cell r="AW11">
            <v>0</v>
          </cell>
          <cell r="BD11">
            <v>39295</v>
          </cell>
          <cell r="BI11">
            <v>600000</v>
          </cell>
          <cell r="BM11">
            <v>600000</v>
          </cell>
          <cell r="BQ11">
            <v>1</v>
          </cell>
          <cell r="CC11">
            <v>0</v>
          </cell>
          <cell r="CE11">
            <v>0</v>
          </cell>
          <cell r="CG11">
            <v>0</v>
          </cell>
          <cell r="CH11">
            <v>0</v>
          </cell>
          <cell r="CI11">
            <v>212.99</v>
          </cell>
          <cell r="CJ11">
            <v>0</v>
          </cell>
          <cell r="GM11" t="str">
            <v>Sale</v>
          </cell>
        </row>
        <row r="12">
          <cell r="J12" t="str">
            <v>Former Marie Callenders</v>
          </cell>
          <cell r="Q12" t="str">
            <v>6030 West 92nd Avenue</v>
          </cell>
          <cell r="S12" t="str">
            <v>Westminster</v>
          </cell>
          <cell r="T12">
            <v>80031</v>
          </cell>
          <cell r="V12" t="str">
            <v>CO</v>
          </cell>
          <cell r="AA12">
            <v>1.07</v>
          </cell>
          <cell r="AP12">
            <v>0</v>
          </cell>
          <cell r="AT12">
            <v>10552</v>
          </cell>
          <cell r="AU12">
            <v>1986</v>
          </cell>
          <cell r="AW12">
            <v>0</v>
          </cell>
          <cell r="BD12">
            <v>39417</v>
          </cell>
          <cell r="BI12">
            <v>1720000</v>
          </cell>
          <cell r="BM12">
            <v>1720000</v>
          </cell>
          <cell r="CC12">
            <v>0</v>
          </cell>
          <cell r="CE12">
            <v>0</v>
          </cell>
          <cell r="CG12">
            <v>0</v>
          </cell>
          <cell r="CH12">
            <v>0</v>
          </cell>
          <cell r="CI12">
            <v>163</v>
          </cell>
          <cell r="CJ12">
            <v>0</v>
          </cell>
          <cell r="GM12" t="str">
            <v>Sale</v>
          </cell>
        </row>
        <row r="20">
          <cell r="J20" t="str">
            <v>Shea Plaza</v>
          </cell>
          <cell r="Q20" t="str">
            <v>NEC Shea Boulevard &amp; 32nd Street</v>
          </cell>
          <cell r="S20" t="str">
            <v>Phoenix</v>
          </cell>
          <cell r="T20">
            <v>85028</v>
          </cell>
          <cell r="V20" t="str">
            <v>AZ</v>
          </cell>
          <cell r="AA20">
            <v>7.74</v>
          </cell>
          <cell r="AC20" t="str">
            <v>Yes - Vacant Pa</v>
          </cell>
          <cell r="AD20">
            <v>0</v>
          </cell>
          <cell r="AL20">
            <v>0</v>
          </cell>
          <cell r="AT20">
            <v>86000</v>
          </cell>
          <cell r="AU20">
            <v>1971</v>
          </cell>
          <cell r="BD20">
            <v>38504</v>
          </cell>
          <cell r="BM20">
            <v>13450000</v>
          </cell>
          <cell r="BQ20">
            <v>1</v>
          </cell>
          <cell r="CC20">
            <v>11.4</v>
          </cell>
          <cell r="CE20">
            <v>7.29</v>
          </cell>
          <cell r="CI20">
            <v>156.4</v>
          </cell>
          <cell r="CJ20">
            <v>0</v>
          </cell>
          <cell r="GM20" t="str">
            <v>Sale</v>
          </cell>
        </row>
        <row r="21">
          <cell r="J21" t="str">
            <v>Shoppes at Palm Valley</v>
          </cell>
          <cell r="Q21" t="str">
            <v>3865 Mickler Road</v>
          </cell>
          <cell r="S21" t="str">
            <v>Ponte Vedra Beach</v>
          </cell>
          <cell r="V21" t="str">
            <v>FL</v>
          </cell>
          <cell r="Y21" t="str">
            <v>067240 0000</v>
          </cell>
          <cell r="AA21">
            <v>5.57</v>
          </cell>
          <cell r="AC21" t="str">
            <v>none</v>
          </cell>
          <cell r="AD21">
            <v>0</v>
          </cell>
          <cell r="AL21">
            <v>0</v>
          </cell>
          <cell r="AT21">
            <v>39927</v>
          </cell>
          <cell r="AU21">
            <v>2005</v>
          </cell>
          <cell r="BD21">
            <v>38504</v>
          </cell>
          <cell r="BM21">
            <v>12730000</v>
          </cell>
          <cell r="BQ21">
            <v>1</v>
          </cell>
          <cell r="CC21">
            <v>21.49</v>
          </cell>
          <cell r="CE21">
            <v>6.74</v>
          </cell>
          <cell r="CI21">
            <v>318.83</v>
          </cell>
          <cell r="CJ21">
            <v>0</v>
          </cell>
          <cell r="GM21" t="str">
            <v>Sale</v>
          </cell>
        </row>
        <row r="22">
          <cell r="J22" t="str">
            <v>Shops at Boca Grove</v>
          </cell>
          <cell r="Q22" t="str">
            <v>21055 Jog Road</v>
          </cell>
          <cell r="S22" t="str">
            <v>Boca Raton</v>
          </cell>
          <cell r="T22">
            <v>33433</v>
          </cell>
          <cell r="V22" t="str">
            <v>FL</v>
          </cell>
          <cell r="Y22" t="str">
            <v>00-4247-22-00-000-3090</v>
          </cell>
          <cell r="AA22">
            <v>6.31</v>
          </cell>
          <cell r="AD22">
            <v>0</v>
          </cell>
          <cell r="AL22">
            <v>0</v>
          </cell>
          <cell r="AT22">
            <v>190110</v>
          </cell>
          <cell r="AU22">
            <v>1984</v>
          </cell>
          <cell r="BD22">
            <v>38504</v>
          </cell>
          <cell r="BM22">
            <v>0</v>
          </cell>
          <cell r="BQ22">
            <v>0.91</v>
          </cell>
          <cell r="CC22">
            <v>0</v>
          </cell>
          <cell r="CE22">
            <v>0</v>
          </cell>
          <cell r="CI22">
            <v>0</v>
          </cell>
          <cell r="CJ22">
            <v>0</v>
          </cell>
          <cell r="GM22" t="str">
            <v>Contract</v>
          </cell>
        </row>
        <row r="23">
          <cell r="J23" t="str">
            <v>Steele Creek Crossing</v>
          </cell>
          <cell r="Q23" t="str">
            <v>12810 York Road</v>
          </cell>
          <cell r="S23" t="str">
            <v>Charlotte</v>
          </cell>
          <cell r="V23" t="str">
            <v>NC</v>
          </cell>
          <cell r="Y23" t="str">
            <v>201-231-12 &amp;13</v>
          </cell>
          <cell r="AA23">
            <v>11.28</v>
          </cell>
          <cell r="AD23">
            <v>0</v>
          </cell>
          <cell r="AL23">
            <v>10908</v>
          </cell>
          <cell r="AT23">
            <v>69201</v>
          </cell>
          <cell r="AU23">
            <v>2000</v>
          </cell>
          <cell r="BD23">
            <v>38504</v>
          </cell>
          <cell r="BM23">
            <v>14500000</v>
          </cell>
          <cell r="CC23">
            <v>0</v>
          </cell>
          <cell r="CE23">
            <v>0</v>
          </cell>
          <cell r="CI23">
            <v>209.53</v>
          </cell>
          <cell r="CJ23">
            <v>0</v>
          </cell>
          <cell r="GM23" t="str">
            <v>Contract</v>
          </cell>
        </row>
        <row r="24">
          <cell r="J24" t="str">
            <v>The Pavilion</v>
          </cell>
          <cell r="Q24" t="str">
            <v>1900-1998 Hacienda Drive</v>
          </cell>
          <cell r="S24" t="str">
            <v>Vista</v>
          </cell>
          <cell r="T24">
            <v>92083</v>
          </cell>
          <cell r="V24" t="str">
            <v>CA</v>
          </cell>
          <cell r="Y24" t="str">
            <v>166-054-25, 44</v>
          </cell>
          <cell r="AA24">
            <v>10.87</v>
          </cell>
          <cell r="AD24">
            <v>0</v>
          </cell>
          <cell r="AL24">
            <v>0</v>
          </cell>
          <cell r="AT24">
            <v>135754</v>
          </cell>
          <cell r="AU24">
            <v>1989</v>
          </cell>
          <cell r="BD24">
            <v>38504</v>
          </cell>
          <cell r="BM24">
            <v>28500000</v>
          </cell>
          <cell r="BQ24">
            <v>0.97</v>
          </cell>
          <cell r="CC24">
            <v>14.38</v>
          </cell>
          <cell r="CE24">
            <v>6.85</v>
          </cell>
          <cell r="CI24">
            <v>209.94</v>
          </cell>
          <cell r="CJ24">
            <v>0</v>
          </cell>
          <cell r="GM24" t="str">
            <v>Sale</v>
          </cell>
        </row>
        <row r="25">
          <cell r="J25" t="str">
            <v>Torrey Hills Center</v>
          </cell>
          <cell r="Q25" t="str">
            <v>4639 to 4853 Carmel Mountain Road</v>
          </cell>
          <cell r="S25" t="str">
            <v>San Diego</v>
          </cell>
          <cell r="T25">
            <v>92130</v>
          </cell>
          <cell r="V25" t="str">
            <v>CA</v>
          </cell>
          <cell r="AA25">
            <v>15.3</v>
          </cell>
          <cell r="AD25">
            <v>0</v>
          </cell>
          <cell r="AT25">
            <v>86584</v>
          </cell>
          <cell r="AU25">
            <v>2005</v>
          </cell>
          <cell r="BD25">
            <v>38504</v>
          </cell>
          <cell r="BM25">
            <v>36750000</v>
          </cell>
          <cell r="BQ25" t="str">
            <v>N/A</v>
          </cell>
          <cell r="CC25">
            <v>25.9</v>
          </cell>
          <cell r="CE25">
            <v>6.1</v>
          </cell>
          <cell r="CI25">
            <v>424.44</v>
          </cell>
          <cell r="CJ25">
            <v>0</v>
          </cell>
          <cell r="GM25" t="str">
            <v>Sale</v>
          </cell>
        </row>
        <row r="32">
          <cell r="L32" t="str">
            <v>NWC Sam Houston Parkway &amp; Mesa</v>
          </cell>
          <cell r="O32" t="str">
            <v>NWC Sam Houston Parkway &amp; Mesa</v>
          </cell>
          <cell r="Q32" t="str">
            <v>Humble</v>
          </cell>
          <cell r="T32" t="str">
            <v>Tx</v>
          </cell>
          <cell r="AA32">
            <v>5.2256</v>
          </cell>
          <cell r="AB32">
            <v>227627</v>
          </cell>
          <cell r="AH32" t="str">
            <v>N/A</v>
          </cell>
          <cell r="AK32">
            <v>0</v>
          </cell>
          <cell r="AM32">
            <v>37469</v>
          </cell>
          <cell r="AR32">
            <v>967415</v>
          </cell>
          <cell r="AV32">
            <v>967415</v>
          </cell>
          <cell r="AZ32" t="str">
            <v>Retail</v>
          </cell>
          <cell r="DM32" t="str">
            <v>Sale</v>
          </cell>
        </row>
        <row r="33">
          <cell r="L33" t="str">
            <v>Proposed Retail Center Site</v>
          </cell>
          <cell r="O33" t="str">
            <v>South side Bellaire Blvd west of Corporate Drive</v>
          </cell>
          <cell r="Q33" t="str">
            <v>Houston</v>
          </cell>
          <cell r="R33">
            <v>77025</v>
          </cell>
          <cell r="T33" t="str">
            <v>TX</v>
          </cell>
          <cell r="AA33">
            <v>5.444</v>
          </cell>
          <cell r="AB33">
            <v>237141</v>
          </cell>
          <cell r="AK33">
            <v>0</v>
          </cell>
          <cell r="AM33">
            <v>37469</v>
          </cell>
          <cell r="AR33">
            <v>2134269</v>
          </cell>
          <cell r="AV33">
            <v>2134269</v>
          </cell>
          <cell r="AZ33" t="str">
            <v>Retail center</v>
          </cell>
          <cell r="DM33" t="str">
            <v>Sale</v>
          </cell>
        </row>
        <row r="34">
          <cell r="L34" t="str">
            <v>Strip Center Site</v>
          </cell>
          <cell r="O34" t="str">
            <v>W Corner of Grant and Prado Woods</v>
          </cell>
          <cell r="Q34" t="str">
            <v>Cypress</v>
          </cell>
          <cell r="R34">
            <v>77429</v>
          </cell>
          <cell r="T34" t="str">
            <v>TX</v>
          </cell>
          <cell r="AA34">
            <v>3.82</v>
          </cell>
          <cell r="AB34">
            <v>166399</v>
          </cell>
          <cell r="AH34" t="str">
            <v>none</v>
          </cell>
          <cell r="AK34">
            <v>0</v>
          </cell>
          <cell r="AM34">
            <v>37500</v>
          </cell>
          <cell r="AR34">
            <v>665596</v>
          </cell>
          <cell r="AV34">
            <v>665596</v>
          </cell>
          <cell r="AZ34" t="str">
            <v>Strip center</v>
          </cell>
          <cell r="DM34" t="str">
            <v>Sale</v>
          </cell>
        </row>
        <row r="44">
          <cell r="L44" t="str">
            <v>4965 Dorchester Road</v>
          </cell>
          <cell r="O44" t="str">
            <v>4965 Dorchester Road</v>
          </cell>
          <cell r="Q44" t="str">
            <v>North Charleston</v>
          </cell>
          <cell r="R44">
            <v>29418</v>
          </cell>
          <cell r="T44" t="str">
            <v>SC</v>
          </cell>
          <cell r="AA44">
            <v>1.52</v>
          </cell>
          <cell r="AB44">
            <v>66211</v>
          </cell>
          <cell r="AH44" t="str">
            <v>B2</v>
          </cell>
          <cell r="AK44">
            <v>0</v>
          </cell>
          <cell r="AM44">
            <v>38261</v>
          </cell>
          <cell r="AR44">
            <v>315000</v>
          </cell>
          <cell r="AV44">
            <v>315000</v>
          </cell>
          <cell r="AZ44" t="str">
            <v>Unknown</v>
          </cell>
          <cell r="DM44" t="str">
            <v>Sale</v>
          </cell>
        </row>
        <row r="45">
          <cell r="L45" t="str">
            <v>7520 South Tryon Street</v>
          </cell>
          <cell r="O45" t="str">
            <v>7520 South Tryon Street</v>
          </cell>
          <cell r="Q45" t="str">
            <v>Charlotte</v>
          </cell>
          <cell r="T45" t="str">
            <v>NC</v>
          </cell>
          <cell r="AA45">
            <v>5.3120000000000003</v>
          </cell>
          <cell r="AB45">
            <v>231391</v>
          </cell>
          <cell r="AH45" t="str">
            <v>B-1SCD</v>
          </cell>
          <cell r="AK45">
            <v>0</v>
          </cell>
          <cell r="AM45">
            <v>38261</v>
          </cell>
          <cell r="AR45">
            <v>1069000</v>
          </cell>
          <cell r="AV45">
            <v>1069000</v>
          </cell>
          <cell r="AZ45" t="str">
            <v>Retail</v>
          </cell>
          <cell r="DM45" t="str">
            <v>Sale</v>
          </cell>
        </row>
        <row r="46">
          <cell r="L46" t="str">
            <v>801 Lew Dewitt Boulevard</v>
          </cell>
          <cell r="O46" t="str">
            <v>801 Lew DeWitt Boulevard</v>
          </cell>
          <cell r="Q46" t="str">
            <v>Waynesboro</v>
          </cell>
          <cell r="R46">
            <v>22980</v>
          </cell>
          <cell r="T46" t="str">
            <v>VA</v>
          </cell>
          <cell r="AA46">
            <v>18.943999999999999</v>
          </cell>
          <cell r="AB46">
            <v>825200</v>
          </cell>
          <cell r="AH46" t="str">
            <v>C-2</v>
          </cell>
          <cell r="AK46">
            <v>0</v>
          </cell>
          <cell r="AM46">
            <v>38261</v>
          </cell>
          <cell r="AR46">
            <v>3600000</v>
          </cell>
          <cell r="AV46">
            <v>3600000</v>
          </cell>
          <cell r="AZ46" t="str">
            <v>Retail Center</v>
          </cell>
          <cell r="DM46" t="str">
            <v>Sale</v>
          </cell>
        </row>
        <row r="47">
          <cell r="L47" t="str">
            <v>983 S. Rand Road</v>
          </cell>
          <cell r="O47" t="str">
            <v>983 S. Rand Road</v>
          </cell>
          <cell r="Q47" t="str">
            <v>Lake Zurich</v>
          </cell>
          <cell r="R47">
            <v>60047</v>
          </cell>
          <cell r="T47" t="str">
            <v>IL</v>
          </cell>
          <cell r="AA47">
            <v>4.4000000000000004</v>
          </cell>
          <cell r="AB47">
            <v>191664</v>
          </cell>
          <cell r="AH47" t="str">
            <v>R-1, Lake Zurich</v>
          </cell>
          <cell r="AK47">
            <v>0</v>
          </cell>
          <cell r="AM47">
            <v>38261</v>
          </cell>
          <cell r="AR47">
            <v>1100000</v>
          </cell>
          <cell r="AV47">
            <v>1100000</v>
          </cell>
          <cell r="AZ47" t="str">
            <v>Retail center</v>
          </cell>
          <cell r="DM47" t="str">
            <v>Sale</v>
          </cell>
        </row>
        <row r="48">
          <cell r="L48" t="str">
            <v>A-2 Zoned Acreage</v>
          </cell>
          <cell r="O48" t="str">
            <v>16985 E 136th Ave</v>
          </cell>
          <cell r="Q48" t="str">
            <v>Brighton</v>
          </cell>
          <cell r="R48">
            <v>80601</v>
          </cell>
          <cell r="T48" t="str">
            <v>CO</v>
          </cell>
          <cell r="AA48">
            <v>4</v>
          </cell>
          <cell r="AB48">
            <v>174240</v>
          </cell>
          <cell r="AH48" t="str">
            <v>A-2, Brighton</v>
          </cell>
          <cell r="AK48">
            <v>0</v>
          </cell>
          <cell r="AM48">
            <v>38261</v>
          </cell>
          <cell r="AR48">
            <v>840000</v>
          </cell>
          <cell r="AV48">
            <v>840000</v>
          </cell>
          <cell r="AZ48" t="str">
            <v>Commercial Land</v>
          </cell>
          <cell r="DM48" t="str">
            <v>Sale</v>
          </cell>
        </row>
        <row r="49">
          <cell r="L49" t="str">
            <v>Commercial Land</v>
          </cell>
          <cell r="O49" t="str">
            <v>NEC of W Herndon and N Blythe</v>
          </cell>
          <cell r="Q49" t="str">
            <v>Fresno</v>
          </cell>
          <cell r="R49">
            <v>93650</v>
          </cell>
          <cell r="T49" t="str">
            <v>CA</v>
          </cell>
          <cell r="AA49">
            <v>6.8</v>
          </cell>
          <cell r="AB49">
            <v>296208</v>
          </cell>
          <cell r="AH49" t="str">
            <v>C-3</v>
          </cell>
          <cell r="AK49">
            <v>0</v>
          </cell>
          <cell r="AM49">
            <v>38261</v>
          </cell>
          <cell r="AR49">
            <v>1429500</v>
          </cell>
          <cell r="AV49">
            <v>1429500</v>
          </cell>
          <cell r="AZ49" t="str">
            <v>Commercial/Light Industrial</v>
          </cell>
          <cell r="DM49" t="str">
            <v>Sale</v>
          </cell>
        </row>
        <row r="56">
          <cell r="J56" t="str">
            <v>Inwood Central Shopping Center</v>
          </cell>
          <cell r="Q56" t="str">
            <v>8021 Antoine Village</v>
          </cell>
          <cell r="S56" t="str">
            <v>Houston</v>
          </cell>
          <cell r="T56">
            <v>77088</v>
          </cell>
          <cell r="V56" t="str">
            <v>TX</v>
          </cell>
          <cell r="AD56">
            <v>0</v>
          </cell>
          <cell r="AG56" t="str">
            <v>Ginham Goose</v>
          </cell>
          <cell r="AN56">
            <v>0</v>
          </cell>
          <cell r="AP56">
            <v>0</v>
          </cell>
          <cell r="AS56">
            <v>83262</v>
          </cell>
          <cell r="AU56">
            <v>1981</v>
          </cell>
          <cell r="CK56">
            <v>0.98</v>
          </cell>
          <cell r="CL56">
            <v>0.98</v>
          </cell>
          <cell r="CO56" t="str">
            <v>$8.00 -$11.00</v>
          </cell>
          <cell r="CQ56" t="str">
            <v>None</v>
          </cell>
          <cell r="CR56" t="str">
            <v>NNN</v>
          </cell>
          <cell r="CS56" t="str">
            <v>Cam, Tax, Ins.</v>
          </cell>
          <cell r="CW56" t="str">
            <v>Negotiable</v>
          </cell>
          <cell r="DI56">
            <v>0</v>
          </cell>
          <cell r="DJ56">
            <v>0</v>
          </cell>
          <cell r="DK56">
            <v>0</v>
          </cell>
          <cell r="DL56">
            <v>0</v>
          </cell>
          <cell r="DM56">
            <v>0</v>
          </cell>
          <cell r="DS56">
            <v>0</v>
          </cell>
          <cell r="DT56">
            <v>0</v>
          </cell>
          <cell r="DU56">
            <v>0</v>
          </cell>
          <cell r="DV56">
            <v>0</v>
          </cell>
          <cell r="DW56">
            <v>0</v>
          </cell>
          <cell r="DX56">
            <v>0</v>
          </cell>
          <cell r="DY56">
            <v>0</v>
          </cell>
          <cell r="DZ56">
            <v>0</v>
          </cell>
          <cell r="EA56">
            <v>0</v>
          </cell>
          <cell r="ER56">
            <v>0</v>
          </cell>
          <cell r="ES56">
            <v>0</v>
          </cell>
          <cell r="ET56">
            <v>0</v>
          </cell>
          <cell r="EU56">
            <v>0</v>
          </cell>
          <cell r="EV56">
            <v>0</v>
          </cell>
          <cell r="EX56" t="b">
            <v>0</v>
          </cell>
          <cell r="EY56">
            <v>0</v>
          </cell>
          <cell r="EZ56">
            <v>0</v>
          </cell>
        </row>
        <row r="57">
          <cell r="J57" t="str">
            <v>Inwood Village</v>
          </cell>
          <cell r="Q57" t="str">
            <v>6438-6496 W. Little York</v>
          </cell>
          <cell r="S57" t="str">
            <v>Houston</v>
          </cell>
          <cell r="T57">
            <v>77088</v>
          </cell>
          <cell r="V57" t="str">
            <v>Tx</v>
          </cell>
          <cell r="AD57">
            <v>0</v>
          </cell>
          <cell r="AG57" t="str">
            <v>Ace Cash Express</v>
          </cell>
          <cell r="AN57">
            <v>0</v>
          </cell>
          <cell r="AP57">
            <v>0</v>
          </cell>
          <cell r="AS57">
            <v>68000</v>
          </cell>
          <cell r="AU57">
            <v>1975</v>
          </cell>
          <cell r="CK57">
            <v>1</v>
          </cell>
          <cell r="CL57">
            <v>1</v>
          </cell>
          <cell r="CO57" t="str">
            <v>$6.24 - $17.04</v>
          </cell>
          <cell r="CS57" t="str">
            <v>NNN - $3.84</v>
          </cell>
          <cell r="CW57" t="str">
            <v>Negotiable</v>
          </cell>
          <cell r="DI57">
            <v>0</v>
          </cell>
          <cell r="DJ57">
            <v>0</v>
          </cell>
          <cell r="DK57">
            <v>0</v>
          </cell>
          <cell r="DL57">
            <v>0</v>
          </cell>
          <cell r="DM57">
            <v>0</v>
          </cell>
          <cell r="DS57">
            <v>0</v>
          </cell>
          <cell r="DT57">
            <v>0</v>
          </cell>
          <cell r="DU57">
            <v>0</v>
          </cell>
          <cell r="DV57">
            <v>0</v>
          </cell>
          <cell r="DW57">
            <v>0</v>
          </cell>
          <cell r="DX57">
            <v>0</v>
          </cell>
          <cell r="DY57">
            <v>0</v>
          </cell>
          <cell r="DZ57">
            <v>0</v>
          </cell>
          <cell r="EA57">
            <v>0</v>
          </cell>
          <cell r="ER57">
            <v>0</v>
          </cell>
          <cell r="ES57">
            <v>0</v>
          </cell>
          <cell r="ET57">
            <v>0</v>
          </cell>
          <cell r="EU57">
            <v>0</v>
          </cell>
          <cell r="EV57">
            <v>0</v>
          </cell>
          <cell r="EX57" t="b">
            <v>0</v>
          </cell>
          <cell r="EY57">
            <v>0</v>
          </cell>
          <cell r="EZ57">
            <v>0</v>
          </cell>
        </row>
        <row r="58">
          <cell r="J58" t="str">
            <v>Jones Square Shopping Center</v>
          </cell>
          <cell r="Q58" t="str">
            <v>SWC Jones &amp; West</v>
          </cell>
          <cell r="S58" t="str">
            <v>Houston</v>
          </cell>
          <cell r="T58">
            <v>77065</v>
          </cell>
          <cell r="V58" t="str">
            <v>TX</v>
          </cell>
          <cell r="AD58">
            <v>0</v>
          </cell>
          <cell r="AN58">
            <v>0</v>
          </cell>
          <cell r="AP58">
            <v>0</v>
          </cell>
          <cell r="AS58">
            <v>28195</v>
          </cell>
          <cell r="AU58">
            <v>1985</v>
          </cell>
          <cell r="CK58">
            <v>0.94</v>
          </cell>
          <cell r="CL58">
            <v>0.94</v>
          </cell>
          <cell r="CO58" t="str">
            <v>$12.00 psf</v>
          </cell>
          <cell r="CQ58" t="str">
            <v>none</v>
          </cell>
          <cell r="CR58" t="str">
            <v>NNN</v>
          </cell>
          <cell r="CS58" t="str">
            <v>$4.92 psf</v>
          </cell>
          <cell r="CW58" t="str">
            <v>negotiable</v>
          </cell>
          <cell r="DI58">
            <v>0</v>
          </cell>
          <cell r="DJ58">
            <v>0</v>
          </cell>
          <cell r="DK58">
            <v>0</v>
          </cell>
          <cell r="DL58">
            <v>0</v>
          </cell>
          <cell r="DM58">
            <v>0</v>
          </cell>
          <cell r="DS58">
            <v>0</v>
          </cell>
          <cell r="DT58">
            <v>0</v>
          </cell>
          <cell r="DU58">
            <v>0</v>
          </cell>
          <cell r="DV58">
            <v>0</v>
          </cell>
          <cell r="DW58">
            <v>0</v>
          </cell>
          <cell r="DX58">
            <v>0</v>
          </cell>
          <cell r="DY58">
            <v>0</v>
          </cell>
          <cell r="DZ58">
            <v>0</v>
          </cell>
          <cell r="EA58">
            <v>0</v>
          </cell>
          <cell r="ER58">
            <v>0</v>
          </cell>
          <cell r="ES58">
            <v>0</v>
          </cell>
          <cell r="ET58">
            <v>0</v>
          </cell>
          <cell r="EU58">
            <v>0</v>
          </cell>
          <cell r="EV58">
            <v>0</v>
          </cell>
          <cell r="EX58" t="b">
            <v>0</v>
          </cell>
          <cell r="EY58">
            <v>0</v>
          </cell>
          <cell r="EZ58">
            <v>0</v>
          </cell>
        </row>
        <row r="59">
          <cell r="J59" t="str">
            <v>Lakewood Forest</v>
          </cell>
          <cell r="Q59" t="str">
            <v>NWC Louetta &amp; Highway 249</v>
          </cell>
          <cell r="S59" t="str">
            <v>Houston</v>
          </cell>
          <cell r="V59" t="str">
            <v>TX</v>
          </cell>
          <cell r="AD59">
            <v>0</v>
          </cell>
          <cell r="AN59">
            <v>0</v>
          </cell>
          <cell r="AP59">
            <v>0</v>
          </cell>
          <cell r="AS59">
            <v>78225</v>
          </cell>
          <cell r="AU59">
            <v>1982</v>
          </cell>
          <cell r="CK59">
            <v>0.89</v>
          </cell>
          <cell r="CL59">
            <v>0.89</v>
          </cell>
          <cell r="CO59" t="str">
            <v>$8.00-$16.00 psf</v>
          </cell>
          <cell r="CR59" t="str">
            <v>NNN</v>
          </cell>
          <cell r="CS59" t="str">
            <v>$3.60 psf</v>
          </cell>
          <cell r="CW59" t="str">
            <v>negotiable</v>
          </cell>
          <cell r="DI59">
            <v>0</v>
          </cell>
          <cell r="DJ59">
            <v>0</v>
          </cell>
          <cell r="DK59">
            <v>0</v>
          </cell>
          <cell r="DL59">
            <v>0</v>
          </cell>
          <cell r="DM59">
            <v>0</v>
          </cell>
          <cell r="DS59">
            <v>0</v>
          </cell>
          <cell r="DT59">
            <v>0</v>
          </cell>
          <cell r="DU59">
            <v>0</v>
          </cell>
          <cell r="DV59">
            <v>0</v>
          </cell>
          <cell r="DW59">
            <v>0</v>
          </cell>
          <cell r="DX59">
            <v>0</v>
          </cell>
          <cell r="DY59">
            <v>0</v>
          </cell>
          <cell r="DZ59">
            <v>0</v>
          </cell>
          <cell r="EA59">
            <v>0</v>
          </cell>
          <cell r="ER59">
            <v>0</v>
          </cell>
          <cell r="ES59">
            <v>0</v>
          </cell>
          <cell r="ET59">
            <v>0</v>
          </cell>
          <cell r="EU59">
            <v>0</v>
          </cell>
          <cell r="EV59">
            <v>0</v>
          </cell>
          <cell r="EX59" t="b">
            <v>0</v>
          </cell>
          <cell r="EY59">
            <v>0</v>
          </cell>
          <cell r="EZ59">
            <v>0</v>
          </cell>
        </row>
        <row r="60">
          <cell r="J60" t="str">
            <v>Spring Cypress Village</v>
          </cell>
          <cell r="Q60" t="str">
            <v>22506 Tomball Parkway</v>
          </cell>
          <cell r="S60" t="str">
            <v>Houston</v>
          </cell>
          <cell r="V60" t="str">
            <v>TX</v>
          </cell>
          <cell r="AD60">
            <v>0</v>
          </cell>
          <cell r="AN60">
            <v>0</v>
          </cell>
          <cell r="AP60">
            <v>0</v>
          </cell>
          <cell r="AS60">
            <v>100793</v>
          </cell>
          <cell r="AU60">
            <v>1982</v>
          </cell>
          <cell r="CK60">
            <v>0.55900000000000005</v>
          </cell>
          <cell r="CL60">
            <v>0.55900000000000005</v>
          </cell>
          <cell r="CO60" t="str">
            <v>$10.00-$15.00 psf</v>
          </cell>
          <cell r="CQ60" t="str">
            <v>None</v>
          </cell>
          <cell r="CR60" t="str">
            <v>NNN</v>
          </cell>
          <cell r="CS60" t="str">
            <v>$2.90 psf</v>
          </cell>
          <cell r="CW60" t="str">
            <v>Negotiable</v>
          </cell>
          <cell r="DI60">
            <v>0</v>
          </cell>
          <cell r="DJ60">
            <v>0</v>
          </cell>
          <cell r="DK60">
            <v>0</v>
          </cell>
          <cell r="DL60">
            <v>0</v>
          </cell>
          <cell r="DM60">
            <v>0</v>
          </cell>
          <cell r="DS60">
            <v>0</v>
          </cell>
          <cell r="DT60">
            <v>0</v>
          </cell>
          <cell r="DU60">
            <v>0</v>
          </cell>
          <cell r="DV60">
            <v>0</v>
          </cell>
          <cell r="DW60">
            <v>0</v>
          </cell>
          <cell r="DX60">
            <v>0</v>
          </cell>
          <cell r="DY60">
            <v>0</v>
          </cell>
          <cell r="DZ60">
            <v>0</v>
          </cell>
          <cell r="EA60">
            <v>0</v>
          </cell>
          <cell r="ER60">
            <v>0</v>
          </cell>
          <cell r="ES60">
            <v>0</v>
          </cell>
          <cell r="ET60">
            <v>0</v>
          </cell>
          <cell r="EU60">
            <v>0</v>
          </cell>
          <cell r="EV60">
            <v>0</v>
          </cell>
          <cell r="EX60" t="b">
            <v>0</v>
          </cell>
          <cell r="EY60">
            <v>0</v>
          </cell>
          <cell r="EZ60">
            <v>0</v>
          </cell>
        </row>
        <row r="69">
          <cell r="J69" t="str">
            <v>Abercorn Walk</v>
          </cell>
          <cell r="Q69" t="str">
            <v>5525 Abercorn Street</v>
          </cell>
          <cell r="S69" t="str">
            <v>Savannah</v>
          </cell>
          <cell r="T69">
            <v>31405</v>
          </cell>
          <cell r="V69" t="str">
            <v>GA</v>
          </cell>
          <cell r="AA69">
            <v>5.6</v>
          </cell>
          <cell r="AD69">
            <v>0</v>
          </cell>
          <cell r="AN69">
            <v>0</v>
          </cell>
          <cell r="AS69">
            <v>70000</v>
          </cell>
          <cell r="AU69">
            <v>2005</v>
          </cell>
          <cell r="CK69" t="str">
            <v>Lease-up</v>
          </cell>
          <cell r="CL69" t="str">
            <v>Lease-up</v>
          </cell>
          <cell r="CO69">
            <v>35</v>
          </cell>
          <cell r="CQ69">
            <v>0.03</v>
          </cell>
          <cell r="CR69" t="str">
            <v>NNN</v>
          </cell>
          <cell r="CS69" t="str">
            <v>$4.70 PSF</v>
          </cell>
          <cell r="DI69">
            <v>0</v>
          </cell>
          <cell r="DJ69">
            <v>0</v>
          </cell>
          <cell r="DK69">
            <v>0</v>
          </cell>
          <cell r="DL69">
            <v>0</v>
          </cell>
          <cell r="DS69">
            <v>0</v>
          </cell>
          <cell r="DT69">
            <v>0</v>
          </cell>
          <cell r="DU69">
            <v>0</v>
          </cell>
          <cell r="DV69">
            <v>0</v>
          </cell>
          <cell r="DX69">
            <v>0</v>
          </cell>
          <cell r="DY69">
            <v>0</v>
          </cell>
          <cell r="DZ69">
            <v>0</v>
          </cell>
          <cell r="EA69">
            <v>0</v>
          </cell>
          <cell r="ER69">
            <v>0</v>
          </cell>
          <cell r="ES69">
            <v>0</v>
          </cell>
          <cell r="ET69">
            <v>0</v>
          </cell>
          <cell r="EU69">
            <v>0</v>
          </cell>
        </row>
        <row r="70">
          <cell r="J70" t="str">
            <v>Creekside Village</v>
          </cell>
          <cell r="Q70" t="str">
            <v>9400 Interstate 35 South</v>
          </cell>
          <cell r="S70" t="str">
            <v>Austin</v>
          </cell>
          <cell r="V70" t="str">
            <v>TX</v>
          </cell>
          <cell r="AA70">
            <v>0</v>
          </cell>
          <cell r="AD70">
            <v>0</v>
          </cell>
          <cell r="AF70" t="str">
            <v>PetsMart</v>
          </cell>
          <cell r="AN70">
            <v>0</v>
          </cell>
          <cell r="AS70">
            <v>260926</v>
          </cell>
          <cell r="AU70">
            <v>2005</v>
          </cell>
          <cell r="CK70">
            <v>0.96899999999999997</v>
          </cell>
          <cell r="CL70">
            <v>0.96899999999999997</v>
          </cell>
          <cell r="CO70">
            <v>26.5</v>
          </cell>
          <cell r="CQ70" t="str">
            <v>Varies per Tenant</v>
          </cell>
          <cell r="CR70" t="str">
            <v>NNN</v>
          </cell>
          <cell r="CS70">
            <v>5.3</v>
          </cell>
          <cell r="CW70" t="str">
            <v>$15 from Shell</v>
          </cell>
          <cell r="CZ70">
            <v>38412</v>
          </cell>
          <cell r="DB70">
            <v>38412</v>
          </cell>
          <cell r="DD70">
            <v>38412</v>
          </cell>
          <cell r="DF70">
            <v>38412</v>
          </cell>
          <cell r="DI70">
            <v>22304</v>
          </cell>
          <cell r="DJ70">
            <v>1200</v>
          </cell>
          <cell r="DK70">
            <v>3000</v>
          </cell>
          <cell r="DL70">
            <v>2500</v>
          </cell>
          <cell r="DN70" t="str">
            <v>PetsMart</v>
          </cell>
          <cell r="DO70" t="str">
            <v>EB Games</v>
          </cell>
          <cell r="DP70" t="str">
            <v>Sprint</v>
          </cell>
          <cell r="DQ70" t="str">
            <v>Twin Liquors</v>
          </cell>
          <cell r="DS70">
            <v>12.5</v>
          </cell>
          <cell r="DT70">
            <v>26</v>
          </cell>
          <cell r="DU70">
            <v>30.8</v>
          </cell>
          <cell r="DV70">
            <v>21.6</v>
          </cell>
          <cell r="DX70">
            <v>0</v>
          </cell>
          <cell r="DY70">
            <v>0</v>
          </cell>
          <cell r="DZ70">
            <v>0</v>
          </cell>
          <cell r="EA70">
            <v>0</v>
          </cell>
          <cell r="ER70">
            <v>10</v>
          </cell>
          <cell r="ES70">
            <v>5</v>
          </cell>
          <cell r="ET70">
            <v>7</v>
          </cell>
          <cell r="EU70">
            <v>5</v>
          </cell>
        </row>
        <row r="71">
          <cell r="J71" t="str">
            <v>Dollar Tree</v>
          </cell>
          <cell r="Q71" t="str">
            <v>250 San Pablo Towne Center</v>
          </cell>
          <cell r="S71" t="str">
            <v>San Pablo</v>
          </cell>
          <cell r="V71" t="str">
            <v>CA</v>
          </cell>
          <cell r="AA71">
            <v>0</v>
          </cell>
          <cell r="AD71">
            <v>0</v>
          </cell>
          <cell r="AF71" t="str">
            <v>Longs Drugs</v>
          </cell>
          <cell r="AG71" t="str">
            <v>24 Hour Fitness</v>
          </cell>
          <cell r="AN71">
            <v>10080</v>
          </cell>
          <cell r="AS71">
            <v>176760</v>
          </cell>
          <cell r="AU71">
            <v>1991</v>
          </cell>
          <cell r="CL71">
            <v>0.99</v>
          </cell>
          <cell r="CS71" t="str">
            <v>NNN</v>
          </cell>
          <cell r="CZ71">
            <v>37653</v>
          </cell>
          <cell r="DI71">
            <v>10080</v>
          </cell>
          <cell r="DJ71">
            <v>0</v>
          </cell>
          <cell r="DK71">
            <v>0</v>
          </cell>
          <cell r="DL71">
            <v>0</v>
          </cell>
          <cell r="DN71" t="str">
            <v>Dollar Tree</v>
          </cell>
          <cell r="DS71">
            <v>0.84</v>
          </cell>
          <cell r="DT71">
            <v>0</v>
          </cell>
          <cell r="DU71">
            <v>0</v>
          </cell>
          <cell r="DV71">
            <v>0</v>
          </cell>
          <cell r="DX71">
            <v>0</v>
          </cell>
          <cell r="DY71">
            <v>0</v>
          </cell>
          <cell r="DZ71">
            <v>0</v>
          </cell>
          <cell r="EA71">
            <v>0</v>
          </cell>
          <cell r="EH71" t="str">
            <v>10% in Yr. 6</v>
          </cell>
          <cell r="ER71">
            <v>10</v>
          </cell>
          <cell r="ES71">
            <v>0</v>
          </cell>
          <cell r="ET71">
            <v>0</v>
          </cell>
          <cell r="EU71">
            <v>0</v>
          </cell>
        </row>
        <row r="72">
          <cell r="J72" t="str">
            <v>Parkway Plaza</v>
          </cell>
          <cell r="Q72" t="str">
            <v>1096 Concord Parkway</v>
          </cell>
          <cell r="S72" t="str">
            <v>Concord</v>
          </cell>
          <cell r="T72">
            <v>28025</v>
          </cell>
          <cell r="V72" t="str">
            <v>NC</v>
          </cell>
          <cell r="AA72">
            <v>0</v>
          </cell>
          <cell r="AD72">
            <v>0</v>
          </cell>
          <cell r="AN72">
            <v>0</v>
          </cell>
          <cell r="AS72">
            <v>35000</v>
          </cell>
          <cell r="AU72">
            <v>1999</v>
          </cell>
          <cell r="CK72">
            <v>1</v>
          </cell>
          <cell r="CL72">
            <v>1</v>
          </cell>
          <cell r="CO72" t="str">
            <v>$16 psf</v>
          </cell>
          <cell r="CQ72" t="str">
            <v>Varies</v>
          </cell>
          <cell r="CR72" t="str">
            <v>NNN</v>
          </cell>
          <cell r="CS72">
            <v>2.2999999999999998</v>
          </cell>
          <cell r="CW72" t="str">
            <v>None</v>
          </cell>
          <cell r="DI72">
            <v>0</v>
          </cell>
          <cell r="DJ72">
            <v>0</v>
          </cell>
          <cell r="DK72">
            <v>0</v>
          </cell>
          <cell r="DL72">
            <v>0</v>
          </cell>
          <cell r="DS72">
            <v>0</v>
          </cell>
          <cell r="DT72">
            <v>0</v>
          </cell>
          <cell r="DU72">
            <v>0</v>
          </cell>
          <cell r="DV72">
            <v>0</v>
          </cell>
          <cell r="DX72">
            <v>0</v>
          </cell>
          <cell r="DY72">
            <v>0</v>
          </cell>
          <cell r="DZ72">
            <v>0</v>
          </cell>
          <cell r="EA72">
            <v>0</v>
          </cell>
          <cell r="ER72">
            <v>0</v>
          </cell>
          <cell r="ES72">
            <v>0</v>
          </cell>
          <cell r="ET72">
            <v>0</v>
          </cell>
          <cell r="EU72">
            <v>0</v>
          </cell>
        </row>
        <row r="73">
          <cell r="J73" t="str">
            <v>San Marin Plaza</v>
          </cell>
          <cell r="Q73" t="str">
            <v>179 San Marin Drive</v>
          </cell>
          <cell r="S73" t="str">
            <v>Novato</v>
          </cell>
          <cell r="V73" t="str">
            <v>CA</v>
          </cell>
          <cell r="AA73">
            <v>0</v>
          </cell>
          <cell r="AD73">
            <v>0</v>
          </cell>
          <cell r="AN73">
            <v>0</v>
          </cell>
          <cell r="AS73">
            <v>70483</v>
          </cell>
          <cell r="AU73">
            <v>1984</v>
          </cell>
          <cell r="CL73">
            <v>0.95</v>
          </cell>
          <cell r="CO73">
            <v>1.5</v>
          </cell>
          <cell r="CQ73">
            <v>0.03</v>
          </cell>
          <cell r="CR73" t="str">
            <v>NNN</v>
          </cell>
          <cell r="CW73" t="str">
            <v>Negotiable</v>
          </cell>
          <cell r="DI73">
            <v>0</v>
          </cell>
          <cell r="DJ73">
            <v>0</v>
          </cell>
          <cell r="DK73">
            <v>0</v>
          </cell>
          <cell r="DL73">
            <v>0</v>
          </cell>
          <cell r="DS73">
            <v>0</v>
          </cell>
          <cell r="DT73">
            <v>0</v>
          </cell>
          <cell r="DU73">
            <v>0</v>
          </cell>
          <cell r="DV73">
            <v>0</v>
          </cell>
          <cell r="DX73">
            <v>0</v>
          </cell>
          <cell r="DY73">
            <v>0</v>
          </cell>
          <cell r="DZ73">
            <v>0</v>
          </cell>
          <cell r="EA73">
            <v>0</v>
          </cell>
          <cell r="ER73">
            <v>0</v>
          </cell>
          <cell r="ES73">
            <v>0</v>
          </cell>
          <cell r="ET73">
            <v>0</v>
          </cell>
          <cell r="EU73">
            <v>0</v>
          </cell>
        </row>
        <row r="74">
          <cell r="J74" t="str">
            <v>Savannah Crossing</v>
          </cell>
          <cell r="Q74" t="str">
            <v>13065 Abercorn Street</v>
          </cell>
          <cell r="S74" t="str">
            <v>Savannah</v>
          </cell>
          <cell r="V74" t="str">
            <v>GA</v>
          </cell>
          <cell r="AD74">
            <v>0</v>
          </cell>
          <cell r="AS74">
            <v>65693</v>
          </cell>
          <cell r="AU74">
            <v>1989</v>
          </cell>
          <cell r="CK74">
            <v>0.94</v>
          </cell>
          <cell r="CL74">
            <v>0.94</v>
          </cell>
          <cell r="CO74">
            <v>20</v>
          </cell>
          <cell r="CQ74" t="str">
            <v>None</v>
          </cell>
          <cell r="CR74" t="str">
            <v>NNN</v>
          </cell>
          <cell r="CS74" t="str">
            <v>$2.20 psf</v>
          </cell>
          <cell r="CW74" t="str">
            <v>As Is</v>
          </cell>
          <cell r="DI74">
            <v>0</v>
          </cell>
          <cell r="DJ74">
            <v>0</v>
          </cell>
          <cell r="DK74">
            <v>0</v>
          </cell>
          <cell r="DL74">
            <v>0</v>
          </cell>
          <cell r="DS74">
            <v>0</v>
          </cell>
          <cell r="DT74">
            <v>0</v>
          </cell>
          <cell r="DU74">
            <v>0</v>
          </cell>
          <cell r="DV74">
            <v>0</v>
          </cell>
          <cell r="DX74">
            <v>0</v>
          </cell>
          <cell r="DY74">
            <v>0</v>
          </cell>
          <cell r="DZ74">
            <v>0</v>
          </cell>
          <cell r="EA74">
            <v>0</v>
          </cell>
          <cell r="ER74">
            <v>0</v>
          </cell>
          <cell r="ES74">
            <v>0</v>
          </cell>
          <cell r="ET74">
            <v>0</v>
          </cell>
          <cell r="EU74">
            <v>0</v>
          </cell>
        </row>
        <row r="75">
          <cell r="J75" t="str">
            <v>Springfield Commons</v>
          </cell>
          <cell r="S75" t="str">
            <v>Springfield</v>
          </cell>
          <cell r="V75" t="str">
            <v>OH</v>
          </cell>
          <cell r="AD75">
            <v>0</v>
          </cell>
          <cell r="AS75">
            <v>207497</v>
          </cell>
          <cell r="CK75">
            <v>1</v>
          </cell>
          <cell r="CO75" t="str">
            <v>$6.30-$13.00</v>
          </cell>
          <cell r="CZ75">
            <v>38384</v>
          </cell>
          <cell r="DB75">
            <v>35735</v>
          </cell>
          <cell r="DD75">
            <v>38200</v>
          </cell>
          <cell r="DF75">
            <v>38353</v>
          </cell>
          <cell r="DI75">
            <v>125357</v>
          </cell>
          <cell r="DJ75">
            <v>32850</v>
          </cell>
          <cell r="DK75">
            <v>20044</v>
          </cell>
          <cell r="DL75">
            <v>19466</v>
          </cell>
          <cell r="DN75" t="str">
            <v>Lowe's</v>
          </cell>
          <cell r="DO75" t="str">
            <v>Toys R Us</v>
          </cell>
          <cell r="DP75" t="str">
            <v>Best Buy</v>
          </cell>
          <cell r="DQ75" t="str">
            <v>PETsMART</v>
          </cell>
          <cell r="DS75">
            <v>6.3</v>
          </cell>
          <cell r="DT75">
            <v>7.7</v>
          </cell>
          <cell r="DU75">
            <v>12.47</v>
          </cell>
          <cell r="DV75">
            <v>13</v>
          </cell>
          <cell r="DX75">
            <v>0</v>
          </cell>
          <cell r="DY75">
            <v>0</v>
          </cell>
          <cell r="DZ75">
            <v>0</v>
          </cell>
          <cell r="EA75">
            <v>0</v>
          </cell>
          <cell r="ER75">
            <v>10</v>
          </cell>
          <cell r="ES75">
            <v>10</v>
          </cell>
          <cell r="ET75">
            <v>10</v>
          </cell>
          <cell r="EU75">
            <v>10</v>
          </cell>
        </row>
      </sheetData>
      <sheetData sheetId="8" refreshError="1"/>
      <sheetData sheetId="9" refreshError="1">
        <row r="8">
          <cell r="E8">
            <v>7710000</v>
          </cell>
        </row>
        <row r="9">
          <cell r="E9">
            <v>1080000</v>
          </cell>
        </row>
        <row r="21">
          <cell r="M21">
            <v>1080000</v>
          </cell>
          <cell r="N21">
            <v>1080000</v>
          </cell>
          <cell r="O21">
            <v>1080000</v>
          </cell>
        </row>
        <row r="32">
          <cell r="V32">
            <v>1080000</v>
          </cell>
        </row>
        <row r="37">
          <cell r="V37">
            <v>1080000</v>
          </cell>
        </row>
        <row r="44">
          <cell r="AC44">
            <v>1080000</v>
          </cell>
        </row>
      </sheetData>
      <sheetData sheetId="10" refreshError="1"/>
      <sheetData sheetId="11" refreshError="1"/>
      <sheetData sheetId="12" refreshError="1"/>
      <sheetData sheetId="13" refreshError="1">
        <row r="2">
          <cell r="A2">
            <v>2007</v>
          </cell>
        </row>
        <row r="3">
          <cell r="A3" t="str">
            <v>2nd Qtr. 2008</v>
          </cell>
        </row>
        <row r="4">
          <cell r="A4" t="str">
            <v>General Investment A</v>
          </cell>
          <cell r="B4">
            <v>5.7500000000000002E-2</v>
          </cell>
          <cell r="C4">
            <v>7.4999999999999997E-2</v>
          </cell>
          <cell r="D4">
            <v>6.8928571428571395E-2</v>
          </cell>
          <cell r="E4">
            <v>7.0000000000000007E-2</v>
          </cell>
          <cell r="F4">
            <v>8.5000000000000006E-2</v>
          </cell>
          <cell r="G4">
            <v>7.7083333333333295E-2</v>
          </cell>
          <cell r="H4">
            <v>0.08</v>
          </cell>
          <cell r="I4">
            <v>0.09</v>
          </cell>
          <cell r="J4">
            <v>8.5000000000000006E-2</v>
          </cell>
          <cell r="K4">
            <v>3.3833333333333299E-2</v>
          </cell>
          <cell r="L4">
            <v>2.9166666666666698E-2</v>
          </cell>
          <cell r="M4">
            <v>2.9166666666666698E-2</v>
          </cell>
          <cell r="N4">
            <v>1</v>
          </cell>
          <cell r="O4">
            <v>6</v>
          </cell>
          <cell r="P4">
            <v>4.4000000000000004</v>
          </cell>
        </row>
        <row r="5">
          <cell r="A5" t="str">
            <v>General Investment B</v>
          </cell>
          <cell r="B5">
            <v>7.0000000000000007E-2</v>
          </cell>
          <cell r="C5">
            <v>0.08</v>
          </cell>
          <cell r="D5">
            <v>7.4583333333333293E-2</v>
          </cell>
          <cell r="E5">
            <v>7.7499999999999999E-2</v>
          </cell>
          <cell r="F5">
            <v>0.09</v>
          </cell>
          <cell r="G5">
            <v>8.2000000000000003E-2</v>
          </cell>
          <cell r="H5">
            <v>0.09</v>
          </cell>
          <cell r="I5">
            <v>9.5000000000000001E-2</v>
          </cell>
          <cell r="J5">
            <v>9.1666666666666702E-2</v>
          </cell>
          <cell r="K5">
            <v>3.4000000000000002E-2</v>
          </cell>
          <cell r="L5">
            <v>2.9000000000000001E-2</v>
          </cell>
          <cell r="M5">
            <v>2.9000000000000001E-2</v>
          </cell>
          <cell r="N5">
            <v>1</v>
          </cell>
          <cell r="O5">
            <v>6</v>
          </cell>
          <cell r="P5">
            <v>4</v>
          </cell>
        </row>
        <row r="6">
          <cell r="A6" t="str">
            <v>General Investment C</v>
          </cell>
          <cell r="B6">
            <v>0.08</v>
          </cell>
          <cell r="C6">
            <v>0.09</v>
          </cell>
          <cell r="D6">
            <v>8.5999999999999993E-2</v>
          </cell>
          <cell r="E6">
            <v>0.09</v>
          </cell>
          <cell r="F6">
            <v>0.1</v>
          </cell>
          <cell r="G6">
            <v>9.3124999999999999E-2</v>
          </cell>
          <cell r="H6">
            <v>0.1</v>
          </cell>
          <cell r="I6">
            <v>0.11</v>
          </cell>
          <cell r="J6">
            <v>0.105</v>
          </cell>
          <cell r="K6">
            <v>3.125E-2</v>
          </cell>
          <cell r="L6">
            <v>2.8750000000000001E-2</v>
          </cell>
          <cell r="M6">
            <v>2.8750000000000001E-2</v>
          </cell>
          <cell r="N6">
            <v>2</v>
          </cell>
          <cell r="O6">
            <v>6</v>
          </cell>
          <cell r="P6">
            <v>3.3333333333333335</v>
          </cell>
        </row>
        <row r="7">
          <cell r="A7" t="str">
            <v>Apartments A</v>
          </cell>
          <cell r="B7">
            <v>4.7500000000000001E-2</v>
          </cell>
          <cell r="C7">
            <v>6.5000000000000002E-2</v>
          </cell>
          <cell r="D7">
            <v>5.6071428571428598E-2</v>
          </cell>
          <cell r="E7">
            <v>0.05</v>
          </cell>
          <cell r="F7">
            <v>7.4999999999999997E-2</v>
          </cell>
          <cell r="G7">
            <v>6.2642857142857097E-2</v>
          </cell>
          <cell r="H7">
            <v>6.5000000000000002E-2</v>
          </cell>
          <cell r="I7">
            <v>0.09</v>
          </cell>
          <cell r="J7">
            <v>7.5999999999999998E-2</v>
          </cell>
          <cell r="K7">
            <v>3.09230769230769E-2</v>
          </cell>
          <cell r="L7">
            <v>2.9423076923076899E-2</v>
          </cell>
          <cell r="M7">
            <v>2.8846153846153799E-2</v>
          </cell>
          <cell r="N7">
            <v>1</v>
          </cell>
          <cell r="O7">
            <v>12</v>
          </cell>
          <cell r="P7">
            <v>6.8181818181818183</v>
          </cell>
        </row>
        <row r="8">
          <cell r="A8" t="str">
            <v>Apartments B</v>
          </cell>
          <cell r="B8">
            <v>5.2499999999999998E-2</v>
          </cell>
          <cell r="C8">
            <v>0.08</v>
          </cell>
          <cell r="D8">
            <v>6.5227272727272703E-2</v>
          </cell>
          <cell r="E8">
            <v>5.7500000000000002E-2</v>
          </cell>
          <cell r="F8">
            <v>8.2500000000000004E-2</v>
          </cell>
          <cell r="G8">
            <v>7.0000000000000007E-2</v>
          </cell>
          <cell r="H8">
            <v>7.0000000000000007E-2</v>
          </cell>
          <cell r="I8">
            <v>0.10249999999999999</v>
          </cell>
          <cell r="J8">
            <v>8.3611111111111094E-2</v>
          </cell>
          <cell r="K8">
            <v>2.87E-2</v>
          </cell>
          <cell r="L8">
            <v>2.9499999999999998E-2</v>
          </cell>
          <cell r="M8">
            <v>2.8500000000000001E-2</v>
          </cell>
          <cell r="N8">
            <v>1</v>
          </cell>
          <cell r="O8">
            <v>12</v>
          </cell>
          <cell r="P8">
            <v>6</v>
          </cell>
        </row>
        <row r="9">
          <cell r="A9" t="str">
            <v>Apartments C</v>
          </cell>
          <cell r="B9">
            <v>7.0000000000000007E-2</v>
          </cell>
          <cell r="C9">
            <v>8.5000000000000006E-2</v>
          </cell>
          <cell r="D9">
            <v>7.4083333333333307E-2</v>
          </cell>
          <cell r="E9">
            <v>7.4999999999999997E-2</v>
          </cell>
          <cell r="F9">
            <v>0.08</v>
          </cell>
          <cell r="G9">
            <v>7.8399999999999997E-2</v>
          </cell>
          <cell r="H9">
            <v>8.5000000000000006E-2</v>
          </cell>
          <cell r="I9">
            <v>9.5000000000000001E-2</v>
          </cell>
          <cell r="J9">
            <v>0.09</v>
          </cell>
          <cell r="K9">
            <v>2.9399999999999999E-2</v>
          </cell>
          <cell r="L9">
            <v>2.9000000000000001E-2</v>
          </cell>
          <cell r="M9">
            <v>2.8000000000000001E-2</v>
          </cell>
          <cell r="N9">
            <v>2</v>
          </cell>
          <cell r="O9">
            <v>9</v>
          </cell>
          <cell r="P9">
            <v>5.75</v>
          </cell>
        </row>
        <row r="10">
          <cell r="A10" t="str">
            <v>Net Leased Investments A</v>
          </cell>
          <cell r="B10">
            <v>0.04</v>
          </cell>
          <cell r="C10">
            <v>7.4999999999999997E-2</v>
          </cell>
          <cell r="D10">
            <v>5.7500000000000002E-2</v>
          </cell>
          <cell r="E10">
            <v>0.05</v>
          </cell>
          <cell r="F10">
            <v>7.2499999999999995E-2</v>
          </cell>
          <cell r="G10">
            <v>5.9499999999999997E-2</v>
          </cell>
          <cell r="H10">
            <v>0.06</v>
          </cell>
          <cell r="I10">
            <v>7.0000000000000007E-2</v>
          </cell>
          <cell r="J10">
            <v>6.3333333333333297E-2</v>
          </cell>
          <cell r="K10">
            <v>3.4000000000000002E-2</v>
          </cell>
          <cell r="L10">
            <v>0.03</v>
          </cell>
          <cell r="M10">
            <v>0.03</v>
          </cell>
          <cell r="N10">
            <v>1</v>
          </cell>
          <cell r="O10">
            <v>6</v>
          </cell>
          <cell r="P10">
            <v>2.8</v>
          </cell>
        </row>
        <row r="11">
          <cell r="A11" t="str">
            <v>Net Leased Investments B</v>
          </cell>
          <cell r="B11">
            <v>0.05</v>
          </cell>
          <cell r="C11">
            <v>7.7499999999999999E-2</v>
          </cell>
          <cell r="D11">
            <v>6.3750000000000001E-2</v>
          </cell>
          <cell r="E11">
            <v>5.5E-2</v>
          </cell>
          <cell r="F11">
            <v>7.7499999999999999E-2</v>
          </cell>
          <cell r="G11">
            <v>6.6500000000000004E-2</v>
          </cell>
          <cell r="H11">
            <v>6.5000000000000002E-2</v>
          </cell>
          <cell r="I11">
            <v>7.4999999999999997E-2</v>
          </cell>
          <cell r="J11">
            <v>7.0000000000000007E-2</v>
          </cell>
          <cell r="K11">
            <v>3.4000000000000002E-2</v>
          </cell>
          <cell r="L11">
            <v>0.03</v>
          </cell>
          <cell r="M11">
            <v>0.03</v>
          </cell>
          <cell r="N11">
            <v>1</v>
          </cell>
          <cell r="O11">
            <v>6</v>
          </cell>
          <cell r="P11">
            <v>2.8</v>
          </cell>
        </row>
        <row r="12">
          <cell r="A12" t="str">
            <v>Net Leased Investments C</v>
          </cell>
          <cell r="B12">
            <v>0.06</v>
          </cell>
          <cell r="C12">
            <v>8.2500000000000004E-2</v>
          </cell>
          <cell r="D12">
            <v>6.9583333333333303E-2</v>
          </cell>
          <cell r="E12">
            <v>7.0000000000000007E-2</v>
          </cell>
          <cell r="F12">
            <v>8.2500000000000004E-2</v>
          </cell>
          <cell r="G12">
            <v>7.5499999999999998E-2</v>
          </cell>
          <cell r="H12">
            <v>7.4999999999999997E-2</v>
          </cell>
          <cell r="I12">
            <v>8.5000000000000006E-2</v>
          </cell>
          <cell r="J12">
            <v>0.08</v>
          </cell>
          <cell r="K12">
            <v>3.4000000000000002E-2</v>
          </cell>
          <cell r="L12">
            <v>0.03</v>
          </cell>
          <cell r="M12">
            <v>0.03</v>
          </cell>
          <cell r="N12">
            <v>1</v>
          </cell>
          <cell r="O12">
            <v>6</v>
          </cell>
          <cell r="P12">
            <v>4.2</v>
          </cell>
        </row>
        <row r="13">
          <cell r="A13" t="str">
            <v>Business Parks A</v>
          </cell>
          <cell r="B13">
            <v>5.2499999999999998E-2</v>
          </cell>
          <cell r="C13">
            <v>6.7500000000000004E-2</v>
          </cell>
          <cell r="D13">
            <v>0.06</v>
          </cell>
          <cell r="E13">
            <v>6.5000000000000002E-2</v>
          </cell>
          <cell r="F13">
            <v>7.0000000000000007E-2</v>
          </cell>
          <cell r="G13">
            <v>6.7916666666666695E-2</v>
          </cell>
          <cell r="H13">
            <v>7.4999999999999997E-2</v>
          </cell>
          <cell r="I13">
            <v>8.7499999999999994E-2</v>
          </cell>
          <cell r="J13">
            <v>7.9166666666666705E-2</v>
          </cell>
          <cell r="K13">
            <v>3.6333333333333301E-2</v>
          </cell>
          <cell r="L13">
            <v>0.03</v>
          </cell>
          <cell r="M13">
            <v>0.03</v>
          </cell>
          <cell r="N13">
            <v>1</v>
          </cell>
          <cell r="O13">
            <v>6</v>
          </cell>
          <cell r="P13">
            <v>5</v>
          </cell>
        </row>
        <row r="14">
          <cell r="A14" t="str">
            <v>Business Parks B</v>
          </cell>
          <cell r="B14">
            <v>5.7500000000000002E-2</v>
          </cell>
          <cell r="C14">
            <v>7.2499999999999995E-2</v>
          </cell>
          <cell r="D14">
            <v>6.7000000000000004E-2</v>
          </cell>
          <cell r="E14">
            <v>7.0000000000000007E-2</v>
          </cell>
          <cell r="F14">
            <v>0.08</v>
          </cell>
          <cell r="G14">
            <v>7.4499999999999997E-2</v>
          </cell>
          <cell r="H14">
            <v>0.08</v>
          </cell>
          <cell r="I14">
            <v>9.2499999999999999E-2</v>
          </cell>
          <cell r="J14">
            <v>8.5500000000000007E-2</v>
          </cell>
          <cell r="K14">
            <v>3.4000000000000002E-2</v>
          </cell>
          <cell r="L14">
            <v>0.03</v>
          </cell>
          <cell r="M14">
            <v>0.03</v>
          </cell>
          <cell r="N14">
            <v>1</v>
          </cell>
          <cell r="O14">
            <v>6</v>
          </cell>
          <cell r="P14">
            <v>4.75</v>
          </cell>
        </row>
        <row r="15">
          <cell r="A15" t="str">
            <v>Business Parks C</v>
          </cell>
          <cell r="B15">
            <v>7.0000000000000007E-2</v>
          </cell>
          <cell r="C15">
            <v>8.7499999999999994E-2</v>
          </cell>
          <cell r="D15">
            <v>7.9375000000000001E-2</v>
          </cell>
          <cell r="E15">
            <v>7.4999999999999997E-2</v>
          </cell>
          <cell r="F15">
            <v>0.09</v>
          </cell>
          <cell r="G15">
            <v>8.5000000000000006E-2</v>
          </cell>
          <cell r="H15">
            <v>0.08</v>
          </cell>
          <cell r="I15">
            <v>0.1075</v>
          </cell>
          <cell r="J15">
            <v>9.4375000000000001E-2</v>
          </cell>
          <cell r="K15">
            <v>3.3500000000000002E-2</v>
          </cell>
          <cell r="L15">
            <v>0.03</v>
          </cell>
          <cell r="M15">
            <v>0.03</v>
          </cell>
          <cell r="N15">
            <v>2</v>
          </cell>
          <cell r="O15">
            <v>9</v>
          </cell>
          <cell r="P15">
            <v>6.666666666666667</v>
          </cell>
        </row>
        <row r="16">
          <cell r="A16" t="str">
            <v>Industrial R&amp;D A</v>
          </cell>
          <cell r="B16">
            <v>5.2499999999999998E-2</v>
          </cell>
          <cell r="C16">
            <v>7.4999999999999997E-2</v>
          </cell>
          <cell r="D16">
            <v>6.5777777777777796E-2</v>
          </cell>
          <cell r="E16">
            <v>6.5000000000000002E-2</v>
          </cell>
          <cell r="F16">
            <v>8.5000000000000006E-2</v>
          </cell>
          <cell r="G16">
            <v>7.3833333333333306E-2</v>
          </cell>
          <cell r="H16">
            <v>7.4999999999999997E-2</v>
          </cell>
          <cell r="I16">
            <v>0.09</v>
          </cell>
          <cell r="J16">
            <v>8.2142857142857101E-2</v>
          </cell>
          <cell r="K16">
            <v>3.2875000000000001E-2</v>
          </cell>
          <cell r="L16">
            <v>2.9374999999999998E-2</v>
          </cell>
          <cell r="M16">
            <v>2.8750000000000001E-2</v>
          </cell>
          <cell r="N16">
            <v>1</v>
          </cell>
          <cell r="O16">
            <v>9</v>
          </cell>
          <cell r="P16">
            <v>6.166666666666667</v>
          </cell>
        </row>
        <row r="17">
          <cell r="A17" t="str">
            <v>Industrial R&amp;D B</v>
          </cell>
          <cell r="B17">
            <v>7.0000000000000007E-2</v>
          </cell>
          <cell r="C17">
            <v>8.5000000000000006E-2</v>
          </cell>
          <cell r="D17">
            <v>7.5999999999999998E-2</v>
          </cell>
          <cell r="E17">
            <v>7.6999999999999999E-2</v>
          </cell>
          <cell r="F17">
            <v>0.09</v>
          </cell>
          <cell r="G17">
            <v>8.1714285714285698E-2</v>
          </cell>
          <cell r="H17">
            <v>8.5000000000000006E-2</v>
          </cell>
          <cell r="I17">
            <v>9.5000000000000001E-2</v>
          </cell>
          <cell r="J17">
            <v>9.0999999999999998E-2</v>
          </cell>
          <cell r="K17">
            <v>3.0333333333333299E-2</v>
          </cell>
          <cell r="L17">
            <v>2.9166666666666698E-2</v>
          </cell>
          <cell r="M17">
            <v>2.8333333333333301E-2</v>
          </cell>
          <cell r="N17">
            <v>1</v>
          </cell>
          <cell r="O17">
            <v>9</v>
          </cell>
          <cell r="P17">
            <v>6.25</v>
          </cell>
        </row>
        <row r="18">
          <cell r="A18" t="str">
            <v>Industrial R&amp;D C</v>
          </cell>
          <cell r="B18">
            <v>0.08</v>
          </cell>
          <cell r="C18">
            <v>0.1</v>
          </cell>
          <cell r="D18">
            <v>8.77857142857143E-2</v>
          </cell>
          <cell r="E18">
            <v>8.6999999999999994E-2</v>
          </cell>
          <cell r="F18">
            <v>0.11</v>
          </cell>
          <cell r="G18">
            <v>9.4571428571428598E-2</v>
          </cell>
          <cell r="H18">
            <v>0.09</v>
          </cell>
          <cell r="I18">
            <v>0.12</v>
          </cell>
          <cell r="J18">
            <v>0.104</v>
          </cell>
          <cell r="K18">
            <v>2.9166666666666698E-2</v>
          </cell>
          <cell r="L18">
            <v>2.9166666666666698E-2</v>
          </cell>
          <cell r="M18">
            <v>2.8333333333333301E-2</v>
          </cell>
          <cell r="N18">
            <v>2</v>
          </cell>
          <cell r="O18">
            <v>12</v>
          </cell>
          <cell r="P18">
            <v>8</v>
          </cell>
        </row>
        <row r="19">
          <cell r="A19" t="str">
            <v>Self Storage A</v>
          </cell>
          <cell r="B19">
            <v>6.5000000000000002E-2</v>
          </cell>
          <cell r="C19">
            <v>7.4999999999999997E-2</v>
          </cell>
          <cell r="D19">
            <v>7.0000000000000007E-2</v>
          </cell>
          <cell r="E19">
            <v>7.0000000000000007E-2</v>
          </cell>
          <cell r="F19">
            <v>8.5000000000000006E-2</v>
          </cell>
          <cell r="G19">
            <v>7.5833333333333294E-2</v>
          </cell>
          <cell r="H19">
            <v>8.5000000000000006E-2</v>
          </cell>
          <cell r="I19">
            <v>0.09</v>
          </cell>
          <cell r="J19">
            <v>8.7999999999999995E-2</v>
          </cell>
          <cell r="K19">
            <v>2.9166666666666698E-2</v>
          </cell>
          <cell r="L19">
            <v>2.9166666666666698E-2</v>
          </cell>
          <cell r="M19">
            <v>2.9166666666666698E-2</v>
          </cell>
          <cell r="N19">
            <v>3</v>
          </cell>
          <cell r="O19">
            <v>12</v>
          </cell>
          <cell r="P19">
            <v>7</v>
          </cell>
        </row>
        <row r="20">
          <cell r="A20" t="str">
            <v>Self Storage B</v>
          </cell>
          <cell r="B20">
            <v>7.0000000000000007E-2</v>
          </cell>
          <cell r="C20">
            <v>8.5000000000000006E-2</v>
          </cell>
          <cell r="D20">
            <v>7.5937500000000005E-2</v>
          </cell>
          <cell r="E20">
            <v>7.7499999999999999E-2</v>
          </cell>
          <cell r="F20">
            <v>0.09</v>
          </cell>
          <cell r="G20">
            <v>8.2857142857142893E-2</v>
          </cell>
          <cell r="H20">
            <v>8.7499999999999994E-2</v>
          </cell>
          <cell r="I20">
            <v>9.7500000000000003E-2</v>
          </cell>
          <cell r="J20">
            <v>9.1999999999999998E-2</v>
          </cell>
          <cell r="K20">
            <v>3.0833333333333299E-2</v>
          </cell>
          <cell r="L20">
            <v>2.9166666666666698E-2</v>
          </cell>
          <cell r="M20">
            <v>2.9166666666666698E-2</v>
          </cell>
          <cell r="N20">
            <v>1</v>
          </cell>
          <cell r="O20">
            <v>12</v>
          </cell>
          <cell r="P20">
            <v>6.5714285714285712</v>
          </cell>
        </row>
        <row r="21">
          <cell r="A21" t="str">
            <v>Self Storage C</v>
          </cell>
          <cell r="B21">
            <v>7.0000000000000007E-2</v>
          </cell>
          <cell r="C21">
            <v>0.09</v>
          </cell>
          <cell r="D21">
            <v>8.2142857142857101E-2</v>
          </cell>
          <cell r="E21">
            <v>0.08</v>
          </cell>
          <cell r="F21">
            <v>0.1</v>
          </cell>
          <cell r="G21">
            <v>8.9285714285714302E-2</v>
          </cell>
          <cell r="H21">
            <v>0.09</v>
          </cell>
          <cell r="I21">
            <v>0.1075</v>
          </cell>
          <cell r="J21">
            <v>9.8000000000000004E-2</v>
          </cell>
          <cell r="K21">
            <v>3.0833333333333299E-2</v>
          </cell>
          <cell r="L21">
            <v>2.9166666666666698E-2</v>
          </cell>
          <cell r="M21">
            <v>2.9166666666666698E-2</v>
          </cell>
          <cell r="N21">
            <v>2</v>
          </cell>
          <cell r="O21">
            <v>12</v>
          </cell>
          <cell r="P21">
            <v>6.833333333333333</v>
          </cell>
        </row>
        <row r="22">
          <cell r="A22" t="str">
            <v>Warehouse/Distribution A</v>
          </cell>
          <cell r="B22">
            <v>0.05</v>
          </cell>
          <cell r="C22">
            <v>7.4999999999999997E-2</v>
          </cell>
          <cell r="D22">
            <v>6.1785714285714298E-2</v>
          </cell>
          <cell r="E22">
            <v>0.06</v>
          </cell>
          <cell r="F22">
            <v>8.7499999999999994E-2</v>
          </cell>
          <cell r="G22">
            <v>6.9642857142857104E-2</v>
          </cell>
          <cell r="H22">
            <v>6.25E-2</v>
          </cell>
          <cell r="I22">
            <v>0.09</v>
          </cell>
          <cell r="J22">
            <v>7.6833333333333295E-2</v>
          </cell>
          <cell r="K22">
            <v>3.06153846153846E-2</v>
          </cell>
          <cell r="L22">
            <v>2.73076923076923E-2</v>
          </cell>
          <cell r="M22">
            <v>2.69230769230769E-2</v>
          </cell>
          <cell r="N22">
            <v>1</v>
          </cell>
          <cell r="O22">
            <v>12</v>
          </cell>
          <cell r="P22">
            <v>7.1818181818181817</v>
          </cell>
        </row>
        <row r="23">
          <cell r="A23" t="str">
            <v>Warehouse/Distribution B</v>
          </cell>
          <cell r="B23">
            <v>0.06</v>
          </cell>
          <cell r="C23">
            <v>0.08</v>
          </cell>
          <cell r="D23">
            <v>7.1999999999999995E-2</v>
          </cell>
          <cell r="E23">
            <v>6.7500000000000004E-2</v>
          </cell>
          <cell r="F23">
            <v>0.09</v>
          </cell>
          <cell r="G23">
            <v>7.7499999999999999E-2</v>
          </cell>
          <cell r="H23">
            <v>7.7499999999999999E-2</v>
          </cell>
          <cell r="I23">
            <v>9.5000000000000001E-2</v>
          </cell>
          <cell r="J23">
            <v>8.7857142857142898E-2</v>
          </cell>
          <cell r="K23">
            <v>2.5000000000000001E-2</v>
          </cell>
          <cell r="L23">
            <v>2.6111111111111099E-2</v>
          </cell>
          <cell r="M23">
            <v>2.5555555555555599E-2</v>
          </cell>
          <cell r="N23">
            <v>6</v>
          </cell>
          <cell r="O23">
            <v>12</v>
          </cell>
          <cell r="P23">
            <v>8.1428571428571423</v>
          </cell>
        </row>
        <row r="24">
          <cell r="A24" t="str">
            <v>Warehouse/Distribution C</v>
          </cell>
          <cell r="B24">
            <v>0.08</v>
          </cell>
          <cell r="C24">
            <v>0.1</v>
          </cell>
          <cell r="D24">
            <v>8.7916666666666698E-2</v>
          </cell>
          <cell r="E24">
            <v>8.5000000000000006E-2</v>
          </cell>
          <cell r="F24">
            <v>0.105</v>
          </cell>
          <cell r="G24">
            <v>9.2916666666666703E-2</v>
          </cell>
          <cell r="H24">
            <v>0.09</v>
          </cell>
          <cell r="I24">
            <v>0.11</v>
          </cell>
          <cell r="J24">
            <v>0.10187499999999999</v>
          </cell>
          <cell r="K24">
            <v>2.5000000000000001E-2</v>
          </cell>
          <cell r="L24">
            <v>2.9000000000000001E-2</v>
          </cell>
          <cell r="M24">
            <v>2.8000000000000001E-2</v>
          </cell>
          <cell r="N24">
            <v>6</v>
          </cell>
          <cell r="O24">
            <v>12</v>
          </cell>
          <cell r="P24">
            <v>10</v>
          </cell>
        </row>
        <row r="25">
          <cell r="A25" t="str">
            <v>Suburban Office A</v>
          </cell>
          <cell r="B25">
            <v>4.7500000000000001E-2</v>
          </cell>
          <cell r="C25">
            <v>7.7499999999999999E-2</v>
          </cell>
          <cell r="D25">
            <v>6.3039999999999999E-2</v>
          </cell>
          <cell r="E25">
            <v>0.06</v>
          </cell>
          <cell r="F25">
            <v>0.09</v>
          </cell>
          <cell r="G25">
            <v>7.2620000000000004E-2</v>
          </cell>
          <cell r="H25">
            <v>7.0000000000000007E-2</v>
          </cell>
          <cell r="I25">
            <v>0.11</v>
          </cell>
          <cell r="J25">
            <v>8.3673913043478307E-2</v>
          </cell>
          <cell r="K25">
            <v>3.3250000000000002E-2</v>
          </cell>
          <cell r="L25">
            <v>2.9374999999999998E-2</v>
          </cell>
          <cell r="M25">
            <v>2.9166666666666698E-2</v>
          </cell>
          <cell r="N25">
            <v>1</v>
          </cell>
          <cell r="O25">
            <v>12</v>
          </cell>
          <cell r="P25">
            <v>6.1818181818181817</v>
          </cell>
        </row>
        <row r="26">
          <cell r="A26" t="str">
            <v>Suburban Office B</v>
          </cell>
          <cell r="B26">
            <v>0.06</v>
          </cell>
          <cell r="C26">
            <v>8.5000000000000006E-2</v>
          </cell>
          <cell r="D26">
            <v>7.0906250000000004E-2</v>
          </cell>
          <cell r="E26">
            <v>6.7500000000000004E-2</v>
          </cell>
          <cell r="F26">
            <v>9.2499999999999999E-2</v>
          </cell>
          <cell r="G26">
            <v>7.8750000000000001E-2</v>
          </cell>
          <cell r="H26">
            <v>7.4999999999999997E-2</v>
          </cell>
          <cell r="I26">
            <v>0.11</v>
          </cell>
          <cell r="J26">
            <v>0.09</v>
          </cell>
          <cell r="K26">
            <v>0.03</v>
          </cell>
          <cell r="L26">
            <v>2.9000000000000001E-2</v>
          </cell>
          <cell r="M26">
            <v>2.8666666666666701E-2</v>
          </cell>
          <cell r="N26">
            <v>1</v>
          </cell>
          <cell r="O26">
            <v>12</v>
          </cell>
          <cell r="P26">
            <v>6.5384615384615383</v>
          </cell>
        </row>
        <row r="27">
          <cell r="A27" t="str">
            <v>Suburban Office C</v>
          </cell>
          <cell r="B27">
            <v>7.0000000000000007E-2</v>
          </cell>
          <cell r="C27">
            <v>9.2499999999999999E-2</v>
          </cell>
          <cell r="D27">
            <v>8.1785714285714295E-2</v>
          </cell>
          <cell r="E27">
            <v>7.4999999999999997E-2</v>
          </cell>
          <cell r="F27">
            <v>0.10249999999999999</v>
          </cell>
          <cell r="G27">
            <v>8.9285714285714302E-2</v>
          </cell>
          <cell r="H27">
            <v>0.08</v>
          </cell>
          <cell r="I27">
            <v>0.11</v>
          </cell>
          <cell r="J27">
            <v>9.6000000000000002E-2</v>
          </cell>
          <cell r="K27">
            <v>3.2000000000000001E-2</v>
          </cell>
          <cell r="L27">
            <v>2.9166666666666698E-2</v>
          </cell>
          <cell r="M27">
            <v>2.9166666666666698E-2</v>
          </cell>
          <cell r="N27">
            <v>2</v>
          </cell>
          <cell r="O27">
            <v>9</v>
          </cell>
          <cell r="P27">
            <v>5.8</v>
          </cell>
        </row>
        <row r="28">
          <cell r="A28" t="str">
            <v>Urban Office A</v>
          </cell>
          <cell r="B28">
            <v>4.4999999999999998E-2</v>
          </cell>
          <cell r="C28">
            <v>7.4999999999999997E-2</v>
          </cell>
          <cell r="D28">
            <v>5.7847826086956503E-2</v>
          </cell>
          <cell r="E28">
            <v>5.5E-2</v>
          </cell>
          <cell r="F28">
            <v>8.5000000000000006E-2</v>
          </cell>
          <cell r="G28">
            <v>6.75869565217391E-2</v>
          </cell>
          <cell r="H28">
            <v>0.06</v>
          </cell>
          <cell r="I28">
            <v>8.7499999999999994E-2</v>
          </cell>
          <cell r="J28">
            <v>7.5714285714285706E-2</v>
          </cell>
          <cell r="K28">
            <v>3.6181818181818197E-2</v>
          </cell>
          <cell r="L28">
            <v>2.9772727272727301E-2</v>
          </cell>
          <cell r="M28">
            <v>2.9318181818181799E-2</v>
          </cell>
          <cell r="N28">
            <v>1</v>
          </cell>
          <cell r="O28">
            <v>12</v>
          </cell>
          <cell r="P28">
            <v>5.7222222222222223</v>
          </cell>
        </row>
        <row r="29">
          <cell r="A29" t="str">
            <v>Urban Office B</v>
          </cell>
          <cell r="B29">
            <v>5.5E-2</v>
          </cell>
          <cell r="C29">
            <v>0.08</v>
          </cell>
          <cell r="D29">
            <v>6.5566666666666704E-2</v>
          </cell>
          <cell r="E29">
            <v>0.06</v>
          </cell>
          <cell r="F29">
            <v>0.09</v>
          </cell>
          <cell r="G29">
            <v>7.41666666666667E-2</v>
          </cell>
          <cell r="H29">
            <v>7.0000000000000007E-2</v>
          </cell>
          <cell r="I29">
            <v>0.09</v>
          </cell>
          <cell r="J29">
            <v>8.0576923076923102E-2</v>
          </cell>
          <cell r="K29">
            <v>3.3642857142857099E-2</v>
          </cell>
          <cell r="L29">
            <v>2.9642857142857099E-2</v>
          </cell>
          <cell r="M29">
            <v>2.8928571428571401E-2</v>
          </cell>
          <cell r="N29">
            <v>2</v>
          </cell>
          <cell r="O29">
            <v>12</v>
          </cell>
          <cell r="P29">
            <v>5.75</v>
          </cell>
        </row>
        <row r="30">
          <cell r="A30" t="str">
            <v>Urban Office C</v>
          </cell>
          <cell r="B30">
            <v>6.5000000000000002E-2</v>
          </cell>
          <cell r="C30">
            <v>0.1</v>
          </cell>
          <cell r="D30">
            <v>8.20833333333333E-2</v>
          </cell>
          <cell r="E30">
            <v>7.4999999999999997E-2</v>
          </cell>
          <cell r="F30">
            <v>0.105</v>
          </cell>
          <cell r="G30">
            <v>0.09</v>
          </cell>
          <cell r="H30">
            <v>8.5000000000000006E-2</v>
          </cell>
          <cell r="I30">
            <v>0.1075</v>
          </cell>
          <cell r="J30">
            <v>9.5625000000000002E-2</v>
          </cell>
          <cell r="K30">
            <v>3.4000000000000002E-2</v>
          </cell>
          <cell r="L30">
            <v>2.9000000000000001E-2</v>
          </cell>
          <cell r="M30">
            <v>2.9000000000000001E-2</v>
          </cell>
          <cell r="N30">
            <v>2</v>
          </cell>
          <cell r="O30">
            <v>6</v>
          </cell>
          <cell r="P30">
            <v>5</v>
          </cell>
        </row>
        <row r="31">
          <cell r="A31" t="str">
            <v>Regional Malls A</v>
          </cell>
          <cell r="B31">
            <v>0.05</v>
          </cell>
          <cell r="C31">
            <v>8.5000000000000006E-2</v>
          </cell>
          <cell r="D31">
            <v>6.2649999999999997E-2</v>
          </cell>
          <cell r="E31">
            <v>0.06</v>
          </cell>
          <cell r="F31">
            <v>0.09</v>
          </cell>
          <cell r="G31">
            <v>6.9250000000000006E-2</v>
          </cell>
          <cell r="H31">
            <v>6.5000000000000002E-2</v>
          </cell>
          <cell r="I31">
            <v>0.09</v>
          </cell>
          <cell r="J31">
            <v>7.6749999999999999E-2</v>
          </cell>
          <cell r="K31">
            <v>3.3444444444444402E-2</v>
          </cell>
          <cell r="L31">
            <v>2.9444444444444402E-2</v>
          </cell>
          <cell r="M31">
            <v>2.8888888888888901E-2</v>
          </cell>
          <cell r="N31">
            <v>1</v>
          </cell>
          <cell r="O31">
            <v>12</v>
          </cell>
          <cell r="P31">
            <v>6.5</v>
          </cell>
        </row>
        <row r="32">
          <cell r="A32" t="str">
            <v>Regional Malls B</v>
          </cell>
          <cell r="B32">
            <v>0.06</v>
          </cell>
          <cell r="C32">
            <v>8.2500000000000004E-2</v>
          </cell>
          <cell r="D32">
            <v>6.7916666666666695E-2</v>
          </cell>
          <cell r="E32">
            <v>6.7500000000000004E-2</v>
          </cell>
          <cell r="F32">
            <v>8.5000000000000006E-2</v>
          </cell>
          <cell r="G32">
            <v>7.41666666666667E-2</v>
          </cell>
          <cell r="H32">
            <v>7.4999999999999997E-2</v>
          </cell>
          <cell r="I32">
            <v>8.6999999999999994E-2</v>
          </cell>
          <cell r="J32">
            <v>8.1125000000000003E-2</v>
          </cell>
          <cell r="K32">
            <v>3.04E-2</v>
          </cell>
          <cell r="L32">
            <v>2.9000000000000001E-2</v>
          </cell>
          <cell r="M32">
            <v>2.8000000000000001E-2</v>
          </cell>
          <cell r="N32">
            <v>1</v>
          </cell>
          <cell r="O32">
            <v>6</v>
          </cell>
          <cell r="P32">
            <v>4.75</v>
          </cell>
        </row>
        <row r="33">
          <cell r="A33" t="str">
            <v>Regional Malls C</v>
          </cell>
          <cell r="B33">
            <v>7.0000000000000007E-2</v>
          </cell>
          <cell r="C33">
            <v>8.5000000000000006E-2</v>
          </cell>
          <cell r="D33">
            <v>7.6666666666666702E-2</v>
          </cell>
          <cell r="E33">
            <v>7.4999999999999997E-2</v>
          </cell>
          <cell r="F33">
            <v>0.09</v>
          </cell>
          <cell r="G33">
            <v>8.2916666666666694E-2</v>
          </cell>
          <cell r="H33">
            <v>0.08</v>
          </cell>
          <cell r="I33">
            <v>0.09</v>
          </cell>
          <cell r="J33">
            <v>8.7499999999999994E-2</v>
          </cell>
          <cell r="K33">
            <v>2.8199999999999999E-2</v>
          </cell>
          <cell r="L33">
            <v>2.9000000000000001E-2</v>
          </cell>
          <cell r="M33">
            <v>2.8000000000000001E-2</v>
          </cell>
          <cell r="N33">
            <v>2</v>
          </cell>
          <cell r="O33">
            <v>9</v>
          </cell>
          <cell r="P33">
            <v>6.5</v>
          </cell>
        </row>
        <row r="34">
          <cell r="A34" t="str">
            <v>Power Centers A</v>
          </cell>
          <cell r="B34">
            <v>5.5E-2</v>
          </cell>
          <cell r="C34">
            <v>7.7499999999999999E-2</v>
          </cell>
          <cell r="D34">
            <v>6.3899999999999998E-2</v>
          </cell>
          <cell r="E34">
            <v>6.25E-2</v>
          </cell>
          <cell r="F34">
            <v>0.08</v>
          </cell>
          <cell r="G34">
            <v>7.0000000000000007E-2</v>
          </cell>
          <cell r="H34">
            <v>7.0000000000000007E-2</v>
          </cell>
          <cell r="I34">
            <v>8.7499999999999994E-2</v>
          </cell>
          <cell r="J34">
            <v>7.7785714285714305E-2</v>
          </cell>
          <cell r="K34">
            <v>3.2444444444444401E-2</v>
          </cell>
          <cell r="L34">
            <v>2.9444444444444402E-2</v>
          </cell>
          <cell r="M34">
            <v>2.8888888888888901E-2</v>
          </cell>
          <cell r="N34">
            <v>1</v>
          </cell>
          <cell r="O34">
            <v>6</v>
          </cell>
          <cell r="P34">
            <v>4.5714285714285712</v>
          </cell>
        </row>
        <row r="35">
          <cell r="A35" t="str">
            <v>Power Centers B</v>
          </cell>
          <cell r="B35">
            <v>6.25E-2</v>
          </cell>
          <cell r="C35">
            <v>0.08</v>
          </cell>
          <cell r="D35">
            <v>7.0833333333333304E-2</v>
          </cell>
          <cell r="E35">
            <v>6.7500000000000004E-2</v>
          </cell>
          <cell r="F35">
            <v>8.5000000000000006E-2</v>
          </cell>
          <cell r="G35">
            <v>7.5937500000000005E-2</v>
          </cell>
          <cell r="H35">
            <v>0.08</v>
          </cell>
          <cell r="I35">
            <v>9.2499999999999999E-2</v>
          </cell>
          <cell r="J35">
            <v>8.6400000000000005E-2</v>
          </cell>
          <cell r="K35">
            <v>3.0249999999999999E-2</v>
          </cell>
          <cell r="L35">
            <v>2.9374999999999998E-2</v>
          </cell>
          <cell r="M35">
            <v>2.8750000000000001E-2</v>
          </cell>
          <cell r="N35">
            <v>1</v>
          </cell>
          <cell r="O35">
            <v>6</v>
          </cell>
          <cell r="P35">
            <v>4.333333333333333</v>
          </cell>
        </row>
        <row r="36">
          <cell r="A36" t="str">
            <v>Power Centers C</v>
          </cell>
          <cell r="B36">
            <v>7.0000000000000007E-2</v>
          </cell>
          <cell r="C36">
            <v>0.09</v>
          </cell>
          <cell r="D36">
            <v>8.1562499999999996E-2</v>
          </cell>
          <cell r="E36">
            <v>7.4999999999999997E-2</v>
          </cell>
          <cell r="F36">
            <v>9.5000000000000001E-2</v>
          </cell>
          <cell r="G36">
            <v>8.7142857142857105E-2</v>
          </cell>
          <cell r="H36">
            <v>0.08</v>
          </cell>
          <cell r="I36">
            <v>0.1075</v>
          </cell>
          <cell r="J36">
            <v>9.35E-2</v>
          </cell>
          <cell r="K36">
            <v>2.8142857142857101E-2</v>
          </cell>
          <cell r="L36">
            <v>2.92857142857143E-2</v>
          </cell>
          <cell r="M36">
            <v>2.8571428571428598E-2</v>
          </cell>
          <cell r="N36">
            <v>1</v>
          </cell>
          <cell r="O36">
            <v>9</v>
          </cell>
          <cell r="P36">
            <v>5.4</v>
          </cell>
        </row>
        <row r="37">
          <cell r="A37" t="str">
            <v>Community Centers A</v>
          </cell>
          <cell r="B37">
            <v>0.06</v>
          </cell>
          <cell r="C37">
            <v>0.08</v>
          </cell>
          <cell r="D37">
            <v>6.7076923076923103E-2</v>
          </cell>
          <cell r="E37">
            <v>6.5000000000000002E-2</v>
          </cell>
          <cell r="F37">
            <v>8.5000000000000006E-2</v>
          </cell>
          <cell r="G37">
            <v>7.2208333333333305E-2</v>
          </cell>
          <cell r="H37">
            <v>7.0000000000000007E-2</v>
          </cell>
          <cell r="I37">
            <v>0.09</v>
          </cell>
          <cell r="J37">
            <v>7.9450000000000007E-2</v>
          </cell>
          <cell r="K37">
            <v>3.0583333333333299E-2</v>
          </cell>
          <cell r="L37">
            <v>2.9583333333333298E-2</v>
          </cell>
          <cell r="M37">
            <v>2.9166666666666698E-2</v>
          </cell>
          <cell r="N37">
            <v>1</v>
          </cell>
          <cell r="O37">
            <v>12</v>
          </cell>
          <cell r="P37">
            <v>6.4</v>
          </cell>
        </row>
        <row r="38">
          <cell r="A38" t="str">
            <v>Community Centers B</v>
          </cell>
          <cell r="B38">
            <v>6.5000000000000002E-2</v>
          </cell>
          <cell r="C38">
            <v>7.4999999999999997E-2</v>
          </cell>
          <cell r="D38">
            <v>7.0777777777777801E-2</v>
          </cell>
          <cell r="E38">
            <v>7.0000000000000007E-2</v>
          </cell>
          <cell r="F38">
            <v>8.5000000000000006E-2</v>
          </cell>
          <cell r="G38">
            <v>7.6187500000000005E-2</v>
          </cell>
          <cell r="H38">
            <v>7.7499999999999999E-2</v>
          </cell>
          <cell r="I38">
            <v>9.5000000000000001E-2</v>
          </cell>
          <cell r="J38">
            <v>8.5357142857142895E-2</v>
          </cell>
          <cell r="K38">
            <v>3.0222222222222199E-2</v>
          </cell>
          <cell r="L38">
            <v>2.9444444444444402E-2</v>
          </cell>
          <cell r="M38">
            <v>2.8888888888888901E-2</v>
          </cell>
          <cell r="N38">
            <v>1</v>
          </cell>
          <cell r="O38">
            <v>6</v>
          </cell>
          <cell r="P38">
            <v>4.8571428571428568</v>
          </cell>
        </row>
        <row r="39">
          <cell r="A39" t="str">
            <v>Community Centers C</v>
          </cell>
          <cell r="B39">
            <v>7.6999999999999999E-2</v>
          </cell>
          <cell r="C39">
            <v>9.2499999999999999E-2</v>
          </cell>
          <cell r="D39">
            <v>8.5999999999999993E-2</v>
          </cell>
          <cell r="E39">
            <v>8.2000000000000003E-2</v>
          </cell>
          <cell r="F39">
            <v>0.1</v>
          </cell>
          <cell r="G39">
            <v>9.325E-2</v>
          </cell>
          <cell r="H39">
            <v>9.5000000000000001E-2</v>
          </cell>
          <cell r="I39">
            <v>0.11</v>
          </cell>
          <cell r="J39">
            <v>0.1</v>
          </cell>
          <cell r="K39">
            <v>2.75E-2</v>
          </cell>
          <cell r="L39">
            <v>2.9166666666666698E-2</v>
          </cell>
          <cell r="M39">
            <v>2.8333333333333301E-2</v>
          </cell>
          <cell r="N39">
            <v>2</v>
          </cell>
          <cell r="O39">
            <v>9</v>
          </cell>
          <cell r="P39">
            <v>5.25</v>
          </cell>
        </row>
        <row r="40">
          <cell r="A40" t="str">
            <v>Neighborhood Centers A</v>
          </cell>
          <cell r="B40">
            <v>5.2499999999999998E-2</v>
          </cell>
          <cell r="C40">
            <v>7.4999999999999997E-2</v>
          </cell>
          <cell r="D40">
            <v>6.3785714285714307E-2</v>
          </cell>
          <cell r="E40">
            <v>6.5000000000000002E-2</v>
          </cell>
          <cell r="F40">
            <v>7.7499999999999999E-2</v>
          </cell>
          <cell r="G40">
            <v>6.9653846153846205E-2</v>
          </cell>
          <cell r="H40">
            <v>6.7500000000000004E-2</v>
          </cell>
          <cell r="I40">
            <v>9.5000000000000001E-2</v>
          </cell>
          <cell r="J40">
            <v>7.9000000000000001E-2</v>
          </cell>
          <cell r="K40">
            <v>2.9428571428571401E-2</v>
          </cell>
          <cell r="L40">
            <v>2.9642857142857099E-2</v>
          </cell>
          <cell r="M40">
            <v>2.92857142857143E-2</v>
          </cell>
          <cell r="N40">
            <v>1</v>
          </cell>
          <cell r="O40">
            <v>12</v>
          </cell>
          <cell r="P40">
            <v>6.2</v>
          </cell>
        </row>
        <row r="41">
          <cell r="A41" t="str">
            <v>Neighborhood Centers B</v>
          </cell>
          <cell r="B41">
            <v>7.0000000000000007E-2</v>
          </cell>
          <cell r="C41">
            <v>8.2500000000000004E-2</v>
          </cell>
          <cell r="D41">
            <v>7.4749999999999997E-2</v>
          </cell>
          <cell r="E41">
            <v>7.4999999999999997E-2</v>
          </cell>
          <cell r="F41">
            <v>8.7499999999999994E-2</v>
          </cell>
          <cell r="G41">
            <v>8.0277777777777795E-2</v>
          </cell>
          <cell r="H41">
            <v>0.08</v>
          </cell>
          <cell r="I41">
            <v>0.1075</v>
          </cell>
          <cell r="J41">
            <v>9.0999999999999998E-2</v>
          </cell>
          <cell r="K41">
            <v>2.65555555555556E-2</v>
          </cell>
          <cell r="L41">
            <v>2.72222222222222E-2</v>
          </cell>
          <cell r="M41">
            <v>2.7777777777777801E-2</v>
          </cell>
          <cell r="N41">
            <v>1</v>
          </cell>
          <cell r="O41">
            <v>9</v>
          </cell>
          <cell r="P41">
            <v>5.4285714285714288</v>
          </cell>
        </row>
        <row r="42">
          <cell r="A42" t="str">
            <v>Neighborhood Centers C</v>
          </cell>
          <cell r="B42">
            <v>0.08</v>
          </cell>
          <cell r="C42">
            <v>0.1</v>
          </cell>
          <cell r="D42">
            <v>8.8214285714285703E-2</v>
          </cell>
          <cell r="E42">
            <v>8.5000000000000006E-2</v>
          </cell>
          <cell r="F42">
            <v>0.11</v>
          </cell>
          <cell r="G42">
            <v>9.5833333333333298E-2</v>
          </cell>
          <cell r="H42">
            <v>9.5000000000000001E-2</v>
          </cell>
          <cell r="I42">
            <v>0.115</v>
          </cell>
          <cell r="J42">
            <v>0.10249999999999999</v>
          </cell>
          <cell r="K42">
            <v>2.75E-2</v>
          </cell>
          <cell r="L42">
            <v>2.9166666666666698E-2</v>
          </cell>
          <cell r="M42">
            <v>2.8333333333333301E-2</v>
          </cell>
          <cell r="N42">
            <v>2</v>
          </cell>
          <cell r="O42">
            <v>9</v>
          </cell>
          <cell r="P42">
            <v>5</v>
          </cell>
        </row>
        <row r="43">
          <cell r="A43" t="str">
            <v>Strip Centers A</v>
          </cell>
          <cell r="B43">
            <v>0.06</v>
          </cell>
          <cell r="C43">
            <v>7.7499999999999999E-2</v>
          </cell>
          <cell r="D43">
            <v>6.8750000000000006E-2</v>
          </cell>
          <cell r="E43">
            <v>6.5000000000000002E-2</v>
          </cell>
          <cell r="F43">
            <v>8.7499999999999994E-2</v>
          </cell>
          <cell r="G43">
            <v>7.41666666666667E-2</v>
          </cell>
          <cell r="H43">
            <v>7.0000000000000007E-2</v>
          </cell>
          <cell r="I43">
            <v>9.5000000000000001E-2</v>
          </cell>
          <cell r="J43">
            <v>8.1562499999999996E-2</v>
          </cell>
          <cell r="K43">
            <v>2.75E-2</v>
          </cell>
          <cell r="L43">
            <v>2.9000000000000001E-2</v>
          </cell>
          <cell r="M43">
            <v>2.9000000000000001E-2</v>
          </cell>
          <cell r="N43">
            <v>1</v>
          </cell>
          <cell r="O43">
            <v>12</v>
          </cell>
          <cell r="P43">
            <v>6.7222222222222223</v>
          </cell>
        </row>
        <row r="44">
          <cell r="A44" t="str">
            <v>Strip Centers B</v>
          </cell>
          <cell r="B44">
            <v>7.0000000000000007E-2</v>
          </cell>
          <cell r="C44">
            <v>8.2500000000000004E-2</v>
          </cell>
          <cell r="D44">
            <v>7.5416666666666701E-2</v>
          </cell>
          <cell r="E44">
            <v>7.4999999999999997E-2</v>
          </cell>
          <cell r="F44">
            <v>9.2499999999999999E-2</v>
          </cell>
          <cell r="G44">
            <v>8.1500000000000003E-2</v>
          </cell>
          <cell r="H44">
            <v>0.08</v>
          </cell>
          <cell r="I44">
            <v>0.1</v>
          </cell>
          <cell r="J44">
            <v>8.8749999999999996E-2</v>
          </cell>
          <cell r="K44">
            <v>3.0833333333333299E-2</v>
          </cell>
          <cell r="L44">
            <v>2.9166666666666698E-2</v>
          </cell>
          <cell r="M44">
            <v>2.9166666666666698E-2</v>
          </cell>
          <cell r="N44">
            <v>1</v>
          </cell>
          <cell r="O44">
            <v>9</v>
          </cell>
          <cell r="P44">
            <v>5.2</v>
          </cell>
        </row>
        <row r="45">
          <cell r="A45" t="str">
            <v>Strip Centers C</v>
          </cell>
          <cell r="B45">
            <v>0.08</v>
          </cell>
          <cell r="C45">
            <v>0.1</v>
          </cell>
          <cell r="D45">
            <v>8.8214285714285703E-2</v>
          </cell>
          <cell r="E45">
            <v>8.5000000000000006E-2</v>
          </cell>
          <cell r="F45">
            <v>0.11</v>
          </cell>
          <cell r="G45">
            <v>9.5833333333333298E-2</v>
          </cell>
          <cell r="H45">
            <v>8.5000000000000006E-2</v>
          </cell>
          <cell r="I45">
            <v>0.115</v>
          </cell>
          <cell r="J45">
            <v>9.8750000000000004E-2</v>
          </cell>
          <cell r="K45">
            <v>3.0833333333333299E-2</v>
          </cell>
          <cell r="L45">
            <v>2.9166666666666698E-2</v>
          </cell>
          <cell r="M45">
            <v>2.9166666666666698E-2</v>
          </cell>
          <cell r="N45">
            <v>2</v>
          </cell>
          <cell r="O45">
            <v>12</v>
          </cell>
          <cell r="P45">
            <v>7</v>
          </cell>
        </row>
        <row r="46">
          <cell r="A46" t="str">
            <v>Hotels A</v>
          </cell>
          <cell r="B46">
            <v>0.05</v>
          </cell>
          <cell r="C46">
            <v>8.5000000000000006E-2</v>
          </cell>
          <cell r="D46">
            <v>6.6875000000000004E-2</v>
          </cell>
          <cell r="E46">
            <v>5.5E-2</v>
          </cell>
          <cell r="F46">
            <v>0.1</v>
          </cell>
          <cell r="G46">
            <v>7.4749999999999997E-2</v>
          </cell>
          <cell r="H46">
            <v>0.08</v>
          </cell>
          <cell r="I46">
            <v>0.12</v>
          </cell>
          <cell r="J46">
            <v>9.9642857142857102E-2</v>
          </cell>
          <cell r="K46">
            <v>3.4866666666666699E-2</v>
          </cell>
          <cell r="L46">
            <v>2.9333333333333302E-2</v>
          </cell>
          <cell r="M46">
            <v>2.9000000000000001E-2</v>
          </cell>
          <cell r="N46">
            <v>1</v>
          </cell>
          <cell r="O46">
            <v>12</v>
          </cell>
          <cell r="P46">
            <v>6.833333333333333</v>
          </cell>
        </row>
        <row r="47">
          <cell r="A47" t="str">
            <v>Hotels B</v>
          </cell>
          <cell r="B47">
            <v>7.0000000000000007E-2</v>
          </cell>
          <cell r="C47">
            <v>9.7500000000000003E-2</v>
          </cell>
          <cell r="D47">
            <v>8.1684210526315804E-2</v>
          </cell>
          <cell r="E47">
            <v>7.4999999999999997E-2</v>
          </cell>
          <cell r="F47">
            <v>0.105</v>
          </cell>
          <cell r="G47">
            <v>8.9026315789473703E-2</v>
          </cell>
          <cell r="H47">
            <v>0.09</v>
          </cell>
          <cell r="I47">
            <v>0.125</v>
          </cell>
          <cell r="J47">
            <v>0.11</v>
          </cell>
          <cell r="K47">
            <v>3.4333333333333299E-2</v>
          </cell>
          <cell r="L47">
            <v>0.03</v>
          </cell>
          <cell r="M47">
            <v>2.9722222222222199E-2</v>
          </cell>
          <cell r="N47">
            <v>1</v>
          </cell>
          <cell r="O47">
            <v>12</v>
          </cell>
          <cell r="P47">
            <v>7.6470588235294121</v>
          </cell>
        </row>
        <row r="48">
          <cell r="A48" t="str">
            <v>Hotels C</v>
          </cell>
          <cell r="B48">
            <v>0.08</v>
          </cell>
          <cell r="C48">
            <v>0.11</v>
          </cell>
          <cell r="D48">
            <v>9.1249999999999998E-2</v>
          </cell>
          <cell r="E48">
            <v>8.5000000000000006E-2</v>
          </cell>
          <cell r="F48">
            <v>0.12</v>
          </cell>
          <cell r="G48">
            <v>9.8750000000000004E-2</v>
          </cell>
          <cell r="H48">
            <v>0.1</v>
          </cell>
          <cell r="I48">
            <v>0.105</v>
          </cell>
          <cell r="J48">
            <v>0.10249999999999999</v>
          </cell>
          <cell r="K48">
            <v>2.8333333333333301E-2</v>
          </cell>
          <cell r="L48">
            <v>2.8333333333333301E-2</v>
          </cell>
          <cell r="M48">
            <v>2.66666666666667E-2</v>
          </cell>
          <cell r="N48">
            <v>2</v>
          </cell>
          <cell r="O48">
            <v>6</v>
          </cell>
          <cell r="P48">
            <v>4</v>
          </cell>
        </row>
        <row r="49">
          <cell r="A49" t="str">
            <v>All Responses A</v>
          </cell>
          <cell r="B49">
            <v>0.04</v>
          </cell>
          <cell r="C49">
            <v>8.5000000000000006E-2</v>
          </cell>
          <cell r="D49">
            <v>6.3599263700872405E-2</v>
          </cell>
          <cell r="E49">
            <v>0.05</v>
          </cell>
          <cell r="F49">
            <v>0.1</v>
          </cell>
          <cell r="G49">
            <v>7.0445878908531101E-2</v>
          </cell>
          <cell r="H49">
            <v>0.06</v>
          </cell>
          <cell r="I49">
            <v>0.12</v>
          </cell>
          <cell r="J49">
            <v>8.0270364044168402E-2</v>
          </cell>
          <cell r="K49">
            <v>3.2363071558071603E-2</v>
          </cell>
          <cell r="L49">
            <v>2.9335682835682799E-2</v>
          </cell>
          <cell r="M49">
            <v>2.9037838087838101E-2</v>
          </cell>
          <cell r="N49">
            <v>1</v>
          </cell>
          <cell r="O49">
            <v>12</v>
          </cell>
          <cell r="P49">
            <v>5.8998460798460801</v>
          </cell>
        </row>
        <row r="50">
          <cell r="A50" t="str">
            <v>All Responses B</v>
          </cell>
          <cell r="B50">
            <v>0.05</v>
          </cell>
          <cell r="C50">
            <v>9.7500000000000003E-2</v>
          </cell>
          <cell r="D50">
            <v>7.1489978513202199E-2</v>
          </cell>
          <cell r="E50">
            <v>5.5E-2</v>
          </cell>
          <cell r="F50">
            <v>0.105</v>
          </cell>
          <cell r="G50">
            <v>7.7672257031467601E-2</v>
          </cell>
          <cell r="H50">
            <v>6.5000000000000002E-2</v>
          </cell>
          <cell r="I50">
            <v>0.125</v>
          </cell>
          <cell r="J50">
            <v>8.7656265771265798E-2</v>
          </cell>
          <cell r="K50">
            <v>3.0873597883597899E-2</v>
          </cell>
          <cell r="L50">
            <v>2.9053042328042299E-2</v>
          </cell>
          <cell r="M50">
            <v>2.8697089947089902E-2</v>
          </cell>
          <cell r="N50">
            <v>1</v>
          </cell>
          <cell r="O50">
            <v>12</v>
          </cell>
          <cell r="P50">
            <v>5.5345902463549521</v>
          </cell>
        </row>
        <row r="51">
          <cell r="A51" t="str">
            <v>All Responses C</v>
          </cell>
          <cell r="B51">
            <v>0.06</v>
          </cell>
          <cell r="C51">
            <v>0.11</v>
          </cell>
          <cell r="D51">
            <v>8.2844246031746005E-2</v>
          </cell>
          <cell r="E51">
            <v>7.0000000000000007E-2</v>
          </cell>
          <cell r="F51">
            <v>0.12</v>
          </cell>
          <cell r="G51">
            <v>8.94540476190476E-2</v>
          </cell>
          <cell r="H51">
            <v>7.4999999999999997E-2</v>
          </cell>
          <cell r="I51">
            <v>0.12</v>
          </cell>
          <cell r="J51">
            <v>9.6641666666666695E-2</v>
          </cell>
          <cell r="K51">
            <v>2.9977301587301601E-2</v>
          </cell>
          <cell r="L51">
            <v>2.9157936507936501E-2</v>
          </cell>
          <cell r="M51">
            <v>2.86325396825397E-2</v>
          </cell>
          <cell r="N51">
            <v>1</v>
          </cell>
          <cell r="O51">
            <v>12</v>
          </cell>
          <cell r="P51">
            <v>5.9155555555555557</v>
          </cell>
        </row>
        <row r="52">
          <cell r="A52" t="str">
            <v>Korpacz (2nd Qtr. 2008)</v>
          </cell>
          <cell r="B52" t="str">
            <v>---</v>
          </cell>
          <cell r="C52" t="str">
            <v>---</v>
          </cell>
          <cell r="D52" t="str">
            <v>---</v>
          </cell>
          <cell r="E52" t="str">
            <v>---</v>
          </cell>
          <cell r="F52" t="str">
            <v>---</v>
          </cell>
          <cell r="G52" t="str">
            <v>---</v>
          </cell>
          <cell r="H52" t="str">
            <v>---</v>
          </cell>
          <cell r="I52" t="str">
            <v>---</v>
          </cell>
          <cell r="J52" t="str">
            <v>---</v>
          </cell>
          <cell r="K52" t="str">
            <v>---</v>
          </cell>
          <cell r="L52" t="str">
            <v>---</v>
          </cell>
          <cell r="M52" t="str">
            <v>---</v>
          </cell>
          <cell r="N52" t="str">
            <v>---</v>
          </cell>
          <cell r="O52" t="str">
            <v>---</v>
          </cell>
          <cell r="P52" t="str">
            <v>---</v>
          </cell>
        </row>
        <row r="53">
          <cell r="A53" t="str">
            <v>Regional Mall</v>
          </cell>
          <cell r="B53">
            <v>0.05</v>
          </cell>
          <cell r="C53">
            <v>9.5000000000000001E-2</v>
          </cell>
          <cell r="D53">
            <v>6.7100000000000007E-2</v>
          </cell>
          <cell r="E53">
            <v>0.06</v>
          </cell>
          <cell r="F53">
            <v>0.1</v>
          </cell>
          <cell r="G53">
            <v>7.3800000000000004E-2</v>
          </cell>
          <cell r="H53">
            <v>7.0000000000000007E-2</v>
          </cell>
          <cell r="I53">
            <v>0.11</v>
          </cell>
          <cell r="J53">
            <v>8.7300000000000003E-2</v>
          </cell>
          <cell r="K53">
            <v>2.63E-2</v>
          </cell>
          <cell r="L53">
            <v>0.03</v>
          </cell>
          <cell r="M53" t="str">
            <v>---</v>
          </cell>
          <cell r="N53">
            <v>3</v>
          </cell>
          <cell r="O53">
            <v>12</v>
          </cell>
          <cell r="P53">
            <v>6.75</v>
          </cell>
        </row>
        <row r="54">
          <cell r="A54" t="str">
            <v>Power Center</v>
          </cell>
          <cell r="B54">
            <v>5.7500000000000002E-2</v>
          </cell>
          <cell r="C54">
            <v>0.09</v>
          </cell>
          <cell r="D54">
            <v>7.17E-2</v>
          </cell>
          <cell r="E54">
            <v>6.5000000000000002E-2</v>
          </cell>
          <cell r="F54">
            <v>9.5000000000000001E-2</v>
          </cell>
          <cell r="G54">
            <v>7.6700000000000004E-2</v>
          </cell>
          <cell r="H54">
            <v>7.0000000000000007E-2</v>
          </cell>
          <cell r="I54">
            <v>0.115</v>
          </cell>
          <cell r="J54">
            <v>8.3900000000000002E-2</v>
          </cell>
          <cell r="K54">
            <v>2.4400000000000002E-2</v>
          </cell>
          <cell r="L54">
            <v>3.1300000000000001E-2</v>
          </cell>
          <cell r="M54" t="str">
            <v>---</v>
          </cell>
          <cell r="N54">
            <v>3</v>
          </cell>
          <cell r="O54">
            <v>9</v>
          </cell>
          <cell r="P54">
            <v>5.56</v>
          </cell>
        </row>
        <row r="55">
          <cell r="A55" t="str">
            <v>Strip Shopping Center</v>
          </cell>
          <cell r="B55">
            <v>5.8000000000000003E-2</v>
          </cell>
          <cell r="C55">
            <v>0.09</v>
          </cell>
          <cell r="D55">
            <v>7.3200000000000001E-2</v>
          </cell>
          <cell r="E55">
            <v>0.06</v>
          </cell>
          <cell r="F55">
            <v>0.1</v>
          </cell>
          <cell r="G55">
            <v>7.85E-2</v>
          </cell>
          <cell r="H55">
            <v>0.06</v>
          </cell>
          <cell r="I55">
            <v>0.1</v>
          </cell>
          <cell r="J55">
            <v>8.3900000000000002E-2</v>
          </cell>
          <cell r="K55">
            <v>2.81E-2</v>
          </cell>
          <cell r="L55">
            <v>3.1E-2</v>
          </cell>
          <cell r="M55" t="str">
            <v>---</v>
          </cell>
          <cell r="N55">
            <v>2</v>
          </cell>
          <cell r="O55">
            <v>12</v>
          </cell>
          <cell r="P55">
            <v>6.1</v>
          </cell>
        </row>
        <row r="56">
          <cell r="A56" t="str">
            <v>CBD Office</v>
          </cell>
          <cell r="B56">
            <v>4.4999999999999998E-2</v>
          </cell>
          <cell r="C56">
            <v>0.1</v>
          </cell>
          <cell r="D56">
            <v>6.6799999999999998E-2</v>
          </cell>
          <cell r="E56">
            <v>0.06</v>
          </cell>
          <cell r="F56">
            <v>0.1</v>
          </cell>
          <cell r="G56">
            <v>7.5300000000000006E-2</v>
          </cell>
          <cell r="H56">
            <v>0.06</v>
          </cell>
          <cell r="I56">
            <v>0.11</v>
          </cell>
          <cell r="J56">
            <v>8.0399999999999999E-2</v>
          </cell>
          <cell r="K56">
            <v>3.6400000000000002E-2</v>
          </cell>
          <cell r="L56">
            <v>2.8899999999999999E-2</v>
          </cell>
          <cell r="M56" t="str">
            <v>---</v>
          </cell>
          <cell r="N56">
            <v>2</v>
          </cell>
          <cell r="O56">
            <v>12</v>
          </cell>
          <cell r="P56">
            <v>6.13</v>
          </cell>
        </row>
        <row r="57">
          <cell r="A57" t="str">
            <v>Suburban Office</v>
          </cell>
          <cell r="B57">
            <v>0.05</v>
          </cell>
          <cell r="C57">
            <v>0.105</v>
          </cell>
          <cell r="D57">
            <v>7.2800000000000004E-2</v>
          </cell>
          <cell r="E57">
            <v>0.06</v>
          </cell>
          <cell r="F57">
            <v>0.11</v>
          </cell>
          <cell r="G57">
            <v>7.9399999999999998E-2</v>
          </cell>
          <cell r="H57">
            <v>7.0000000000000007E-2</v>
          </cell>
          <cell r="I57">
            <v>0.125</v>
          </cell>
          <cell r="J57">
            <v>8.9300000000000004E-2</v>
          </cell>
          <cell r="K57">
            <v>2.58E-2</v>
          </cell>
          <cell r="L57">
            <v>3.0200000000000001E-2</v>
          </cell>
          <cell r="M57" t="str">
            <v>---</v>
          </cell>
          <cell r="N57">
            <v>2</v>
          </cell>
          <cell r="O57">
            <v>9</v>
          </cell>
          <cell r="P57">
            <v>6.13</v>
          </cell>
        </row>
        <row r="58">
          <cell r="A58" t="str">
            <v>Flex/R&amp;D</v>
          </cell>
          <cell r="B58">
            <v>5.5E-2</v>
          </cell>
          <cell r="C58">
            <v>9.2499999999999999E-2</v>
          </cell>
          <cell r="D58">
            <v>7.6799999999999993E-2</v>
          </cell>
          <cell r="E58">
            <v>7.0000000000000007E-2</v>
          </cell>
          <cell r="F58">
            <v>0.105</v>
          </cell>
          <cell r="G58">
            <v>8.2000000000000003E-2</v>
          </cell>
          <cell r="H58">
            <v>6.7500000000000004E-2</v>
          </cell>
          <cell r="I58">
            <v>0.1</v>
          </cell>
          <cell r="J58">
            <v>8.6099999999999996E-2</v>
          </cell>
          <cell r="K58">
            <v>2.7E-2</v>
          </cell>
          <cell r="L58">
            <v>2.9499999999999998E-2</v>
          </cell>
          <cell r="M58" t="str">
            <v>---</v>
          </cell>
          <cell r="N58">
            <v>3</v>
          </cell>
          <cell r="O58">
            <v>18</v>
          </cell>
          <cell r="P58">
            <v>6.33</v>
          </cell>
        </row>
        <row r="59">
          <cell r="A59" t="str">
            <v>Warehouse</v>
          </cell>
          <cell r="B59">
            <v>0.05</v>
          </cell>
          <cell r="C59">
            <v>8.5000000000000006E-2</v>
          </cell>
          <cell r="D59">
            <v>6.5600000000000006E-2</v>
          </cell>
          <cell r="E59">
            <v>5.5E-2</v>
          </cell>
          <cell r="F59">
            <v>8.5000000000000006E-2</v>
          </cell>
          <cell r="G59">
            <v>7.1800000000000003E-2</v>
          </cell>
          <cell r="H59">
            <v>5.5E-2</v>
          </cell>
          <cell r="I59">
            <v>0.1</v>
          </cell>
          <cell r="J59">
            <v>7.6799999999999993E-2</v>
          </cell>
          <cell r="K59">
            <v>2.9399999999999999E-2</v>
          </cell>
          <cell r="L59">
            <v>0.03</v>
          </cell>
          <cell r="M59" t="str">
            <v>---</v>
          </cell>
          <cell r="N59">
            <v>1</v>
          </cell>
          <cell r="O59">
            <v>12</v>
          </cell>
          <cell r="P59">
            <v>5.75</v>
          </cell>
        </row>
        <row r="60">
          <cell r="A60" t="str">
            <v>Apartment</v>
          </cell>
          <cell r="B60">
            <v>3.5000000000000003E-2</v>
          </cell>
          <cell r="C60">
            <v>0.08</v>
          </cell>
          <cell r="D60">
            <v>5.7500000000000002E-2</v>
          </cell>
          <cell r="E60">
            <v>4.4999999999999998E-2</v>
          </cell>
          <cell r="F60">
            <v>8.5000000000000006E-2</v>
          </cell>
          <cell r="G60">
            <v>6.6900000000000001E-2</v>
          </cell>
          <cell r="H60">
            <v>0.06</v>
          </cell>
          <cell r="I60">
            <v>0.105</v>
          </cell>
          <cell r="J60">
            <v>8.1600000000000006E-2</v>
          </cell>
          <cell r="K60">
            <v>3.1699999999999999E-2</v>
          </cell>
          <cell r="L60">
            <v>2.92E-2</v>
          </cell>
          <cell r="M60" t="str">
            <v>---</v>
          </cell>
          <cell r="N60">
            <v>1</v>
          </cell>
          <cell r="O60">
            <v>12</v>
          </cell>
          <cell r="P60">
            <v>6</v>
          </cell>
        </row>
        <row r="61">
          <cell r="A61" t="str">
            <v>Net Lease</v>
          </cell>
          <cell r="B61">
            <v>0.06</v>
          </cell>
          <cell r="C61">
            <v>0.1</v>
          </cell>
          <cell r="D61">
            <v>7.6300000000000007E-2</v>
          </cell>
          <cell r="E61">
            <v>7.0000000000000007E-2</v>
          </cell>
          <cell r="F61">
            <v>0.1</v>
          </cell>
          <cell r="G61">
            <v>8.2799999999999999E-2</v>
          </cell>
          <cell r="H61">
            <v>0.08</v>
          </cell>
          <cell r="I61">
            <v>0.12</v>
          </cell>
          <cell r="J61">
            <v>9.35E-2</v>
          </cell>
          <cell r="K61">
            <v>2.3300000000000001E-2</v>
          </cell>
          <cell r="L61">
            <v>2.75E-2</v>
          </cell>
          <cell r="M61" t="str">
            <v>---</v>
          </cell>
          <cell r="N61">
            <v>2</v>
          </cell>
          <cell r="O61">
            <v>6</v>
          </cell>
          <cell r="P61">
            <v>4.42</v>
          </cell>
        </row>
        <row r="62">
          <cell r="A62" t="str">
            <v>Domestic Self Storage</v>
          </cell>
          <cell r="B62">
            <v>6.5000000000000002E-2</v>
          </cell>
          <cell r="C62">
            <v>9.7500000000000003E-2</v>
          </cell>
          <cell r="D62">
            <v>0.08</v>
          </cell>
          <cell r="E62">
            <v>7.7499999999999999E-2</v>
          </cell>
          <cell r="F62">
            <v>0.10249999999999999</v>
          </cell>
          <cell r="G62">
            <v>0.09</v>
          </cell>
          <cell r="H62">
            <v>9.2499999999999999E-2</v>
          </cell>
          <cell r="I62">
            <v>0.1125</v>
          </cell>
          <cell r="J62">
            <v>0.10249999999999999</v>
          </cell>
          <cell r="K62">
            <v>3.2500000000000001E-2</v>
          </cell>
          <cell r="L62">
            <v>3.2500000000000001E-2</v>
          </cell>
          <cell r="M62" t="str">
            <v>---</v>
          </cell>
          <cell r="N62">
            <v>1.5</v>
          </cell>
          <cell r="O62">
            <v>3</v>
          </cell>
          <cell r="P62">
            <v>2</v>
          </cell>
        </row>
      </sheetData>
      <sheetData sheetId="14" refreshError="1">
        <row r="1">
          <cell r="C1" t="str">
            <v>General Investment</v>
          </cell>
          <cell r="D1" t="b">
            <v>1</v>
          </cell>
        </row>
        <row r="2">
          <cell r="C2" t="str">
            <v>Net Leased Investments</v>
          </cell>
          <cell r="D2" t="b">
            <v>1</v>
          </cell>
        </row>
        <row r="3">
          <cell r="C3" t="str">
            <v>Net Lease</v>
          </cell>
          <cell r="D3" t="b">
            <v>1</v>
          </cell>
        </row>
        <row r="21">
          <cell r="I21">
            <v>6</v>
          </cell>
        </row>
      </sheetData>
      <sheetData sheetId="15" refreshError="1"/>
      <sheetData sheetId="16" refreshError="1">
        <row r="10">
          <cell r="K10" t="str">
            <v>2008</v>
          </cell>
        </row>
      </sheetData>
      <sheetData sheetId="17" refreshError="1"/>
      <sheetData sheetId="18" refreshError="1"/>
      <sheetData sheetId="19" refreshError="1"/>
      <sheetData sheetId="20" refreshError="1"/>
      <sheetData sheetId="21" refreshError="1"/>
      <sheetData sheetId="22" refreshError="1"/>
      <sheetData sheetId="23" refreshError="1">
        <row r="34">
          <cell r="W34" t="b">
            <v>0</v>
          </cell>
        </row>
        <row r="41">
          <cell r="AB41">
            <v>6.9999999999999993E-2</v>
          </cell>
        </row>
        <row r="51">
          <cell r="AB51">
            <v>6.9999999999999993E-3</v>
          </cell>
        </row>
      </sheetData>
      <sheetData sheetId="24" refreshError="1">
        <row r="37">
          <cell r="F37" t="str">
            <v>Declining</v>
          </cell>
        </row>
        <row r="38">
          <cell r="F38" t="str">
            <v>Stable</v>
          </cell>
        </row>
        <row r="39">
          <cell r="F39" t="str">
            <v>Increasing</v>
          </cell>
        </row>
      </sheetData>
      <sheetData sheetId="25" refreshError="1"/>
      <sheetData sheetId="26" refreshError="1">
        <row r="47">
          <cell r="F47">
            <v>0.11429687881600156</v>
          </cell>
        </row>
        <row r="48">
          <cell r="F48" t="str">
            <v>8.75 : 1</v>
          </cell>
        </row>
      </sheetData>
      <sheetData sheetId="27" refreshError="1">
        <row r="15">
          <cell r="D15">
            <v>0</v>
          </cell>
        </row>
        <row r="26">
          <cell r="I26">
            <v>0.3</v>
          </cell>
        </row>
      </sheetData>
      <sheetData sheetId="28" refreshError="1">
        <row r="4">
          <cell r="D4" t="str">
            <v>C-4</v>
          </cell>
        </row>
      </sheetData>
      <sheetData sheetId="29" refreshError="1">
        <row r="2">
          <cell r="B2">
            <v>2</v>
          </cell>
        </row>
        <row r="3">
          <cell r="B3">
            <v>2</v>
          </cell>
        </row>
        <row r="4">
          <cell r="B4">
            <v>2</v>
          </cell>
        </row>
        <row r="12">
          <cell r="G12">
            <v>222126.94999999998</v>
          </cell>
          <cell r="K12">
            <v>1450000</v>
          </cell>
        </row>
        <row r="21">
          <cell r="G21">
            <v>24182.961046499997</v>
          </cell>
          <cell r="K21">
            <v>157861.5</v>
          </cell>
        </row>
      </sheetData>
      <sheetData sheetId="30" refreshError="1"/>
      <sheetData sheetId="31" refreshError="1"/>
      <sheetData sheetId="32" refreshError="1">
        <row r="38">
          <cell r="L38">
            <v>1403500</v>
          </cell>
        </row>
        <row r="45">
          <cell r="P45">
            <v>397000</v>
          </cell>
        </row>
      </sheetData>
      <sheetData sheetId="33" refreshError="1">
        <row r="2">
          <cell r="E2" t="str">
            <v>$ PSF</v>
          </cell>
        </row>
        <row r="9">
          <cell r="R9">
            <v>1</v>
          </cell>
          <cell r="S9" t="str">
            <v>Hide</v>
          </cell>
          <cell r="T9" t="str">
            <v>Show</v>
          </cell>
          <cell r="U9" t="str">
            <v>Hide</v>
          </cell>
        </row>
        <row r="10">
          <cell r="R10">
            <v>2</v>
          </cell>
          <cell r="S10" t="str">
            <v>Show</v>
          </cell>
          <cell r="T10" t="str">
            <v>Hide</v>
          </cell>
          <cell r="U10" t="str">
            <v>Hide</v>
          </cell>
        </row>
        <row r="11">
          <cell r="R11">
            <v>3</v>
          </cell>
          <cell r="S11" t="str">
            <v>Hide</v>
          </cell>
          <cell r="T11" t="str">
            <v>Hide</v>
          </cell>
          <cell r="U11" t="str">
            <v>Show</v>
          </cell>
        </row>
      </sheetData>
      <sheetData sheetId="34" refreshError="1">
        <row r="5">
          <cell r="C5" t="str">
            <v>$ PSF</v>
          </cell>
        </row>
        <row r="23">
          <cell r="G23">
            <v>4.2500010982879886</v>
          </cell>
          <cell r="H23">
            <v>9</v>
          </cell>
          <cell r="I23">
            <v>4</v>
          </cell>
          <cell r="J23" t="e">
            <v>#REF!</v>
          </cell>
          <cell r="K23" t="e">
            <v>#REF!</v>
          </cell>
          <cell r="L23" t="e">
            <v>#REF!</v>
          </cell>
        </row>
        <row r="25">
          <cell r="E25" t="str">
            <v>...attributable to:</v>
          </cell>
          <cell r="G25" t="str">
            <v>the additional business interest purchase</v>
          </cell>
        </row>
        <row r="27">
          <cell r="E27" t="str">
            <v>…due to:</v>
          </cell>
          <cell r="G27" t="str">
            <v>favorable owner financing</v>
          </cell>
        </row>
        <row r="29">
          <cell r="E29" t="str">
            <v>…due to:</v>
          </cell>
          <cell r="G29" t="str">
            <v>the buyer being an adjacent property owner</v>
          </cell>
        </row>
        <row r="31">
          <cell r="E31" t="str">
            <v>...reflects:</v>
          </cell>
          <cell r="G31" t="str">
            <v>the improved market conditions since the date of sale</v>
          </cell>
        </row>
        <row r="32">
          <cell r="G32">
            <v>4.2500010982879886</v>
          </cell>
          <cell r="H32">
            <v>9</v>
          </cell>
          <cell r="I32">
            <v>4</v>
          </cell>
          <cell r="J32" t="e">
            <v>#REF!</v>
          </cell>
          <cell r="K32" t="e">
            <v>#REF!</v>
          </cell>
          <cell r="L32" t="e">
            <v>#REF!</v>
          </cell>
        </row>
        <row r="34">
          <cell r="E34" t="str">
            <v>…with respect to:</v>
          </cell>
          <cell r="G34" t="str">
            <v>economies of scale regarding parcel size</v>
          </cell>
        </row>
        <row r="36">
          <cell r="E36" t="str">
            <v>…due to:</v>
          </cell>
          <cell r="G36" t="str">
            <v>an irregular shape</v>
          </cell>
        </row>
        <row r="38">
          <cell r="E38" t="str">
            <v>…due to:</v>
          </cell>
          <cell r="G38" t="str">
            <v>its interior location</v>
          </cell>
        </row>
        <row r="40">
          <cell r="E40" t="str">
            <v>…based upon:</v>
          </cell>
          <cell r="G40" t="str">
            <v>a superior front to depth ratio</v>
          </cell>
        </row>
        <row r="42">
          <cell r="E42" t="str">
            <v>…given:</v>
          </cell>
          <cell r="G42" t="str">
            <v>its rolling terrain</v>
          </cell>
        </row>
        <row r="44">
          <cell r="E44" t="str">
            <v>…due to:</v>
          </cell>
          <cell r="G44" t="str">
            <v>its proximity to employment &amp; other support facilities</v>
          </cell>
        </row>
        <row r="46">
          <cell r="E46" t="str">
            <v>…because of:</v>
          </cell>
          <cell r="G46" t="str">
            <v>a more restrictive zoning classification</v>
          </cell>
        </row>
        <row r="48">
          <cell r="E48" t="str">
            <v>…given:</v>
          </cell>
          <cell r="G48" t="str">
            <v>the nearest water &amp; sewer connections are 1/4 mile away</v>
          </cell>
        </row>
        <row r="50">
          <cell r="E50" t="str">
            <v>…due to:</v>
          </cell>
          <cell r="G50" t="str">
            <v>its xxx</v>
          </cell>
        </row>
        <row r="52">
          <cell r="G52">
            <v>4.2500010982879886</v>
          </cell>
          <cell r="H52">
            <v>9</v>
          </cell>
          <cell r="I52">
            <v>4</v>
          </cell>
          <cell r="J52" t="e">
            <v>#REF!</v>
          </cell>
          <cell r="K52" t="e">
            <v>#REF!</v>
          </cell>
          <cell r="L52" t="e">
            <v>#REF!</v>
          </cell>
        </row>
        <row r="58">
          <cell r="G58">
            <v>4.2500010982879886</v>
          </cell>
          <cell r="H58">
            <v>9</v>
          </cell>
          <cell r="I58">
            <v>4</v>
          </cell>
          <cell r="J58"/>
          <cell r="K58"/>
          <cell r="L58"/>
        </row>
        <row r="59">
          <cell r="P59">
            <v>4</v>
          </cell>
        </row>
        <row r="60">
          <cell r="P60">
            <v>5</v>
          </cell>
        </row>
        <row r="61">
          <cell r="T61">
            <v>1800000</v>
          </cell>
        </row>
      </sheetData>
      <sheetData sheetId="35" refreshError="1"/>
      <sheetData sheetId="36" refreshError="1"/>
      <sheetData sheetId="37" refreshError="1">
        <row r="24">
          <cell r="E24" t="str">
            <v>...attributable to:</v>
          </cell>
          <cell r="G24" t="str">
            <v>the additional business interest purchase</v>
          </cell>
        </row>
        <row r="26">
          <cell r="E26" t="str">
            <v>…due to:</v>
          </cell>
          <cell r="G26" t="str">
            <v>favorable owner financing</v>
          </cell>
        </row>
        <row r="28">
          <cell r="E28" t="str">
            <v>…due to:</v>
          </cell>
          <cell r="G28" t="str">
            <v>the buyer being an adjacent property owner</v>
          </cell>
        </row>
        <row r="30">
          <cell r="E30" t="str">
            <v>...reflects:</v>
          </cell>
          <cell r="G30" t="str">
            <v>the improved market conditions since the date of sale</v>
          </cell>
        </row>
        <row r="33">
          <cell r="E33" t="str">
            <v>…with respect to:</v>
          </cell>
          <cell r="G33" t="str">
            <v>economies of scale regarding parcel size</v>
          </cell>
        </row>
        <row r="35">
          <cell r="E35" t="str">
            <v>…due to:</v>
          </cell>
          <cell r="G35" t="str">
            <v>an irregular shape</v>
          </cell>
        </row>
        <row r="37">
          <cell r="E37" t="str">
            <v>…due to:</v>
          </cell>
          <cell r="G37" t="str">
            <v>its interior location</v>
          </cell>
        </row>
        <row r="39">
          <cell r="E39" t="str">
            <v>…based upon:</v>
          </cell>
          <cell r="G39" t="str">
            <v>a superior front to depth ratio</v>
          </cell>
        </row>
        <row r="41">
          <cell r="E41" t="str">
            <v>…given:</v>
          </cell>
          <cell r="G41" t="str">
            <v>its rolling terrain</v>
          </cell>
        </row>
        <row r="43">
          <cell r="E43" t="str">
            <v>…due to:</v>
          </cell>
          <cell r="G43" t="str">
            <v>its proximity to employment &amp; other support facilities</v>
          </cell>
        </row>
        <row r="45">
          <cell r="E45" t="str">
            <v>…because of:</v>
          </cell>
          <cell r="G45" t="str">
            <v>a more restrictive zoning classification</v>
          </cell>
        </row>
        <row r="47">
          <cell r="E47" t="str">
            <v>…given:</v>
          </cell>
          <cell r="G47" t="str">
            <v>the nearest water &amp; sewer connections are 1/4 mile away</v>
          </cell>
        </row>
        <row r="49">
          <cell r="E49" t="str">
            <v>…due to:</v>
          </cell>
          <cell r="G49" t="str">
            <v>its xxx</v>
          </cell>
        </row>
        <row r="67">
          <cell r="T67">
            <v>0</v>
          </cell>
        </row>
      </sheetData>
      <sheetData sheetId="38" refreshError="1"/>
      <sheetData sheetId="39" refreshError="1"/>
      <sheetData sheetId="40" refreshError="1">
        <row r="11">
          <cell r="K11">
            <v>1</v>
          </cell>
        </row>
        <row r="12">
          <cell r="K12">
            <v>1</v>
          </cell>
        </row>
        <row r="74">
          <cell r="H74">
            <v>886600</v>
          </cell>
        </row>
        <row r="79">
          <cell r="G79">
            <v>0</v>
          </cell>
        </row>
        <row r="82">
          <cell r="H82">
            <v>-908703.3600000001</v>
          </cell>
        </row>
        <row r="89">
          <cell r="H89">
            <v>890000</v>
          </cell>
        </row>
        <row r="102">
          <cell r="M102">
            <v>-1529323.36</v>
          </cell>
        </row>
      </sheetData>
      <sheetData sheetId="41" refreshError="1"/>
      <sheetData sheetId="42" refreshError="1"/>
      <sheetData sheetId="43" refreshError="1">
        <row r="56">
          <cell r="H56">
            <v>500000</v>
          </cell>
        </row>
      </sheetData>
      <sheetData sheetId="44" refreshError="1">
        <row r="2">
          <cell r="D2">
            <v>0</v>
          </cell>
        </row>
        <row r="3">
          <cell r="D3" t="str">
            <v>Straight Line</v>
          </cell>
          <cell r="BE3">
            <v>1</v>
          </cell>
        </row>
        <row r="4">
          <cell r="C4">
            <v>2</v>
          </cell>
          <cell r="D4" t="str">
            <v>Cash Flow</v>
          </cell>
        </row>
        <row r="5">
          <cell r="D5">
            <v>0.09</v>
          </cell>
          <cell r="BE5">
            <v>900</v>
          </cell>
        </row>
        <row r="6">
          <cell r="D6">
            <v>0</v>
          </cell>
          <cell r="BE6">
            <v>0</v>
          </cell>
        </row>
        <row r="7">
          <cell r="D7">
            <v>0.3</v>
          </cell>
          <cell r="BE7">
            <v>30</v>
          </cell>
        </row>
        <row r="68">
          <cell r="H68">
            <v>0</v>
          </cell>
        </row>
      </sheetData>
      <sheetData sheetId="45" refreshError="1"/>
      <sheetData sheetId="46" refreshError="1"/>
      <sheetData sheetId="47" refreshError="1">
        <row r="2">
          <cell r="B2">
            <v>1</v>
          </cell>
        </row>
        <row r="30">
          <cell r="E30" t="str">
            <v>N/A</v>
          </cell>
          <cell r="F30" t="str">
            <v>N/A</v>
          </cell>
          <cell r="G30" t="str">
            <v>N/A</v>
          </cell>
          <cell r="H30">
            <v>0.08</v>
          </cell>
          <cell r="I30" t="str">
            <v>N/A</v>
          </cell>
          <cell r="J30" t="e">
            <v>#REF!</v>
          </cell>
          <cell r="L30" t="str">
            <v>---</v>
          </cell>
        </row>
        <row r="35">
          <cell r="D35" t="str">
            <v>...attributable to:</v>
          </cell>
          <cell r="E35" t="str">
            <v>the additional business interest purchase</v>
          </cell>
        </row>
        <row r="36">
          <cell r="E36">
            <v>0</v>
          </cell>
          <cell r="F36">
            <v>0</v>
          </cell>
          <cell r="G36">
            <v>0</v>
          </cell>
          <cell r="H36">
            <v>0</v>
          </cell>
          <cell r="I36">
            <v>0</v>
          </cell>
          <cell r="J36">
            <v>0</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5">
          <cell r="E55">
            <v>0</v>
          </cell>
          <cell r="F55">
            <v>0</v>
          </cell>
          <cell r="G55">
            <v>0</v>
          </cell>
          <cell r="H55">
            <v>0</v>
          </cell>
          <cell r="I55">
            <v>0</v>
          </cell>
          <cell r="J55">
            <v>0</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row r="81">
          <cell r="A81">
            <v>8</v>
          </cell>
        </row>
        <row r="90">
          <cell r="E90">
            <v>249.72</v>
          </cell>
          <cell r="F90">
            <v>214.26</v>
          </cell>
          <cell r="G90">
            <v>190.57</v>
          </cell>
          <cell r="H90">
            <v>212.99</v>
          </cell>
          <cell r="I90">
            <v>163</v>
          </cell>
          <cell r="J90"/>
        </row>
        <row r="92">
          <cell r="E92">
            <v>0</v>
          </cell>
          <cell r="F92">
            <v>0</v>
          </cell>
          <cell r="G92">
            <v>0</v>
          </cell>
          <cell r="H92">
            <v>0</v>
          </cell>
          <cell r="I92">
            <v>0</v>
          </cell>
          <cell r="J92"/>
        </row>
      </sheetData>
      <sheetData sheetId="48" refreshError="1"/>
      <sheetData sheetId="49" refreshError="1">
        <row r="12">
          <cell r="M12">
            <v>45</v>
          </cell>
        </row>
        <row r="13">
          <cell r="M13">
            <v>55</v>
          </cell>
        </row>
        <row r="32">
          <cell r="O32">
            <v>1110000</v>
          </cell>
        </row>
        <row r="42">
          <cell r="C42" t="str">
            <v>NOI Per SF</v>
          </cell>
          <cell r="D42" t="str">
            <v>Price Per SF</v>
          </cell>
        </row>
        <row r="43">
          <cell r="C43">
            <v>14.283599999999998</v>
          </cell>
          <cell r="D43">
            <v>155.38142703497275</v>
          </cell>
        </row>
        <row r="44">
          <cell r="C44">
            <v>6.23</v>
          </cell>
          <cell r="D44">
            <v>92.7</v>
          </cell>
        </row>
        <row r="46">
          <cell r="C46">
            <v>7.62</v>
          </cell>
          <cell r="D46">
            <v>95.92</v>
          </cell>
        </row>
        <row r="47">
          <cell r="C47">
            <v>6.89</v>
          </cell>
          <cell r="D47">
            <v>86.64</v>
          </cell>
        </row>
        <row r="48">
          <cell r="C48">
            <v>8.11</v>
          </cell>
          <cell r="D48">
            <v>108.2</v>
          </cell>
        </row>
      </sheetData>
      <sheetData sheetId="50" refreshError="1"/>
      <sheetData sheetId="51" refreshError="1"/>
      <sheetData sheetId="52" refreshError="1"/>
      <sheetData sheetId="53" refreshError="1">
        <row r="2">
          <cell r="B2">
            <v>1</v>
          </cell>
        </row>
        <row r="35">
          <cell r="D35" t="str">
            <v>...attributable to:</v>
          </cell>
          <cell r="E35" t="str">
            <v>the additional business interest purchase</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sheetData>
      <sheetData sheetId="54" refreshError="1"/>
      <sheetData sheetId="55" refreshError="1"/>
      <sheetData sheetId="56" refreshError="1">
        <row r="2">
          <cell r="C2">
            <v>1</v>
          </cell>
        </row>
      </sheetData>
      <sheetData sheetId="57" refreshError="1"/>
      <sheetData sheetId="58" refreshError="1"/>
      <sheetData sheetId="59" refreshError="1"/>
      <sheetData sheetId="60" refreshError="1">
        <row r="2">
          <cell r="C2">
            <v>1</v>
          </cell>
        </row>
      </sheetData>
      <sheetData sheetId="61" refreshError="1"/>
      <sheetData sheetId="62" refreshError="1"/>
      <sheetData sheetId="63" refreshError="1"/>
      <sheetData sheetId="64" refreshError="1"/>
      <sheetData sheetId="65" refreshError="1">
        <row r="70">
          <cell r="BN70">
            <v>74880</v>
          </cell>
        </row>
        <row r="85">
          <cell r="BE85">
            <v>944700</v>
          </cell>
        </row>
      </sheetData>
      <sheetData sheetId="66" refreshError="1">
        <row r="3">
          <cell r="AI3" t="b">
            <v>0</v>
          </cell>
          <cell r="AJ3" t="b">
            <v>0</v>
          </cell>
          <cell r="AK3" t="b">
            <v>0</v>
          </cell>
          <cell r="AL3" t="b">
            <v>0</v>
          </cell>
        </row>
        <row r="5">
          <cell r="G5" t="str">
            <v>Year-Occupancy</v>
          </cell>
          <cell r="H5">
            <v>2004</v>
          </cell>
          <cell r="J5">
            <v>0.61799999999999999</v>
          </cell>
          <cell r="M5">
            <v>2005</v>
          </cell>
          <cell r="O5">
            <v>0.69499999999999995</v>
          </cell>
          <cell r="R5" t="str">
            <v>2006 Annualized</v>
          </cell>
          <cell r="T5">
            <v>0.65800000000000003</v>
          </cell>
          <cell r="W5" t="str">
            <v>2007 Budget</v>
          </cell>
          <cell r="Y5">
            <v>0.68400000000000005</v>
          </cell>
        </row>
        <row r="6">
          <cell r="H6" t="str">
            <v>Total</v>
          </cell>
          <cell r="I6" t="str">
            <v>% EGI</v>
          </cell>
          <cell r="J6" t="str">
            <v>$/Unit</v>
          </cell>
          <cell r="K6" t="str">
            <v>$/SF</v>
          </cell>
          <cell r="M6" t="str">
            <v>Total</v>
          </cell>
          <cell r="N6" t="str">
            <v>% EGI</v>
          </cell>
          <cell r="O6" t="str">
            <v>$/Unit</v>
          </cell>
          <cell r="P6" t="str">
            <v>$/SF</v>
          </cell>
          <cell r="R6" t="str">
            <v>Total</v>
          </cell>
          <cell r="S6" t="str">
            <v>% EGI</v>
          </cell>
          <cell r="T6" t="str">
            <v>$/Unit</v>
          </cell>
          <cell r="U6" t="str">
            <v>$/SF</v>
          </cell>
          <cell r="W6" t="str">
            <v>Total</v>
          </cell>
          <cell r="X6" t="str">
            <v>% EGI</v>
          </cell>
          <cell r="Y6" t="str">
            <v>$/Unit</v>
          </cell>
          <cell r="Z6" t="str">
            <v>$/SF</v>
          </cell>
        </row>
        <row r="7">
          <cell r="G7" t="str">
            <v>Income</v>
          </cell>
        </row>
        <row r="8">
          <cell r="G8" t="str">
            <v>Rental Income</v>
          </cell>
          <cell r="H8">
            <v>358295</v>
          </cell>
          <cell r="I8">
            <v>1</v>
          </cell>
          <cell r="J8">
            <v>358295</v>
          </cell>
          <cell r="K8">
            <v>76.558760683760681</v>
          </cell>
          <cell r="M8">
            <v>367810</v>
          </cell>
          <cell r="N8">
            <v>1</v>
          </cell>
          <cell r="O8">
            <v>367810</v>
          </cell>
          <cell r="P8">
            <v>78.591880341880341</v>
          </cell>
          <cell r="R8">
            <v>385917</v>
          </cell>
          <cell r="S8">
            <v>1</v>
          </cell>
          <cell r="T8">
            <v>385917</v>
          </cell>
          <cell r="U8">
            <v>82.460897435897436</v>
          </cell>
          <cell r="W8">
            <v>416189</v>
          </cell>
          <cell r="X8">
            <v>1</v>
          </cell>
          <cell r="Y8">
            <v>416189</v>
          </cell>
          <cell r="Z8">
            <v>88.92927350427351</v>
          </cell>
        </row>
        <row r="9">
          <cell r="G9"/>
          <cell r="H9">
            <v>0</v>
          </cell>
          <cell r="I9">
            <v>0</v>
          </cell>
          <cell r="J9">
            <v>0</v>
          </cell>
          <cell r="K9">
            <v>0</v>
          </cell>
          <cell r="M9">
            <v>0</v>
          </cell>
          <cell r="N9">
            <v>0</v>
          </cell>
          <cell r="O9">
            <v>0</v>
          </cell>
          <cell r="P9">
            <v>0</v>
          </cell>
          <cell r="R9">
            <v>0</v>
          </cell>
          <cell r="S9">
            <v>0</v>
          </cell>
          <cell r="T9">
            <v>0</v>
          </cell>
          <cell r="U9">
            <v>0</v>
          </cell>
          <cell r="W9">
            <v>0</v>
          </cell>
          <cell r="X9">
            <v>0</v>
          </cell>
          <cell r="Y9">
            <v>0</v>
          </cell>
          <cell r="Z9">
            <v>0</v>
          </cell>
        </row>
        <row r="10">
          <cell r="G10"/>
          <cell r="H10">
            <v>0</v>
          </cell>
          <cell r="I10">
            <v>0</v>
          </cell>
          <cell r="J10">
            <v>0</v>
          </cell>
          <cell r="K10">
            <v>0</v>
          </cell>
          <cell r="M10">
            <v>0</v>
          </cell>
          <cell r="N10">
            <v>0</v>
          </cell>
          <cell r="O10">
            <v>0</v>
          </cell>
          <cell r="P10">
            <v>0</v>
          </cell>
          <cell r="R10">
            <v>0</v>
          </cell>
          <cell r="S10">
            <v>0</v>
          </cell>
          <cell r="T10">
            <v>0</v>
          </cell>
          <cell r="U10">
            <v>0</v>
          </cell>
          <cell r="W10">
            <v>0</v>
          </cell>
          <cell r="X10">
            <v>0</v>
          </cell>
          <cell r="Y10">
            <v>0</v>
          </cell>
          <cell r="Z10">
            <v>0</v>
          </cell>
        </row>
        <row r="11">
          <cell r="G11"/>
          <cell r="H11">
            <v>0</v>
          </cell>
          <cell r="I11">
            <v>0</v>
          </cell>
          <cell r="J11">
            <v>0</v>
          </cell>
          <cell r="K11">
            <v>0</v>
          </cell>
          <cell r="M11">
            <v>0</v>
          </cell>
          <cell r="N11">
            <v>0</v>
          </cell>
          <cell r="O11">
            <v>0</v>
          </cell>
          <cell r="P11">
            <v>0</v>
          </cell>
          <cell r="R11">
            <v>0</v>
          </cell>
          <cell r="S11">
            <v>0</v>
          </cell>
          <cell r="T11">
            <v>0</v>
          </cell>
          <cell r="U11">
            <v>0</v>
          </cell>
          <cell r="W11">
            <v>0</v>
          </cell>
          <cell r="X11">
            <v>0</v>
          </cell>
          <cell r="Y11">
            <v>0</v>
          </cell>
          <cell r="Z11">
            <v>0</v>
          </cell>
        </row>
        <row r="12">
          <cell r="G12"/>
          <cell r="H12">
            <v>0</v>
          </cell>
          <cell r="I12">
            <v>0</v>
          </cell>
          <cell r="J12">
            <v>0</v>
          </cell>
          <cell r="K12">
            <v>0</v>
          </cell>
          <cell r="M12">
            <v>0</v>
          </cell>
          <cell r="N12">
            <v>0</v>
          </cell>
          <cell r="O12">
            <v>0</v>
          </cell>
          <cell r="P12">
            <v>0</v>
          </cell>
          <cell r="R12">
            <v>0</v>
          </cell>
          <cell r="S12">
            <v>0</v>
          </cell>
          <cell r="T12">
            <v>0</v>
          </cell>
          <cell r="U12">
            <v>0</v>
          </cell>
          <cell r="W12">
            <v>0</v>
          </cell>
          <cell r="X12">
            <v>0</v>
          </cell>
          <cell r="Y12">
            <v>0</v>
          </cell>
          <cell r="Z12">
            <v>0</v>
          </cell>
        </row>
        <row r="13">
          <cell r="G13"/>
          <cell r="H13">
            <v>0</v>
          </cell>
          <cell r="I13">
            <v>0</v>
          </cell>
          <cell r="J13">
            <v>0</v>
          </cell>
          <cell r="K13">
            <v>0</v>
          </cell>
          <cell r="M13">
            <v>0</v>
          </cell>
          <cell r="N13">
            <v>0</v>
          </cell>
          <cell r="O13">
            <v>0</v>
          </cell>
          <cell r="P13">
            <v>0</v>
          </cell>
          <cell r="R13">
            <v>0</v>
          </cell>
          <cell r="S13">
            <v>0</v>
          </cell>
          <cell r="T13">
            <v>0</v>
          </cell>
          <cell r="U13">
            <v>0</v>
          </cell>
          <cell r="W13">
            <v>0</v>
          </cell>
          <cell r="X13">
            <v>0</v>
          </cell>
          <cell r="Y13">
            <v>0</v>
          </cell>
          <cell r="Z13">
            <v>0</v>
          </cell>
        </row>
        <row r="14">
          <cell r="G14"/>
          <cell r="H14">
            <v>0</v>
          </cell>
          <cell r="I14">
            <v>0</v>
          </cell>
          <cell r="J14">
            <v>0</v>
          </cell>
          <cell r="K14">
            <v>0</v>
          </cell>
          <cell r="M14">
            <v>0</v>
          </cell>
          <cell r="N14">
            <v>0</v>
          </cell>
          <cell r="O14">
            <v>0</v>
          </cell>
          <cell r="P14">
            <v>0</v>
          </cell>
          <cell r="R14">
            <v>0</v>
          </cell>
          <cell r="S14">
            <v>0</v>
          </cell>
          <cell r="T14">
            <v>0</v>
          </cell>
          <cell r="U14">
            <v>0</v>
          </cell>
          <cell r="W14">
            <v>0</v>
          </cell>
          <cell r="X14">
            <v>0</v>
          </cell>
          <cell r="Y14">
            <v>0</v>
          </cell>
          <cell r="Z14">
            <v>0</v>
          </cell>
        </row>
        <row r="15">
          <cell r="G15"/>
          <cell r="H15">
            <v>0</v>
          </cell>
          <cell r="I15">
            <v>0</v>
          </cell>
          <cell r="J15">
            <v>0</v>
          </cell>
          <cell r="K15">
            <v>0</v>
          </cell>
          <cell r="M15">
            <v>0</v>
          </cell>
          <cell r="N15">
            <v>0</v>
          </cell>
          <cell r="O15">
            <v>0</v>
          </cell>
          <cell r="P15">
            <v>0</v>
          </cell>
          <cell r="R15">
            <v>0</v>
          </cell>
          <cell r="S15">
            <v>0</v>
          </cell>
          <cell r="T15">
            <v>0</v>
          </cell>
          <cell r="U15">
            <v>0</v>
          </cell>
          <cell r="W15">
            <v>0</v>
          </cell>
          <cell r="X15">
            <v>0</v>
          </cell>
          <cell r="Y15">
            <v>0</v>
          </cell>
          <cell r="Z15">
            <v>0</v>
          </cell>
        </row>
        <row r="16">
          <cell r="G16" t="str">
            <v>Effective Gross Income</v>
          </cell>
          <cell r="H16">
            <v>358295</v>
          </cell>
          <cell r="I16">
            <v>1</v>
          </cell>
          <cell r="J16">
            <v>358295</v>
          </cell>
          <cell r="K16">
            <v>76.558760683760681</v>
          </cell>
          <cell r="M16">
            <v>367810</v>
          </cell>
          <cell r="N16">
            <v>1</v>
          </cell>
          <cell r="O16">
            <v>367810</v>
          </cell>
          <cell r="P16">
            <v>78.591880341880341</v>
          </cell>
          <cell r="R16">
            <v>385917</v>
          </cell>
          <cell r="S16">
            <v>1</v>
          </cell>
          <cell r="T16">
            <v>385917</v>
          </cell>
          <cell r="U16">
            <v>82.460897435897436</v>
          </cell>
          <cell r="W16">
            <v>416189</v>
          </cell>
          <cell r="X16">
            <v>1</v>
          </cell>
          <cell r="Y16">
            <v>416189</v>
          </cell>
          <cell r="Z16">
            <v>88.92927350427351</v>
          </cell>
        </row>
        <row r="17">
          <cell r="G17" t="str">
            <v>Expenses</v>
          </cell>
        </row>
        <row r="18">
          <cell r="G18"/>
          <cell r="H18">
            <v>0</v>
          </cell>
          <cell r="I18">
            <v>0</v>
          </cell>
          <cell r="J18">
            <v>0</v>
          </cell>
          <cell r="K18">
            <v>0</v>
          </cell>
          <cell r="M18">
            <v>0</v>
          </cell>
          <cell r="N18">
            <v>0</v>
          </cell>
          <cell r="O18">
            <v>0</v>
          </cell>
          <cell r="P18">
            <v>0</v>
          </cell>
          <cell r="R18">
            <v>0</v>
          </cell>
          <cell r="S18">
            <v>0</v>
          </cell>
          <cell r="T18">
            <v>0</v>
          </cell>
          <cell r="U18">
            <v>0</v>
          </cell>
          <cell r="W18">
            <v>0</v>
          </cell>
          <cell r="X18">
            <v>0</v>
          </cell>
          <cell r="Y18">
            <v>0</v>
          </cell>
          <cell r="Z18">
            <v>0</v>
          </cell>
        </row>
        <row r="19">
          <cell r="G19"/>
          <cell r="H19">
            <v>0</v>
          </cell>
          <cell r="I19">
            <v>0</v>
          </cell>
          <cell r="J19">
            <v>0</v>
          </cell>
          <cell r="K19">
            <v>0</v>
          </cell>
          <cell r="M19">
            <v>0</v>
          </cell>
          <cell r="N19">
            <v>0</v>
          </cell>
          <cell r="O19">
            <v>0</v>
          </cell>
          <cell r="P19">
            <v>0</v>
          </cell>
          <cell r="R19">
            <v>0</v>
          </cell>
          <cell r="S19">
            <v>0</v>
          </cell>
          <cell r="T19">
            <v>0</v>
          </cell>
          <cell r="U19">
            <v>0</v>
          </cell>
          <cell r="W19">
            <v>0</v>
          </cell>
          <cell r="X19">
            <v>0</v>
          </cell>
          <cell r="Y19">
            <v>0</v>
          </cell>
          <cell r="Z19">
            <v>0</v>
          </cell>
        </row>
        <row r="20">
          <cell r="G20"/>
          <cell r="H20">
            <v>0</v>
          </cell>
          <cell r="I20">
            <v>0</v>
          </cell>
          <cell r="J20">
            <v>0</v>
          </cell>
          <cell r="K20">
            <v>0</v>
          </cell>
          <cell r="M20">
            <v>0</v>
          </cell>
          <cell r="N20">
            <v>0</v>
          </cell>
          <cell r="O20">
            <v>0</v>
          </cell>
          <cell r="P20">
            <v>0</v>
          </cell>
          <cell r="R20">
            <v>0</v>
          </cell>
          <cell r="S20">
            <v>0</v>
          </cell>
          <cell r="T20">
            <v>0</v>
          </cell>
          <cell r="U20">
            <v>0</v>
          </cell>
          <cell r="W20">
            <v>0</v>
          </cell>
          <cell r="X20">
            <v>0</v>
          </cell>
          <cell r="Y20">
            <v>0</v>
          </cell>
          <cell r="Z20">
            <v>0</v>
          </cell>
        </row>
        <row r="21">
          <cell r="G21"/>
          <cell r="H21">
            <v>0</v>
          </cell>
          <cell r="I21">
            <v>0</v>
          </cell>
          <cell r="J21">
            <v>0</v>
          </cell>
          <cell r="K21">
            <v>0</v>
          </cell>
          <cell r="M21">
            <v>0</v>
          </cell>
          <cell r="N21">
            <v>0</v>
          </cell>
          <cell r="O21">
            <v>0</v>
          </cell>
          <cell r="P21">
            <v>0</v>
          </cell>
          <cell r="R21">
            <v>0</v>
          </cell>
          <cell r="S21">
            <v>0</v>
          </cell>
          <cell r="T21">
            <v>0</v>
          </cell>
          <cell r="U21">
            <v>0</v>
          </cell>
          <cell r="W21">
            <v>0</v>
          </cell>
          <cell r="X21">
            <v>0</v>
          </cell>
          <cell r="Y21">
            <v>0</v>
          </cell>
          <cell r="Z21">
            <v>0</v>
          </cell>
        </row>
        <row r="22">
          <cell r="G22"/>
          <cell r="H22">
            <v>0</v>
          </cell>
          <cell r="I22">
            <v>0</v>
          </cell>
          <cell r="J22">
            <v>0</v>
          </cell>
          <cell r="K22">
            <v>0</v>
          </cell>
          <cell r="M22">
            <v>0</v>
          </cell>
          <cell r="N22">
            <v>0</v>
          </cell>
          <cell r="O22">
            <v>0</v>
          </cell>
          <cell r="P22">
            <v>0</v>
          </cell>
          <cell r="R22">
            <v>0</v>
          </cell>
          <cell r="S22">
            <v>0</v>
          </cell>
          <cell r="T22">
            <v>0</v>
          </cell>
          <cell r="U22">
            <v>0</v>
          </cell>
          <cell r="W22">
            <v>0</v>
          </cell>
          <cell r="X22">
            <v>0</v>
          </cell>
          <cell r="Y22">
            <v>0</v>
          </cell>
          <cell r="Z22">
            <v>0</v>
          </cell>
        </row>
        <row r="23">
          <cell r="G23"/>
          <cell r="H23">
            <v>0</v>
          </cell>
          <cell r="I23">
            <v>0</v>
          </cell>
          <cell r="J23">
            <v>0</v>
          </cell>
          <cell r="K23">
            <v>0</v>
          </cell>
          <cell r="M23">
            <v>0</v>
          </cell>
          <cell r="N23">
            <v>0</v>
          </cell>
          <cell r="O23">
            <v>0</v>
          </cell>
          <cell r="P23">
            <v>0</v>
          </cell>
          <cell r="R23">
            <v>0</v>
          </cell>
          <cell r="S23">
            <v>0</v>
          </cell>
          <cell r="T23">
            <v>0</v>
          </cell>
          <cell r="U23">
            <v>0</v>
          </cell>
          <cell r="W23">
            <v>0</v>
          </cell>
          <cell r="X23">
            <v>0</v>
          </cell>
          <cell r="Y23">
            <v>0</v>
          </cell>
          <cell r="Z23">
            <v>0</v>
          </cell>
        </row>
        <row r="24">
          <cell r="G24"/>
          <cell r="H24">
            <v>0</v>
          </cell>
          <cell r="I24">
            <v>0</v>
          </cell>
          <cell r="J24">
            <v>0</v>
          </cell>
          <cell r="K24">
            <v>0</v>
          </cell>
          <cell r="M24">
            <v>0</v>
          </cell>
          <cell r="N24">
            <v>0</v>
          </cell>
          <cell r="O24">
            <v>0</v>
          </cell>
          <cell r="P24">
            <v>0</v>
          </cell>
          <cell r="R24">
            <v>0</v>
          </cell>
          <cell r="S24">
            <v>0</v>
          </cell>
          <cell r="T24">
            <v>0</v>
          </cell>
          <cell r="U24">
            <v>0</v>
          </cell>
          <cell r="W24">
            <v>0</v>
          </cell>
          <cell r="X24">
            <v>0</v>
          </cell>
          <cell r="Y24">
            <v>0</v>
          </cell>
          <cell r="Z24">
            <v>0</v>
          </cell>
        </row>
        <row r="25">
          <cell r="G25"/>
          <cell r="H25">
            <v>0</v>
          </cell>
          <cell r="I25">
            <v>0</v>
          </cell>
          <cell r="J25">
            <v>0</v>
          </cell>
          <cell r="K25">
            <v>0</v>
          </cell>
          <cell r="M25">
            <v>0</v>
          </cell>
          <cell r="N25">
            <v>0</v>
          </cell>
          <cell r="O25">
            <v>0</v>
          </cell>
          <cell r="P25">
            <v>0</v>
          </cell>
          <cell r="R25">
            <v>0</v>
          </cell>
          <cell r="S25">
            <v>0</v>
          </cell>
          <cell r="T25">
            <v>0</v>
          </cell>
          <cell r="U25">
            <v>0</v>
          </cell>
          <cell r="W25">
            <v>0</v>
          </cell>
          <cell r="X25">
            <v>0</v>
          </cell>
          <cell r="Y25">
            <v>0</v>
          </cell>
          <cell r="Z25">
            <v>0</v>
          </cell>
        </row>
        <row r="26">
          <cell r="G26"/>
          <cell r="H26">
            <v>0</v>
          </cell>
          <cell r="I26">
            <v>0</v>
          </cell>
          <cell r="J26">
            <v>0</v>
          </cell>
          <cell r="K26">
            <v>0</v>
          </cell>
          <cell r="M26">
            <v>0</v>
          </cell>
          <cell r="N26">
            <v>0</v>
          </cell>
          <cell r="O26">
            <v>0</v>
          </cell>
          <cell r="P26">
            <v>0</v>
          </cell>
          <cell r="R26">
            <v>0</v>
          </cell>
          <cell r="S26">
            <v>0</v>
          </cell>
          <cell r="T26">
            <v>0</v>
          </cell>
          <cell r="U26">
            <v>0</v>
          </cell>
          <cell r="W26">
            <v>0</v>
          </cell>
          <cell r="X26">
            <v>0</v>
          </cell>
          <cell r="Y26">
            <v>0</v>
          </cell>
          <cell r="Z26">
            <v>0</v>
          </cell>
        </row>
        <row r="27">
          <cell r="G27"/>
          <cell r="H27">
            <v>0</v>
          </cell>
          <cell r="I27">
            <v>0</v>
          </cell>
          <cell r="J27">
            <v>0</v>
          </cell>
          <cell r="K27">
            <v>0</v>
          </cell>
          <cell r="M27">
            <v>0</v>
          </cell>
          <cell r="N27">
            <v>0</v>
          </cell>
          <cell r="O27">
            <v>0</v>
          </cell>
          <cell r="P27">
            <v>0</v>
          </cell>
          <cell r="R27">
            <v>0</v>
          </cell>
          <cell r="S27">
            <v>0</v>
          </cell>
          <cell r="T27">
            <v>0</v>
          </cell>
          <cell r="U27">
            <v>0</v>
          </cell>
          <cell r="W27">
            <v>0</v>
          </cell>
          <cell r="X27">
            <v>0</v>
          </cell>
          <cell r="Y27">
            <v>0</v>
          </cell>
          <cell r="Z27">
            <v>0</v>
          </cell>
        </row>
        <row r="28">
          <cell r="G28"/>
          <cell r="H28">
            <v>0</v>
          </cell>
          <cell r="I28">
            <v>0</v>
          </cell>
          <cell r="J28">
            <v>0</v>
          </cell>
          <cell r="K28">
            <v>0</v>
          </cell>
          <cell r="M28">
            <v>0</v>
          </cell>
          <cell r="N28">
            <v>0</v>
          </cell>
          <cell r="O28">
            <v>0</v>
          </cell>
          <cell r="P28">
            <v>0</v>
          </cell>
          <cell r="R28">
            <v>0</v>
          </cell>
          <cell r="S28">
            <v>0</v>
          </cell>
          <cell r="T28">
            <v>0</v>
          </cell>
          <cell r="U28">
            <v>0</v>
          </cell>
          <cell r="W28">
            <v>0</v>
          </cell>
          <cell r="X28">
            <v>0</v>
          </cell>
          <cell r="Y28">
            <v>0</v>
          </cell>
          <cell r="Z28">
            <v>0</v>
          </cell>
        </row>
        <row r="29">
          <cell r="G29"/>
          <cell r="H29">
            <v>0</v>
          </cell>
          <cell r="I29">
            <v>0</v>
          </cell>
          <cell r="J29">
            <v>0</v>
          </cell>
          <cell r="K29">
            <v>0</v>
          </cell>
          <cell r="M29">
            <v>0</v>
          </cell>
          <cell r="N29">
            <v>0</v>
          </cell>
          <cell r="O29">
            <v>0</v>
          </cell>
          <cell r="P29">
            <v>0</v>
          </cell>
          <cell r="R29">
            <v>0</v>
          </cell>
          <cell r="S29">
            <v>0</v>
          </cell>
          <cell r="T29">
            <v>0</v>
          </cell>
          <cell r="U29">
            <v>0</v>
          </cell>
          <cell r="W29">
            <v>0</v>
          </cell>
          <cell r="X29">
            <v>0</v>
          </cell>
          <cell r="Y29">
            <v>0</v>
          </cell>
          <cell r="Z29">
            <v>0</v>
          </cell>
        </row>
        <row r="30">
          <cell r="G30" t="str">
            <v>Management Fee</v>
          </cell>
          <cell r="H30">
            <v>0</v>
          </cell>
          <cell r="I30">
            <v>0</v>
          </cell>
          <cell r="J30">
            <v>0</v>
          </cell>
          <cell r="K30">
            <v>0</v>
          </cell>
          <cell r="M30">
            <v>0</v>
          </cell>
          <cell r="N30">
            <v>0</v>
          </cell>
          <cell r="O30">
            <v>0</v>
          </cell>
          <cell r="P30">
            <v>0</v>
          </cell>
          <cell r="R30">
            <v>0</v>
          </cell>
          <cell r="S30">
            <v>0</v>
          </cell>
          <cell r="T30">
            <v>0</v>
          </cell>
          <cell r="U30">
            <v>0</v>
          </cell>
          <cell r="W30">
            <v>0</v>
          </cell>
          <cell r="X30">
            <v>0</v>
          </cell>
          <cell r="Y30">
            <v>0</v>
          </cell>
          <cell r="Z30">
            <v>0</v>
          </cell>
        </row>
        <row r="31">
          <cell r="G31"/>
          <cell r="H31">
            <v>0</v>
          </cell>
          <cell r="I31">
            <v>0</v>
          </cell>
          <cell r="J31">
            <v>0</v>
          </cell>
          <cell r="K31">
            <v>0</v>
          </cell>
          <cell r="M31">
            <v>0</v>
          </cell>
          <cell r="N31">
            <v>0</v>
          </cell>
          <cell r="O31">
            <v>0</v>
          </cell>
          <cell r="P31">
            <v>0</v>
          </cell>
          <cell r="R31">
            <v>0</v>
          </cell>
          <cell r="S31">
            <v>0</v>
          </cell>
          <cell r="T31">
            <v>0</v>
          </cell>
          <cell r="U31">
            <v>0</v>
          </cell>
          <cell r="W31">
            <v>0</v>
          </cell>
          <cell r="X31">
            <v>0</v>
          </cell>
          <cell r="Y31">
            <v>0</v>
          </cell>
          <cell r="Z31">
            <v>0</v>
          </cell>
        </row>
        <row r="32">
          <cell r="G32"/>
          <cell r="H32">
            <v>0</v>
          </cell>
          <cell r="I32">
            <v>0</v>
          </cell>
          <cell r="J32">
            <v>0</v>
          </cell>
          <cell r="K32">
            <v>0</v>
          </cell>
          <cell r="M32">
            <v>0</v>
          </cell>
          <cell r="N32">
            <v>0</v>
          </cell>
          <cell r="O32">
            <v>0</v>
          </cell>
          <cell r="P32">
            <v>0</v>
          </cell>
          <cell r="R32">
            <v>0</v>
          </cell>
          <cell r="S32">
            <v>0</v>
          </cell>
          <cell r="T32">
            <v>0</v>
          </cell>
          <cell r="U32">
            <v>0</v>
          </cell>
          <cell r="W32">
            <v>0</v>
          </cell>
          <cell r="X32">
            <v>0</v>
          </cell>
          <cell r="Y32">
            <v>0</v>
          </cell>
          <cell r="Z32">
            <v>0</v>
          </cell>
        </row>
        <row r="33">
          <cell r="G33"/>
          <cell r="H33">
            <v>0</v>
          </cell>
          <cell r="I33">
            <v>0</v>
          </cell>
          <cell r="J33">
            <v>0</v>
          </cell>
          <cell r="K33">
            <v>0</v>
          </cell>
          <cell r="M33">
            <v>0</v>
          </cell>
          <cell r="N33">
            <v>0</v>
          </cell>
          <cell r="O33">
            <v>0</v>
          </cell>
          <cell r="P33">
            <v>0</v>
          </cell>
          <cell r="R33">
            <v>0</v>
          </cell>
          <cell r="S33">
            <v>0</v>
          </cell>
          <cell r="T33">
            <v>0</v>
          </cell>
          <cell r="U33">
            <v>0</v>
          </cell>
          <cell r="W33">
            <v>0</v>
          </cell>
          <cell r="X33">
            <v>0</v>
          </cell>
          <cell r="Y33">
            <v>0</v>
          </cell>
          <cell r="Z33">
            <v>0</v>
          </cell>
        </row>
        <row r="34">
          <cell r="G34"/>
          <cell r="H34">
            <v>0</v>
          </cell>
          <cell r="I34">
            <v>0</v>
          </cell>
          <cell r="J34">
            <v>0</v>
          </cell>
          <cell r="K34">
            <v>0</v>
          </cell>
          <cell r="M34">
            <v>0</v>
          </cell>
          <cell r="N34">
            <v>0</v>
          </cell>
          <cell r="O34">
            <v>0</v>
          </cell>
          <cell r="P34">
            <v>0</v>
          </cell>
          <cell r="R34">
            <v>0</v>
          </cell>
          <cell r="S34">
            <v>0</v>
          </cell>
          <cell r="T34">
            <v>0</v>
          </cell>
          <cell r="U34">
            <v>0</v>
          </cell>
          <cell r="W34">
            <v>0</v>
          </cell>
          <cell r="X34">
            <v>0</v>
          </cell>
          <cell r="Y34">
            <v>0</v>
          </cell>
          <cell r="Z34">
            <v>0</v>
          </cell>
        </row>
        <row r="35">
          <cell r="G35"/>
          <cell r="H35">
            <v>0</v>
          </cell>
          <cell r="I35">
            <v>0</v>
          </cell>
          <cell r="J35">
            <v>0</v>
          </cell>
          <cell r="K35">
            <v>0</v>
          </cell>
          <cell r="M35">
            <v>0</v>
          </cell>
          <cell r="N35">
            <v>0</v>
          </cell>
          <cell r="O35">
            <v>0</v>
          </cell>
          <cell r="P35">
            <v>0</v>
          </cell>
          <cell r="R35">
            <v>0</v>
          </cell>
          <cell r="S35">
            <v>0</v>
          </cell>
          <cell r="T35">
            <v>0</v>
          </cell>
          <cell r="U35">
            <v>0</v>
          </cell>
          <cell r="W35">
            <v>0</v>
          </cell>
          <cell r="X35">
            <v>0</v>
          </cell>
          <cell r="Y35">
            <v>0</v>
          </cell>
          <cell r="Z35">
            <v>0</v>
          </cell>
        </row>
        <row r="36">
          <cell r="G36"/>
          <cell r="H36">
            <v>0</v>
          </cell>
          <cell r="I36">
            <v>0</v>
          </cell>
          <cell r="J36">
            <v>0</v>
          </cell>
          <cell r="K36">
            <v>0</v>
          </cell>
          <cell r="M36">
            <v>0</v>
          </cell>
          <cell r="N36">
            <v>0</v>
          </cell>
          <cell r="O36">
            <v>0</v>
          </cell>
          <cell r="P36">
            <v>0</v>
          </cell>
          <cell r="R36">
            <v>0</v>
          </cell>
          <cell r="S36">
            <v>0</v>
          </cell>
          <cell r="T36">
            <v>0</v>
          </cell>
          <cell r="U36">
            <v>0</v>
          </cell>
          <cell r="W36">
            <v>0</v>
          </cell>
          <cell r="X36">
            <v>0</v>
          </cell>
          <cell r="Y36">
            <v>0</v>
          </cell>
          <cell r="Z36">
            <v>0</v>
          </cell>
        </row>
        <row r="37">
          <cell r="G37" t="str">
            <v>Reserves for Replacement</v>
          </cell>
          <cell r="H37">
            <v>0</v>
          </cell>
          <cell r="I37">
            <v>0</v>
          </cell>
          <cell r="J37">
            <v>0</v>
          </cell>
          <cell r="K37">
            <v>0</v>
          </cell>
          <cell r="M37">
            <v>0</v>
          </cell>
          <cell r="N37">
            <v>0</v>
          </cell>
          <cell r="O37">
            <v>0</v>
          </cell>
          <cell r="P37">
            <v>0</v>
          </cell>
          <cell r="R37">
            <v>0</v>
          </cell>
          <cell r="S37">
            <v>0</v>
          </cell>
          <cell r="T37">
            <v>0</v>
          </cell>
          <cell r="U37">
            <v>0</v>
          </cell>
          <cell r="W37">
            <v>0</v>
          </cell>
          <cell r="X37">
            <v>0</v>
          </cell>
          <cell r="Y37">
            <v>0</v>
          </cell>
          <cell r="Z37">
            <v>0</v>
          </cell>
        </row>
        <row r="38">
          <cell r="G38" t="str">
            <v>Operating Expenses</v>
          </cell>
          <cell r="H38">
            <v>0</v>
          </cell>
          <cell r="I38">
            <v>0</v>
          </cell>
          <cell r="J38">
            <v>0</v>
          </cell>
          <cell r="K38">
            <v>0</v>
          </cell>
          <cell r="M38">
            <v>0</v>
          </cell>
          <cell r="N38">
            <v>0</v>
          </cell>
          <cell r="O38">
            <v>0</v>
          </cell>
          <cell r="P38">
            <v>0</v>
          </cell>
          <cell r="R38">
            <v>0</v>
          </cell>
          <cell r="S38">
            <v>0</v>
          </cell>
          <cell r="T38">
            <v>0</v>
          </cell>
          <cell r="U38">
            <v>0</v>
          </cell>
          <cell r="W38">
            <v>0</v>
          </cell>
          <cell r="X38">
            <v>0</v>
          </cell>
          <cell r="Y38">
            <v>0</v>
          </cell>
          <cell r="Z38">
            <v>0</v>
          </cell>
        </row>
        <row r="39">
          <cell r="G39" t="str">
            <v>Net Operating Income</v>
          </cell>
          <cell r="H39">
            <v>358295</v>
          </cell>
          <cell r="I39">
            <v>1</v>
          </cell>
          <cell r="J39">
            <v>358295</v>
          </cell>
          <cell r="K39">
            <v>76.558760683760681</v>
          </cell>
          <cell r="M39">
            <v>367810</v>
          </cell>
          <cell r="N39">
            <v>1</v>
          </cell>
          <cell r="O39">
            <v>367810</v>
          </cell>
          <cell r="P39">
            <v>78.591880341880341</v>
          </cell>
          <cell r="R39">
            <v>385917</v>
          </cell>
          <cell r="S39">
            <v>1</v>
          </cell>
          <cell r="T39">
            <v>385917</v>
          </cell>
          <cell r="U39">
            <v>82.460897435897436</v>
          </cell>
          <cell r="W39">
            <v>416189</v>
          </cell>
          <cell r="X39">
            <v>1</v>
          </cell>
          <cell r="Y39">
            <v>416189</v>
          </cell>
          <cell r="Z39">
            <v>88.92927350427351</v>
          </cell>
        </row>
      </sheetData>
      <sheetData sheetId="67" refreshError="1"/>
      <sheetData sheetId="68" refreshError="1">
        <row r="5">
          <cell r="C5" t="str">
            <v>Comparable Number</v>
          </cell>
          <cell r="F5">
            <v>1</v>
          </cell>
          <cell r="G5">
            <v>1</v>
          </cell>
          <cell r="J5">
            <v>2</v>
          </cell>
          <cell r="K5">
            <v>2</v>
          </cell>
          <cell r="N5">
            <v>3</v>
          </cell>
          <cell r="O5">
            <v>3</v>
          </cell>
          <cell r="Q5" t="str">
            <v>IREM</v>
          </cell>
          <cell r="R5" t="str">
            <v>IREM</v>
          </cell>
          <cell r="S5" t="str">
            <v>NAIOP</v>
          </cell>
        </row>
        <row r="6">
          <cell r="C6" t="str">
            <v>Location</v>
          </cell>
          <cell r="F6" t="str">
            <v>Sample 1</v>
          </cell>
          <cell r="G6" t="str">
            <v>West Houston</v>
          </cell>
          <cell r="J6" t="str">
            <v>Sample 2</v>
          </cell>
          <cell r="K6" t="str">
            <v>West Houston</v>
          </cell>
          <cell r="N6" t="str">
            <v>Sample 3</v>
          </cell>
          <cell r="O6" t="str">
            <v>West Houston</v>
          </cell>
          <cell r="Q6" t="str">
            <v>Houston</v>
          </cell>
          <cell r="R6" t="str">
            <v>Houston</v>
          </cell>
          <cell r="S6" t="str">
            <v>South</v>
          </cell>
        </row>
        <row r="7">
          <cell r="C7" t="str">
            <v>No. Units</v>
          </cell>
          <cell r="F7">
            <v>10</v>
          </cell>
          <cell r="G7">
            <v>125</v>
          </cell>
          <cell r="J7">
            <v>10</v>
          </cell>
          <cell r="K7">
            <v>125</v>
          </cell>
          <cell r="N7">
            <v>10</v>
          </cell>
          <cell r="O7">
            <v>125</v>
          </cell>
        </row>
        <row r="8">
          <cell r="C8" t="str">
            <v>GLA (SF)</v>
          </cell>
          <cell r="F8">
            <v>1000</v>
          </cell>
          <cell r="G8">
            <v>834081</v>
          </cell>
          <cell r="J8">
            <v>1000</v>
          </cell>
          <cell r="K8">
            <v>834081</v>
          </cell>
          <cell r="N8">
            <v>1000</v>
          </cell>
          <cell r="O8">
            <v>834081</v>
          </cell>
        </row>
        <row r="9">
          <cell r="C9" t="str">
            <v>Expense Year</v>
          </cell>
          <cell r="F9">
            <v>2006</v>
          </cell>
          <cell r="G9">
            <v>1996</v>
          </cell>
          <cell r="J9">
            <v>2006</v>
          </cell>
          <cell r="K9">
            <v>1996</v>
          </cell>
          <cell r="N9">
            <v>2006</v>
          </cell>
          <cell r="O9">
            <v>1996</v>
          </cell>
          <cell r="Q9">
            <v>1997</v>
          </cell>
          <cell r="R9">
            <v>1997</v>
          </cell>
          <cell r="S9" t="str">
            <v>2001/02</v>
          </cell>
        </row>
        <row r="11">
          <cell r="C11" t="str">
            <v>Effective Gross Income</v>
          </cell>
          <cell r="E11">
            <v>20000</v>
          </cell>
          <cell r="F11">
            <v>2000</v>
          </cell>
          <cell r="G11">
            <v>2.3978486501910486E-2</v>
          </cell>
          <cell r="I11">
            <v>20000</v>
          </cell>
          <cell r="J11">
            <v>2000</v>
          </cell>
          <cell r="K11">
            <v>2.3978486501910486E-2</v>
          </cell>
          <cell r="M11">
            <v>20000</v>
          </cell>
          <cell r="N11">
            <v>2000</v>
          </cell>
          <cell r="O11">
            <v>2.3978486501910486E-2</v>
          </cell>
          <cell r="Q11">
            <v>0</v>
          </cell>
          <cell r="R11">
            <v>0</v>
          </cell>
          <cell r="S11">
            <v>0</v>
          </cell>
        </row>
        <row r="12">
          <cell r="C12" t="str">
            <v>Expenses</v>
          </cell>
          <cell r="E12" t="str">
            <v>Total</v>
          </cell>
          <cell r="F12" t="str">
            <v>$/Unit</v>
          </cell>
          <cell r="G12" t="str">
            <v>$/SF</v>
          </cell>
          <cell r="I12" t="str">
            <v>Total</v>
          </cell>
          <cell r="J12" t="str">
            <v>$/Unit</v>
          </cell>
          <cell r="K12" t="str">
            <v>$/SF</v>
          </cell>
          <cell r="M12" t="str">
            <v>Total</v>
          </cell>
          <cell r="N12" t="str">
            <v>$/Unit</v>
          </cell>
          <cell r="O12" t="str">
            <v>$/SF</v>
          </cell>
          <cell r="Q12" t="str">
            <v>$/Unit</v>
          </cell>
          <cell r="R12" t="str">
            <v>$/SF</v>
          </cell>
          <cell r="S12" t="str">
            <v>$/SF</v>
          </cell>
        </row>
        <row r="14">
          <cell r="C14"/>
          <cell r="E14">
            <v>0</v>
          </cell>
          <cell r="F14">
            <v>0</v>
          </cell>
          <cell r="G14">
            <v>0</v>
          </cell>
          <cell r="I14">
            <v>0</v>
          </cell>
          <cell r="J14">
            <v>0</v>
          </cell>
          <cell r="K14">
            <v>0</v>
          </cell>
          <cell r="M14">
            <v>0</v>
          </cell>
          <cell r="N14">
            <v>0</v>
          </cell>
          <cell r="O14">
            <v>0</v>
          </cell>
          <cell r="Q14">
            <v>0</v>
          </cell>
          <cell r="R14">
            <v>0</v>
          </cell>
          <cell r="S14">
            <v>0</v>
          </cell>
        </row>
        <row r="15">
          <cell r="C15"/>
          <cell r="E15">
            <v>0</v>
          </cell>
          <cell r="F15">
            <v>0</v>
          </cell>
          <cell r="G15">
            <v>0</v>
          </cell>
          <cell r="I15">
            <v>0</v>
          </cell>
          <cell r="J15">
            <v>0</v>
          </cell>
          <cell r="K15">
            <v>0</v>
          </cell>
          <cell r="M15">
            <v>0</v>
          </cell>
          <cell r="N15">
            <v>0</v>
          </cell>
          <cell r="O15">
            <v>0</v>
          </cell>
          <cell r="Q15">
            <v>0</v>
          </cell>
          <cell r="R15">
            <v>0</v>
          </cell>
          <cell r="S15">
            <v>0</v>
          </cell>
        </row>
        <row r="16">
          <cell r="C16"/>
          <cell r="E16">
            <v>0</v>
          </cell>
          <cell r="F16">
            <v>0</v>
          </cell>
          <cell r="G16">
            <v>0</v>
          </cell>
          <cell r="I16">
            <v>0</v>
          </cell>
          <cell r="J16">
            <v>0</v>
          </cell>
          <cell r="K16">
            <v>0</v>
          </cell>
          <cell r="M16">
            <v>0</v>
          </cell>
          <cell r="N16">
            <v>0</v>
          </cell>
          <cell r="O16">
            <v>0</v>
          </cell>
          <cell r="Q16">
            <v>0</v>
          </cell>
          <cell r="R16">
            <v>0</v>
          </cell>
          <cell r="S16">
            <v>0</v>
          </cell>
        </row>
        <row r="17">
          <cell r="C17"/>
          <cell r="E17">
            <v>0</v>
          </cell>
          <cell r="F17">
            <v>0</v>
          </cell>
          <cell r="G17">
            <v>0</v>
          </cell>
          <cell r="I17">
            <v>0</v>
          </cell>
          <cell r="J17">
            <v>0</v>
          </cell>
          <cell r="K17">
            <v>0</v>
          </cell>
          <cell r="M17">
            <v>0</v>
          </cell>
          <cell r="N17">
            <v>0</v>
          </cell>
          <cell r="O17">
            <v>0</v>
          </cell>
          <cell r="Q17">
            <v>0</v>
          </cell>
          <cell r="R17">
            <v>0</v>
          </cell>
          <cell r="S17">
            <v>0</v>
          </cell>
        </row>
        <row r="18">
          <cell r="C18"/>
          <cell r="E18">
            <v>0</v>
          </cell>
          <cell r="F18">
            <v>0</v>
          </cell>
          <cell r="G18">
            <v>0</v>
          </cell>
          <cell r="I18">
            <v>0</v>
          </cell>
          <cell r="J18">
            <v>0</v>
          </cell>
          <cell r="K18">
            <v>0</v>
          </cell>
          <cell r="M18">
            <v>0</v>
          </cell>
          <cell r="N18">
            <v>0</v>
          </cell>
          <cell r="O18">
            <v>0</v>
          </cell>
          <cell r="Q18">
            <v>0</v>
          </cell>
          <cell r="R18">
            <v>0</v>
          </cell>
          <cell r="S18">
            <v>0</v>
          </cell>
        </row>
        <row r="19">
          <cell r="C19"/>
          <cell r="E19">
            <v>0</v>
          </cell>
          <cell r="F19">
            <v>0</v>
          </cell>
          <cell r="G19">
            <v>0</v>
          </cell>
          <cell r="I19">
            <v>0</v>
          </cell>
          <cell r="J19">
            <v>0</v>
          </cell>
          <cell r="K19">
            <v>0</v>
          </cell>
          <cell r="M19">
            <v>0</v>
          </cell>
          <cell r="N19">
            <v>0</v>
          </cell>
          <cell r="O19">
            <v>0</v>
          </cell>
          <cell r="Q19">
            <v>0</v>
          </cell>
          <cell r="R19">
            <v>0</v>
          </cell>
          <cell r="S19">
            <v>0</v>
          </cell>
        </row>
        <row r="20">
          <cell r="C20"/>
          <cell r="E20">
            <v>0</v>
          </cell>
          <cell r="F20">
            <v>0</v>
          </cell>
          <cell r="G20">
            <v>0</v>
          </cell>
          <cell r="I20">
            <v>0</v>
          </cell>
          <cell r="J20">
            <v>0</v>
          </cell>
          <cell r="K20">
            <v>0</v>
          </cell>
          <cell r="M20">
            <v>0</v>
          </cell>
          <cell r="N20">
            <v>0</v>
          </cell>
          <cell r="O20">
            <v>0</v>
          </cell>
          <cell r="Q20">
            <v>0</v>
          </cell>
          <cell r="R20">
            <v>0</v>
          </cell>
          <cell r="S20">
            <v>0</v>
          </cell>
        </row>
        <row r="21">
          <cell r="C21"/>
          <cell r="E21">
            <v>0</v>
          </cell>
          <cell r="F21">
            <v>0</v>
          </cell>
          <cell r="G21">
            <v>0</v>
          </cell>
          <cell r="I21">
            <v>0</v>
          </cell>
          <cell r="J21">
            <v>0</v>
          </cell>
          <cell r="K21">
            <v>0</v>
          </cell>
          <cell r="M21">
            <v>0</v>
          </cell>
          <cell r="N21">
            <v>0</v>
          </cell>
          <cell r="O21">
            <v>0</v>
          </cell>
          <cell r="Q21">
            <v>0</v>
          </cell>
          <cell r="R21">
            <v>0</v>
          </cell>
          <cell r="S21">
            <v>0</v>
          </cell>
        </row>
        <row r="22">
          <cell r="C22"/>
          <cell r="E22">
            <v>0</v>
          </cell>
          <cell r="F22">
            <v>0</v>
          </cell>
          <cell r="G22">
            <v>0</v>
          </cell>
          <cell r="I22">
            <v>0</v>
          </cell>
          <cell r="J22">
            <v>0</v>
          </cell>
          <cell r="K22">
            <v>0</v>
          </cell>
          <cell r="M22">
            <v>0</v>
          </cell>
          <cell r="N22">
            <v>0</v>
          </cell>
          <cell r="O22">
            <v>0</v>
          </cell>
          <cell r="Q22">
            <v>0</v>
          </cell>
          <cell r="R22">
            <v>0</v>
          </cell>
          <cell r="S22">
            <v>0</v>
          </cell>
        </row>
        <row r="23">
          <cell r="C23"/>
          <cell r="E23">
            <v>0</v>
          </cell>
          <cell r="F23">
            <v>0</v>
          </cell>
          <cell r="G23">
            <v>0</v>
          </cell>
          <cell r="I23">
            <v>0</v>
          </cell>
          <cell r="J23">
            <v>0</v>
          </cell>
          <cell r="K23">
            <v>0</v>
          </cell>
          <cell r="M23">
            <v>0</v>
          </cell>
          <cell r="N23">
            <v>0</v>
          </cell>
          <cell r="O23">
            <v>0</v>
          </cell>
          <cell r="Q23">
            <v>0</v>
          </cell>
          <cell r="R23">
            <v>0</v>
          </cell>
          <cell r="S23">
            <v>0</v>
          </cell>
        </row>
        <row r="24">
          <cell r="C24"/>
          <cell r="E24">
            <v>0</v>
          </cell>
          <cell r="F24">
            <v>0</v>
          </cell>
          <cell r="G24">
            <v>0</v>
          </cell>
          <cell r="I24">
            <v>0</v>
          </cell>
          <cell r="J24">
            <v>0</v>
          </cell>
          <cell r="K24">
            <v>0</v>
          </cell>
          <cell r="M24">
            <v>0</v>
          </cell>
          <cell r="N24">
            <v>0</v>
          </cell>
          <cell r="O24">
            <v>0</v>
          </cell>
          <cell r="Q24">
            <v>0</v>
          </cell>
          <cell r="R24">
            <v>0</v>
          </cell>
          <cell r="S24">
            <v>0</v>
          </cell>
        </row>
        <row r="25">
          <cell r="C25"/>
          <cell r="E25">
            <v>0</v>
          </cell>
          <cell r="F25">
            <v>0</v>
          </cell>
          <cell r="G25">
            <v>0</v>
          </cell>
          <cell r="I25">
            <v>0</v>
          </cell>
          <cell r="J25">
            <v>0</v>
          </cell>
          <cell r="K25">
            <v>0</v>
          </cell>
          <cell r="M25">
            <v>0</v>
          </cell>
          <cell r="N25">
            <v>0</v>
          </cell>
          <cell r="O25">
            <v>0</v>
          </cell>
          <cell r="Q25">
            <v>0</v>
          </cell>
          <cell r="R25">
            <v>0</v>
          </cell>
          <cell r="S25">
            <v>0</v>
          </cell>
        </row>
        <row r="26">
          <cell r="C26" t="str">
            <v>Management Fee</v>
          </cell>
          <cell r="E26">
            <v>1000</v>
          </cell>
          <cell r="F26">
            <v>100</v>
          </cell>
          <cell r="G26">
            <v>1.1989243250955244E-3</v>
          </cell>
          <cell r="I26">
            <v>1000</v>
          </cell>
          <cell r="J26">
            <v>100</v>
          </cell>
          <cell r="K26">
            <v>1.1989243250955244E-3</v>
          </cell>
          <cell r="M26">
            <v>1000</v>
          </cell>
          <cell r="N26">
            <v>100</v>
          </cell>
          <cell r="O26">
            <v>1.1989243250955244E-3</v>
          </cell>
          <cell r="R26">
            <v>0.25</v>
          </cell>
          <cell r="S26">
            <v>0.18</v>
          </cell>
        </row>
        <row r="27">
          <cell r="D27" t="str">
            <v>(as a % of EGI)</v>
          </cell>
          <cell r="F27">
            <v>0.05</v>
          </cell>
          <cell r="G27">
            <v>0.05</v>
          </cell>
          <cell r="J27">
            <v>0.05</v>
          </cell>
          <cell r="K27">
            <v>0.05</v>
          </cell>
          <cell r="N27">
            <v>0.05</v>
          </cell>
          <cell r="O27">
            <v>0.05</v>
          </cell>
        </row>
        <row r="28">
          <cell r="C28"/>
          <cell r="E28">
            <v>0</v>
          </cell>
          <cell r="F28">
            <v>0</v>
          </cell>
          <cell r="G28">
            <v>0</v>
          </cell>
          <cell r="I28">
            <v>0</v>
          </cell>
          <cell r="J28">
            <v>0</v>
          </cell>
          <cell r="K28">
            <v>0</v>
          </cell>
          <cell r="M28">
            <v>0</v>
          </cell>
          <cell r="N28">
            <v>0</v>
          </cell>
          <cell r="O28">
            <v>0</v>
          </cell>
          <cell r="Q28">
            <v>0</v>
          </cell>
          <cell r="R28">
            <v>0</v>
          </cell>
          <cell r="S28">
            <v>0</v>
          </cell>
        </row>
        <row r="29">
          <cell r="C29"/>
          <cell r="E29">
            <v>0</v>
          </cell>
          <cell r="F29">
            <v>0</v>
          </cell>
          <cell r="G29">
            <v>0</v>
          </cell>
          <cell r="I29">
            <v>0</v>
          </cell>
          <cell r="J29">
            <v>0</v>
          </cell>
          <cell r="K29">
            <v>0</v>
          </cell>
          <cell r="M29">
            <v>0</v>
          </cell>
          <cell r="N29">
            <v>0</v>
          </cell>
          <cell r="O29">
            <v>0</v>
          </cell>
          <cell r="Q29">
            <v>0</v>
          </cell>
          <cell r="R29">
            <v>0</v>
          </cell>
          <cell r="S29">
            <v>0</v>
          </cell>
        </row>
        <row r="30">
          <cell r="C30"/>
          <cell r="E30">
            <v>0</v>
          </cell>
          <cell r="F30">
            <v>0</v>
          </cell>
          <cell r="G30">
            <v>0</v>
          </cell>
          <cell r="I30">
            <v>0</v>
          </cell>
          <cell r="J30">
            <v>0</v>
          </cell>
          <cell r="K30">
            <v>0</v>
          </cell>
          <cell r="M30">
            <v>0</v>
          </cell>
          <cell r="N30">
            <v>0</v>
          </cell>
          <cell r="O30">
            <v>0</v>
          </cell>
          <cell r="Q30">
            <v>0</v>
          </cell>
          <cell r="R30">
            <v>0</v>
          </cell>
          <cell r="S30">
            <v>0</v>
          </cell>
        </row>
        <row r="31">
          <cell r="C31"/>
          <cell r="E31">
            <v>0</v>
          </cell>
          <cell r="F31">
            <v>0</v>
          </cell>
          <cell r="G31">
            <v>0</v>
          </cell>
          <cell r="I31">
            <v>0</v>
          </cell>
          <cell r="J31">
            <v>0</v>
          </cell>
          <cell r="K31">
            <v>0</v>
          </cell>
          <cell r="M31">
            <v>0</v>
          </cell>
          <cell r="N31">
            <v>0</v>
          </cell>
          <cell r="O31">
            <v>0</v>
          </cell>
          <cell r="Q31">
            <v>0</v>
          </cell>
          <cell r="R31">
            <v>0</v>
          </cell>
          <cell r="S31">
            <v>0</v>
          </cell>
        </row>
        <row r="32">
          <cell r="C32"/>
          <cell r="E32">
            <v>0</v>
          </cell>
          <cell r="F32">
            <v>0</v>
          </cell>
          <cell r="G32">
            <v>0</v>
          </cell>
          <cell r="I32">
            <v>0</v>
          </cell>
          <cell r="J32">
            <v>0</v>
          </cell>
          <cell r="K32">
            <v>0</v>
          </cell>
          <cell r="M32">
            <v>0</v>
          </cell>
          <cell r="N32">
            <v>0</v>
          </cell>
          <cell r="O32">
            <v>0</v>
          </cell>
          <cell r="Q32">
            <v>0</v>
          </cell>
          <cell r="R32">
            <v>0</v>
          </cell>
          <cell r="S32">
            <v>0</v>
          </cell>
        </row>
        <row r="33">
          <cell r="C33"/>
          <cell r="E33">
            <v>0</v>
          </cell>
          <cell r="F33">
            <v>0</v>
          </cell>
          <cell r="G33">
            <v>0</v>
          </cell>
          <cell r="I33">
            <v>0</v>
          </cell>
          <cell r="J33">
            <v>0</v>
          </cell>
          <cell r="K33">
            <v>0</v>
          </cell>
          <cell r="M33">
            <v>0</v>
          </cell>
          <cell r="N33">
            <v>0</v>
          </cell>
          <cell r="O33">
            <v>0</v>
          </cell>
          <cell r="Q33">
            <v>0</v>
          </cell>
          <cell r="R33">
            <v>0</v>
          </cell>
          <cell r="S33">
            <v>0</v>
          </cell>
        </row>
        <row r="34">
          <cell r="C34" t="str">
            <v>Reserves for Replacement</v>
          </cell>
          <cell r="E34">
            <v>1000</v>
          </cell>
          <cell r="F34">
            <v>100</v>
          </cell>
          <cell r="G34">
            <v>1.1989243250955244E-3</v>
          </cell>
          <cell r="I34">
            <v>1000</v>
          </cell>
          <cell r="J34">
            <v>100</v>
          </cell>
          <cell r="K34">
            <v>1.1989243250955244E-3</v>
          </cell>
          <cell r="M34">
            <v>1000</v>
          </cell>
          <cell r="N34">
            <v>100</v>
          </cell>
          <cell r="O34">
            <v>1.1989243250955244E-3</v>
          </cell>
          <cell r="Q34">
            <v>219</v>
          </cell>
          <cell r="R34">
            <v>0.27</v>
          </cell>
          <cell r="S34">
            <v>0</v>
          </cell>
        </row>
        <row r="35">
          <cell r="C35" t="str">
            <v>Operating Expenses</v>
          </cell>
          <cell r="E35">
            <v>2000</v>
          </cell>
          <cell r="F35">
            <v>200</v>
          </cell>
          <cell r="G35">
            <v>2.3978486501910487E-3</v>
          </cell>
          <cell r="I35">
            <v>2000</v>
          </cell>
          <cell r="J35">
            <v>200</v>
          </cell>
          <cell r="K35">
            <v>2.3978486501910487E-3</v>
          </cell>
          <cell r="M35">
            <v>2000</v>
          </cell>
          <cell r="N35">
            <v>200</v>
          </cell>
          <cell r="O35">
            <v>2.3978486501910487E-3</v>
          </cell>
          <cell r="Q35">
            <v>2874</v>
          </cell>
          <cell r="R35">
            <v>4.5</v>
          </cell>
          <cell r="S35">
            <v>1.3</v>
          </cell>
        </row>
      </sheetData>
      <sheetData sheetId="69" refreshError="1">
        <row r="1">
          <cell r="F1"/>
          <cell r="K1"/>
        </row>
        <row r="4">
          <cell r="F4" t="str">
            <v xml:space="preserve">% PGI   </v>
          </cell>
          <cell r="I4" t="str">
            <v xml:space="preserve">Total      </v>
          </cell>
          <cell r="K4" t="str">
            <v xml:space="preserve">$/SF   </v>
          </cell>
        </row>
        <row r="5">
          <cell r="F5">
            <v>0.61799999999999999</v>
          </cell>
          <cell r="I5">
            <v>0</v>
          </cell>
          <cell r="K5">
            <v>0</v>
          </cell>
          <cell r="M5" t="str">
            <v>Hide</v>
          </cell>
        </row>
        <row r="6">
          <cell r="C6">
            <v>2005</v>
          </cell>
          <cell r="E6">
            <v>0.69499999999999995</v>
          </cell>
          <cell r="F6">
            <v>0.69499999999999995</v>
          </cell>
          <cell r="H6">
            <v>2005</v>
          </cell>
          <cell r="I6">
            <v>0</v>
          </cell>
          <cell r="J6">
            <v>0</v>
          </cell>
          <cell r="K6">
            <v>0</v>
          </cell>
          <cell r="M6" t="str">
            <v>Hide</v>
          </cell>
        </row>
        <row r="7">
          <cell r="C7" t="str">
            <v>2006 Annualized</v>
          </cell>
          <cell r="E7">
            <v>0.65800000000000003</v>
          </cell>
          <cell r="F7">
            <v>0.65800000000000003</v>
          </cell>
          <cell r="H7" t="str">
            <v>2006 Annualized</v>
          </cell>
          <cell r="I7">
            <v>0</v>
          </cell>
          <cell r="J7">
            <v>0</v>
          </cell>
          <cell r="K7">
            <v>0</v>
          </cell>
          <cell r="M7" t="str">
            <v>Hide</v>
          </cell>
        </row>
        <row r="8">
          <cell r="C8" t="str">
            <v>2007 Budget</v>
          </cell>
          <cell r="E8">
            <v>0.68400000000000005</v>
          </cell>
          <cell r="F8">
            <v>0.68400000000000005</v>
          </cell>
          <cell r="H8" t="str">
            <v>2007 Budget</v>
          </cell>
          <cell r="I8">
            <v>0</v>
          </cell>
          <cell r="J8">
            <v>0</v>
          </cell>
          <cell r="K8">
            <v>0</v>
          </cell>
          <cell r="M8" t="str">
            <v>Hide</v>
          </cell>
        </row>
        <row r="9">
          <cell r="F9">
            <v>0.92999999999999994</v>
          </cell>
          <cell r="I9">
            <v>0</v>
          </cell>
          <cell r="K9">
            <v>0</v>
          </cell>
        </row>
        <row r="13">
          <cell r="D13" t="str">
            <v xml:space="preserve">Total      </v>
          </cell>
          <cell r="F13" t="str">
            <v xml:space="preserve">$/SF   </v>
          </cell>
          <cell r="I13" t="str">
            <v xml:space="preserve">Total      </v>
          </cell>
          <cell r="K13" t="str">
            <v xml:space="preserve">$/SF   </v>
          </cell>
        </row>
        <row r="14">
          <cell r="D14">
            <v>0</v>
          </cell>
          <cell r="F14">
            <v>0</v>
          </cell>
          <cell r="I14">
            <v>0</v>
          </cell>
          <cell r="K14">
            <v>0</v>
          </cell>
          <cell r="M14" t="str">
            <v>Hide</v>
          </cell>
        </row>
        <row r="15">
          <cell r="C15">
            <v>2005</v>
          </cell>
          <cell r="D15">
            <v>0</v>
          </cell>
          <cell r="E15">
            <v>0</v>
          </cell>
          <cell r="F15">
            <v>0</v>
          </cell>
          <cell r="H15">
            <v>2005</v>
          </cell>
          <cell r="I15">
            <v>0</v>
          </cell>
          <cell r="J15">
            <v>0</v>
          </cell>
          <cell r="K15">
            <v>0</v>
          </cell>
          <cell r="M15" t="str">
            <v>Hide</v>
          </cell>
        </row>
        <row r="16">
          <cell r="C16" t="str">
            <v>2006 Annualized</v>
          </cell>
          <cell r="D16">
            <v>0</v>
          </cell>
          <cell r="E16">
            <v>0</v>
          </cell>
          <cell r="F16">
            <v>0</v>
          </cell>
          <cell r="H16" t="str">
            <v>2006 Annualized</v>
          </cell>
          <cell r="I16">
            <v>0</v>
          </cell>
          <cell r="J16">
            <v>0</v>
          </cell>
          <cell r="K16">
            <v>0</v>
          </cell>
          <cell r="M16" t="str">
            <v>Hide</v>
          </cell>
        </row>
        <row r="17">
          <cell r="C17" t="str">
            <v>2007 Budget</v>
          </cell>
          <cell r="D17">
            <v>0</v>
          </cell>
          <cell r="E17">
            <v>0</v>
          </cell>
          <cell r="F17">
            <v>0</v>
          </cell>
          <cell r="H17" t="str">
            <v>2007 Budget</v>
          </cell>
          <cell r="I17">
            <v>0</v>
          </cell>
          <cell r="J17">
            <v>0</v>
          </cell>
          <cell r="K17">
            <v>0</v>
          </cell>
          <cell r="M17" t="str">
            <v>Hide</v>
          </cell>
        </row>
        <row r="18">
          <cell r="D18">
            <v>0</v>
          </cell>
          <cell r="F18">
            <v>0</v>
          </cell>
          <cell r="I18">
            <v>0</v>
          </cell>
          <cell r="K18">
            <v>0</v>
          </cell>
        </row>
        <row r="22">
          <cell r="D22" t="str">
            <v xml:space="preserve">Total      </v>
          </cell>
          <cell r="F22" t="str">
            <v xml:space="preserve">$/SF   </v>
          </cell>
          <cell r="I22" t="str">
            <v xml:space="preserve">Total      </v>
          </cell>
          <cell r="K22" t="str">
            <v xml:space="preserve">$/SF   </v>
          </cell>
        </row>
        <row r="23">
          <cell r="D23">
            <v>0</v>
          </cell>
          <cell r="F23">
            <v>0</v>
          </cell>
          <cell r="I23">
            <v>0</v>
          </cell>
          <cell r="K23">
            <v>0</v>
          </cell>
          <cell r="M23" t="str">
            <v>Hide</v>
          </cell>
        </row>
        <row r="24">
          <cell r="C24">
            <v>2005</v>
          </cell>
          <cell r="D24">
            <v>0</v>
          </cell>
          <cell r="E24">
            <v>0</v>
          </cell>
          <cell r="F24">
            <v>0</v>
          </cell>
          <cell r="H24">
            <v>2005</v>
          </cell>
          <cell r="I24">
            <v>0</v>
          </cell>
          <cell r="J24">
            <v>0</v>
          </cell>
          <cell r="K24">
            <v>0</v>
          </cell>
          <cell r="M24" t="str">
            <v>Hide</v>
          </cell>
        </row>
        <row r="25">
          <cell r="C25" t="str">
            <v>2006 Annualized</v>
          </cell>
          <cell r="D25">
            <v>0</v>
          </cell>
          <cell r="E25">
            <v>0</v>
          </cell>
          <cell r="F25">
            <v>0</v>
          </cell>
          <cell r="H25" t="str">
            <v>2006 Annualized</v>
          </cell>
          <cell r="I25">
            <v>0</v>
          </cell>
          <cell r="J25">
            <v>0</v>
          </cell>
          <cell r="K25">
            <v>0</v>
          </cell>
          <cell r="M25" t="str">
            <v>Hide</v>
          </cell>
        </row>
        <row r="26">
          <cell r="C26" t="str">
            <v>2007 Budget</v>
          </cell>
          <cell r="D26">
            <v>0</v>
          </cell>
          <cell r="E26">
            <v>0</v>
          </cell>
          <cell r="F26">
            <v>0</v>
          </cell>
          <cell r="H26" t="str">
            <v>2007 Budget</v>
          </cell>
          <cell r="I26">
            <v>0</v>
          </cell>
          <cell r="J26">
            <v>0</v>
          </cell>
          <cell r="K26">
            <v>0</v>
          </cell>
          <cell r="M26" t="str">
            <v>Hide</v>
          </cell>
        </row>
        <row r="27">
          <cell r="D27">
            <v>0</v>
          </cell>
          <cell r="F27">
            <v>0</v>
          </cell>
          <cell r="I27">
            <v>0</v>
          </cell>
          <cell r="K27">
            <v>0</v>
          </cell>
        </row>
        <row r="31">
          <cell r="D31" t="str">
            <v xml:space="preserve">Total      </v>
          </cell>
          <cell r="F31" t="str">
            <v xml:space="preserve">$/SF   </v>
          </cell>
          <cell r="I31" t="str">
            <v xml:space="preserve">Total      </v>
          </cell>
          <cell r="K31" t="str">
            <v xml:space="preserve">% EGI   </v>
          </cell>
        </row>
        <row r="32">
          <cell r="D32">
            <v>0</v>
          </cell>
          <cell r="F32">
            <v>0</v>
          </cell>
          <cell r="I32">
            <v>0</v>
          </cell>
          <cell r="K32">
            <v>0</v>
          </cell>
          <cell r="M32" t="str">
            <v>Hide</v>
          </cell>
        </row>
        <row r="33">
          <cell r="C33">
            <v>2005</v>
          </cell>
          <cell r="D33">
            <v>0</v>
          </cell>
          <cell r="E33">
            <v>0</v>
          </cell>
          <cell r="F33">
            <v>0</v>
          </cell>
          <cell r="H33">
            <v>2005</v>
          </cell>
          <cell r="I33">
            <v>0</v>
          </cell>
          <cell r="J33">
            <v>0</v>
          </cell>
          <cell r="K33">
            <v>0</v>
          </cell>
          <cell r="M33" t="str">
            <v>Hide</v>
          </cell>
        </row>
        <row r="34">
          <cell r="C34" t="str">
            <v>2006 Annualized</v>
          </cell>
          <cell r="D34">
            <v>0</v>
          </cell>
          <cell r="E34">
            <v>0</v>
          </cell>
          <cell r="F34">
            <v>0</v>
          </cell>
          <cell r="H34" t="str">
            <v>2006 Annualized</v>
          </cell>
          <cell r="I34">
            <v>0</v>
          </cell>
          <cell r="J34">
            <v>0</v>
          </cell>
          <cell r="K34">
            <v>0</v>
          </cell>
          <cell r="M34" t="str">
            <v>Hide</v>
          </cell>
        </row>
        <row r="35">
          <cell r="C35" t="str">
            <v>2007 Budget</v>
          </cell>
          <cell r="D35">
            <v>0</v>
          </cell>
          <cell r="E35">
            <v>0</v>
          </cell>
          <cell r="F35">
            <v>0</v>
          </cell>
          <cell r="H35" t="str">
            <v>2007 Budget</v>
          </cell>
          <cell r="I35">
            <v>0</v>
          </cell>
          <cell r="J35">
            <v>0</v>
          </cell>
          <cell r="K35">
            <v>0</v>
          </cell>
          <cell r="M35" t="str">
            <v>Hide</v>
          </cell>
        </row>
        <row r="36">
          <cell r="D36">
            <v>0</v>
          </cell>
          <cell r="F36">
            <v>0</v>
          </cell>
          <cell r="I36">
            <v>2089.1519999999996</v>
          </cell>
          <cell r="K36">
            <v>2.9999999999999995E-2</v>
          </cell>
        </row>
        <row r="40">
          <cell r="D40" t="str">
            <v xml:space="preserve">Total      </v>
          </cell>
          <cell r="F40" t="str">
            <v xml:space="preserve">$/SF   </v>
          </cell>
          <cell r="I40" t="str">
            <v xml:space="preserve">Total      </v>
          </cell>
          <cell r="K40" t="str">
            <v xml:space="preserve">$/SF   </v>
          </cell>
          <cell r="N40">
            <v>1</v>
          </cell>
        </row>
        <row r="41">
          <cell r="D41">
            <v>0</v>
          </cell>
          <cell r="F41">
            <v>0</v>
          </cell>
          <cell r="I41">
            <v>0</v>
          </cell>
          <cell r="K41">
            <v>0</v>
          </cell>
          <cell r="M41" t="str">
            <v>Hide</v>
          </cell>
        </row>
        <row r="42">
          <cell r="C42">
            <v>2005</v>
          </cell>
          <cell r="D42">
            <v>0</v>
          </cell>
          <cell r="E42">
            <v>0</v>
          </cell>
          <cell r="F42">
            <v>0</v>
          </cell>
          <cell r="H42">
            <v>2005</v>
          </cell>
          <cell r="I42">
            <v>0</v>
          </cell>
          <cell r="J42">
            <v>0</v>
          </cell>
          <cell r="K42">
            <v>0</v>
          </cell>
          <cell r="M42" t="str">
            <v>Hide</v>
          </cell>
          <cell r="N42" t="b">
            <v>0</v>
          </cell>
        </row>
        <row r="43">
          <cell r="C43" t="str">
            <v>2006 Annualized</v>
          </cell>
          <cell r="D43">
            <v>0</v>
          </cell>
          <cell r="E43">
            <v>0</v>
          </cell>
          <cell r="F43">
            <v>0</v>
          </cell>
          <cell r="H43" t="str">
            <v>2006 Annualized</v>
          </cell>
          <cell r="I43">
            <v>0</v>
          </cell>
          <cell r="J43">
            <v>0</v>
          </cell>
          <cell r="K43">
            <v>0</v>
          </cell>
          <cell r="M43" t="str">
            <v>Hide</v>
          </cell>
          <cell r="N43" t="b">
            <v>0</v>
          </cell>
        </row>
        <row r="44">
          <cell r="C44" t="str">
            <v>2007 Budget</v>
          </cell>
          <cell r="D44">
            <v>0</v>
          </cell>
          <cell r="E44">
            <v>0</v>
          </cell>
          <cell r="F44">
            <v>0</v>
          </cell>
          <cell r="H44" t="str">
            <v>2007 Budget</v>
          </cell>
          <cell r="I44">
            <v>0</v>
          </cell>
          <cell r="J44">
            <v>0</v>
          </cell>
          <cell r="K44">
            <v>0</v>
          </cell>
          <cell r="M44" t="str">
            <v>Hide</v>
          </cell>
          <cell r="N44" t="b">
            <v>0</v>
          </cell>
        </row>
        <row r="45">
          <cell r="D45" t="str">
            <v xml:space="preserve">N/A      </v>
          </cell>
          <cell r="F45">
            <v>0</v>
          </cell>
          <cell r="I45" t="str">
            <v xml:space="preserve">N/A      </v>
          </cell>
          <cell r="K45">
            <v>0</v>
          </cell>
          <cell r="M45" t="str">
            <v>Hide</v>
          </cell>
        </row>
        <row r="46">
          <cell r="D46" t="str">
            <v xml:space="preserve">N/A      </v>
          </cell>
          <cell r="F46">
            <v>0</v>
          </cell>
          <cell r="I46" t="str">
            <v xml:space="preserve">N/A      </v>
          </cell>
          <cell r="K46">
            <v>0</v>
          </cell>
          <cell r="M46" t="str">
            <v>Hide</v>
          </cell>
        </row>
        <row r="47">
          <cell r="D47" t="str">
            <v xml:space="preserve">N/A      </v>
          </cell>
          <cell r="F47">
            <v>0</v>
          </cell>
          <cell r="I47" t="str">
            <v xml:space="preserve">N/A      </v>
          </cell>
          <cell r="K47">
            <v>0</v>
          </cell>
          <cell r="M47" t="str">
            <v>Hide</v>
          </cell>
        </row>
        <row r="48">
          <cell r="D48" t="str">
            <v xml:space="preserve">N/A      </v>
          </cell>
          <cell r="F48" t="str">
            <v xml:space="preserve">N/A  </v>
          </cell>
          <cell r="I48" t="str">
            <v xml:space="preserve">N/A      </v>
          </cell>
          <cell r="K48" t="str">
            <v xml:space="preserve">N/A  </v>
          </cell>
          <cell r="M48" t="str">
            <v>Hide</v>
          </cell>
          <cell r="N48" t="b">
            <v>0</v>
          </cell>
        </row>
        <row r="49">
          <cell r="D49" t="str">
            <v xml:space="preserve">N/A      </v>
          </cell>
          <cell r="F49">
            <v>0</v>
          </cell>
          <cell r="I49" t="str">
            <v xml:space="preserve">N/A      </v>
          </cell>
          <cell r="K49">
            <v>0</v>
          </cell>
          <cell r="M49" t="str">
            <v>Hide</v>
          </cell>
        </row>
        <row r="50">
          <cell r="D50" t="str">
            <v xml:space="preserve">N/A      </v>
          </cell>
          <cell r="F50">
            <v>0</v>
          </cell>
          <cell r="I50" t="str">
            <v xml:space="preserve">N/A      </v>
          </cell>
          <cell r="K50">
            <v>0</v>
          </cell>
          <cell r="M50" t="str">
            <v>Hide</v>
          </cell>
        </row>
        <row r="51">
          <cell r="D51">
            <v>0</v>
          </cell>
          <cell r="F51">
            <v>0</v>
          </cell>
          <cell r="I51">
            <v>0</v>
          </cell>
          <cell r="K51">
            <v>0</v>
          </cell>
        </row>
        <row r="55">
          <cell r="D55" t="str">
            <v xml:space="preserve">Total      </v>
          </cell>
          <cell r="F55" t="str">
            <v xml:space="preserve">$/SF   </v>
          </cell>
          <cell r="I55" t="str">
            <v xml:space="preserve">Total      </v>
          </cell>
          <cell r="K55" t="str">
            <v xml:space="preserve">$/SF   </v>
          </cell>
        </row>
        <row r="56">
          <cell r="C56">
            <v>2004</v>
          </cell>
          <cell r="D56">
            <v>0</v>
          </cell>
          <cell r="E56">
            <v>0</v>
          </cell>
          <cell r="F56">
            <v>0</v>
          </cell>
          <cell r="H56">
            <v>2004</v>
          </cell>
          <cell r="I56">
            <v>0</v>
          </cell>
          <cell r="J56">
            <v>0</v>
          </cell>
          <cell r="K56">
            <v>0</v>
          </cell>
          <cell r="M56" t="str">
            <v>Hide</v>
          </cell>
        </row>
        <row r="57">
          <cell r="C57">
            <v>2005</v>
          </cell>
          <cell r="D57">
            <v>0</v>
          </cell>
          <cell r="E57">
            <v>0</v>
          </cell>
          <cell r="F57">
            <v>0</v>
          </cell>
          <cell r="H57">
            <v>2005</v>
          </cell>
          <cell r="I57">
            <v>0</v>
          </cell>
          <cell r="J57">
            <v>0</v>
          </cell>
          <cell r="K57">
            <v>0</v>
          </cell>
          <cell r="M57" t="str">
            <v>Hide</v>
          </cell>
        </row>
        <row r="58">
          <cell r="C58" t="str">
            <v>2006 Annualized</v>
          </cell>
          <cell r="D58">
            <v>0</v>
          </cell>
          <cell r="E58">
            <v>0</v>
          </cell>
          <cell r="F58">
            <v>0</v>
          </cell>
          <cell r="H58" t="str">
            <v>2006 Annualized</v>
          </cell>
          <cell r="I58">
            <v>0</v>
          </cell>
          <cell r="J58">
            <v>0</v>
          </cell>
          <cell r="K58">
            <v>0</v>
          </cell>
          <cell r="M58" t="str">
            <v>Hide</v>
          </cell>
        </row>
        <row r="59">
          <cell r="D59">
            <v>0</v>
          </cell>
          <cell r="F59">
            <v>0</v>
          </cell>
          <cell r="I59">
            <v>0</v>
          </cell>
          <cell r="K59">
            <v>0</v>
          </cell>
          <cell r="M59" t="str">
            <v>Hide</v>
          </cell>
        </row>
        <row r="60">
          <cell r="D60" t="str">
            <v xml:space="preserve">N/A      </v>
          </cell>
          <cell r="F60">
            <v>0</v>
          </cell>
          <cell r="I60" t="str">
            <v xml:space="preserve">N/A      </v>
          </cell>
          <cell r="K60">
            <v>0</v>
          </cell>
          <cell r="M60" t="str">
            <v>Hide</v>
          </cell>
        </row>
        <row r="61">
          <cell r="D61" t="str">
            <v xml:space="preserve">N/A      </v>
          </cell>
          <cell r="F61">
            <v>0</v>
          </cell>
          <cell r="I61" t="str">
            <v xml:space="preserve">N/A      </v>
          </cell>
          <cell r="K61">
            <v>0</v>
          </cell>
          <cell r="M61" t="str">
            <v>Hide</v>
          </cell>
        </row>
        <row r="62">
          <cell r="D62" t="str">
            <v xml:space="preserve">N/A      </v>
          </cell>
          <cell r="F62">
            <v>0</v>
          </cell>
          <cell r="I62" t="str">
            <v xml:space="preserve">N/A      </v>
          </cell>
          <cell r="K62">
            <v>0</v>
          </cell>
          <cell r="M62" t="str">
            <v>Hide</v>
          </cell>
        </row>
        <row r="63">
          <cell r="D63" t="str">
            <v xml:space="preserve">N/A      </v>
          </cell>
          <cell r="F63" t="str">
            <v xml:space="preserve">N/A  </v>
          </cell>
          <cell r="I63" t="str">
            <v xml:space="preserve">N/A      </v>
          </cell>
          <cell r="K63" t="str">
            <v xml:space="preserve">N/A  </v>
          </cell>
          <cell r="M63" t="str">
            <v>Hide</v>
          </cell>
        </row>
        <row r="64">
          <cell r="D64" t="str">
            <v xml:space="preserve">N/A      </v>
          </cell>
          <cell r="F64">
            <v>0</v>
          </cell>
          <cell r="I64" t="str">
            <v xml:space="preserve">N/A      </v>
          </cell>
          <cell r="K64">
            <v>0</v>
          </cell>
          <cell r="M64" t="str">
            <v>Hide</v>
          </cell>
        </row>
        <row r="65">
          <cell r="D65" t="str">
            <v xml:space="preserve">N/A      </v>
          </cell>
          <cell r="F65">
            <v>0</v>
          </cell>
          <cell r="I65" t="str">
            <v xml:space="preserve">N/A      </v>
          </cell>
          <cell r="K65">
            <v>0</v>
          </cell>
          <cell r="M65" t="str">
            <v>Hide</v>
          </cell>
        </row>
        <row r="66">
          <cell r="D66">
            <v>0</v>
          </cell>
          <cell r="F66">
            <v>0</v>
          </cell>
          <cell r="I66">
            <v>0</v>
          </cell>
          <cell r="K66">
            <v>0</v>
          </cell>
        </row>
        <row r="70">
          <cell r="D70" t="str">
            <v xml:space="preserve">Total      </v>
          </cell>
          <cell r="F70" t="str">
            <v xml:space="preserve">$/SF   </v>
          </cell>
          <cell r="I70" t="str">
            <v xml:space="preserve">Total      </v>
          </cell>
          <cell r="K70" t="str">
            <v xml:space="preserve">$/SF   </v>
          </cell>
        </row>
        <row r="71">
          <cell r="D71">
            <v>0</v>
          </cell>
          <cell r="F71">
            <v>0</v>
          </cell>
          <cell r="I71">
            <v>0</v>
          </cell>
          <cell r="K71">
            <v>0</v>
          </cell>
          <cell r="M71" t="str">
            <v>Hide</v>
          </cell>
        </row>
        <row r="72">
          <cell r="D72">
            <v>0</v>
          </cell>
          <cell r="F72">
            <v>0</v>
          </cell>
          <cell r="I72">
            <v>0</v>
          </cell>
          <cell r="K72">
            <v>0</v>
          </cell>
          <cell r="M72" t="str">
            <v>Hide</v>
          </cell>
        </row>
        <row r="73">
          <cell r="D73">
            <v>0</v>
          </cell>
          <cell r="F73">
            <v>0</v>
          </cell>
          <cell r="I73">
            <v>0</v>
          </cell>
          <cell r="K73">
            <v>0</v>
          </cell>
          <cell r="M73" t="str">
            <v>Hide</v>
          </cell>
        </row>
        <row r="74">
          <cell r="D74">
            <v>0</v>
          </cell>
          <cell r="F74">
            <v>0</v>
          </cell>
          <cell r="I74">
            <v>0</v>
          </cell>
          <cell r="K74">
            <v>0</v>
          </cell>
          <cell r="M74" t="str">
            <v>Hide</v>
          </cell>
        </row>
        <row r="75">
          <cell r="D75" t="str">
            <v xml:space="preserve">N/A      </v>
          </cell>
          <cell r="F75">
            <v>0</v>
          </cell>
          <cell r="I75" t="str">
            <v xml:space="preserve">N/A      </v>
          </cell>
          <cell r="K75">
            <v>0</v>
          </cell>
          <cell r="M75" t="str">
            <v>Hide</v>
          </cell>
        </row>
        <row r="76">
          <cell r="D76" t="str">
            <v xml:space="preserve">N/A      </v>
          </cell>
          <cell r="F76">
            <v>0</v>
          </cell>
          <cell r="I76" t="str">
            <v xml:space="preserve">N/A      </v>
          </cell>
          <cell r="K76">
            <v>0</v>
          </cell>
          <cell r="M76" t="str">
            <v>Hide</v>
          </cell>
        </row>
        <row r="77">
          <cell r="D77" t="str">
            <v xml:space="preserve">N/A      </v>
          </cell>
          <cell r="F77">
            <v>0</v>
          </cell>
          <cell r="I77" t="str">
            <v xml:space="preserve">N/A      </v>
          </cell>
          <cell r="K77">
            <v>0</v>
          </cell>
          <cell r="M77" t="str">
            <v>Hide</v>
          </cell>
        </row>
        <row r="78">
          <cell r="D78" t="str">
            <v xml:space="preserve">N/A      </v>
          </cell>
          <cell r="F78" t="str">
            <v xml:space="preserve">N/A  </v>
          </cell>
          <cell r="I78" t="str">
            <v xml:space="preserve">N/A      </v>
          </cell>
          <cell r="K78" t="str">
            <v xml:space="preserve">N/A  </v>
          </cell>
          <cell r="M78" t="str">
            <v>Hide</v>
          </cell>
        </row>
        <row r="79">
          <cell r="D79" t="str">
            <v xml:space="preserve">N/A      </v>
          </cell>
          <cell r="F79">
            <v>0</v>
          </cell>
          <cell r="I79" t="str">
            <v xml:space="preserve">N/A      </v>
          </cell>
          <cell r="K79">
            <v>0</v>
          </cell>
          <cell r="M79" t="str">
            <v>Hide</v>
          </cell>
        </row>
        <row r="80">
          <cell r="D80" t="str">
            <v xml:space="preserve">N/A      </v>
          </cell>
          <cell r="F80">
            <v>0</v>
          </cell>
          <cell r="I80" t="str">
            <v xml:space="preserve">N/A      </v>
          </cell>
          <cell r="K80">
            <v>0</v>
          </cell>
          <cell r="M80" t="str">
            <v>Hide</v>
          </cell>
        </row>
        <row r="81">
          <cell r="D81">
            <v>0</v>
          </cell>
          <cell r="F81">
            <v>0</v>
          </cell>
          <cell r="I81">
            <v>0</v>
          </cell>
          <cell r="K81">
            <v>0</v>
          </cell>
        </row>
        <row r="85">
          <cell r="D85" t="str">
            <v xml:space="preserve">Total      </v>
          </cell>
          <cell r="F85" t="str">
            <v xml:space="preserve">$/SF   </v>
          </cell>
          <cell r="I85" t="str">
            <v xml:space="preserve">Total      </v>
          </cell>
          <cell r="K85" t="str">
            <v xml:space="preserve">$/SF   </v>
          </cell>
        </row>
        <row r="86">
          <cell r="D86">
            <v>0</v>
          </cell>
          <cell r="F86">
            <v>0</v>
          </cell>
          <cell r="I86">
            <v>0</v>
          </cell>
          <cell r="K86">
            <v>0</v>
          </cell>
          <cell r="M86" t="str">
            <v>Hide</v>
          </cell>
        </row>
        <row r="87">
          <cell r="D87">
            <v>0</v>
          </cell>
          <cell r="F87">
            <v>0</v>
          </cell>
          <cell r="I87">
            <v>0</v>
          </cell>
          <cell r="K87">
            <v>0</v>
          </cell>
          <cell r="M87" t="str">
            <v>Hide</v>
          </cell>
        </row>
        <row r="88">
          <cell r="D88">
            <v>0</v>
          </cell>
          <cell r="F88">
            <v>0</v>
          </cell>
          <cell r="I88">
            <v>0</v>
          </cell>
          <cell r="K88">
            <v>0</v>
          </cell>
          <cell r="M88" t="str">
            <v>Hide</v>
          </cell>
        </row>
        <row r="89">
          <cell r="D89">
            <v>0</v>
          </cell>
          <cell r="F89">
            <v>0</v>
          </cell>
          <cell r="I89">
            <v>0</v>
          </cell>
          <cell r="K89">
            <v>0</v>
          </cell>
          <cell r="M89" t="str">
            <v>Hide</v>
          </cell>
        </row>
        <row r="90">
          <cell r="D90" t="str">
            <v xml:space="preserve">N/A      </v>
          </cell>
          <cell r="F90">
            <v>0</v>
          </cell>
          <cell r="I90" t="str">
            <v xml:space="preserve">N/A      </v>
          </cell>
          <cell r="K90">
            <v>0</v>
          </cell>
          <cell r="M90" t="str">
            <v>Hide</v>
          </cell>
        </row>
        <row r="91">
          <cell r="D91" t="str">
            <v xml:space="preserve">N/A      </v>
          </cell>
          <cell r="F91">
            <v>0</v>
          </cell>
          <cell r="I91" t="str">
            <v xml:space="preserve">N/A      </v>
          </cell>
          <cell r="K91">
            <v>0</v>
          </cell>
          <cell r="M91" t="str">
            <v>Hide</v>
          </cell>
        </row>
        <row r="92">
          <cell r="D92" t="str">
            <v xml:space="preserve">N/A      </v>
          </cell>
          <cell r="F92">
            <v>0</v>
          </cell>
          <cell r="I92" t="str">
            <v xml:space="preserve">N/A      </v>
          </cell>
          <cell r="K92">
            <v>0</v>
          </cell>
          <cell r="M92" t="str">
            <v>Hide</v>
          </cell>
        </row>
        <row r="93">
          <cell r="D93" t="str">
            <v xml:space="preserve">N/A      </v>
          </cell>
          <cell r="F93" t="str">
            <v xml:space="preserve">N/A  </v>
          </cell>
          <cell r="I93" t="str">
            <v xml:space="preserve">N/A      </v>
          </cell>
          <cell r="K93" t="str">
            <v xml:space="preserve">N/A  </v>
          </cell>
          <cell r="M93" t="str">
            <v>Hide</v>
          </cell>
        </row>
        <row r="94">
          <cell r="D94" t="str">
            <v xml:space="preserve">N/A      </v>
          </cell>
          <cell r="F94">
            <v>0</v>
          </cell>
          <cell r="I94" t="str">
            <v xml:space="preserve">N/A      </v>
          </cell>
          <cell r="K94">
            <v>0</v>
          </cell>
          <cell r="M94" t="str">
            <v>Hide</v>
          </cell>
        </row>
        <row r="95">
          <cell r="D95" t="str">
            <v xml:space="preserve">N/A      </v>
          </cell>
          <cell r="F95">
            <v>0</v>
          </cell>
          <cell r="I95" t="str">
            <v xml:space="preserve">N/A      </v>
          </cell>
          <cell r="K95">
            <v>0</v>
          </cell>
          <cell r="M95" t="str">
            <v>Hide</v>
          </cell>
        </row>
        <row r="96">
          <cell r="D96">
            <v>0</v>
          </cell>
          <cell r="F96">
            <v>0</v>
          </cell>
          <cell r="I96">
            <v>0</v>
          </cell>
          <cell r="K96">
            <v>0</v>
          </cell>
        </row>
        <row r="100">
          <cell r="D100" t="str">
            <v xml:space="preserve">Total      </v>
          </cell>
          <cell r="F100" t="str">
            <v xml:space="preserve">$/SF   </v>
          </cell>
          <cell r="I100" t="str">
            <v xml:space="preserve">Total      </v>
          </cell>
          <cell r="K100" t="str">
            <v xml:space="preserve">$/SF   </v>
          </cell>
        </row>
        <row r="101">
          <cell r="D101">
            <v>0</v>
          </cell>
          <cell r="F101">
            <v>0</v>
          </cell>
          <cell r="I101">
            <v>0</v>
          </cell>
          <cell r="K101">
            <v>0</v>
          </cell>
          <cell r="M101" t="str">
            <v>Hide</v>
          </cell>
        </row>
        <row r="102">
          <cell r="D102">
            <v>0</v>
          </cell>
          <cell r="F102">
            <v>0</v>
          </cell>
          <cell r="I102">
            <v>0</v>
          </cell>
          <cell r="K102">
            <v>0</v>
          </cell>
          <cell r="M102" t="str">
            <v>Hide</v>
          </cell>
        </row>
        <row r="103">
          <cell r="D103">
            <v>0</v>
          </cell>
          <cell r="F103">
            <v>0</v>
          </cell>
          <cell r="I103">
            <v>0</v>
          </cell>
          <cell r="K103">
            <v>0</v>
          </cell>
          <cell r="M103" t="str">
            <v>Hide</v>
          </cell>
        </row>
        <row r="104">
          <cell r="D104">
            <v>0</v>
          </cell>
          <cell r="F104">
            <v>0</v>
          </cell>
          <cell r="I104">
            <v>0</v>
          </cell>
          <cell r="K104">
            <v>0</v>
          </cell>
          <cell r="M104" t="str">
            <v>Hide</v>
          </cell>
        </row>
        <row r="105">
          <cell r="D105" t="str">
            <v xml:space="preserve">N/A      </v>
          </cell>
          <cell r="F105">
            <v>0</v>
          </cell>
          <cell r="I105" t="str">
            <v xml:space="preserve">N/A      </v>
          </cell>
          <cell r="K105">
            <v>0</v>
          </cell>
          <cell r="M105" t="str">
            <v>Hide</v>
          </cell>
        </row>
        <row r="106">
          <cell r="D106" t="str">
            <v xml:space="preserve">N/A      </v>
          </cell>
          <cell r="F106">
            <v>0</v>
          </cell>
          <cell r="I106" t="str">
            <v xml:space="preserve">N/A      </v>
          </cell>
          <cell r="K106">
            <v>0</v>
          </cell>
          <cell r="M106" t="str">
            <v>Hide</v>
          </cell>
        </row>
        <row r="107">
          <cell r="D107" t="str">
            <v xml:space="preserve">N/A      </v>
          </cell>
          <cell r="F107">
            <v>0</v>
          </cell>
          <cell r="I107" t="str">
            <v xml:space="preserve">N/A      </v>
          </cell>
          <cell r="K107">
            <v>0</v>
          </cell>
          <cell r="M107" t="str">
            <v>Hide</v>
          </cell>
        </row>
        <row r="108">
          <cell r="D108" t="str">
            <v xml:space="preserve">N/A      </v>
          </cell>
          <cell r="F108" t="str">
            <v xml:space="preserve">N/A  </v>
          </cell>
          <cell r="I108" t="str">
            <v xml:space="preserve">N/A      </v>
          </cell>
          <cell r="K108" t="str">
            <v xml:space="preserve">N/A  </v>
          </cell>
          <cell r="M108" t="str">
            <v>Hide</v>
          </cell>
        </row>
        <row r="109">
          <cell r="D109" t="str">
            <v xml:space="preserve">N/A      </v>
          </cell>
          <cell r="F109">
            <v>0</v>
          </cell>
          <cell r="I109" t="str">
            <v xml:space="preserve">N/A      </v>
          </cell>
          <cell r="K109">
            <v>0</v>
          </cell>
          <cell r="M109" t="str">
            <v>Hide</v>
          </cell>
        </row>
        <row r="110">
          <cell r="D110" t="str">
            <v xml:space="preserve">N/A      </v>
          </cell>
          <cell r="F110">
            <v>0</v>
          </cell>
          <cell r="I110" t="str">
            <v xml:space="preserve">N/A      </v>
          </cell>
          <cell r="K110">
            <v>0</v>
          </cell>
          <cell r="M110" t="str">
            <v>Hide</v>
          </cell>
        </row>
        <row r="111">
          <cell r="D111">
            <v>0</v>
          </cell>
          <cell r="F111">
            <v>0</v>
          </cell>
          <cell r="I111">
            <v>0</v>
          </cell>
          <cell r="K111">
            <v>0</v>
          </cell>
        </row>
        <row r="115">
          <cell r="D115" t="str">
            <v xml:space="preserve">Total      </v>
          </cell>
          <cell r="F115" t="str">
            <v xml:space="preserve">$/SF   </v>
          </cell>
          <cell r="I115" t="str">
            <v xml:space="preserve">Total      </v>
          </cell>
          <cell r="K115" t="str">
            <v xml:space="preserve">$/SF   </v>
          </cell>
        </row>
        <row r="116">
          <cell r="D116">
            <v>0</v>
          </cell>
          <cell r="F116">
            <v>0</v>
          </cell>
          <cell r="I116">
            <v>0</v>
          </cell>
          <cell r="K116">
            <v>0</v>
          </cell>
          <cell r="M116" t="str">
            <v>Hide</v>
          </cell>
        </row>
        <row r="117">
          <cell r="D117">
            <v>0</v>
          </cell>
          <cell r="F117">
            <v>0</v>
          </cell>
          <cell r="I117">
            <v>0</v>
          </cell>
          <cell r="K117">
            <v>0</v>
          </cell>
          <cell r="M117" t="str">
            <v>Hide</v>
          </cell>
        </row>
        <row r="118">
          <cell r="D118">
            <v>0</v>
          </cell>
          <cell r="F118">
            <v>0</v>
          </cell>
          <cell r="I118">
            <v>0</v>
          </cell>
          <cell r="K118">
            <v>0</v>
          </cell>
          <cell r="M118" t="str">
            <v>Hide</v>
          </cell>
        </row>
        <row r="119">
          <cell r="D119">
            <v>0</v>
          </cell>
          <cell r="F119">
            <v>0</v>
          </cell>
          <cell r="I119">
            <v>0</v>
          </cell>
          <cell r="K119">
            <v>0</v>
          </cell>
          <cell r="M119" t="str">
            <v>Hide</v>
          </cell>
        </row>
        <row r="120">
          <cell r="D120" t="str">
            <v xml:space="preserve">N/A      </v>
          </cell>
          <cell r="F120">
            <v>0</v>
          </cell>
          <cell r="I120" t="str">
            <v xml:space="preserve">N/A      </v>
          </cell>
          <cell r="K120">
            <v>0</v>
          </cell>
          <cell r="M120" t="str">
            <v>Hide</v>
          </cell>
        </row>
        <row r="121">
          <cell r="D121" t="str">
            <v xml:space="preserve">N/A      </v>
          </cell>
          <cell r="F121">
            <v>0</v>
          </cell>
          <cell r="I121" t="str">
            <v xml:space="preserve">N/A      </v>
          </cell>
          <cell r="K121">
            <v>0</v>
          </cell>
          <cell r="M121" t="str">
            <v>Hide</v>
          </cell>
        </row>
        <row r="122">
          <cell r="D122" t="str">
            <v xml:space="preserve">N/A      </v>
          </cell>
          <cell r="F122">
            <v>0</v>
          </cell>
          <cell r="I122" t="str">
            <v xml:space="preserve">N/A      </v>
          </cell>
          <cell r="K122">
            <v>0</v>
          </cell>
          <cell r="M122" t="str">
            <v>Hide</v>
          </cell>
        </row>
        <row r="123">
          <cell r="D123" t="str">
            <v xml:space="preserve">N/A      </v>
          </cell>
          <cell r="F123" t="str">
            <v xml:space="preserve">N/A  </v>
          </cell>
          <cell r="I123" t="str">
            <v xml:space="preserve">N/A      </v>
          </cell>
          <cell r="K123" t="str">
            <v xml:space="preserve">N/A  </v>
          </cell>
          <cell r="M123" t="str">
            <v>Hide</v>
          </cell>
        </row>
        <row r="124">
          <cell r="D124" t="str">
            <v xml:space="preserve">N/A      </v>
          </cell>
          <cell r="F124">
            <v>0</v>
          </cell>
          <cell r="I124" t="str">
            <v xml:space="preserve">N/A      </v>
          </cell>
          <cell r="K124">
            <v>0</v>
          </cell>
          <cell r="M124" t="str">
            <v>Hide</v>
          </cell>
        </row>
        <row r="125">
          <cell r="D125" t="str">
            <v xml:space="preserve">N/A      </v>
          </cell>
          <cell r="F125">
            <v>0</v>
          </cell>
          <cell r="I125" t="str">
            <v xml:space="preserve">N/A      </v>
          </cell>
          <cell r="K125">
            <v>0</v>
          </cell>
          <cell r="M125" t="str">
            <v>Hide</v>
          </cell>
        </row>
        <row r="126">
          <cell r="D126">
            <v>0</v>
          </cell>
          <cell r="F126">
            <v>0</v>
          </cell>
          <cell r="I126">
            <v>0</v>
          </cell>
          <cell r="K126">
            <v>0</v>
          </cell>
        </row>
        <row r="130">
          <cell r="D130" t="str">
            <v xml:space="preserve">Total      </v>
          </cell>
          <cell r="F130" t="str">
            <v xml:space="preserve">$/SF   </v>
          </cell>
          <cell r="I130" t="str">
            <v xml:space="preserve">Total      </v>
          </cell>
          <cell r="K130" t="str">
            <v xml:space="preserve">$/SF   </v>
          </cell>
        </row>
        <row r="131">
          <cell r="D131">
            <v>0</v>
          </cell>
          <cell r="F131">
            <v>0</v>
          </cell>
          <cell r="I131">
            <v>0</v>
          </cell>
          <cell r="K131">
            <v>0</v>
          </cell>
          <cell r="M131" t="str">
            <v>Hide</v>
          </cell>
        </row>
        <row r="132">
          <cell r="D132">
            <v>0</v>
          </cell>
          <cell r="F132">
            <v>0</v>
          </cell>
          <cell r="I132">
            <v>0</v>
          </cell>
          <cell r="K132">
            <v>0</v>
          </cell>
          <cell r="M132" t="str">
            <v>Hide</v>
          </cell>
        </row>
        <row r="133">
          <cell r="D133">
            <v>0</v>
          </cell>
          <cell r="F133">
            <v>0</v>
          </cell>
          <cell r="I133">
            <v>0</v>
          </cell>
          <cell r="K133">
            <v>0</v>
          </cell>
          <cell r="M133" t="str">
            <v>Hide</v>
          </cell>
        </row>
        <row r="134">
          <cell r="D134">
            <v>0</v>
          </cell>
          <cell r="F134">
            <v>0</v>
          </cell>
          <cell r="I134">
            <v>0</v>
          </cell>
          <cell r="K134">
            <v>0</v>
          </cell>
          <cell r="M134" t="str">
            <v>Hide</v>
          </cell>
        </row>
        <row r="135">
          <cell r="D135" t="str">
            <v xml:space="preserve">N/A      </v>
          </cell>
          <cell r="F135">
            <v>0</v>
          </cell>
          <cell r="I135" t="str">
            <v xml:space="preserve">N/A      </v>
          </cell>
          <cell r="K135">
            <v>0</v>
          </cell>
          <cell r="M135" t="str">
            <v>Hide</v>
          </cell>
        </row>
        <row r="136">
          <cell r="D136" t="str">
            <v xml:space="preserve">N/A      </v>
          </cell>
          <cell r="F136">
            <v>0</v>
          </cell>
          <cell r="I136" t="str">
            <v xml:space="preserve">N/A      </v>
          </cell>
          <cell r="K136">
            <v>0</v>
          </cell>
          <cell r="M136" t="str">
            <v>Hide</v>
          </cell>
        </row>
        <row r="137">
          <cell r="D137" t="str">
            <v xml:space="preserve">N/A      </v>
          </cell>
          <cell r="F137">
            <v>0</v>
          </cell>
          <cell r="I137" t="str">
            <v xml:space="preserve">N/A      </v>
          </cell>
          <cell r="K137">
            <v>0</v>
          </cell>
          <cell r="M137" t="str">
            <v>Hide</v>
          </cell>
        </row>
        <row r="138">
          <cell r="D138" t="str">
            <v xml:space="preserve">N/A      </v>
          </cell>
          <cell r="F138" t="str">
            <v xml:space="preserve">N/A  </v>
          </cell>
          <cell r="I138" t="str">
            <v xml:space="preserve">N/A      </v>
          </cell>
          <cell r="K138" t="str">
            <v xml:space="preserve">N/A  </v>
          </cell>
          <cell r="M138" t="str">
            <v>Hide</v>
          </cell>
        </row>
        <row r="139">
          <cell r="D139" t="str">
            <v xml:space="preserve">N/A      </v>
          </cell>
          <cell r="F139">
            <v>0</v>
          </cell>
          <cell r="I139" t="str">
            <v xml:space="preserve">N/A      </v>
          </cell>
          <cell r="K139">
            <v>0</v>
          </cell>
          <cell r="M139" t="str">
            <v>Hide</v>
          </cell>
        </row>
        <row r="140">
          <cell r="D140" t="str">
            <v xml:space="preserve">N/A      </v>
          </cell>
          <cell r="F140">
            <v>0</v>
          </cell>
          <cell r="I140" t="str">
            <v xml:space="preserve">N/A      </v>
          </cell>
          <cell r="K140">
            <v>0</v>
          </cell>
          <cell r="M140" t="str">
            <v>Hide</v>
          </cell>
        </row>
        <row r="141">
          <cell r="D141">
            <v>0</v>
          </cell>
          <cell r="F141">
            <v>0</v>
          </cell>
          <cell r="I141">
            <v>0</v>
          </cell>
          <cell r="K141">
            <v>0</v>
          </cell>
        </row>
        <row r="145">
          <cell r="D145" t="str">
            <v xml:space="preserve">Total      </v>
          </cell>
          <cell r="F145" t="str">
            <v xml:space="preserve">$/SF   </v>
          </cell>
          <cell r="I145" t="str">
            <v xml:space="preserve">Total      </v>
          </cell>
          <cell r="K145" t="str">
            <v xml:space="preserve">$/SF   </v>
          </cell>
        </row>
        <row r="146">
          <cell r="D146">
            <v>0</v>
          </cell>
          <cell r="F146">
            <v>0</v>
          </cell>
          <cell r="I146">
            <v>0</v>
          </cell>
          <cell r="K146">
            <v>0</v>
          </cell>
          <cell r="M146" t="str">
            <v>Hide</v>
          </cell>
        </row>
        <row r="147">
          <cell r="D147">
            <v>0</v>
          </cell>
          <cell r="F147">
            <v>0</v>
          </cell>
          <cell r="I147">
            <v>0</v>
          </cell>
          <cell r="K147">
            <v>0</v>
          </cell>
          <cell r="M147" t="str">
            <v>Hide</v>
          </cell>
        </row>
        <row r="148">
          <cell r="D148">
            <v>0</v>
          </cell>
          <cell r="F148">
            <v>0</v>
          </cell>
          <cell r="I148">
            <v>0</v>
          </cell>
          <cell r="K148">
            <v>0</v>
          </cell>
          <cell r="M148" t="str">
            <v>Hide</v>
          </cell>
        </row>
        <row r="149">
          <cell r="D149">
            <v>0</v>
          </cell>
          <cell r="F149">
            <v>0</v>
          </cell>
          <cell r="I149">
            <v>0</v>
          </cell>
          <cell r="K149">
            <v>0</v>
          </cell>
          <cell r="M149" t="str">
            <v>Hide</v>
          </cell>
        </row>
        <row r="150">
          <cell r="D150" t="str">
            <v xml:space="preserve">N/A      </v>
          </cell>
          <cell r="F150">
            <v>0</v>
          </cell>
          <cell r="I150" t="str">
            <v xml:space="preserve">N/A      </v>
          </cell>
          <cell r="K150">
            <v>0</v>
          </cell>
          <cell r="M150" t="str">
            <v>Hide</v>
          </cell>
        </row>
        <row r="151">
          <cell r="D151" t="str">
            <v xml:space="preserve">N/A      </v>
          </cell>
          <cell r="F151">
            <v>0</v>
          </cell>
          <cell r="I151" t="str">
            <v xml:space="preserve">N/A      </v>
          </cell>
          <cell r="K151">
            <v>0</v>
          </cell>
          <cell r="M151" t="str">
            <v>Hide</v>
          </cell>
        </row>
        <row r="152">
          <cell r="D152" t="str">
            <v xml:space="preserve">N/A      </v>
          </cell>
          <cell r="F152">
            <v>0</v>
          </cell>
          <cell r="I152" t="str">
            <v xml:space="preserve">N/A      </v>
          </cell>
          <cell r="K152">
            <v>0</v>
          </cell>
          <cell r="M152" t="str">
            <v>Hide</v>
          </cell>
        </row>
        <row r="153">
          <cell r="D153" t="str">
            <v xml:space="preserve">N/A      </v>
          </cell>
          <cell r="F153" t="str">
            <v xml:space="preserve">N/A  </v>
          </cell>
          <cell r="I153" t="str">
            <v xml:space="preserve">N/A      </v>
          </cell>
          <cell r="K153" t="str">
            <v xml:space="preserve">N/A  </v>
          </cell>
          <cell r="M153" t="str">
            <v>Hide</v>
          </cell>
        </row>
        <row r="154">
          <cell r="D154" t="str">
            <v xml:space="preserve">N/A      </v>
          </cell>
          <cell r="F154">
            <v>0</v>
          </cell>
          <cell r="I154" t="str">
            <v xml:space="preserve">N/A      </v>
          </cell>
          <cell r="K154">
            <v>0</v>
          </cell>
          <cell r="M154" t="str">
            <v>Hide</v>
          </cell>
        </row>
        <row r="155">
          <cell r="D155" t="str">
            <v xml:space="preserve">N/A      </v>
          </cell>
          <cell r="F155">
            <v>0</v>
          </cell>
          <cell r="I155" t="str">
            <v xml:space="preserve">N/A      </v>
          </cell>
          <cell r="K155">
            <v>0</v>
          </cell>
          <cell r="M155" t="str">
            <v>Hide</v>
          </cell>
        </row>
        <row r="156">
          <cell r="D156">
            <v>0</v>
          </cell>
          <cell r="F156">
            <v>0</v>
          </cell>
          <cell r="I156">
            <v>0</v>
          </cell>
          <cell r="K156">
            <v>0</v>
          </cell>
        </row>
        <row r="160">
          <cell r="D160" t="str">
            <v xml:space="preserve">Total      </v>
          </cell>
          <cell r="F160" t="str">
            <v xml:space="preserve">$/SF   </v>
          </cell>
          <cell r="I160" t="str">
            <v xml:space="preserve">Total      </v>
          </cell>
          <cell r="K160" t="str">
            <v xml:space="preserve">$/SF   </v>
          </cell>
        </row>
        <row r="161">
          <cell r="D161">
            <v>0</v>
          </cell>
          <cell r="F161">
            <v>0</v>
          </cell>
          <cell r="I161">
            <v>0</v>
          </cell>
          <cell r="K161">
            <v>0</v>
          </cell>
          <cell r="M161" t="str">
            <v>Hide</v>
          </cell>
        </row>
        <row r="162">
          <cell r="D162">
            <v>0</v>
          </cell>
          <cell r="F162">
            <v>0</v>
          </cell>
          <cell r="I162">
            <v>0</v>
          </cell>
          <cell r="K162">
            <v>0</v>
          </cell>
          <cell r="M162" t="str">
            <v>Hide</v>
          </cell>
        </row>
        <row r="163">
          <cell r="D163">
            <v>0</v>
          </cell>
          <cell r="F163">
            <v>0</v>
          </cell>
          <cell r="I163">
            <v>0</v>
          </cell>
          <cell r="K163">
            <v>0</v>
          </cell>
          <cell r="M163" t="str">
            <v>Hide</v>
          </cell>
        </row>
        <row r="164">
          <cell r="D164">
            <v>0</v>
          </cell>
          <cell r="F164">
            <v>0</v>
          </cell>
          <cell r="I164">
            <v>0</v>
          </cell>
          <cell r="K164">
            <v>0</v>
          </cell>
          <cell r="M164" t="str">
            <v>Hide</v>
          </cell>
        </row>
        <row r="165">
          <cell r="D165" t="str">
            <v xml:space="preserve">N/A      </v>
          </cell>
          <cell r="F165">
            <v>0</v>
          </cell>
          <cell r="I165" t="str">
            <v xml:space="preserve">N/A      </v>
          </cell>
          <cell r="K165">
            <v>0</v>
          </cell>
          <cell r="M165" t="str">
            <v>Hide</v>
          </cell>
        </row>
        <row r="166">
          <cell r="D166" t="str">
            <v xml:space="preserve">N/A      </v>
          </cell>
          <cell r="F166">
            <v>0</v>
          </cell>
          <cell r="I166" t="str">
            <v xml:space="preserve">N/A      </v>
          </cell>
          <cell r="K166">
            <v>0</v>
          </cell>
          <cell r="M166" t="str">
            <v>Hide</v>
          </cell>
        </row>
        <row r="167">
          <cell r="D167" t="str">
            <v xml:space="preserve">N/A      </v>
          </cell>
          <cell r="F167">
            <v>0</v>
          </cell>
          <cell r="I167" t="str">
            <v xml:space="preserve">N/A      </v>
          </cell>
          <cell r="K167">
            <v>0</v>
          </cell>
          <cell r="M167" t="str">
            <v>Hide</v>
          </cell>
        </row>
        <row r="168">
          <cell r="D168" t="str">
            <v xml:space="preserve">N/A      </v>
          </cell>
          <cell r="F168" t="str">
            <v xml:space="preserve">N/A  </v>
          </cell>
          <cell r="I168" t="str">
            <v xml:space="preserve">N/A      </v>
          </cell>
          <cell r="K168" t="str">
            <v xml:space="preserve">N/A  </v>
          </cell>
          <cell r="M168" t="str">
            <v>Hide</v>
          </cell>
        </row>
        <row r="169">
          <cell r="D169" t="str">
            <v xml:space="preserve">N/A      </v>
          </cell>
          <cell r="F169">
            <v>0</v>
          </cell>
          <cell r="I169" t="str">
            <v xml:space="preserve">N/A      </v>
          </cell>
          <cell r="K169">
            <v>0</v>
          </cell>
          <cell r="M169" t="str">
            <v>Hide</v>
          </cell>
        </row>
        <row r="170">
          <cell r="D170" t="str">
            <v xml:space="preserve">N/A      </v>
          </cell>
          <cell r="F170">
            <v>0</v>
          </cell>
          <cell r="I170" t="str">
            <v xml:space="preserve">N/A      </v>
          </cell>
          <cell r="K170">
            <v>0</v>
          </cell>
          <cell r="M170" t="str">
            <v>Hide</v>
          </cell>
        </row>
        <row r="171">
          <cell r="D171">
            <v>0</v>
          </cell>
          <cell r="F171">
            <v>0</v>
          </cell>
          <cell r="I171">
            <v>0</v>
          </cell>
          <cell r="K171">
            <v>0</v>
          </cell>
        </row>
        <row r="175">
          <cell r="D175" t="str">
            <v xml:space="preserve">Total      </v>
          </cell>
          <cell r="F175" t="str">
            <v xml:space="preserve">$/SF   </v>
          </cell>
          <cell r="I175" t="str">
            <v xml:space="preserve">Total      </v>
          </cell>
          <cell r="K175" t="str">
            <v xml:space="preserve">$/SF   </v>
          </cell>
        </row>
        <row r="176">
          <cell r="D176">
            <v>0</v>
          </cell>
          <cell r="F176">
            <v>0</v>
          </cell>
          <cell r="I176">
            <v>0</v>
          </cell>
          <cell r="K176">
            <v>0</v>
          </cell>
          <cell r="M176" t="str">
            <v>Hide</v>
          </cell>
        </row>
        <row r="177">
          <cell r="D177">
            <v>0</v>
          </cell>
          <cell r="F177">
            <v>0</v>
          </cell>
          <cell r="I177">
            <v>0</v>
          </cell>
          <cell r="K177">
            <v>0</v>
          </cell>
          <cell r="M177" t="str">
            <v>Hide</v>
          </cell>
        </row>
        <row r="178">
          <cell r="D178">
            <v>0</v>
          </cell>
          <cell r="F178">
            <v>0</v>
          </cell>
          <cell r="I178">
            <v>0</v>
          </cell>
          <cell r="K178">
            <v>0</v>
          </cell>
          <cell r="M178" t="str">
            <v>Hide</v>
          </cell>
        </row>
        <row r="179">
          <cell r="D179">
            <v>0</v>
          </cell>
          <cell r="F179">
            <v>0</v>
          </cell>
          <cell r="I179">
            <v>0</v>
          </cell>
          <cell r="K179">
            <v>0</v>
          </cell>
          <cell r="M179" t="str">
            <v>Hide</v>
          </cell>
        </row>
        <row r="180">
          <cell r="D180" t="str">
            <v xml:space="preserve">N/A      </v>
          </cell>
          <cell r="F180">
            <v>1.1989243250955244E-3</v>
          </cell>
          <cell r="I180" t="str">
            <v xml:space="preserve">N/A      </v>
          </cell>
          <cell r="K180">
            <v>2.3978486501910487E-3</v>
          </cell>
          <cell r="M180" t="str">
            <v>Hide</v>
          </cell>
        </row>
        <row r="181">
          <cell r="D181" t="str">
            <v xml:space="preserve">N/A      </v>
          </cell>
          <cell r="F181">
            <v>1.1989243250955244E-3</v>
          </cell>
          <cell r="I181" t="str">
            <v xml:space="preserve">N/A      </v>
          </cell>
          <cell r="K181">
            <v>2.3978486501910487E-3</v>
          </cell>
          <cell r="M181" t="str">
            <v>Hide</v>
          </cell>
        </row>
        <row r="182">
          <cell r="D182" t="str">
            <v xml:space="preserve">N/A      </v>
          </cell>
          <cell r="F182">
            <v>1.1989243250955244E-3</v>
          </cell>
          <cell r="I182" t="str">
            <v xml:space="preserve">N/A      </v>
          </cell>
          <cell r="K182">
            <v>2.3978486501910487E-3</v>
          </cell>
          <cell r="M182" t="str">
            <v>Hide</v>
          </cell>
        </row>
        <row r="183">
          <cell r="D183" t="str">
            <v xml:space="preserve">N/A      </v>
          </cell>
          <cell r="F183" t="str">
            <v xml:space="preserve">N/A  </v>
          </cell>
          <cell r="I183" t="str">
            <v xml:space="preserve">N/A      </v>
          </cell>
          <cell r="K183" t="str">
            <v xml:space="preserve">N/A  </v>
          </cell>
          <cell r="M183" t="str">
            <v>Hide</v>
          </cell>
        </row>
        <row r="184">
          <cell r="D184" t="str">
            <v xml:space="preserve">N/A      </v>
          </cell>
          <cell r="F184">
            <v>0.27</v>
          </cell>
          <cell r="I184" t="str">
            <v xml:space="preserve">N/A      </v>
          </cell>
          <cell r="K184">
            <v>4.5</v>
          </cell>
          <cell r="M184" t="str">
            <v>Hide</v>
          </cell>
        </row>
        <row r="185">
          <cell r="D185" t="str">
            <v xml:space="preserve">N/A      </v>
          </cell>
          <cell r="F185">
            <v>0</v>
          </cell>
          <cell r="I185" t="str">
            <v xml:space="preserve">N/A      </v>
          </cell>
          <cell r="K185">
            <v>1.3</v>
          </cell>
          <cell r="M185" t="str">
            <v>Hide</v>
          </cell>
        </row>
        <row r="186">
          <cell r="D186">
            <v>702</v>
          </cell>
          <cell r="F186">
            <v>0.15</v>
          </cell>
          <cell r="I186">
            <v>2791.1519999999996</v>
          </cell>
          <cell r="K186">
            <v>0.59639999999999993</v>
          </cell>
        </row>
        <row r="190">
          <cell r="D190" t="str">
            <v xml:space="preserve">Total      </v>
          </cell>
          <cell r="F190" t="str">
            <v xml:space="preserve">$/SF   </v>
          </cell>
          <cell r="I190" t="str">
            <v xml:space="preserve">Total      </v>
          </cell>
          <cell r="K190" t="str">
            <v>% Change</v>
          </cell>
        </row>
        <row r="191">
          <cell r="D191">
            <v>358295</v>
          </cell>
          <cell r="F191">
            <v>76.558760683760681</v>
          </cell>
          <cell r="I191">
            <v>358295</v>
          </cell>
          <cell r="K191" t="str">
            <v xml:space="preserve">---   </v>
          </cell>
          <cell r="M191" t="str">
            <v>Hide</v>
          </cell>
        </row>
        <row r="192">
          <cell r="D192">
            <v>367810</v>
          </cell>
          <cell r="F192">
            <v>78.591880341880341</v>
          </cell>
          <cell r="I192">
            <v>367810</v>
          </cell>
          <cell r="K192" t="str">
            <v xml:space="preserve">---   </v>
          </cell>
          <cell r="M192" t="str">
            <v>Hide</v>
          </cell>
        </row>
        <row r="193">
          <cell r="D193">
            <v>385917</v>
          </cell>
          <cell r="F193">
            <v>82.460897435897436</v>
          </cell>
          <cell r="I193">
            <v>385917</v>
          </cell>
          <cell r="K193" t="str">
            <v xml:space="preserve">---   </v>
          </cell>
          <cell r="M193" t="str">
            <v>Hide</v>
          </cell>
        </row>
        <row r="194">
          <cell r="D194">
            <v>416189</v>
          </cell>
          <cell r="F194">
            <v>88.92927350427351</v>
          </cell>
          <cell r="I194">
            <v>416189</v>
          </cell>
          <cell r="K194" t="str">
            <v xml:space="preserve">---   </v>
          </cell>
          <cell r="M194" t="str">
            <v>Hide</v>
          </cell>
        </row>
        <row r="195">
          <cell r="D195">
            <v>66847.247999999992</v>
          </cell>
          <cell r="F195">
            <v>14.283599999999998</v>
          </cell>
          <cell r="I195">
            <v>69638.399999999994</v>
          </cell>
          <cell r="K195">
            <v>-0.83267601978908612</v>
          </cell>
        </row>
        <row r="199">
          <cell r="F199" t="str">
            <v xml:space="preserve">% PGI   </v>
          </cell>
          <cell r="I199" t="str">
            <v xml:space="preserve">Total      </v>
          </cell>
          <cell r="K199" t="str">
            <v>% Change</v>
          </cell>
        </row>
        <row r="200">
          <cell r="F200">
            <v>1.4999999999999999E-2</v>
          </cell>
          <cell r="I200">
            <v>579765.37216828484</v>
          </cell>
          <cell r="K200" t="str">
            <v xml:space="preserve">---   </v>
          </cell>
          <cell r="M200" t="str">
            <v>Hide</v>
          </cell>
        </row>
        <row r="201">
          <cell r="F201">
            <v>1.4E-2</v>
          </cell>
          <cell r="I201">
            <v>529223.02158273384</v>
          </cell>
          <cell r="K201" t="str">
            <v xml:space="preserve">---   </v>
          </cell>
          <cell r="M201" t="str">
            <v>Hide</v>
          </cell>
        </row>
        <row r="202">
          <cell r="F202">
            <v>1.2999999999999999E-2</v>
          </cell>
          <cell r="I202">
            <v>586500</v>
          </cell>
          <cell r="K202" t="str">
            <v xml:space="preserve">---   </v>
          </cell>
          <cell r="M202" t="str">
            <v>Hide</v>
          </cell>
        </row>
        <row r="203">
          <cell r="F203">
            <v>1.2E-2</v>
          </cell>
          <cell r="I203">
            <v>608463.45029239764</v>
          </cell>
          <cell r="K203" t="str">
            <v xml:space="preserve">---   </v>
          </cell>
          <cell r="M203" t="str">
            <v>Hide</v>
          </cell>
        </row>
        <row r="204">
          <cell r="F204">
            <v>0</v>
          </cell>
          <cell r="I204">
            <v>74880</v>
          </cell>
          <cell r="K204">
            <v>-0.87693591132874726</v>
          </cell>
        </row>
        <row r="208">
          <cell r="F208" t="str">
            <v xml:space="preserve">% PGI   </v>
          </cell>
          <cell r="I208" t="str">
            <v xml:space="preserve">Total      </v>
          </cell>
          <cell r="K208" t="str">
            <v>% Change</v>
          </cell>
        </row>
        <row r="209">
          <cell r="F209">
            <v>0.38200000000000001</v>
          </cell>
          <cell r="I209">
            <v>0</v>
          </cell>
          <cell r="K209" t="str">
            <v xml:space="preserve">---   </v>
          </cell>
          <cell r="M209" t="str">
            <v>Hide</v>
          </cell>
        </row>
        <row r="210">
          <cell r="F210">
            <v>0.30500000000000005</v>
          </cell>
          <cell r="I210">
            <v>0</v>
          </cell>
          <cell r="K210" t="str">
            <v xml:space="preserve">---   </v>
          </cell>
          <cell r="M210" t="str">
            <v>Hide</v>
          </cell>
        </row>
        <row r="211">
          <cell r="F211">
            <v>0.34199999999999997</v>
          </cell>
          <cell r="I211">
            <v>0</v>
          </cell>
          <cell r="K211" t="str">
            <v xml:space="preserve">---   </v>
          </cell>
          <cell r="M211" t="str">
            <v>Hide</v>
          </cell>
        </row>
        <row r="212">
          <cell r="F212">
            <v>0.31599999999999995</v>
          </cell>
          <cell r="I212">
            <v>0</v>
          </cell>
          <cell r="K212" t="str">
            <v xml:space="preserve">---   </v>
          </cell>
          <cell r="M212" t="str">
            <v>Hide</v>
          </cell>
        </row>
        <row r="213">
          <cell r="F213">
            <v>0</v>
          </cell>
          <cell r="K213" t="str">
            <v xml:space="preserve">---   </v>
          </cell>
        </row>
        <row r="214">
          <cell r="F214">
            <v>7.0000000000000007E-2</v>
          </cell>
          <cell r="I214">
            <v>0</v>
          </cell>
          <cell r="K214" t="e">
            <v>#DIV/0!</v>
          </cell>
        </row>
        <row r="216">
          <cell r="M216" t="str">
            <v>Stop</v>
          </cell>
        </row>
      </sheetData>
      <sheetData sheetId="70" refreshError="1"/>
      <sheetData sheetId="71" refreshError="1">
        <row r="2">
          <cell r="K2">
            <v>1</v>
          </cell>
          <cell r="L2" t="str">
            <v>$/SF/Mo</v>
          </cell>
          <cell r="M2">
            <v>56160</v>
          </cell>
        </row>
        <row r="3">
          <cell r="K3">
            <v>2</v>
          </cell>
          <cell r="L3" t="str">
            <v>$/SF/Yr</v>
          </cell>
          <cell r="M3">
            <v>4680</v>
          </cell>
        </row>
        <row r="4">
          <cell r="K4">
            <v>3</v>
          </cell>
          <cell r="L4" t="str">
            <v>$/Unit/Mo</v>
          </cell>
          <cell r="M4">
            <v>12</v>
          </cell>
        </row>
        <row r="5">
          <cell r="K5">
            <v>4</v>
          </cell>
          <cell r="L5" t="str">
            <v>$/Unit/Yr</v>
          </cell>
          <cell r="M5" t="str">
            <v>1</v>
          </cell>
        </row>
        <row r="6">
          <cell r="D6" t="str">
            <v>Potential Rental Income</v>
          </cell>
          <cell r="F6">
            <v>62.4</v>
          </cell>
          <cell r="G6">
            <v>16</v>
          </cell>
          <cell r="H6">
            <v>74880</v>
          </cell>
          <cell r="K6">
            <v>2</v>
          </cell>
        </row>
        <row r="7">
          <cell r="D7" t="str">
            <v>Loss to Lease</v>
          </cell>
          <cell r="E7">
            <v>1.4999999999999999E-2</v>
          </cell>
          <cell r="F7">
            <v>0</v>
          </cell>
          <cell r="G7">
            <v>0</v>
          </cell>
          <cell r="H7">
            <v>0</v>
          </cell>
        </row>
        <row r="8">
          <cell r="D8" t="str">
            <v>Concessions</v>
          </cell>
          <cell r="E8">
            <v>0.02</v>
          </cell>
          <cell r="F8">
            <v>0</v>
          </cell>
          <cell r="G8">
            <v>0</v>
          </cell>
          <cell r="H8">
            <v>0</v>
          </cell>
        </row>
        <row r="9">
          <cell r="D9" t="str">
            <v>Adjusted Rental Income</v>
          </cell>
          <cell r="F9">
            <v>0</v>
          </cell>
          <cell r="G9">
            <v>0</v>
          </cell>
          <cell r="H9">
            <v>0</v>
          </cell>
        </row>
        <row r="10">
          <cell r="D10"/>
          <cell r="F10">
            <v>0</v>
          </cell>
          <cell r="G10">
            <v>0</v>
          </cell>
          <cell r="H10">
            <v>0</v>
          </cell>
        </row>
        <row r="11">
          <cell r="D11"/>
          <cell r="F11">
            <v>0</v>
          </cell>
          <cell r="G11">
            <v>0</v>
          </cell>
          <cell r="H11">
            <v>0</v>
          </cell>
        </row>
        <row r="12">
          <cell r="D12" t="str">
            <v>Credit Loss</v>
          </cell>
          <cell r="E12">
            <v>0</v>
          </cell>
          <cell r="F12">
            <v>0</v>
          </cell>
          <cell r="G12">
            <v>0</v>
          </cell>
          <cell r="H12">
            <v>0</v>
          </cell>
        </row>
        <row r="13">
          <cell r="D13" t="str">
            <v>Vacancy</v>
          </cell>
          <cell r="E13">
            <v>7.0000000000000007E-2</v>
          </cell>
          <cell r="F13">
            <v>-4.3680000000000003</v>
          </cell>
          <cell r="G13">
            <v>-1.1200000000000001</v>
          </cell>
          <cell r="H13">
            <v>-5241.6000000000004</v>
          </cell>
        </row>
        <row r="14">
          <cell r="D14" t="str">
            <v>Net Rental Income</v>
          </cell>
          <cell r="F14">
            <v>58.031999999999989</v>
          </cell>
          <cell r="G14">
            <v>14.879999999999999</v>
          </cell>
          <cell r="H14">
            <v>69638.399999999994</v>
          </cell>
        </row>
        <row r="16">
          <cell r="D16"/>
          <cell r="F16">
            <v>0</v>
          </cell>
          <cell r="G16">
            <v>0</v>
          </cell>
          <cell r="H16">
            <v>0</v>
          </cell>
        </row>
        <row r="17">
          <cell r="D17"/>
          <cell r="F17">
            <v>0</v>
          </cell>
          <cell r="G17">
            <v>0</v>
          </cell>
          <cell r="H17">
            <v>0</v>
          </cell>
        </row>
        <row r="18">
          <cell r="D18"/>
          <cell r="F18">
            <v>0</v>
          </cell>
          <cell r="G18">
            <v>0</v>
          </cell>
          <cell r="H18">
            <v>0</v>
          </cell>
        </row>
        <row r="19">
          <cell r="D19"/>
          <cell r="E19">
            <v>0</v>
          </cell>
          <cell r="F19">
            <v>0</v>
          </cell>
          <cell r="G19">
            <v>0</v>
          </cell>
          <cell r="H19">
            <v>0</v>
          </cell>
        </row>
        <row r="20">
          <cell r="D20"/>
          <cell r="F20">
            <v>0</v>
          </cell>
          <cell r="G20">
            <v>0</v>
          </cell>
          <cell r="H20">
            <v>0</v>
          </cell>
        </row>
        <row r="21">
          <cell r="D21" t="str">
            <v>Vacancy &amp; Credit Loss</v>
          </cell>
          <cell r="E21">
            <v>0</v>
          </cell>
          <cell r="F21">
            <v>0</v>
          </cell>
          <cell r="G21">
            <v>0</v>
          </cell>
          <cell r="H21">
            <v>0</v>
          </cell>
        </row>
        <row r="22">
          <cell r="D22" t="str">
            <v>Effective Gross Income</v>
          </cell>
          <cell r="F22">
            <v>58.031999999999989</v>
          </cell>
          <cell r="G22">
            <v>14.879999999999999</v>
          </cell>
          <cell r="H22">
            <v>69638.399999999994</v>
          </cell>
        </row>
        <row r="24">
          <cell r="D24" t="str">
            <v>Expenses</v>
          </cell>
        </row>
        <row r="25">
          <cell r="D25"/>
          <cell r="G25">
            <v>33.731089743589742</v>
          </cell>
          <cell r="H25">
            <v>0</v>
          </cell>
        </row>
        <row r="26">
          <cell r="D26"/>
          <cell r="G26">
            <v>0.05</v>
          </cell>
          <cell r="H26">
            <v>0</v>
          </cell>
        </row>
        <row r="27">
          <cell r="D27"/>
          <cell r="G27">
            <v>0.1</v>
          </cell>
          <cell r="H27">
            <v>0</v>
          </cell>
        </row>
        <row r="28">
          <cell r="D28"/>
          <cell r="G28">
            <v>0.8</v>
          </cell>
          <cell r="H28">
            <v>0</v>
          </cell>
        </row>
        <row r="29">
          <cell r="D29"/>
          <cell r="G29">
            <v>0.3</v>
          </cell>
          <cell r="H29">
            <v>0</v>
          </cell>
        </row>
        <row r="30">
          <cell r="D30"/>
          <cell r="G30">
            <v>0.35</v>
          </cell>
          <cell r="H30">
            <v>0</v>
          </cell>
        </row>
        <row r="31">
          <cell r="D31"/>
          <cell r="G31">
            <v>1</v>
          </cell>
          <cell r="H31">
            <v>0</v>
          </cell>
        </row>
        <row r="32">
          <cell r="D32"/>
          <cell r="G32">
            <v>0</v>
          </cell>
          <cell r="H32">
            <v>0</v>
          </cell>
        </row>
        <row r="33">
          <cell r="D33"/>
          <cell r="G33">
            <v>0</v>
          </cell>
          <cell r="H33">
            <v>0</v>
          </cell>
        </row>
        <row r="34">
          <cell r="D34"/>
          <cell r="G34">
            <v>0.2</v>
          </cell>
          <cell r="H34">
            <v>0</v>
          </cell>
        </row>
        <row r="35">
          <cell r="D35"/>
          <cell r="G35">
            <v>0.1</v>
          </cell>
          <cell r="H35">
            <v>0</v>
          </cell>
        </row>
        <row r="36">
          <cell r="D36"/>
          <cell r="G36">
            <v>0</v>
          </cell>
          <cell r="H36">
            <v>0</v>
          </cell>
        </row>
        <row r="37">
          <cell r="D37" t="str">
            <v>Management Fee</v>
          </cell>
          <cell r="E37">
            <v>0.03</v>
          </cell>
          <cell r="G37">
            <v>0.44639999999999991</v>
          </cell>
          <cell r="H37">
            <v>2089.1519999999996</v>
          </cell>
        </row>
        <row r="38">
          <cell r="D38"/>
          <cell r="G38">
            <v>0</v>
          </cell>
          <cell r="H38">
            <v>0</v>
          </cell>
        </row>
        <row r="39">
          <cell r="D39"/>
          <cell r="G39">
            <v>0</v>
          </cell>
          <cell r="H39">
            <v>0</v>
          </cell>
        </row>
        <row r="40">
          <cell r="D40"/>
          <cell r="G40">
            <v>0</v>
          </cell>
          <cell r="H40">
            <v>0</v>
          </cell>
        </row>
        <row r="41">
          <cell r="D41"/>
          <cell r="G41">
            <v>0</v>
          </cell>
          <cell r="H41">
            <v>0</v>
          </cell>
        </row>
        <row r="42">
          <cell r="D42"/>
          <cell r="G42">
            <v>0</v>
          </cell>
          <cell r="H42">
            <v>0</v>
          </cell>
        </row>
        <row r="43">
          <cell r="D43"/>
          <cell r="G43">
            <v>0</v>
          </cell>
          <cell r="H43">
            <v>0</v>
          </cell>
        </row>
        <row r="44">
          <cell r="D44" t="str">
            <v>Reserves for Replacement</v>
          </cell>
          <cell r="G44">
            <v>0.15</v>
          </cell>
          <cell r="H44">
            <v>702</v>
          </cell>
        </row>
        <row r="45">
          <cell r="D45" t="str">
            <v>Operating Expenses</v>
          </cell>
          <cell r="G45">
            <v>0.59639999999999993</v>
          </cell>
          <cell r="H45">
            <v>2791.1519999999996</v>
          </cell>
        </row>
        <row r="46">
          <cell r="D46" t="str">
            <v>Operating Expense Ratio</v>
          </cell>
          <cell r="H46">
            <v>4.0080645161290319E-2</v>
          </cell>
        </row>
        <row r="47">
          <cell r="D47" t="str">
            <v>Net Operating Income</v>
          </cell>
          <cell r="G47">
            <v>14.283599999999998</v>
          </cell>
          <cell r="H47">
            <v>66847.247999999992</v>
          </cell>
        </row>
        <row r="48">
          <cell r="H48">
            <v>7.4999999999999997E-2</v>
          </cell>
        </row>
        <row r="54">
          <cell r="H54">
            <v>1080000</v>
          </cell>
        </row>
      </sheetData>
      <sheetData sheetId="72" refreshError="1"/>
      <sheetData sheetId="73" refreshError="1"/>
      <sheetData sheetId="74" refreshError="1">
        <row r="46">
          <cell r="D46">
            <v>0.125</v>
          </cell>
        </row>
        <row r="47">
          <cell r="D47">
            <v>8.4999999999999992E-2</v>
          </cell>
        </row>
      </sheetData>
      <sheetData sheetId="75" refreshError="1">
        <row r="99">
          <cell r="AB99">
            <v>7710000</v>
          </cell>
        </row>
      </sheetData>
      <sheetData sheetId="76" refreshError="1"/>
      <sheetData sheetId="77"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
      <sheetName val="ISaleAdj_Macro"/>
      <sheetName val="ISaleTbls"/>
      <sheetName val="AdjustmentDetail"/>
      <sheetName val="ISaleNarr"/>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Sheet1"/>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refreshError="1"/>
      <sheetData sheetId="1" refreshError="1"/>
      <sheetData sheetId="2" refreshError="1">
        <row r="29">
          <cell r="A29" t="str">
            <v>N/A</v>
          </cell>
        </row>
        <row r="30">
          <cell r="A30" t="str">
            <v>A</v>
          </cell>
        </row>
        <row r="31">
          <cell r="A31" t="str">
            <v>AE</v>
          </cell>
        </row>
        <row r="32">
          <cell r="A32" t="str">
            <v>AH</v>
          </cell>
        </row>
        <row r="33">
          <cell r="A33" t="str">
            <v>AO</v>
          </cell>
        </row>
        <row r="34">
          <cell r="A34" t="str">
            <v>A99</v>
          </cell>
        </row>
        <row r="35">
          <cell r="A35" t="str">
            <v>B</v>
          </cell>
        </row>
        <row r="36">
          <cell r="A36" t="str">
            <v>C</v>
          </cell>
        </row>
        <row r="37">
          <cell r="A37" t="str">
            <v>D</v>
          </cell>
        </row>
        <row r="38">
          <cell r="A38" t="str">
            <v>V</v>
          </cell>
        </row>
        <row r="39">
          <cell r="A39" t="str">
            <v>VE</v>
          </cell>
        </row>
        <row r="40">
          <cell r="A40" t="str">
            <v>X</v>
          </cell>
        </row>
      </sheetData>
      <sheetData sheetId="3" refreshError="1"/>
      <sheetData sheetId="4" refreshError="1"/>
      <sheetData sheetId="5" refreshError="1"/>
      <sheetData sheetId="6" refreshError="1">
        <row r="30">
          <cell r="B30" t="str">
            <v>4900 Florence Street</v>
          </cell>
        </row>
        <row r="32">
          <cell r="B32" t="str">
            <v>4900 Florence Street</v>
          </cell>
        </row>
        <row r="33">
          <cell r="B33" t="str">
            <v>Denver</v>
          </cell>
        </row>
        <row r="35">
          <cell r="B35" t="str">
            <v>Colorado</v>
          </cell>
        </row>
      </sheetData>
      <sheetData sheetId="7" refreshError="1"/>
      <sheetData sheetId="8" refreshError="1"/>
      <sheetData sheetId="9" refreshError="1"/>
      <sheetData sheetId="10" refreshError="1">
        <row r="34">
          <cell r="G34" t="str">
            <v>Inferior</v>
          </cell>
        </row>
        <row r="35">
          <cell r="G35" t="str">
            <v>Similar</v>
          </cell>
        </row>
        <row r="36">
          <cell r="G36" t="str">
            <v>Superior</v>
          </cell>
        </row>
        <row r="37">
          <cell r="G37" t="str">
            <v>Excellent</v>
          </cell>
        </row>
        <row r="38">
          <cell r="G38" t="str">
            <v>Good/Excellent</v>
          </cell>
        </row>
        <row r="39">
          <cell r="G39" t="str">
            <v>Good</v>
          </cell>
        </row>
        <row r="40">
          <cell r="G40" t="str">
            <v>Average/Good</v>
          </cell>
        </row>
        <row r="41">
          <cell r="G41" t="str">
            <v>Average</v>
          </cell>
        </row>
        <row r="42">
          <cell r="G42" t="str">
            <v>Average/Fair</v>
          </cell>
        </row>
        <row r="43">
          <cell r="G43" t="str">
            <v>Fair</v>
          </cell>
        </row>
        <row r="44">
          <cell r="G44" t="str">
            <v>Fair/Poor</v>
          </cell>
        </row>
        <row r="45">
          <cell r="G45" t="str">
            <v>Poor</v>
          </cell>
        </row>
        <row r="46">
          <cell r="G46" t="str">
            <v>See Narrative</v>
          </cell>
        </row>
      </sheetData>
      <sheetData sheetId="11" refreshError="1">
        <row r="4">
          <cell r="B4" t="str">
            <v>As Is</v>
          </cell>
        </row>
        <row r="5">
          <cell r="B5">
            <v>43118</v>
          </cell>
        </row>
        <row r="7">
          <cell r="B7" t="str">
            <v>Leased Fee</v>
          </cell>
        </row>
        <row r="8">
          <cell r="B8" t="str">
            <v>As Is</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row r="5">
          <cell r="B5">
            <v>152896</v>
          </cell>
        </row>
        <row r="6">
          <cell r="B6">
            <v>3.5100091827364555</v>
          </cell>
        </row>
      </sheetData>
      <sheetData sheetId="21" refreshError="1">
        <row r="5">
          <cell r="B5">
            <v>2000</v>
          </cell>
        </row>
        <row r="11">
          <cell r="B11" t="str">
            <v>28,147</v>
          </cell>
        </row>
        <row r="12">
          <cell r="B12">
            <v>28147</v>
          </cell>
        </row>
        <row r="16">
          <cell r="B16">
            <v>1</v>
          </cell>
        </row>
        <row r="26">
          <cell r="B26">
            <v>5.43</v>
          </cell>
        </row>
        <row r="27">
          <cell r="B27">
            <v>0.12</v>
          </cell>
        </row>
        <row r="28">
          <cell r="B28" t="str">
            <v>30'</v>
          </cell>
        </row>
        <row r="39">
          <cell r="B39">
            <v>33</v>
          </cell>
        </row>
      </sheetData>
      <sheetData sheetId="22" refreshError="1"/>
      <sheetData sheetId="23" refreshError="1"/>
      <sheetData sheetId="24" refreshError="1"/>
      <sheetData sheetId="25" refreshError="1"/>
      <sheetData sheetId="26" refreshError="1"/>
      <sheetData sheetId="27" refreshError="1"/>
      <sheetData sheetId="28" refreshError="1">
        <row r="48">
          <cell r="E48">
            <v>750000</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row r="44">
          <cell r="F44">
            <v>0</v>
          </cell>
        </row>
      </sheetData>
      <sheetData sheetId="37" refreshError="1"/>
      <sheetData sheetId="38" refreshError="1">
        <row r="2">
          <cell r="A2">
            <v>1</v>
          </cell>
          <cell r="B2">
            <v>0</v>
          </cell>
          <cell r="C2">
            <v>0</v>
          </cell>
          <cell r="D2">
            <v>0</v>
          </cell>
          <cell r="E2">
            <v>0</v>
          </cell>
          <cell r="F2">
            <v>0</v>
          </cell>
          <cell r="G2">
            <v>0</v>
          </cell>
          <cell r="H2">
            <v>0</v>
          </cell>
          <cell r="I2">
            <v>0</v>
          </cell>
          <cell r="J2">
            <v>0</v>
          </cell>
          <cell r="K2">
            <v>0</v>
          </cell>
          <cell r="L2">
            <v>0</v>
          </cell>
          <cell r="M2">
            <v>1987</v>
          </cell>
          <cell r="N2">
            <v>0.1</v>
          </cell>
          <cell r="O2">
            <v>0.1</v>
          </cell>
          <cell r="P2" t="str">
            <v>15</v>
          </cell>
          <cell r="Q2" t="str">
            <v>Yes</v>
          </cell>
          <cell r="R2">
            <v>0</v>
          </cell>
          <cell r="S2">
            <v>0</v>
          </cell>
          <cell r="T2">
            <v>0</v>
          </cell>
          <cell r="U2">
            <v>0</v>
          </cell>
          <cell r="V2">
            <v>0</v>
          </cell>
          <cell r="W2">
            <v>0</v>
          </cell>
          <cell r="X2">
            <v>0</v>
          </cell>
          <cell r="Y2">
            <v>0</v>
          </cell>
          <cell r="Z2"/>
          <cell r="AA2"/>
          <cell r="AB2"/>
          <cell r="AC2" t="str">
            <v>—</v>
          </cell>
          <cell r="AD2" t="str">
            <v>—</v>
          </cell>
          <cell r="AE2">
            <v>0</v>
          </cell>
          <cell r="AF2" t="e">
            <v>#VALUE!</v>
          </cell>
          <cell r="AG2" t="e">
            <v>#DIV/0!</v>
          </cell>
          <cell r="AH2" t="str">
            <v>—</v>
          </cell>
        </row>
        <row r="3">
          <cell r="A3">
            <v>2</v>
          </cell>
          <cell r="B3" t="e">
            <v>#REF!</v>
          </cell>
          <cell r="C3" t="e">
            <v>#REF!</v>
          </cell>
          <cell r="D3" t="e">
            <v>#REF!</v>
          </cell>
          <cell r="E3" t="e">
            <v>#REF!</v>
          </cell>
          <cell r="F3" t="e">
            <v>#REF!</v>
          </cell>
          <cell r="G3" t="e">
            <v>#REF!</v>
          </cell>
          <cell r="H3" t="e">
            <v>#REF!</v>
          </cell>
          <cell r="I3" t="e">
            <v>#REF!</v>
          </cell>
          <cell r="J3" t="e">
            <v>#REF!</v>
          </cell>
          <cell r="K3" t="e">
            <v>#REF!</v>
          </cell>
          <cell r="L3" t="e">
            <v>#REF!</v>
          </cell>
          <cell r="M3" t="e">
            <v>#REF!</v>
          </cell>
          <cell r="N3">
            <v>0.1</v>
          </cell>
          <cell r="O3">
            <v>0.1</v>
          </cell>
          <cell r="P3" t="str">
            <v>15</v>
          </cell>
          <cell r="Q3" t="str">
            <v>Yes</v>
          </cell>
          <cell r="R3" t="e">
            <v>#REF!</v>
          </cell>
          <cell r="S3" t="e">
            <v>#REF!</v>
          </cell>
          <cell r="T3" t="e">
            <v>#REF!</v>
          </cell>
          <cell r="U3" t="e">
            <v>#REF!</v>
          </cell>
          <cell r="V3" t="e">
            <v>#REF!</v>
          </cell>
          <cell r="W3" t="e">
            <v>#REF!</v>
          </cell>
          <cell r="X3" t="e">
            <v>#REF!</v>
          </cell>
          <cell r="Y3"/>
          <cell r="Z3"/>
          <cell r="AA3"/>
          <cell r="AB3"/>
          <cell r="AC3" t="str">
            <v>—</v>
          </cell>
          <cell r="AD3" t="str">
            <v>—</v>
          </cell>
          <cell r="AE3" t="e">
            <v>#REF!</v>
          </cell>
          <cell r="AF3" t="e">
            <v>#VALUE!</v>
          </cell>
          <cell r="AG3" t="e">
            <v>#REF!</v>
          </cell>
          <cell r="AH3" t="str">
            <v>—</v>
          </cell>
        </row>
        <row r="4">
          <cell r="A4">
            <v>3</v>
          </cell>
          <cell r="B4" t="e">
            <v>#REF!</v>
          </cell>
          <cell r="C4" t="e">
            <v>#REF!</v>
          </cell>
          <cell r="D4" t="e">
            <v>#REF!</v>
          </cell>
          <cell r="E4" t="e">
            <v>#REF!</v>
          </cell>
          <cell r="F4" t="e">
            <v>#REF!</v>
          </cell>
          <cell r="G4" t="e">
            <v>#REF!</v>
          </cell>
          <cell r="H4" t="e">
            <v>#REF!</v>
          </cell>
          <cell r="I4" t="e">
            <v>#REF!</v>
          </cell>
          <cell r="J4" t="e">
            <v>#REF!</v>
          </cell>
          <cell r="K4" t="e">
            <v>#REF!</v>
          </cell>
          <cell r="L4" t="e">
            <v>#REF!</v>
          </cell>
          <cell r="M4" t="e">
            <v>#REF!</v>
          </cell>
          <cell r="N4">
            <v>0.1</v>
          </cell>
          <cell r="O4">
            <v>0.1</v>
          </cell>
          <cell r="P4" t="str">
            <v>15</v>
          </cell>
          <cell r="Q4" t="str">
            <v>Yes</v>
          </cell>
          <cell r="R4" t="e">
            <v>#REF!</v>
          </cell>
          <cell r="S4" t="e">
            <v>#REF!</v>
          </cell>
          <cell r="T4">
            <v>0.92</v>
          </cell>
          <cell r="U4" t="e">
            <v>#REF!</v>
          </cell>
          <cell r="V4" t="e">
            <v>#REF!</v>
          </cell>
          <cell r="W4" t="e">
            <v>#REF!</v>
          </cell>
          <cell r="X4" t="e">
            <v>#REF!</v>
          </cell>
          <cell r="Y4"/>
          <cell r="Z4"/>
          <cell r="AA4"/>
          <cell r="AB4"/>
          <cell r="AC4" t="str">
            <v>—</v>
          </cell>
          <cell r="AD4" t="str">
            <v>—</v>
          </cell>
          <cell r="AE4" t="e">
            <v>#REF!</v>
          </cell>
          <cell r="AF4" t="e">
            <v>#VALUE!</v>
          </cell>
          <cell r="AG4" t="e">
            <v>#REF!</v>
          </cell>
          <cell r="AH4" t="str">
            <v>—</v>
          </cell>
        </row>
        <row r="5">
          <cell r="A5">
            <v>4</v>
          </cell>
          <cell r="B5" t="e">
            <v>#REF!</v>
          </cell>
          <cell r="C5" t="e">
            <v>#REF!</v>
          </cell>
          <cell r="D5" t="e">
            <v>#REF!</v>
          </cell>
          <cell r="E5" t="e">
            <v>#REF!</v>
          </cell>
          <cell r="F5" t="e">
            <v>#REF!</v>
          </cell>
          <cell r="G5" t="e">
            <v>#REF!</v>
          </cell>
          <cell r="H5" t="e">
            <v>#REF!</v>
          </cell>
          <cell r="I5" t="e">
            <v>#REF!</v>
          </cell>
          <cell r="J5" t="e">
            <v>#REF!</v>
          </cell>
          <cell r="K5" t="e">
            <v>#REF!</v>
          </cell>
          <cell r="L5" t="e">
            <v>#REF!</v>
          </cell>
          <cell r="M5" t="e">
            <v>#REF!</v>
          </cell>
          <cell r="N5">
            <v>0.1</v>
          </cell>
          <cell r="O5">
            <v>0.1</v>
          </cell>
          <cell r="P5" t="str">
            <v>15</v>
          </cell>
          <cell r="Q5" t="str">
            <v>Yes</v>
          </cell>
          <cell r="R5" t="e">
            <v>#REF!</v>
          </cell>
          <cell r="S5" t="e">
            <v>#REF!</v>
          </cell>
          <cell r="T5" t="e">
            <v>#REF!</v>
          </cell>
          <cell r="U5" t="e">
            <v>#REF!</v>
          </cell>
          <cell r="V5" t="e">
            <v>#REF!</v>
          </cell>
          <cell r="W5" t="e">
            <v>#REF!</v>
          </cell>
          <cell r="X5" t="e">
            <v>#REF!</v>
          </cell>
          <cell r="Y5"/>
          <cell r="Z5"/>
          <cell r="AA5"/>
          <cell r="AB5"/>
          <cell r="AC5" t="str">
            <v>—</v>
          </cell>
          <cell r="AD5" t="str">
            <v>—</v>
          </cell>
          <cell r="AE5" t="e">
            <v>#REF!</v>
          </cell>
          <cell r="AF5" t="e">
            <v>#VALUE!</v>
          </cell>
          <cell r="AG5" t="e">
            <v>#REF!</v>
          </cell>
          <cell r="AH5" t="str">
            <v>—</v>
          </cell>
        </row>
        <row r="6">
          <cell r="A6">
            <v>5</v>
          </cell>
          <cell r="B6" t="e">
            <v>#REF!</v>
          </cell>
          <cell r="C6" t="e">
            <v>#REF!</v>
          </cell>
          <cell r="D6" t="e">
            <v>#REF!</v>
          </cell>
          <cell r="E6" t="e">
            <v>#REF!</v>
          </cell>
          <cell r="F6" t="e">
            <v>#REF!</v>
          </cell>
          <cell r="G6" t="e">
            <v>#REF!</v>
          </cell>
          <cell r="H6" t="e">
            <v>#REF!</v>
          </cell>
          <cell r="I6" t="e">
            <v>#REF!</v>
          </cell>
          <cell r="J6" t="e">
            <v>#REF!</v>
          </cell>
          <cell r="K6" t="e">
            <v>#REF!</v>
          </cell>
          <cell r="L6" t="e">
            <v>#REF!</v>
          </cell>
          <cell r="M6" t="e">
            <v>#REF!</v>
          </cell>
          <cell r="N6">
            <v>0.1</v>
          </cell>
          <cell r="O6">
            <v>0.1</v>
          </cell>
          <cell r="P6" t="str">
            <v>15</v>
          </cell>
          <cell r="Q6" t="str">
            <v>Yes</v>
          </cell>
          <cell r="R6" t="e">
            <v>#REF!</v>
          </cell>
          <cell r="S6" t="e">
            <v>#REF!</v>
          </cell>
          <cell r="T6" t="e">
            <v>#REF!</v>
          </cell>
          <cell r="U6" t="e">
            <v>#REF!</v>
          </cell>
          <cell r="V6" t="e">
            <v>#REF!</v>
          </cell>
          <cell r="W6" t="e">
            <v>#REF!</v>
          </cell>
          <cell r="X6" t="e">
            <v>#REF!</v>
          </cell>
          <cell r="Y6"/>
          <cell r="Z6"/>
          <cell r="AA6"/>
          <cell r="AB6"/>
          <cell r="AC6" t="str">
            <v>—</v>
          </cell>
          <cell r="AD6" t="str">
            <v>—</v>
          </cell>
          <cell r="AE6" t="e">
            <v>#REF!</v>
          </cell>
          <cell r="AF6" t="e">
            <v>#VALUE!</v>
          </cell>
          <cell r="AG6" t="e">
            <v>#REF!</v>
          </cell>
          <cell r="AH6" t="str">
            <v>—</v>
          </cell>
        </row>
        <row r="7">
          <cell r="A7">
            <v>6</v>
          </cell>
          <cell r="B7" t="e">
            <v>#REF!</v>
          </cell>
          <cell r="C7" t="e">
            <v>#REF!</v>
          </cell>
          <cell r="D7" t="e">
            <v>#REF!</v>
          </cell>
          <cell r="E7" t="e">
            <v>#REF!</v>
          </cell>
          <cell r="F7" t="e">
            <v>#REF!</v>
          </cell>
          <cell r="G7" t="e">
            <v>#REF!</v>
          </cell>
          <cell r="H7" t="e">
            <v>#REF!</v>
          </cell>
          <cell r="I7" t="e">
            <v>#REF!</v>
          </cell>
          <cell r="J7" t="e">
            <v>#REF!</v>
          </cell>
          <cell r="K7" t="e">
            <v>#REF!</v>
          </cell>
          <cell r="L7" t="e">
            <v>#REF!</v>
          </cell>
          <cell r="M7" t="e">
            <v>#REF!</v>
          </cell>
          <cell r="N7">
            <v>0.1</v>
          </cell>
          <cell r="O7">
            <v>0.1</v>
          </cell>
          <cell r="P7" t="str">
            <v>15</v>
          </cell>
          <cell r="Q7" t="str">
            <v>Yes</v>
          </cell>
          <cell r="R7" t="e">
            <v>#REF!</v>
          </cell>
          <cell r="S7" t="e">
            <v>#REF!</v>
          </cell>
          <cell r="T7" t="e">
            <v>#REF!</v>
          </cell>
          <cell r="U7" t="e">
            <v>#REF!</v>
          </cell>
          <cell r="V7" t="e">
            <v>#REF!</v>
          </cell>
          <cell r="W7" t="e">
            <v>#REF!</v>
          </cell>
          <cell r="X7" t="e">
            <v>#REF!</v>
          </cell>
          <cell r="Y7"/>
          <cell r="Z7"/>
          <cell r="AA7"/>
          <cell r="AB7"/>
          <cell r="AC7" t="str">
            <v>—</v>
          </cell>
          <cell r="AD7" t="str">
            <v>—</v>
          </cell>
          <cell r="AE7" t="e">
            <v>#REF!</v>
          </cell>
          <cell r="AF7" t="e">
            <v>#VALUE!</v>
          </cell>
          <cell r="AG7" t="e">
            <v>#REF!</v>
          </cell>
          <cell r="AH7" t="str">
            <v>—</v>
          </cell>
        </row>
        <row r="8">
          <cell r="A8">
            <v>7</v>
          </cell>
          <cell r="B8" t="e">
            <v>#REF!</v>
          </cell>
          <cell r="C8" t="e">
            <v>#REF!</v>
          </cell>
          <cell r="D8" t="e">
            <v>#REF!</v>
          </cell>
          <cell r="E8" t="e">
            <v>#REF!</v>
          </cell>
          <cell r="F8" t="e">
            <v>#REF!</v>
          </cell>
          <cell r="G8" t="e">
            <v>#REF!</v>
          </cell>
          <cell r="H8" t="e">
            <v>#REF!</v>
          </cell>
          <cell r="I8" t="e">
            <v>#REF!</v>
          </cell>
          <cell r="J8" t="e">
            <v>#REF!</v>
          </cell>
          <cell r="K8" t="e">
            <v>#REF!</v>
          </cell>
          <cell r="L8" t="e">
            <v>#REF!</v>
          </cell>
          <cell r="M8" t="e">
            <v>#REF!</v>
          </cell>
          <cell r="N8">
            <v>0.1</v>
          </cell>
          <cell r="O8">
            <v>0.1</v>
          </cell>
          <cell r="P8" t="str">
            <v>15</v>
          </cell>
          <cell r="Q8" t="str">
            <v>Yes</v>
          </cell>
          <cell r="R8" t="e">
            <v>#REF!</v>
          </cell>
          <cell r="S8" t="e">
            <v>#REF!</v>
          </cell>
          <cell r="T8" t="e">
            <v>#REF!</v>
          </cell>
          <cell r="U8" t="e">
            <v>#REF!</v>
          </cell>
          <cell r="V8" t="e">
            <v>#REF!</v>
          </cell>
          <cell r="W8" t="e">
            <v>#REF!</v>
          </cell>
          <cell r="X8" t="e">
            <v>#REF!</v>
          </cell>
          <cell r="Y8"/>
          <cell r="Z8"/>
          <cell r="AA8"/>
          <cell r="AB8"/>
          <cell r="AC8" t="str">
            <v>—</v>
          </cell>
          <cell r="AD8" t="str">
            <v>—</v>
          </cell>
          <cell r="AE8" t="e">
            <v>#REF!</v>
          </cell>
          <cell r="AF8" t="e">
            <v>#VALUE!</v>
          </cell>
          <cell r="AG8" t="e">
            <v>#REF!</v>
          </cell>
          <cell r="AH8" t="str">
            <v>—</v>
          </cell>
        </row>
        <row r="9">
          <cell r="A9">
            <v>8</v>
          </cell>
          <cell r="B9" t="e">
            <v>#REF!</v>
          </cell>
          <cell r="C9" t="e">
            <v>#REF!</v>
          </cell>
          <cell r="D9" t="e">
            <v>#REF!</v>
          </cell>
          <cell r="E9" t="e">
            <v>#REF!</v>
          </cell>
          <cell r="F9" t="e">
            <v>#REF!</v>
          </cell>
          <cell r="G9" t="e">
            <v>#REF!</v>
          </cell>
          <cell r="H9" t="e">
            <v>#REF!</v>
          </cell>
          <cell r="I9" t="e">
            <v>#REF!</v>
          </cell>
          <cell r="J9" t="e">
            <v>#REF!</v>
          </cell>
          <cell r="K9" t="e">
            <v>#REF!</v>
          </cell>
          <cell r="L9" t="e">
            <v>#REF!</v>
          </cell>
          <cell r="M9" t="e">
            <v>#REF!</v>
          </cell>
          <cell r="N9">
            <v>0.1</v>
          </cell>
          <cell r="O9">
            <v>0.1</v>
          </cell>
          <cell r="P9" t="str">
            <v>15</v>
          </cell>
          <cell r="Q9" t="str">
            <v>Yes</v>
          </cell>
          <cell r="R9" t="e">
            <v>#REF!</v>
          </cell>
          <cell r="S9" t="e">
            <v>#REF!</v>
          </cell>
          <cell r="T9" t="e">
            <v>#REF!</v>
          </cell>
          <cell r="U9" t="e">
            <v>#REF!</v>
          </cell>
          <cell r="V9" t="e">
            <v>#REF!</v>
          </cell>
          <cell r="W9" t="e">
            <v>#REF!</v>
          </cell>
          <cell r="X9" t="e">
            <v>#REF!</v>
          </cell>
          <cell r="Y9"/>
          <cell r="Z9"/>
          <cell r="AA9"/>
          <cell r="AB9"/>
          <cell r="AC9" t="str">
            <v>—</v>
          </cell>
          <cell r="AD9" t="str">
            <v>—</v>
          </cell>
          <cell r="AE9" t="e">
            <v>#REF!</v>
          </cell>
          <cell r="AF9" t="e">
            <v>#VALUE!</v>
          </cell>
          <cell r="AG9" t="e">
            <v>#REF!</v>
          </cell>
          <cell r="AH9" t="str">
            <v>—</v>
          </cell>
        </row>
        <row r="10">
          <cell r="A10">
            <v>9</v>
          </cell>
          <cell r="B10" t="e">
            <v>#REF!</v>
          </cell>
          <cell r="C10" t="e">
            <v>#REF!</v>
          </cell>
          <cell r="D10" t="e">
            <v>#REF!</v>
          </cell>
          <cell r="E10" t="e">
            <v>#REF!</v>
          </cell>
          <cell r="F10" t="e">
            <v>#REF!</v>
          </cell>
          <cell r="G10" t="e">
            <v>#REF!</v>
          </cell>
          <cell r="H10" t="e">
            <v>#REF!</v>
          </cell>
          <cell r="I10" t="e">
            <v>#REF!</v>
          </cell>
          <cell r="J10" t="e">
            <v>#REF!</v>
          </cell>
          <cell r="K10" t="e">
            <v>#REF!</v>
          </cell>
          <cell r="L10" t="e">
            <v>#REF!</v>
          </cell>
          <cell r="M10" t="e">
            <v>#REF!</v>
          </cell>
          <cell r="N10">
            <v>0.1</v>
          </cell>
          <cell r="O10">
            <v>0.1</v>
          </cell>
          <cell r="P10" t="str">
            <v>15</v>
          </cell>
          <cell r="Q10" t="str">
            <v>Yes</v>
          </cell>
          <cell r="R10" t="e">
            <v>#REF!</v>
          </cell>
          <cell r="S10" t="e">
            <v>#REF!</v>
          </cell>
          <cell r="T10" t="e">
            <v>#REF!</v>
          </cell>
          <cell r="U10" t="e">
            <v>#REF!</v>
          </cell>
          <cell r="V10" t="e">
            <v>#REF!</v>
          </cell>
          <cell r="W10" t="e">
            <v>#REF!</v>
          </cell>
          <cell r="X10" t="e">
            <v>#REF!</v>
          </cell>
          <cell r="Y10"/>
          <cell r="Z10"/>
          <cell r="AA10"/>
          <cell r="AB10"/>
          <cell r="AC10" t="str">
            <v>—</v>
          </cell>
          <cell r="AD10" t="str">
            <v>—</v>
          </cell>
          <cell r="AE10" t="e">
            <v>#REF!</v>
          </cell>
          <cell r="AF10" t="e">
            <v>#VALUE!</v>
          </cell>
          <cell r="AG10" t="e">
            <v>#REF!</v>
          </cell>
          <cell r="AH10" t="str">
            <v>—</v>
          </cell>
        </row>
        <row r="11">
          <cell r="A11">
            <v>10</v>
          </cell>
          <cell r="B11" t="e">
            <v>#REF!</v>
          </cell>
          <cell r="C11" t="e">
            <v>#REF!</v>
          </cell>
          <cell r="D11" t="e">
            <v>#REF!</v>
          </cell>
          <cell r="E11" t="e">
            <v>#REF!</v>
          </cell>
          <cell r="F11" t="e">
            <v>#REF!</v>
          </cell>
          <cell r="G11" t="e">
            <v>#REF!</v>
          </cell>
          <cell r="H11" t="e">
            <v>#REF!</v>
          </cell>
          <cell r="I11" t="e">
            <v>#REF!</v>
          </cell>
          <cell r="J11" t="e">
            <v>#REF!</v>
          </cell>
          <cell r="K11" t="e">
            <v>#REF!</v>
          </cell>
          <cell r="L11" t="e">
            <v>#REF!</v>
          </cell>
          <cell r="M11" t="e">
            <v>#REF!</v>
          </cell>
          <cell r="N11">
            <v>0.1</v>
          </cell>
          <cell r="O11">
            <v>0.1</v>
          </cell>
          <cell r="P11" t="str">
            <v>15</v>
          </cell>
          <cell r="Q11" t="str">
            <v>Yes</v>
          </cell>
          <cell r="R11" t="e">
            <v>#REF!</v>
          </cell>
          <cell r="S11" t="e">
            <v>#REF!</v>
          </cell>
          <cell r="T11" t="e">
            <v>#REF!</v>
          </cell>
          <cell r="U11" t="e">
            <v>#REF!</v>
          </cell>
          <cell r="V11" t="e">
            <v>#REF!</v>
          </cell>
          <cell r="W11" t="e">
            <v>#REF!</v>
          </cell>
          <cell r="X11" t="e">
            <v>#REF!</v>
          </cell>
          <cell r="Y11"/>
          <cell r="Z11"/>
          <cell r="AA11"/>
          <cell r="AB11"/>
          <cell r="AC11" t="str">
            <v>—</v>
          </cell>
          <cell r="AD11" t="str">
            <v>—</v>
          </cell>
          <cell r="AE11" t="e">
            <v>#REF!</v>
          </cell>
          <cell r="AF11" t="e">
            <v>#VALUE!</v>
          </cell>
          <cell r="AG11" t="e">
            <v>#REF!</v>
          </cell>
          <cell r="AH11" t="str">
            <v>—</v>
          </cell>
        </row>
      </sheetData>
      <sheetData sheetId="39" refreshError="1"/>
      <sheetData sheetId="40" refreshError="1"/>
      <sheetData sheetId="41" refreshError="1">
        <row r="188">
          <cell r="D188">
            <v>1400000</v>
          </cell>
        </row>
      </sheetData>
      <sheetData sheetId="42" refreshError="1"/>
      <sheetData sheetId="43" refreshError="1"/>
      <sheetData sheetId="44" refreshError="1"/>
      <sheetData sheetId="45" refreshError="1"/>
      <sheetData sheetId="46" refreshError="1">
        <row r="9">
          <cell r="C9">
            <v>1</v>
          </cell>
        </row>
      </sheetData>
      <sheetData sheetId="47" refreshError="1"/>
      <sheetData sheetId="48" refreshError="1"/>
      <sheetData sheetId="49" refreshError="1"/>
      <sheetData sheetId="50" refreshError="1">
        <row r="7">
          <cell r="C7">
            <v>28147</v>
          </cell>
        </row>
      </sheetData>
      <sheetData sheetId="51" refreshError="1">
        <row r="32">
          <cell r="S32">
            <v>5.0000000000000044E-2</v>
          </cell>
        </row>
      </sheetData>
      <sheetData sheetId="52" refreshError="1"/>
      <sheetData sheetId="53" refreshError="1"/>
      <sheetData sheetId="54" refreshError="1"/>
      <sheetData sheetId="55" refreshError="1"/>
      <sheetData sheetId="56" refreshError="1">
        <row r="1">
          <cell r="A1" t="str">
            <v>ACTUAL OPERATING HISTORY DATA ENTRY WORKSHEET</v>
          </cell>
        </row>
        <row r="2">
          <cell r="H2" t="str">
            <v>Annualized</v>
          </cell>
        </row>
        <row r="3">
          <cell r="A3" t="str">
            <v>Category</v>
          </cell>
          <cell r="C3">
            <v>2013</v>
          </cell>
          <cell r="D3">
            <v>2014</v>
          </cell>
          <cell r="E3">
            <v>2015</v>
          </cell>
          <cell r="F3">
            <v>2016</v>
          </cell>
          <cell r="H3">
            <v>2017</v>
          </cell>
          <cell r="I3" t="str">
            <v>Budget</v>
          </cell>
        </row>
        <row r="5">
          <cell r="A5">
            <v>1020</v>
          </cell>
          <cell r="C5">
            <v>0</v>
          </cell>
          <cell r="D5">
            <v>0</v>
          </cell>
          <cell r="E5">
            <v>0</v>
          </cell>
          <cell r="F5">
            <v>0</v>
          </cell>
          <cell r="H5">
            <v>0</v>
          </cell>
          <cell r="I5">
            <v>0</v>
          </cell>
        </row>
        <row r="6">
          <cell r="A6">
            <v>1030</v>
          </cell>
          <cell r="C6">
            <v>0</v>
          </cell>
          <cell r="D6">
            <v>0</v>
          </cell>
          <cell r="E6">
            <v>0</v>
          </cell>
          <cell r="F6">
            <v>0</v>
          </cell>
          <cell r="H6">
            <v>0</v>
          </cell>
          <cell r="I6">
            <v>0</v>
          </cell>
        </row>
        <row r="7">
          <cell r="A7">
            <v>1040</v>
          </cell>
          <cell r="C7">
            <v>0</v>
          </cell>
          <cell r="D7">
            <v>0</v>
          </cell>
          <cell r="E7">
            <v>0</v>
          </cell>
          <cell r="F7">
            <v>0</v>
          </cell>
          <cell r="H7">
            <v>0</v>
          </cell>
          <cell r="I7">
            <v>0</v>
          </cell>
        </row>
        <row r="8">
          <cell r="A8">
            <v>1050</v>
          </cell>
          <cell r="C8">
            <v>0</v>
          </cell>
          <cell r="D8">
            <v>0</v>
          </cell>
          <cell r="E8">
            <v>0</v>
          </cell>
          <cell r="F8">
            <v>0</v>
          </cell>
          <cell r="H8">
            <v>0</v>
          </cell>
          <cell r="I8">
            <v>0</v>
          </cell>
        </row>
        <row r="9">
          <cell r="A9">
            <v>1060</v>
          </cell>
          <cell r="C9">
            <v>0</v>
          </cell>
          <cell r="D9">
            <v>0</v>
          </cell>
          <cell r="E9">
            <v>0</v>
          </cell>
          <cell r="F9">
            <v>0</v>
          </cell>
          <cell r="H9">
            <v>0</v>
          </cell>
          <cell r="I9">
            <v>0</v>
          </cell>
        </row>
        <row r="10">
          <cell r="A10">
            <v>1070</v>
          </cell>
          <cell r="C10">
            <v>0</v>
          </cell>
          <cell r="D10">
            <v>0</v>
          </cell>
          <cell r="E10">
            <v>0</v>
          </cell>
          <cell r="F10">
            <v>0</v>
          </cell>
          <cell r="H10">
            <v>0</v>
          </cell>
          <cell r="I10">
            <v>0</v>
          </cell>
        </row>
        <row r="11">
          <cell r="A11">
            <v>1080</v>
          </cell>
          <cell r="C11">
            <v>0</v>
          </cell>
          <cell r="D11">
            <v>0</v>
          </cell>
          <cell r="E11">
            <v>0</v>
          </cell>
          <cell r="F11">
            <v>0</v>
          </cell>
          <cell r="H11">
            <v>0</v>
          </cell>
          <cell r="I11">
            <v>0</v>
          </cell>
        </row>
        <row r="12">
          <cell r="A12">
            <v>1090</v>
          </cell>
          <cell r="C12">
            <v>0</v>
          </cell>
          <cell r="D12">
            <v>0</v>
          </cell>
          <cell r="E12">
            <v>0</v>
          </cell>
          <cell r="F12">
            <v>0</v>
          </cell>
          <cell r="H12">
            <v>0</v>
          </cell>
          <cell r="I12">
            <v>0</v>
          </cell>
        </row>
        <row r="13">
          <cell r="A13">
            <v>1100</v>
          </cell>
          <cell r="B13" t="str">
            <v>Storage Space Rental</v>
          </cell>
          <cell r="C13">
            <v>0</v>
          </cell>
          <cell r="D13">
            <v>0</v>
          </cell>
          <cell r="E13">
            <v>0</v>
          </cell>
          <cell r="F13">
            <v>0</v>
          </cell>
          <cell r="G13">
            <v>0</v>
          </cell>
          <cell r="H13">
            <v>0</v>
          </cell>
          <cell r="I13">
            <v>0</v>
          </cell>
        </row>
        <row r="14">
          <cell r="A14">
            <v>1110</v>
          </cell>
          <cell r="C14">
            <v>0</v>
          </cell>
          <cell r="D14">
            <v>0</v>
          </cell>
          <cell r="E14">
            <v>0</v>
          </cell>
          <cell r="F14">
            <v>0</v>
          </cell>
          <cell r="H14">
            <v>0</v>
          </cell>
          <cell r="I14">
            <v>0</v>
          </cell>
        </row>
        <row r="15">
          <cell r="A15">
            <v>1000</v>
          </cell>
          <cell r="C15">
            <v>0</v>
          </cell>
          <cell r="D15">
            <v>0</v>
          </cell>
          <cell r="E15">
            <v>0</v>
          </cell>
          <cell r="F15">
            <v>0</v>
          </cell>
          <cell r="H15">
            <v>0</v>
          </cell>
          <cell r="I15">
            <v>0</v>
          </cell>
        </row>
        <row r="18">
          <cell r="A18">
            <v>1510</v>
          </cell>
          <cell r="C18">
            <v>0</v>
          </cell>
          <cell r="D18">
            <v>0</v>
          </cell>
          <cell r="E18">
            <v>0</v>
          </cell>
          <cell r="F18">
            <v>0</v>
          </cell>
          <cell r="H18">
            <v>0</v>
          </cell>
          <cell r="I18">
            <v>0</v>
          </cell>
        </row>
        <row r="19">
          <cell r="A19">
            <v>1520</v>
          </cell>
          <cell r="C19">
            <v>0</v>
          </cell>
          <cell r="D19">
            <v>0</v>
          </cell>
          <cell r="E19">
            <v>0</v>
          </cell>
          <cell r="F19">
            <v>0</v>
          </cell>
          <cell r="H19">
            <v>0</v>
          </cell>
          <cell r="I19">
            <v>0</v>
          </cell>
        </row>
        <row r="20">
          <cell r="A20">
            <v>1530</v>
          </cell>
          <cell r="C20">
            <v>0</v>
          </cell>
          <cell r="D20">
            <v>0</v>
          </cell>
          <cell r="E20">
            <v>0</v>
          </cell>
          <cell r="F20">
            <v>0</v>
          </cell>
          <cell r="H20">
            <v>0</v>
          </cell>
          <cell r="I20">
            <v>0</v>
          </cell>
        </row>
        <row r="21">
          <cell r="A21">
            <v>1500</v>
          </cell>
          <cell r="C21">
            <v>0</v>
          </cell>
          <cell r="D21">
            <v>0</v>
          </cell>
          <cell r="E21">
            <v>0</v>
          </cell>
          <cell r="F21">
            <v>0</v>
          </cell>
          <cell r="H21">
            <v>0</v>
          </cell>
          <cell r="I21">
            <v>0</v>
          </cell>
        </row>
        <row r="23">
          <cell r="C23">
            <v>0</v>
          </cell>
          <cell r="D23">
            <v>0</v>
          </cell>
          <cell r="E23">
            <v>0</v>
          </cell>
          <cell r="F23">
            <v>0</v>
          </cell>
          <cell r="H23">
            <v>0</v>
          </cell>
          <cell r="I23">
            <v>0</v>
          </cell>
        </row>
        <row r="27">
          <cell r="A27">
            <v>2010</v>
          </cell>
          <cell r="C27">
            <v>0</v>
          </cell>
          <cell r="D27">
            <v>0</v>
          </cell>
          <cell r="E27">
            <v>0</v>
          </cell>
          <cell r="F27">
            <v>0</v>
          </cell>
          <cell r="H27">
            <v>0</v>
          </cell>
          <cell r="I27">
            <v>0</v>
          </cell>
        </row>
        <row r="28">
          <cell r="A28">
            <v>2020</v>
          </cell>
          <cell r="C28">
            <v>0</v>
          </cell>
          <cell r="D28">
            <v>0</v>
          </cell>
          <cell r="E28">
            <v>0</v>
          </cell>
          <cell r="F28">
            <v>0</v>
          </cell>
          <cell r="H28">
            <v>0</v>
          </cell>
          <cell r="I28">
            <v>0</v>
          </cell>
        </row>
        <row r="29">
          <cell r="A29">
            <v>2000</v>
          </cell>
          <cell r="C29">
            <v>0</v>
          </cell>
          <cell r="D29">
            <v>0</v>
          </cell>
          <cell r="E29">
            <v>0</v>
          </cell>
          <cell r="F29">
            <v>0</v>
          </cell>
          <cell r="H29">
            <v>0</v>
          </cell>
          <cell r="I29">
            <v>0</v>
          </cell>
        </row>
        <row r="32">
          <cell r="A32">
            <v>3010</v>
          </cell>
          <cell r="C32">
            <v>0</v>
          </cell>
          <cell r="D32">
            <v>0</v>
          </cell>
          <cell r="E32">
            <v>0</v>
          </cell>
          <cell r="F32">
            <v>0</v>
          </cell>
          <cell r="H32">
            <v>0</v>
          </cell>
          <cell r="I32">
            <v>0</v>
          </cell>
        </row>
        <row r="33">
          <cell r="A33">
            <v>3020</v>
          </cell>
          <cell r="C33">
            <v>0</v>
          </cell>
          <cell r="D33">
            <v>0</v>
          </cell>
          <cell r="E33">
            <v>0</v>
          </cell>
          <cell r="F33">
            <v>0</v>
          </cell>
          <cell r="H33">
            <v>0</v>
          </cell>
          <cell r="I33">
            <v>0</v>
          </cell>
        </row>
        <row r="34">
          <cell r="A34">
            <v>3000</v>
          </cell>
          <cell r="C34">
            <v>0</v>
          </cell>
          <cell r="D34">
            <v>0</v>
          </cell>
          <cell r="E34">
            <v>0</v>
          </cell>
          <cell r="F34">
            <v>0</v>
          </cell>
          <cell r="H34">
            <v>0</v>
          </cell>
          <cell r="I34">
            <v>0</v>
          </cell>
        </row>
        <row r="37">
          <cell r="A37">
            <v>4010</v>
          </cell>
          <cell r="C37">
            <v>0</v>
          </cell>
          <cell r="D37">
            <v>0</v>
          </cell>
          <cell r="E37">
            <v>0</v>
          </cell>
          <cell r="F37">
            <v>0</v>
          </cell>
          <cell r="H37">
            <v>0</v>
          </cell>
          <cell r="I37">
            <v>0</v>
          </cell>
        </row>
        <row r="38">
          <cell r="A38">
            <v>4020</v>
          </cell>
          <cell r="C38">
            <v>0</v>
          </cell>
          <cell r="D38">
            <v>0</v>
          </cell>
          <cell r="E38">
            <v>0</v>
          </cell>
          <cell r="F38">
            <v>0</v>
          </cell>
          <cell r="H38">
            <v>0</v>
          </cell>
          <cell r="I38">
            <v>0</v>
          </cell>
        </row>
        <row r="39">
          <cell r="A39">
            <v>4030</v>
          </cell>
          <cell r="C39">
            <v>0</v>
          </cell>
          <cell r="D39">
            <v>0</v>
          </cell>
          <cell r="E39">
            <v>0</v>
          </cell>
          <cell r="F39">
            <v>0</v>
          </cell>
          <cell r="H39">
            <v>0</v>
          </cell>
          <cell r="I39">
            <v>0</v>
          </cell>
        </row>
        <row r="40">
          <cell r="A40">
            <v>4040</v>
          </cell>
          <cell r="C40">
            <v>0</v>
          </cell>
          <cell r="D40">
            <v>0</v>
          </cell>
          <cell r="E40">
            <v>0</v>
          </cell>
          <cell r="F40">
            <v>0</v>
          </cell>
          <cell r="H40">
            <v>0</v>
          </cell>
          <cell r="I40">
            <v>0</v>
          </cell>
        </row>
        <row r="41">
          <cell r="A41">
            <v>4000</v>
          </cell>
          <cell r="C41">
            <v>0</v>
          </cell>
          <cell r="D41">
            <v>0</v>
          </cell>
          <cell r="E41">
            <v>0</v>
          </cell>
          <cell r="F41">
            <v>0</v>
          </cell>
          <cell r="H41">
            <v>0</v>
          </cell>
          <cell r="I41">
            <v>0</v>
          </cell>
        </row>
        <row r="45">
          <cell r="A45">
            <v>6010</v>
          </cell>
          <cell r="C45">
            <v>0</v>
          </cell>
          <cell r="D45">
            <v>0</v>
          </cell>
          <cell r="E45">
            <v>0</v>
          </cell>
          <cell r="F45">
            <v>0</v>
          </cell>
          <cell r="H45">
            <v>0</v>
          </cell>
          <cell r="I45">
            <v>0</v>
          </cell>
        </row>
        <row r="46">
          <cell r="A46">
            <v>6020</v>
          </cell>
          <cell r="C46">
            <v>0</v>
          </cell>
          <cell r="D46">
            <v>0</v>
          </cell>
          <cell r="E46">
            <v>0</v>
          </cell>
          <cell r="F46">
            <v>0</v>
          </cell>
          <cell r="H46">
            <v>0</v>
          </cell>
          <cell r="I46">
            <v>0</v>
          </cell>
        </row>
        <row r="47">
          <cell r="A47">
            <v>6030</v>
          </cell>
          <cell r="C47">
            <v>0</v>
          </cell>
          <cell r="D47">
            <v>0</v>
          </cell>
          <cell r="E47">
            <v>0</v>
          </cell>
          <cell r="F47">
            <v>0</v>
          </cell>
          <cell r="H47">
            <v>0</v>
          </cell>
          <cell r="I47">
            <v>0</v>
          </cell>
        </row>
        <row r="48">
          <cell r="A48">
            <v>6040</v>
          </cell>
          <cell r="C48">
            <v>0</v>
          </cell>
          <cell r="D48">
            <v>0</v>
          </cell>
          <cell r="E48">
            <v>0</v>
          </cell>
          <cell r="F48">
            <v>0</v>
          </cell>
          <cell r="H48">
            <v>0</v>
          </cell>
          <cell r="I48">
            <v>0</v>
          </cell>
        </row>
        <row r="49">
          <cell r="A49">
            <v>6050</v>
          </cell>
          <cell r="C49">
            <v>0</v>
          </cell>
          <cell r="D49">
            <v>0</v>
          </cell>
          <cell r="E49">
            <v>0</v>
          </cell>
          <cell r="F49">
            <v>0</v>
          </cell>
          <cell r="H49">
            <v>0</v>
          </cell>
          <cell r="I49">
            <v>0</v>
          </cell>
        </row>
        <row r="50">
          <cell r="A50">
            <v>6060</v>
          </cell>
          <cell r="C50">
            <v>0</v>
          </cell>
          <cell r="D50">
            <v>0</v>
          </cell>
          <cell r="E50">
            <v>0</v>
          </cell>
          <cell r="F50">
            <v>0</v>
          </cell>
          <cell r="H50">
            <v>0</v>
          </cell>
          <cell r="I50">
            <v>0</v>
          </cell>
        </row>
        <row r="51">
          <cell r="A51">
            <v>6070</v>
          </cell>
          <cell r="C51">
            <v>0</v>
          </cell>
          <cell r="D51">
            <v>0</v>
          </cell>
          <cell r="E51">
            <v>0</v>
          </cell>
          <cell r="F51">
            <v>0</v>
          </cell>
          <cell r="H51">
            <v>0</v>
          </cell>
          <cell r="I51">
            <v>0</v>
          </cell>
        </row>
        <row r="52">
          <cell r="A52">
            <v>6080</v>
          </cell>
          <cell r="C52">
            <v>0</v>
          </cell>
          <cell r="D52">
            <v>0</v>
          </cell>
          <cell r="E52">
            <v>0</v>
          </cell>
          <cell r="F52">
            <v>0</v>
          </cell>
          <cell r="H52">
            <v>0</v>
          </cell>
          <cell r="I52">
            <v>0</v>
          </cell>
        </row>
        <row r="53">
          <cell r="A53">
            <v>6090</v>
          </cell>
          <cell r="C53">
            <v>0</v>
          </cell>
          <cell r="D53">
            <v>0</v>
          </cell>
          <cell r="E53">
            <v>0</v>
          </cell>
          <cell r="F53">
            <v>0</v>
          </cell>
          <cell r="H53">
            <v>0</v>
          </cell>
          <cell r="I53">
            <v>0</v>
          </cell>
        </row>
        <row r="54">
          <cell r="A54">
            <v>6000</v>
          </cell>
          <cell r="C54">
            <v>0</v>
          </cell>
          <cell r="D54">
            <v>0</v>
          </cell>
          <cell r="E54">
            <v>0</v>
          </cell>
          <cell r="F54">
            <v>0</v>
          </cell>
          <cell r="H54">
            <v>0</v>
          </cell>
          <cell r="I54">
            <v>0</v>
          </cell>
        </row>
        <row r="57">
          <cell r="A57">
            <v>7010</v>
          </cell>
          <cell r="C57">
            <v>0</v>
          </cell>
          <cell r="D57">
            <v>0</v>
          </cell>
          <cell r="E57">
            <v>0</v>
          </cell>
          <cell r="F57">
            <v>0</v>
          </cell>
          <cell r="H57">
            <v>0</v>
          </cell>
          <cell r="I57">
            <v>0</v>
          </cell>
        </row>
        <row r="58">
          <cell r="A58">
            <v>7020</v>
          </cell>
          <cell r="C58">
            <v>0</v>
          </cell>
          <cell r="D58">
            <v>0</v>
          </cell>
          <cell r="E58">
            <v>0</v>
          </cell>
          <cell r="F58">
            <v>0</v>
          </cell>
          <cell r="H58">
            <v>0</v>
          </cell>
          <cell r="I58">
            <v>0</v>
          </cell>
        </row>
        <row r="59">
          <cell r="A59">
            <v>7030</v>
          </cell>
          <cell r="C59">
            <v>0</v>
          </cell>
          <cell r="D59">
            <v>0</v>
          </cell>
          <cell r="E59">
            <v>0</v>
          </cell>
          <cell r="F59">
            <v>0</v>
          </cell>
          <cell r="H59">
            <v>0</v>
          </cell>
          <cell r="I59">
            <v>0</v>
          </cell>
        </row>
        <row r="60">
          <cell r="A60">
            <v>7040</v>
          </cell>
          <cell r="C60">
            <v>0</v>
          </cell>
          <cell r="D60">
            <v>0</v>
          </cell>
          <cell r="E60">
            <v>0</v>
          </cell>
          <cell r="F60">
            <v>0</v>
          </cell>
          <cell r="H60">
            <v>0</v>
          </cell>
          <cell r="I60">
            <v>0</v>
          </cell>
        </row>
        <row r="61">
          <cell r="A61">
            <v>7050</v>
          </cell>
          <cell r="C61">
            <v>0</v>
          </cell>
          <cell r="D61">
            <v>0</v>
          </cell>
          <cell r="E61">
            <v>0</v>
          </cell>
          <cell r="F61">
            <v>0</v>
          </cell>
          <cell r="H61">
            <v>0</v>
          </cell>
          <cell r="I61">
            <v>0</v>
          </cell>
        </row>
        <row r="62">
          <cell r="A62">
            <v>7060</v>
          </cell>
          <cell r="C62">
            <v>0</v>
          </cell>
          <cell r="D62">
            <v>0</v>
          </cell>
          <cell r="E62">
            <v>0</v>
          </cell>
          <cell r="F62">
            <v>0</v>
          </cell>
          <cell r="H62">
            <v>0</v>
          </cell>
          <cell r="I62">
            <v>0</v>
          </cell>
        </row>
        <row r="63">
          <cell r="A63">
            <v>7070</v>
          </cell>
          <cell r="C63">
            <v>0</v>
          </cell>
          <cell r="D63">
            <v>0</v>
          </cell>
          <cell r="E63">
            <v>0</v>
          </cell>
          <cell r="F63">
            <v>0</v>
          </cell>
          <cell r="H63">
            <v>0</v>
          </cell>
          <cell r="I63">
            <v>0</v>
          </cell>
        </row>
        <row r="64">
          <cell r="A64">
            <v>7080</v>
          </cell>
          <cell r="C64">
            <v>0</v>
          </cell>
          <cell r="D64">
            <v>0</v>
          </cell>
          <cell r="E64">
            <v>0</v>
          </cell>
          <cell r="F64">
            <v>0</v>
          </cell>
          <cell r="H64">
            <v>0</v>
          </cell>
          <cell r="I64">
            <v>0</v>
          </cell>
        </row>
        <row r="65">
          <cell r="A65">
            <v>7090</v>
          </cell>
          <cell r="C65">
            <v>0</v>
          </cell>
          <cell r="D65">
            <v>0</v>
          </cell>
          <cell r="E65">
            <v>0</v>
          </cell>
          <cell r="F65">
            <v>0</v>
          </cell>
          <cell r="H65">
            <v>0</v>
          </cell>
          <cell r="I65">
            <v>0</v>
          </cell>
        </row>
        <row r="66">
          <cell r="A66">
            <v>7000</v>
          </cell>
          <cell r="C66">
            <v>0</v>
          </cell>
          <cell r="D66">
            <v>0</v>
          </cell>
          <cell r="E66">
            <v>0</v>
          </cell>
          <cell r="F66">
            <v>0</v>
          </cell>
          <cell r="H66">
            <v>0</v>
          </cell>
          <cell r="I66">
            <v>0</v>
          </cell>
        </row>
        <row r="68">
          <cell r="A68">
            <v>5000</v>
          </cell>
          <cell r="C68">
            <v>0</v>
          </cell>
          <cell r="D68">
            <v>0</v>
          </cell>
          <cell r="E68">
            <v>0</v>
          </cell>
          <cell r="F68">
            <v>0</v>
          </cell>
          <cell r="H68">
            <v>0</v>
          </cell>
          <cell r="I68">
            <v>0</v>
          </cell>
        </row>
        <row r="71">
          <cell r="A71">
            <v>8000</v>
          </cell>
          <cell r="C71">
            <v>0</v>
          </cell>
          <cell r="D71">
            <v>0</v>
          </cell>
          <cell r="E71">
            <v>0</v>
          </cell>
          <cell r="F71">
            <v>0</v>
          </cell>
          <cell r="H71">
            <v>0</v>
          </cell>
          <cell r="I71">
            <v>0</v>
          </cell>
        </row>
        <row r="73">
          <cell r="A73">
            <v>9000</v>
          </cell>
          <cell r="C73">
            <v>0</v>
          </cell>
          <cell r="D73">
            <v>0</v>
          </cell>
          <cell r="E73">
            <v>0</v>
          </cell>
          <cell r="F73">
            <v>0</v>
          </cell>
          <cell r="H73">
            <v>0</v>
          </cell>
          <cell r="I73">
            <v>0</v>
          </cell>
        </row>
        <row r="75">
          <cell r="C75">
            <v>0</v>
          </cell>
          <cell r="D75">
            <v>0</v>
          </cell>
          <cell r="E75">
            <v>0</v>
          </cell>
          <cell r="F75">
            <v>0</v>
          </cell>
          <cell r="H75">
            <v>0</v>
          </cell>
          <cell r="I75">
            <v>0</v>
          </cell>
        </row>
        <row r="76">
          <cell r="C76">
            <v>0</v>
          </cell>
          <cell r="D76">
            <v>0</v>
          </cell>
          <cell r="E76">
            <v>0</v>
          </cell>
          <cell r="F76">
            <v>0</v>
          </cell>
          <cell r="H76">
            <v>0</v>
          </cell>
          <cell r="I76">
            <v>0</v>
          </cell>
        </row>
      </sheetData>
      <sheetData sheetId="57" refreshError="1"/>
      <sheetData sheetId="58" refreshError="1"/>
      <sheetData sheetId="59" refreshError="1">
        <row r="32">
          <cell r="M32">
            <v>0</v>
          </cell>
        </row>
        <row r="38">
          <cell r="M38">
            <v>0</v>
          </cell>
        </row>
        <row r="41">
          <cell r="M41">
            <v>0</v>
          </cell>
        </row>
      </sheetData>
      <sheetData sheetId="60" refreshError="1"/>
      <sheetData sheetId="61" refreshError="1"/>
      <sheetData sheetId="62" refreshError="1"/>
      <sheetData sheetId="63" refreshError="1"/>
      <sheetData sheetId="64" refreshError="1"/>
      <sheetData sheetId="65" refreshError="1"/>
      <sheetData sheetId="66" refreshError="1"/>
      <sheetData sheetId="67" refreshError="1">
        <row r="36">
          <cell r="D36">
            <v>641610.86499999999</v>
          </cell>
        </row>
        <row r="44">
          <cell r="B44">
            <v>6.25E-2</v>
          </cell>
        </row>
        <row r="50">
          <cell r="D50">
            <v>10300000</v>
          </cell>
        </row>
      </sheetData>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ales"/>
      <sheetName val="Office"/>
      <sheetName val="Market Conditions"/>
      <sheetName val="Assumptions"/>
    </sheetNames>
    <sheetDataSet>
      <sheetData sheetId="0"/>
      <sheetData sheetId="1"/>
      <sheetData sheetId="2"/>
      <sheetData sheetId="3">
        <row r="2">
          <cell r="C2" t="str">
            <v>Qualitative</v>
          </cell>
        </row>
        <row r="3">
          <cell r="C3" t="str">
            <v>Quantitative</v>
          </cell>
        </row>
        <row r="9">
          <cell r="F9">
            <v>6</v>
          </cell>
          <cell r="G9" t="str">
            <v>( ++++++ )</v>
          </cell>
        </row>
        <row r="10">
          <cell r="F10">
            <v>5</v>
          </cell>
          <cell r="G10" t="str">
            <v>( +++++ )</v>
          </cell>
        </row>
        <row r="11">
          <cell r="F11">
            <v>4</v>
          </cell>
          <cell r="G11" t="str">
            <v>( ++++ )</v>
          </cell>
        </row>
        <row r="12">
          <cell r="F12">
            <v>3</v>
          </cell>
          <cell r="G12" t="str">
            <v>( +++ )</v>
          </cell>
        </row>
        <row r="13">
          <cell r="F13">
            <v>2</v>
          </cell>
          <cell r="G13" t="str">
            <v>( ++ )</v>
          </cell>
        </row>
        <row r="14">
          <cell r="F14">
            <v>1</v>
          </cell>
          <cell r="G14" t="str">
            <v>( + )</v>
          </cell>
        </row>
        <row r="15">
          <cell r="F15">
            <v>0</v>
          </cell>
          <cell r="G15" t="str">
            <v>=</v>
          </cell>
        </row>
        <row r="16">
          <cell r="F16">
            <v>-1</v>
          </cell>
          <cell r="G16" t="str">
            <v>( - )</v>
          </cell>
        </row>
        <row r="17">
          <cell r="F17">
            <v>-2</v>
          </cell>
          <cell r="G17" t="str">
            <v>( -- )</v>
          </cell>
        </row>
        <row r="18">
          <cell r="F18">
            <v>-3</v>
          </cell>
          <cell r="G18" t="str">
            <v>( --- )</v>
          </cell>
        </row>
        <row r="19">
          <cell r="F19">
            <v>-4</v>
          </cell>
          <cell r="G19" t="str">
            <v>( ---- )</v>
          </cell>
        </row>
        <row r="20">
          <cell r="F20">
            <v>-5</v>
          </cell>
          <cell r="G20" t="str">
            <v>( ----- )</v>
          </cell>
        </row>
        <row r="21">
          <cell r="F21">
            <v>-6</v>
          </cell>
          <cell r="G21" t="str">
            <v>( ------ )</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Office Comps"/>
      <sheetName val="Retail Comps"/>
      <sheetName val="Industrial Comps"/>
      <sheetName val="Taxes &amp; Financial Indicators"/>
      <sheetName val="Proforma and Direct Cap"/>
      <sheetName val="Cap Rate Comps"/>
      <sheetName val="Assumptions"/>
    </sheetNames>
    <sheetDataSet>
      <sheetData sheetId="0"/>
      <sheetData sheetId="1"/>
      <sheetData sheetId="2"/>
      <sheetData sheetId="3"/>
      <sheetData sheetId="4"/>
      <sheetData sheetId="5"/>
      <sheetData sheetId="6">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Assumptions"/>
      <sheetName val="Office Comps"/>
      <sheetName val="Retail Comps"/>
      <sheetName val="Industrial Comps"/>
      <sheetName val="Taxes &amp; Financial Indicators"/>
      <sheetName val="Proforma and Direct Cap"/>
      <sheetName val="Cap Rate Comps"/>
    </sheetNames>
    <sheetDataSet>
      <sheetData sheetId="0" refreshError="1">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 sheetId="1"/>
      <sheetData sheetId="2"/>
      <sheetData sheetId="3"/>
      <sheetData sheetId="4"/>
      <sheetData sheetId="5"/>
      <sheetData sheetId="6"/>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Menu"/>
      <sheetName val="Navigation"/>
      <sheetName val="OptionsProperty"/>
      <sheetName val="CompanyAddressData"/>
      <sheetName val="CompanyAddressList"/>
      <sheetName val="CertificationsOptions"/>
      <sheetName val="MapOptions"/>
      <sheetName val="MethodAssump"/>
      <sheetName val="Assignment"/>
      <sheetName val="Certification"/>
      <sheetName val="Valuation Scenarios"/>
      <sheetName val="Value Indications"/>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H&amp;BU"/>
      <sheetName val="tblSalientFacts"/>
      <sheetName val="LSalesNew"/>
      <sheetName val="LSaleAdjNew"/>
      <sheetName val="LSalesAnalysis"/>
      <sheetName val="LSalesSecondary"/>
      <sheetName val="LSaleAdjSecondary"/>
      <sheetName val="LSalesAnalysisSecondary"/>
      <sheetName val="CostDataSec11_12"/>
      <sheetName val="CostDataSec13"/>
      <sheetName val="CostDataSec14"/>
      <sheetName val="CostDataSec15"/>
      <sheetName val="CostDataSec18"/>
      <sheetName val="OptionsCost"/>
      <sheetName val="CostDataSec99"/>
      <sheetName val="Cost (2)"/>
      <sheetName val="Cost (3)"/>
      <sheetName val="Cost (4)"/>
      <sheetName val="Cost (5)"/>
      <sheetName val="CostSummary"/>
      <sheetName val="CostInsur"/>
      <sheetName val="Evaluation"/>
      <sheetName val="ISaleData"/>
      <sheetName val="ISalesNew"/>
      <sheetName val="ISaleAdjNew"/>
      <sheetName val="ISalesAnalysis"/>
      <sheetName val="ISaleTbls"/>
      <sheetName val="ISalesSecondary"/>
      <sheetName val="ISaleAdjSecondary"/>
      <sheetName val="ISalesAnalysisSecondary"/>
      <sheetName val="RentCompData"/>
      <sheetName val="RentRollApt"/>
      <sheetName val="UnitCompApt"/>
      <sheetName val="tblUnitCompApt"/>
      <sheetName val="CompRentsApt"/>
      <sheetName val="RentSurveyApt"/>
      <sheetName val="Cost"/>
      <sheetName val="OwnerUserExpProforma"/>
      <sheetName val="RentRollNew"/>
      <sheetName val="RetailSales"/>
      <sheetName val="tblRentRoll"/>
      <sheetName val="LeaseAbstractsNew"/>
      <sheetName val="Lists"/>
      <sheetName val="LeaseCompsNew"/>
      <sheetName val="SpecialtyLeaseComps"/>
      <sheetName val="LeaseAdjGrids"/>
      <sheetName val="AltPropertyAdjGrid"/>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New"/>
      <sheetName val="ExpCompRawData"/>
      <sheetName val="CapRates"/>
      <sheetName val="ProForma"/>
      <sheetName val="GoDark"/>
      <sheetName val="LeaseUpAdj"/>
      <sheetName val="DCF.New"/>
      <sheetName val="Survey Publications"/>
      <sheetName val="Scratch"/>
      <sheetName val="Addenda"/>
      <sheetName val="Our Company"/>
      <sheetName val="Client Company"/>
      <sheetName val="Client Contact"/>
      <sheetName val="Job Info"/>
      <sheetName val="Job Participants"/>
      <sheetName val="Job Participant Additional Info"/>
      <sheetName val="Job Property"/>
      <sheetName val="Property Unit Mix"/>
      <sheetName val="Property Comments"/>
      <sheetName val="Property Attributes"/>
      <sheetName val="Comp. Land Sale Picklists"/>
      <sheetName val="Comparable Sale Picklists"/>
      <sheetName val="Comparable Rental Picklists"/>
      <sheetName val="Comp. Rental Picklist Units"/>
      <sheetName val="Comparable Lease Picklists"/>
      <sheetName val="Subject Property Leases"/>
    </sheetNames>
    <sheetDataSet>
      <sheetData sheetId="0">
        <row r="15">
          <cell r="D15" t="str">
            <v>Retail</v>
          </cell>
        </row>
        <row r="17">
          <cell r="D17"/>
        </row>
      </sheetData>
      <sheetData sheetId="1"/>
      <sheetData sheetId="2"/>
      <sheetData sheetId="3"/>
      <sheetData sheetId="4"/>
      <sheetData sheetId="5"/>
      <sheetData sheetId="6"/>
      <sheetData sheetId="7">
        <row r="4">
          <cell r="B4" t="str">
            <v>Investor</v>
          </cell>
        </row>
      </sheetData>
      <sheetData sheetId="8">
        <row r="15">
          <cell r="B15" t="str">
            <v>4430 South Adams County Parkway</v>
          </cell>
        </row>
        <row r="16">
          <cell r="B16" t="str">
            <v>Suite C5000B</v>
          </cell>
        </row>
        <row r="17">
          <cell r="B17" t="str">
            <v>Brighton</v>
          </cell>
        </row>
        <row r="18">
          <cell r="B18" t="str">
            <v>CO</v>
          </cell>
        </row>
        <row r="19">
          <cell r="B19">
            <v>80601</v>
          </cell>
        </row>
        <row r="22">
          <cell r="B22" t="str">
            <v xml:space="preserve">Mr. Tom Downey, owner representitive, was interviewed by phone and email throughout the appraisal process. Mr. Downey attended our inspection of the subject property. </v>
          </cell>
        </row>
        <row r="27">
          <cell r="B27" t="str">
            <v>THF PRAIRIE CENTER RETAIL ONE LLC 
C/O THF REALTY</v>
          </cell>
        </row>
        <row r="34">
          <cell r="B34" t="str">
            <v>Adams</v>
          </cell>
        </row>
        <row r="36">
          <cell r="B36">
            <v>80601</v>
          </cell>
        </row>
        <row r="43">
          <cell r="B43">
            <v>44987</v>
          </cell>
        </row>
        <row r="44">
          <cell r="B44">
            <v>45008</v>
          </cell>
        </row>
      </sheetData>
      <sheetData sheetId="9"/>
      <sheetData sheetId="10">
        <row r="76">
          <cell r="D76" t="str">
            <v xml:space="preserve"> •Market Value of the Fee Simple interest in the subject property, As Is as of January 1, 2022</v>
          </cell>
        </row>
        <row r="79">
          <cell r="D79" t="str">
            <v>Market Value</v>
          </cell>
        </row>
        <row r="85">
          <cell r="D85" t="str">
            <v>As Is Market Value - January 1, 2022</v>
          </cell>
        </row>
      </sheetData>
      <sheetData sheetId="11">
        <row r="14">
          <cell r="C14" t="str">
            <v>12 months</v>
          </cell>
        </row>
        <row r="15">
          <cell r="C15" t="str">
            <v>12 months</v>
          </cell>
        </row>
      </sheetData>
      <sheetData sheetId="12"/>
      <sheetData sheetId="13"/>
      <sheetData sheetId="14"/>
      <sheetData sheetId="15"/>
      <sheetData sheetId="16"/>
      <sheetData sheetId="17"/>
      <sheetData sheetId="18">
        <row r="2">
          <cell r="C2" t="str">
            <v>Northwest side of Prairie Center Parway, south of Eagle Boulevard, in the City of Brighton, Adams County, Colorado.</v>
          </cell>
        </row>
        <row r="11">
          <cell r="C11">
            <v>0</v>
          </cell>
        </row>
        <row r="12">
          <cell r="C12"/>
        </row>
        <row r="16">
          <cell r="C16" t="str">
            <v>Typical utilities and municipal services available to site.</v>
          </cell>
        </row>
        <row r="18">
          <cell r="C18" t="str">
            <v>08001C0333H</v>
          </cell>
        </row>
        <row r="19">
          <cell r="C19">
            <v>39146</v>
          </cell>
        </row>
        <row r="20">
          <cell r="C20" t="str">
            <v>Zone X (Unshaded)</v>
          </cell>
        </row>
        <row r="21">
          <cell r="C21" t="str">
            <v>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v>
          </cell>
        </row>
        <row r="22">
          <cell r="C22">
            <v>0</v>
          </cell>
        </row>
        <row r="24">
          <cell r="C24" t="str">
            <v>We did not receive nor review a soil report.  However, we assume that the soil's load-bearing capacity is sufficient to support existing and/or proposed structure(s).  We did not observe any evidence to the contrary during our physical inspection of the property.</v>
          </cell>
        </row>
        <row r="25">
          <cell r="C25" t="str">
            <v>No unusual conditions observed.  No studies provided.  Site is assumed to be free of any environmental concerns.</v>
          </cell>
        </row>
        <row r="27">
          <cell r="C27" t="str">
            <v>Manual fill.</v>
          </cell>
        </row>
        <row r="28">
          <cell r="C28" t="str">
            <v>Manual fill.</v>
          </cell>
        </row>
        <row r="29">
          <cell r="C29" t="str">
            <v>Manual fill.</v>
          </cell>
        </row>
        <row r="30">
          <cell r="C30"/>
        </row>
        <row r="31">
          <cell r="C31" t="str">
            <v>Manual fill.</v>
          </cell>
        </row>
        <row r="32">
          <cell r="C32" t="str">
            <v>Manual fill.</v>
          </cell>
        </row>
        <row r="33">
          <cell r="C33" t="str">
            <v>Manual fill.</v>
          </cell>
        </row>
        <row r="34">
          <cell r="C34" t="str">
            <v>Manual fill.</v>
          </cell>
        </row>
        <row r="37">
          <cell r="C37" t="str">
            <v>Improved Parcel: 1569-212-01-017
Excess Land: 1569-212-01-018</v>
          </cell>
        </row>
        <row r="38">
          <cell r="C38" t="str">
            <v>Improved Parcel: PRAIRIE CENTER MAJOR RETAIL 2 4TH AMND LOT 5 REMAINDER
Excess Land: PRAIRIE CENTER MAJOR RETAIL 2 4TH AMND LOT 5A</v>
          </cell>
        </row>
        <row r="39">
          <cell r="C39" t="str">
            <v xml:space="preserve">A typical parking and access agreement appears to exist with adjacent properties to the north and south of the subject. No adverse easements or encumbrances appear to exist at the property. </v>
          </cell>
        </row>
      </sheetData>
      <sheetData sheetId="19"/>
      <sheetData sheetId="20"/>
      <sheetData sheetId="21"/>
      <sheetData sheetId="22">
        <row r="2">
          <cell r="C2" t="str">
            <v>Multi-Tenant Retail Center with Excess Land</v>
          </cell>
        </row>
        <row r="3">
          <cell r="C3" t="str">
            <v>Retail</v>
          </cell>
        </row>
        <row r="4">
          <cell r="C4" t="str">
            <v>Multi-Tenant Retail Center with Excess Land</v>
          </cell>
        </row>
        <row r="6">
          <cell r="C6" t="str">
            <v>Updated over time</v>
          </cell>
        </row>
        <row r="7">
          <cell r="C7">
            <v>3</v>
          </cell>
        </row>
        <row r="8">
          <cell r="C8">
            <v>1</v>
          </cell>
        </row>
        <row r="9">
          <cell r="C9" t="str">
            <v>C</v>
          </cell>
        </row>
        <row r="14">
          <cell r="C14">
            <v>0</v>
          </cell>
        </row>
        <row r="15">
          <cell r="C15">
            <v>0</v>
          </cell>
        </row>
        <row r="16">
          <cell r="C16">
            <v>0</v>
          </cell>
        </row>
        <row r="17">
          <cell r="C17">
            <v>109032</v>
          </cell>
        </row>
        <row r="22">
          <cell r="C22"/>
        </row>
        <row r="23">
          <cell r="C23"/>
        </row>
        <row r="27">
          <cell r="C27">
            <v>0</v>
          </cell>
        </row>
        <row r="28">
          <cell r="C28" t="str">
            <v>Manual fill.</v>
          </cell>
        </row>
        <row r="29">
          <cell r="C29" t="str">
            <v>N/R</v>
          </cell>
        </row>
        <row r="30">
          <cell r="C30">
            <v>0</v>
          </cell>
        </row>
        <row r="31">
          <cell r="C31">
            <v>0.18029073080825908</v>
          </cell>
        </row>
        <row r="35">
          <cell r="C35" t="str">
            <v>Manual Entry</v>
          </cell>
        </row>
        <row r="37">
          <cell r="C37"/>
        </row>
        <row r="38">
          <cell r="C38"/>
        </row>
        <row r="39">
          <cell r="C39" t="str">
            <v>Manual fill.</v>
          </cell>
        </row>
        <row r="40">
          <cell r="C40"/>
        </row>
        <row r="41">
          <cell r="C41"/>
        </row>
        <row r="44">
          <cell r="C44">
            <v>433</v>
          </cell>
        </row>
        <row r="45">
          <cell r="C45">
            <v>0</v>
          </cell>
        </row>
        <row r="46">
          <cell r="C46">
            <v>0</v>
          </cell>
        </row>
        <row r="48">
          <cell r="C48" t="str">
            <v>4.05 spaces per 1,000 SF of net building area.</v>
          </cell>
        </row>
        <row r="50">
          <cell r="C50" t="str">
            <v>The property is assumed to be fully ADA compliant.</v>
          </cell>
        </row>
        <row r="54">
          <cell r="C54" t="str">
            <v>Manual fill.</v>
          </cell>
        </row>
        <row r="55">
          <cell r="C55"/>
        </row>
        <row r="56">
          <cell r="C56" t="str">
            <v>Concrete block</v>
          </cell>
        </row>
        <row r="57">
          <cell r="C57"/>
        </row>
        <row r="58">
          <cell r="C58"/>
        </row>
        <row r="59">
          <cell r="C59"/>
        </row>
        <row r="60">
          <cell r="C60"/>
        </row>
        <row r="61">
          <cell r="C61"/>
        </row>
        <row r="65">
          <cell r="C65"/>
        </row>
        <row r="66">
          <cell r="C66"/>
        </row>
        <row r="67">
          <cell r="C67" t="str">
            <v>Manual fill.</v>
          </cell>
        </row>
        <row r="69">
          <cell r="C69"/>
        </row>
        <row r="70">
          <cell r="C70"/>
        </row>
        <row r="75">
          <cell r="C75"/>
        </row>
        <row r="76">
          <cell r="C76"/>
        </row>
        <row r="77">
          <cell r="C77" t="str">
            <v>Manual fill.</v>
          </cell>
        </row>
        <row r="78">
          <cell r="C78" t="str">
            <v>Manual fill.</v>
          </cell>
        </row>
        <row r="80">
          <cell r="C80"/>
        </row>
        <row r="83">
          <cell r="C83"/>
        </row>
        <row r="84">
          <cell r="C84"/>
        </row>
        <row r="85">
          <cell r="C85" t="str">
            <v>Manual fill.</v>
          </cell>
        </row>
        <row r="86">
          <cell r="C86" t="str">
            <v>Manual fill.</v>
          </cell>
        </row>
        <row r="87">
          <cell r="C87" t="str">
            <v>Manual fill.</v>
          </cell>
        </row>
        <row r="90">
          <cell r="C90" t="str">
            <v>None noted</v>
          </cell>
        </row>
        <row r="91">
          <cell r="C91" t="str">
            <v>None noted</v>
          </cell>
        </row>
        <row r="92">
          <cell r="C92" t="str">
            <v>N/A</v>
          </cell>
        </row>
        <row r="95">
          <cell r="C95" t="str">
            <v>Average</v>
          </cell>
        </row>
        <row r="97">
          <cell r="C97" t="str">
            <v>Average</v>
          </cell>
        </row>
        <row r="99">
          <cell r="C99" t="str">
            <v>Average</v>
          </cell>
        </row>
        <row r="100">
          <cell r="C100" t="str">
            <v>Building 1: 4 Years
Building 2: 9 Years
Building 3: 14 Years</v>
          </cell>
        </row>
        <row r="103">
          <cell r="C103" t="str">
            <v>Building 1: 41 Years
Building 2: 40 Years
Building 3: 38 Years</v>
          </cell>
        </row>
      </sheetData>
      <sheetData sheetId="23">
        <row r="31">
          <cell r="C31" t="str">
            <v>Manual Entry</v>
          </cell>
        </row>
        <row r="32">
          <cell r="C32" t="str">
            <v>Manual Entry</v>
          </cell>
        </row>
        <row r="33">
          <cell r="C33" t="str">
            <v>Manual Entry</v>
          </cell>
        </row>
        <row r="34">
          <cell r="C34" t="str">
            <v>Manual Entry</v>
          </cell>
        </row>
        <row r="35">
          <cell r="C35" t="str">
            <v>Manual Entry</v>
          </cell>
        </row>
        <row r="36">
          <cell r="C36" t="str">
            <v>Manual Entry</v>
          </cell>
        </row>
        <row r="39">
          <cell r="C39" t="str">
            <v>Manual Entry</v>
          </cell>
        </row>
        <row r="40">
          <cell r="C40" t="str">
            <v>Manual Entry</v>
          </cell>
        </row>
        <row r="85">
          <cell r="C85" t="str">
            <v>Manual Entry</v>
          </cell>
        </row>
      </sheetData>
      <sheetData sheetId="24"/>
      <sheetData sheetId="25"/>
      <sheetData sheetId="26"/>
      <sheetData sheetId="27"/>
      <sheetData sheetId="28">
        <row r="2">
          <cell r="B2" t="str">
            <v>Retail Development</v>
          </cell>
        </row>
        <row r="3">
          <cell r="B3" t="str">
            <v>As currently developed</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row r="1">
          <cell r="V1">
            <v>0</v>
          </cell>
        </row>
      </sheetData>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Basic"/>
      <sheetName val="LA"/>
      <sheetName val="BAA - Pre-Appraisal Analysis"/>
      <sheetName val="Rent Roll"/>
      <sheetName val="LAG"/>
      <sheetName val="MRC &amp; PGRI"/>
      <sheetName val="V &amp; CL"/>
      <sheetName val="HOA"/>
      <sheetName val="CED"/>
      <sheetName val="OECC"/>
      <sheetName val="PF"/>
      <sheetName val="Cap Rate"/>
      <sheetName val="IA Value"/>
      <sheetName val="IS Summary"/>
      <sheetName val="Sales Grid"/>
      <sheetName val="Market Conditions"/>
      <sheetName val="SCA Value"/>
      <sheetName val="Land Sales Adjustments "/>
      <sheetName val="Cost Analysis Actual Costs"/>
      <sheetName val="Cost Analysis Estimated Costs"/>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3">
          <cell r="G33">
            <v>6128646.0606000004</v>
          </cell>
        </row>
        <row r="56">
          <cell r="G56">
            <v>919296.9090900002</v>
          </cell>
        </row>
      </sheetData>
      <sheetData sheetId="20"/>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_Macro"/>
      <sheetName val="ISaleTbls"/>
      <sheetName val="AdjustmentDetail"/>
      <sheetName val="ISaleNarr"/>
      <sheetName val="ISaleAdj"/>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sheetData sheetId="1"/>
      <sheetData sheetId="2"/>
      <sheetData sheetId="3"/>
      <sheetData sheetId="4"/>
      <sheetData sheetId="5"/>
      <sheetData sheetId="6">
        <row r="30">
          <cell r="B30" t="str">
            <v>Shops at Presidio</v>
          </cell>
        </row>
      </sheetData>
      <sheetData sheetId="7"/>
      <sheetData sheetId="8"/>
      <sheetData sheetId="9"/>
      <sheetData sheetId="10"/>
      <sheetData sheetId="11">
        <row r="4">
          <cell r="B4" t="str">
            <v>As Is</v>
          </cell>
        </row>
      </sheetData>
      <sheetData sheetId="12"/>
      <sheetData sheetId="13">
        <row r="2">
          <cell r="H2" t="str">
            <v>Neutral</v>
          </cell>
          <cell r="AA2" t="str">
            <v>Excellent</v>
          </cell>
          <cell r="BV2" t="str">
            <v>NRA</v>
          </cell>
        </row>
        <row r="3">
          <cell r="H3" t="str">
            <v>Upward</v>
          </cell>
          <cell r="AA3" t="str">
            <v>Good/Excellent</v>
          </cell>
          <cell r="BV3" t="str">
            <v>GBA</v>
          </cell>
        </row>
        <row r="4">
          <cell r="H4" t="str">
            <v>Downward</v>
          </cell>
          <cell r="AA4" t="str">
            <v>Good</v>
          </cell>
          <cell r="BV4" t="str">
            <v>Land</v>
          </cell>
        </row>
        <row r="5">
          <cell r="AA5" t="str">
            <v>Average/Good</v>
          </cell>
        </row>
        <row r="6">
          <cell r="AA6" t="str">
            <v>Average</v>
          </cell>
        </row>
        <row r="7">
          <cell r="AA7" t="str">
            <v>Average/Fair</v>
          </cell>
        </row>
        <row r="8">
          <cell r="AA8" t="str">
            <v>Fair</v>
          </cell>
        </row>
        <row r="9">
          <cell r="AA9" t="str">
            <v>Fair/Poor</v>
          </cell>
        </row>
        <row r="10">
          <cell r="AA10" t="str">
            <v>Poor</v>
          </cell>
        </row>
      </sheetData>
      <sheetData sheetId="14"/>
      <sheetData sheetId="15"/>
      <sheetData sheetId="16"/>
      <sheetData sheetId="17"/>
      <sheetData sheetId="18"/>
      <sheetData sheetId="19"/>
      <sheetData sheetId="20">
        <row r="3">
          <cell r="B3">
            <v>125017</v>
          </cell>
        </row>
      </sheetData>
      <sheetData sheetId="21">
        <row r="5">
          <cell r="B5">
            <v>2017</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44">
          <cell r="F44">
            <v>0</v>
          </cell>
        </row>
        <row r="58">
          <cell r="G58" t="e">
            <v>#N/A</v>
          </cell>
        </row>
      </sheetData>
      <sheetData sheetId="37"/>
      <sheetData sheetId="38">
        <row r="2">
          <cell r="A2">
            <v>1</v>
          </cell>
        </row>
      </sheetData>
      <sheetData sheetId="39"/>
      <sheetData sheetId="40"/>
      <sheetData sheetId="41"/>
      <sheetData sheetId="42"/>
      <sheetData sheetId="43"/>
      <sheetData sheetId="44"/>
      <sheetData sheetId="45">
        <row r="188">
          <cell r="D188">
            <v>750000</v>
          </cell>
        </row>
      </sheetData>
      <sheetData sheetId="46">
        <row r="9">
          <cell r="C9">
            <v>1</v>
          </cell>
        </row>
      </sheetData>
      <sheetData sheetId="47">
        <row r="2">
          <cell r="A2" t="str">
            <v>Retail</v>
          </cell>
        </row>
        <row r="3">
          <cell r="A3" t="str">
            <v>In-Line (&lt; 1,500)</v>
          </cell>
        </row>
        <row r="4">
          <cell r="A4" t="str">
            <v>In-Line (&gt;1,500)</v>
          </cell>
        </row>
        <row r="5">
          <cell r="A5" t="str">
            <v>Jr. Anchor</v>
          </cell>
        </row>
        <row r="6">
          <cell r="A6" t="str">
            <v>Anchor</v>
          </cell>
        </row>
        <row r="7">
          <cell r="A7" t="str">
            <v>Endcap</v>
          </cell>
        </row>
        <row r="8">
          <cell r="A8" t="str">
            <v>Pad Site</v>
          </cell>
        </row>
        <row r="9">
          <cell r="A9" t="str">
            <v>Restaurant</v>
          </cell>
        </row>
        <row r="10">
          <cell r="A10" t="str">
            <v>Bar/Restaurant</v>
          </cell>
        </row>
        <row r="11">
          <cell r="A11" t="str">
            <v>Retail/Office</v>
          </cell>
        </row>
      </sheetData>
      <sheetData sheetId="48"/>
      <sheetData sheetId="49"/>
      <sheetData sheetId="50"/>
      <sheetData sheetId="51"/>
      <sheetData sheetId="52">
        <row r="62">
          <cell r="C62" t="str">
            <v>NNN</v>
          </cell>
        </row>
      </sheetData>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50">
          <cell r="D50">
            <v>5500000</v>
          </cell>
        </row>
      </sheetData>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Value Indications"/>
      <sheetName val="Land Sales Adjustments"/>
      <sheetName val="Summary of Land Sales"/>
      <sheetName val="Cost"/>
      <sheetName val="Cost Approach Summary"/>
      <sheetName val="Improved Sales Adjustments"/>
      <sheetName val="Summary of Improved Sales"/>
      <sheetName val="Extra Improved Sales Adjustment"/>
      <sheetName val="Taxes &amp; Financial Indicators"/>
      <sheetName val="Lease Abstracts"/>
      <sheetName val="RentRoll"/>
      <sheetName val="Expense Recoveries"/>
      <sheetName val="Lease Adjustments"/>
      <sheetName val="Lease Comps"/>
      <sheetName val="Market Rent Conclusion"/>
      <sheetName val="PGRI"/>
      <sheetName val="Vacancy"/>
      <sheetName val="Operating Expenses"/>
      <sheetName val=" Proforma &amp; Cap"/>
      <sheetName val="Risk Factors Affecting Subject"/>
      <sheetName val="Sheet1"/>
      <sheetName val="Cap Rate Comps"/>
    </sheetNames>
    <sheetDataSet>
      <sheetData sheetId="0" refreshError="1">
        <row r="5">
          <cell r="C5">
            <v>2170000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Sheet1"/>
      <sheetName val="Sheet2"/>
      <sheetName val="Sheet3"/>
    </sheetNames>
    <sheetDataSet>
      <sheetData sheetId="0"/>
      <sheetData sheetId="1">
        <row r="4">
          <cell r="B4">
            <v>1100000</v>
          </cell>
        </row>
        <row r="5">
          <cell r="B5">
            <v>680000</v>
          </cell>
        </row>
      </sheetData>
      <sheetData sheetId="2"/>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Basic"/>
      <sheetName val="LA"/>
      <sheetName val="Rent Roll"/>
      <sheetName val="LAG"/>
      <sheetName val="MRC &amp; PGRI"/>
      <sheetName val="V &amp; CL"/>
      <sheetName val="HOA"/>
      <sheetName val="CED"/>
      <sheetName val="OECC"/>
      <sheetName val="PF"/>
      <sheetName val="Cap Rate"/>
      <sheetName val="IA Value"/>
      <sheetName val="IS Summary"/>
      <sheetName val="Market Conditions"/>
      <sheetName val="SCA Value"/>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Data"/>
      <sheetName val="CompanyAddressList"/>
      <sheetName val="tblSalientFacts"/>
      <sheetName val="Certification"/>
      <sheetName val="CertificationsOptions"/>
      <sheetName val="Valuation Scenarios"/>
      <sheetName val="Value Indications"/>
      <sheetName val="Lists"/>
      <sheetName val="Risk Summary"/>
      <sheetName val="Property History"/>
      <sheetName val="Scope Info"/>
      <sheetName val="MapOptions"/>
      <sheetName val="Site Information"/>
      <sheetName val="tblSite"/>
      <sheetName val="Zoning"/>
      <sheetName val="Improvement Description"/>
      <sheetName val="tblImprovements"/>
      <sheetName val="Taxes"/>
      <sheetName val="TaxComps"/>
      <sheetName val="Neighborhood"/>
      <sheetName val="Demos"/>
      <sheetName val="H&amp;BU"/>
      <sheetName val="LSalesNew"/>
      <sheetName val="LSaleAdjNew"/>
      <sheetName val="LSalesAnalysis"/>
      <sheetName val="CostDataSec99"/>
      <sheetName val="CostDataSec13"/>
      <sheetName val="CostDataSec14"/>
      <sheetName val="CostDataSec15"/>
      <sheetName val="OptionsCost"/>
      <sheetName val="Cost"/>
      <sheetName val="CostInsur"/>
      <sheetName val="ISaleData"/>
      <sheetName val="Evaluation"/>
      <sheetName val="ISalesNew"/>
      <sheetName val="ISaleAdjNew"/>
      <sheetName val="ISalesAnalysis"/>
      <sheetName val="ISaleTbls"/>
      <sheetName val="RentRollTbls"/>
      <sheetName val="RentCompData"/>
      <sheetName val="RentRollNew"/>
      <sheetName val="tblRentRoll"/>
      <sheetName val="LeaseAbstractsNew"/>
      <sheetName val="LeaseCompsNew"/>
      <sheetName val="SpecialtyLeaseComps"/>
      <sheetName val="LeaseAdjGrids"/>
      <sheetName val="STMarketRentConclusions"/>
      <sheetName val="AltPropertyAdjGrid"/>
      <sheetName val="MktRentConcl"/>
      <sheetName val="RawOpData"/>
      <sheetName val="OpSummary"/>
      <sheetName val="SummaryExpenseTbl"/>
      <sheetName val="ExpCompData"/>
      <sheetName val="Recoveries.New"/>
      <sheetName val="ExpCompRawData"/>
      <sheetName val="CapRates"/>
      <sheetName val="ProForma"/>
      <sheetName val="OwnerUserExpProforma"/>
      <sheetName val="ExpCompIREM"/>
      <sheetName val="ExpCompIREMregional"/>
      <sheetName val="LeaseUpAdj"/>
      <sheetName val="PwC"/>
      <sheetName val="DCF.New"/>
      <sheetName val="Scratch"/>
      <sheetName val="Comp. Land Sale Picklists"/>
      <sheetName val="Survey Publications"/>
      <sheetName val="Our Company"/>
      <sheetName val="Job Info"/>
      <sheetName val="Job Participants"/>
      <sheetName val="Job Participant Additional Info"/>
      <sheetName val="Job Property"/>
      <sheetName val="Property Comments"/>
      <sheetName val="Property Attributes"/>
      <sheetName val="Client Company"/>
      <sheetName val="Client Contact"/>
      <sheetName val="Comparable Sale Picklists"/>
      <sheetName val="Comparable Lease Picklists"/>
      <sheetName val="Subject Property Leases"/>
      <sheetName val="Comparable Rental Pick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95">
          <cell r="C95">
            <v>40</v>
          </cell>
        </row>
        <row r="96">
          <cell r="C96">
            <v>0</v>
          </cell>
        </row>
      </sheetData>
      <sheetData sheetId="23"/>
      <sheetData sheetId="24"/>
      <sheetData sheetId="25"/>
      <sheetData sheetId="26"/>
      <sheetData sheetId="27"/>
      <sheetData sheetId="28"/>
      <sheetData sheetId="29"/>
      <sheetData sheetId="30"/>
      <sheetData sheetId="31"/>
      <sheetData sheetId="32"/>
      <sheetData sheetId="33">
        <row r="52">
          <cell r="B52">
            <v>1000</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Navigation"/>
      <sheetName val="Security_Ref"/>
      <sheetName val="Menu"/>
      <sheetName val="UNAUTHORIZED FILE USE"/>
      <sheetName val="ProsperSpark Changes"/>
      <sheetName val="OptionsProperty"/>
      <sheetName val="CompanyAddressData"/>
      <sheetName val="xCompanyAddressList"/>
      <sheetName val="CertificationsOptions"/>
      <sheetName val="MapOptions"/>
      <sheetName val="Assignment"/>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Lists"/>
      <sheetName val="H&amp;BU"/>
      <sheetName val="LSales1"/>
      <sheetName val="LSaleAdj1"/>
      <sheetName val="LSaleAnalysis1"/>
      <sheetName val="LSales2"/>
      <sheetName val="LSaleAdj2"/>
      <sheetName val="LSaleAnalysis2"/>
      <sheetName val="LSales3"/>
      <sheetName val="LSaleAdj3"/>
      <sheetName val="LSaleAnalysis3"/>
      <sheetName val="LSales4"/>
      <sheetName val="LSaleAdj4"/>
      <sheetName val="LSaleAnalysis4"/>
      <sheetName val="LSales5"/>
      <sheetName val="LSaleAdj5"/>
      <sheetName val="LSaleAnalysis5"/>
      <sheetName val="LSales6"/>
      <sheetName val="LSaleAdj6"/>
      <sheetName val="LSaleAnalysis6"/>
      <sheetName val="LSales7"/>
      <sheetName val="LSaleAdj7"/>
      <sheetName val="LSaleAnalysis7"/>
      <sheetName val="LSales8"/>
      <sheetName val="LSaleAdj8"/>
      <sheetName val="LSaleAnalysis8"/>
      <sheetName val="LSales9"/>
      <sheetName val="LSaleAdj9"/>
      <sheetName val="LSaleAnalysis9"/>
      <sheetName val="LSales10"/>
      <sheetName val="LSaleAdj10"/>
      <sheetName val="LSaleAnalysis10"/>
      <sheetName val="CostDataSec11_12"/>
      <sheetName val="CostDataSec13"/>
      <sheetName val="CostDataSec14"/>
      <sheetName val="CostDataSec15"/>
      <sheetName val="CostDataSec18"/>
      <sheetName val="OptionsCost"/>
      <sheetName val="CostDataSec99"/>
      <sheetName val="tblSalientFacts"/>
      <sheetName val="Cost"/>
      <sheetName val="Cost_2"/>
      <sheetName val="Cost_3"/>
      <sheetName val="Cost_4"/>
      <sheetName val="Cost_5"/>
      <sheetName val="CostSummary"/>
      <sheetName val="CostInsur"/>
      <sheetName val="Evaluation"/>
      <sheetName val="NamedRanges"/>
      <sheetName val="ISales1"/>
      <sheetName val="ISaleAdj1"/>
      <sheetName val="ISalesAnalysis1"/>
      <sheetName val="ISaleTbls1"/>
      <sheetName val="ISales2"/>
      <sheetName val="ISaleAdj2"/>
      <sheetName val="ISalesAnalysis2"/>
      <sheetName val="ISaleTbls2"/>
      <sheetName val="ISales3"/>
      <sheetName val="ISaleAdj3"/>
      <sheetName val="ISalesAnalysis3"/>
      <sheetName val="ISaleTbls3"/>
      <sheetName val="ISales4"/>
      <sheetName val="ISaleAdj4"/>
      <sheetName val="ISalesAnalysis4"/>
      <sheetName val="ISaleTbls4"/>
      <sheetName val="ISales5"/>
      <sheetName val="ISaleAdj5"/>
      <sheetName val="ISalesAnalysis5"/>
      <sheetName val="ISaleTbls5"/>
      <sheetName val="ISales6"/>
      <sheetName val="ISaleAdj6"/>
      <sheetName val="ISalesAnalysis6"/>
      <sheetName val="ISaleTbls6"/>
      <sheetName val="ISales7"/>
      <sheetName val="ISaleAdj7"/>
      <sheetName val="ISalesAnalysis7"/>
      <sheetName val="ISaleTbls7"/>
      <sheetName val="ISales8"/>
      <sheetName val="ISaleAdj8"/>
      <sheetName val="ISalesAnalysis8"/>
      <sheetName val="ISaleTbls8"/>
      <sheetName val="ISales9"/>
      <sheetName val="ISaleAdj9"/>
      <sheetName val="ISalesAnalysis9"/>
      <sheetName val="ISaleTbls9"/>
      <sheetName val="ISales10"/>
      <sheetName val="ISaleAdj10"/>
      <sheetName val="ISalesAnalysis10"/>
      <sheetName val="ISaleTbls10"/>
      <sheetName val="RentRollApt"/>
      <sheetName val="UnitCompApt"/>
      <sheetName val="tblUnitCompApt"/>
      <sheetName val="CompRentsApt"/>
      <sheetName val="RentSurveyApt"/>
      <sheetName val="RentRoll"/>
      <sheetName val="RetailSales"/>
      <sheetName val="tblRentRoll"/>
      <sheetName val="LeaseAbstracts"/>
      <sheetName val="LeaseComps"/>
      <sheetName val="SpecialtyLeaseComps"/>
      <sheetName val="AltPropertyAdjGrid"/>
      <sheetName val="LeaseAdjGrids"/>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
      <sheetName val="ExpCompRawData"/>
      <sheetName val="CapRates"/>
      <sheetName val="ProForma"/>
      <sheetName val="OwnerUserExpProforma"/>
      <sheetName val="GoDark"/>
      <sheetName val="LeaseUpAdj"/>
      <sheetName val="DCF"/>
      <sheetName val="Survey Publications"/>
      <sheetName val="ValuationScenarios"/>
      <sheetName val="Scratch"/>
      <sheetName val="Addenda"/>
      <sheetName val="Certification"/>
      <sheetName val="ClientCompany"/>
      <sheetName val="ClientContact"/>
      <sheetName val="JobParticipants"/>
      <sheetName val="JobSubjectProperty"/>
      <sheetName val="JobSubjectPropertyLeases"/>
      <sheetName val="JobConditionalLanguage"/>
      <sheetName val="ComparableSales"/>
      <sheetName val="ComparableLeases"/>
      <sheetName val="JobParticipantAdditionalInfo"/>
      <sheetName val="JobSubjectPropertyUnitMix"/>
      <sheetName val="ComparableMFRentals"/>
      <sheetName val="ComparableMFRentalsUnits"/>
      <sheetName val="JobSubjectPropertyAmenities"/>
      <sheetName val="MVSCostData"/>
      <sheetName val="CompCommercialRentSurveys"/>
      <sheetName val="JobValuationScenarios"/>
      <sheetName val="Expansion1"/>
      <sheetName val="Expansion2"/>
      <sheetName val="Expansion3"/>
      <sheetName val="1024 Cherokee Street F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refreshError="1"/>
    </sheetDataSet>
  </externalBook>
</externalLink>
</file>

<file path=xl/tables/table1.xml><?xml version="1.0" encoding="utf-8"?>
<table xmlns="http://schemas.openxmlformats.org/spreadsheetml/2006/main" id="1" name="AdamsCountyResourceTable" displayName="AdamsCountyResourceTable" ref="A1:G298" headerRowCount="1">
  <autoFilter ref="A1:G298"/>
  <tableColumns count="7">
    <tableColumn id="1" name="Municipality"/>
    <tableColumn id="2" name="Category"/>
    <tableColumn id="3" name="Resource Name"/>
    <tableColumn id="4" name="URL"/>
    <tableColumn id="5" name="Notes"/>
    <tableColumn id="6" name="Unnamed: 5"/>
    <tableColumn id="7" name="Unnamed: 6"/>
  </tableColumns>
  <tableStyleInfo name="TableStyleMedium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8.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M31"/>
  <sheetViews>
    <sheetView tabSelected="1" zoomScale="120" zoomScaleNormal="120" workbookViewId="0">
      <selection activeCell="D10" sqref="D10"/>
    </sheetView>
  </sheetViews>
  <sheetFormatPr baseColWidth="8" defaultRowHeight="15"/>
  <cols>
    <col width="24.42578125" bestFit="1" customWidth="1" style="1449" min="1" max="1"/>
    <col width="35.7109375" bestFit="1" customWidth="1" style="1449" min="2" max="2"/>
    <col width="14" customWidth="1" style="1449" min="3" max="3"/>
    <col width="14" customWidth="1" style="1449" min="4" max="4"/>
    <col width="14" customWidth="1" style="1449" min="5" max="5"/>
    <col width="14" customWidth="1" style="1449" min="6" max="6"/>
    <col width="14" bestFit="1" customWidth="1" style="1449" min="7" max="7"/>
    <col width="14" customWidth="1" style="1449" min="8" max="8"/>
    <col width="14" customWidth="1" style="1449" min="9" max="9"/>
    <col width="14" customWidth="1" style="1449" min="10" max="10"/>
    <col width="14" customWidth="1" style="1449" min="11" max="11"/>
    <col width="14" customWidth="1" style="1449" min="12" max="12"/>
    <col width="14" customWidth="1" style="1449" min="13" max="13"/>
  </cols>
  <sheetData>
    <row r="1">
      <c r="A1" s="1750" t="inlineStr">
        <is>
          <t>Building Labels</t>
        </is>
      </c>
      <c r="B1" s="1751">
        <f>IF($B$4&gt;=2,"Building 1","")</f>
        <v/>
      </c>
      <c r="C1" s="1752">
        <f>IF($B$4=1,"Bldg 1",IF($B$4&gt;=2,"Bldg 2",""))</f>
        <v/>
      </c>
      <c r="D1" s="1752">
        <f>IF($B$4&gt;=3,"Bldg 3","")</f>
        <v/>
      </c>
      <c r="E1" s="1752">
        <f>IF($B$4&gt;=4,"Bldg 4","")</f>
        <v/>
      </c>
      <c r="F1" s="1752">
        <f>IF($B$4&gt;=5,"Bldg 5","")</f>
        <v/>
      </c>
      <c r="G1" s="1752">
        <f>IF($B$4&gt;=6,"Bldg 6","")</f>
        <v/>
      </c>
      <c r="H1" s="1752">
        <f>IF($B$4&gt;=7,"Bldg 7","")</f>
        <v/>
      </c>
      <c r="I1" s="1752">
        <f>IF($B$4&gt;=8,"Bldg 8","")</f>
        <v/>
      </c>
      <c r="J1" s="1752">
        <f>IF($B$4&gt;=9,"Bldg 9","")</f>
        <v/>
      </c>
      <c r="K1" s="1752">
        <f>IF($B$4&gt;=10,"Bldg 10","")</f>
        <v/>
      </c>
      <c r="L1" s="1752">
        <f>IF($B$4&gt;=11,"Bldg 11","")</f>
        <v/>
      </c>
      <c r="M1" s="1752">
        <f>IF($B$4&gt;=12,"Bldg 12","")</f>
        <v/>
      </c>
    </row>
    <row r="2" ht="15.75" customHeight="1" s="1449" thickBot="1">
      <c r="A2" t="inlineStr">
        <is>
          <t>Account</t>
        </is>
      </c>
      <c r="B2" s="1136" t="n"/>
      <c r="C2" s="1753" t="n"/>
      <c r="D2" s="1753" t="n"/>
      <c r="E2" s="1754" t="n"/>
      <c r="F2" s="1754" t="n"/>
      <c r="G2" s="1755" t="n"/>
      <c r="H2" s="1753" t="n"/>
      <c r="I2" s="1753" t="n"/>
      <c r="J2" s="1753" t="n"/>
      <c r="K2" s="1753" t="n"/>
      <c r="L2" s="1753" t="n"/>
      <c r="M2" s="1753" t="n"/>
    </row>
    <row r="3">
      <c r="A3" t="inlineStr">
        <is>
          <t>Occ. Code</t>
        </is>
      </c>
      <c r="B3" s="1137" t="n"/>
      <c r="C3" s="1753" t="n"/>
      <c r="D3" s="1753" t="n"/>
      <c r="E3" s="1754" t="n"/>
      <c r="F3" s="1754" t="n"/>
      <c r="G3" s="1755" t="n"/>
      <c r="H3" s="1753" t="n"/>
      <c r="I3" s="1753" t="n"/>
      <c r="J3" s="1753" t="n"/>
      <c r="K3" s="1753" t="n"/>
      <c r="L3" s="1753" t="n"/>
      <c r="M3" s="1753" t="n"/>
    </row>
    <row r="4">
      <c r="A4" t="inlineStr">
        <is>
          <t>Number of Buildings</t>
        </is>
      </c>
      <c r="B4" s="1137" t="n"/>
      <c r="C4" s="1753" t="n"/>
      <c r="D4" s="1753" t="n"/>
      <c r="E4" s="1754" t="n"/>
      <c r="F4" s="1754" t="n"/>
      <c r="G4" s="1754" t="n"/>
      <c r="H4" s="1753" t="n"/>
      <c r="I4" s="1753" t="n"/>
      <c r="J4" s="1753" t="n"/>
      <c r="K4" s="1753" t="n"/>
      <c r="L4" s="1753" t="n"/>
      <c r="M4" s="1753" t="n"/>
    </row>
    <row r="5">
      <c r="A5" t="inlineStr">
        <is>
          <t>GBA</t>
        </is>
      </c>
      <c r="B5" s="1138" t="n"/>
      <c r="C5" s="1753" t="n"/>
      <c r="D5" s="1753" t="n"/>
      <c r="E5" s="1754" t="n"/>
      <c r="F5" s="1754" t="n"/>
      <c r="G5" s="1754" t="n"/>
      <c r="H5" s="1753" t="n"/>
      <c r="I5" s="1753" t="n"/>
      <c r="J5" s="1753" t="n"/>
      <c r="K5" s="1753" t="n"/>
      <c r="L5" s="1753" t="n"/>
      <c r="M5" s="1753" t="n"/>
    </row>
    <row r="6">
      <c r="A6" t="inlineStr">
        <is>
          <t>Footprint</t>
        </is>
      </c>
      <c r="B6" s="1138" t="n"/>
      <c r="C6" s="1753" t="n"/>
      <c r="D6" s="1753" t="n"/>
      <c r="E6" s="1754" t="n"/>
      <c r="F6" s="1754" t="n"/>
      <c r="G6" s="1754" t="n"/>
      <c r="H6" s="1753" t="n"/>
      <c r="I6" s="1753" t="n"/>
      <c r="J6" s="1753" t="n"/>
      <c r="K6" s="1753" t="n"/>
      <c r="L6" s="1753" t="n"/>
      <c r="M6" s="1753" t="n"/>
    </row>
    <row r="7">
      <c r="A7" t="inlineStr">
        <is>
          <t>NRA</t>
        </is>
      </c>
      <c r="B7" s="1138" t="n"/>
      <c r="C7" s="1753" t="n"/>
      <c r="D7" s="1753" t="n"/>
      <c r="E7" s="1754" t="n"/>
      <c r="F7" s="1754" t="n"/>
      <c r="G7" s="1754" t="n"/>
      <c r="H7" s="1753" t="n"/>
      <c r="I7" s="1753" t="n"/>
      <c r="J7" s="1753" t="n"/>
      <c r="K7" s="1753" t="n"/>
      <c r="L7" s="1753" t="n"/>
      <c r="M7" s="1753" t="n"/>
    </row>
    <row r="8">
      <c r="A8" t="inlineStr">
        <is>
          <t>SF Basis</t>
        </is>
      </c>
      <c r="B8" s="1138" t="inlineStr">
        <is>
          <t>GBA</t>
        </is>
      </c>
      <c r="C8" s="1753" t="n"/>
      <c r="D8" s="1753" t="n"/>
      <c r="E8" s="1754" t="n"/>
      <c r="F8" s="1754" t="n"/>
      <c r="G8" s="1754" t="n"/>
      <c r="H8" s="1753" t="n"/>
      <c r="I8" s="1753" t="n"/>
      <c r="J8" s="1753" t="n"/>
      <c r="K8" s="1753" t="n"/>
      <c r="L8" s="1753" t="n"/>
      <c r="M8" s="1753" t="n"/>
    </row>
    <row r="9">
      <c r="A9" t="inlineStr">
        <is>
          <t>Year Built</t>
        </is>
      </c>
      <c r="B9" s="1136" t="n"/>
      <c r="C9" s="1753" t="n"/>
      <c r="D9" s="1753" t="n"/>
      <c r="E9" s="1754" t="n"/>
      <c r="F9" s="1754" t="n"/>
      <c r="G9" s="1754" t="n"/>
      <c r="H9" s="1753" t="n"/>
      <c r="I9" s="1753" t="n"/>
      <c r="J9" s="1753" t="n"/>
      <c r="K9" s="1753" t="n"/>
      <c r="L9" s="1753" t="n"/>
      <c r="M9" s="1753" t="n"/>
    </row>
    <row r="10">
      <c r="A10" t="inlineStr">
        <is>
          <t>Condition</t>
        </is>
      </c>
      <c r="B10" s="1136" t="n"/>
      <c r="C10" s="1753" t="n"/>
      <c r="D10" s="1753" t="n"/>
      <c r="E10" s="1754" t="n"/>
      <c r="F10" s="1754" t="n"/>
      <c r="G10" s="1754" t="n"/>
      <c r="H10" s="1753" t="n"/>
      <c r="I10" s="1753" t="n"/>
      <c r="J10" s="1753" t="n"/>
      <c r="K10" s="1753" t="n"/>
      <c r="L10" s="1753" t="n"/>
      <c r="M10" s="1753" t="n"/>
    </row>
    <row r="11">
      <c r="A11" t="inlineStr">
        <is>
          <t>Year/Condition</t>
        </is>
      </c>
      <c r="B11" s="1139" t="inlineStr">
        <is>
          <t>1999/Average</t>
        </is>
      </c>
      <c r="C11" s="1753" t="n"/>
      <c r="D11" s="1753" t="n"/>
      <c r="E11" s="1754" t="n"/>
      <c r="F11" s="1754" t="n"/>
      <c r="G11" s="1754" t="n"/>
      <c r="H11" s="1753" t="n"/>
      <c r="I11" s="1753" t="n"/>
      <c r="J11" s="1753" t="n"/>
      <c r="K11" s="1753" t="n"/>
      <c r="L11" s="1753" t="n"/>
      <c r="M11" s="1753" t="n"/>
    </row>
    <row r="12" ht="15.75" customHeight="1" s="1449" thickBot="1">
      <c r="A12" t="inlineStr">
        <is>
          <t>Site Size</t>
        </is>
      </c>
      <c r="B12" s="1138" t="n"/>
      <c r="C12" s="1753" t="n"/>
      <c r="D12" s="1753" t="n"/>
      <c r="E12" s="1754" t="n"/>
      <c r="F12" s="1754" t="n"/>
      <c r="G12" s="1754" t="n"/>
      <c r="H12" s="1753" t="n"/>
      <c r="I12" s="1753" t="n"/>
      <c r="J12" s="1753" t="n"/>
      <c r="K12" s="1753" t="n"/>
      <c r="L12" s="1753" t="n"/>
      <c r="M12" s="1753" t="n"/>
    </row>
    <row r="13">
      <c r="A13" t="inlineStr">
        <is>
          <t>Acres</t>
        </is>
      </c>
      <c r="B13" s="732">
        <f>B12/43560</f>
        <v/>
      </c>
      <c r="C13" s="1753" t="n"/>
      <c r="D13" s="1753" t="n"/>
      <c r="E13" s="1754" t="n"/>
      <c r="F13" s="1754" t="n"/>
      <c r="G13" s="1754" t="n"/>
      <c r="H13" s="1753" t="n"/>
      <c r="I13" s="1753" t="n"/>
      <c r="J13" s="1753" t="n"/>
      <c r="K13" s="1753" t="n"/>
      <c r="L13" s="1753" t="n"/>
      <c r="M13" s="1753" t="n"/>
    </row>
    <row r="14">
      <c r="A14" t="inlineStr">
        <is>
          <t>Coverage Ratio</t>
        </is>
      </c>
      <c r="B14" s="733">
        <f>B5/B12</f>
        <v/>
      </c>
      <c r="C14" s="1753" t="n"/>
      <c r="D14" s="1753" t="n"/>
      <c r="E14" s="1754" t="n"/>
      <c r="F14" s="1754" t="n"/>
      <c r="G14" s="1754" t="n"/>
      <c r="H14" s="1753" t="n"/>
      <c r="I14" s="1753" t="n"/>
      <c r="J14" s="1753" t="n"/>
      <c r="K14" s="1753" t="n"/>
      <c r="L14" s="1753" t="n"/>
      <c r="M14" s="1753" t="n"/>
    </row>
    <row r="15">
      <c r="A15" t="inlineStr">
        <is>
          <t>Office %</t>
        </is>
      </c>
      <c r="B15" s="1141" t="n"/>
      <c r="C15" s="1753" t="n"/>
      <c r="D15" s="1753" t="n"/>
      <c r="E15" s="1754" t="n"/>
      <c r="F15" s="1754" t="n"/>
      <c r="G15" s="1754" t="n"/>
      <c r="H15" s="1753" t="n"/>
      <c r="I15" s="1753" t="n"/>
      <c r="J15" s="1753" t="n"/>
      <c r="K15" s="1753" t="n"/>
      <c r="L15" s="1753" t="n"/>
      <c r="M15" s="1753" t="n"/>
    </row>
    <row r="16">
      <c r="A16" t="inlineStr">
        <is>
          <t>Type</t>
        </is>
      </c>
      <c r="B16" s="1136" t="n"/>
      <c r="C16" s="1753" t="n"/>
      <c r="D16" s="1753" t="n"/>
      <c r="E16" s="1754" t="n"/>
      <c r="F16" s="1754" t="n"/>
      <c r="G16" s="1754" t="n"/>
      <c r="H16" s="1753" t="n"/>
      <c r="I16" s="1753" t="n"/>
      <c r="J16" s="1753" t="n"/>
      <c r="K16" s="1753" t="n"/>
      <c r="L16" s="1753" t="n"/>
      <c r="M16" s="1753" t="n"/>
    </row>
    <row r="17">
      <c r="A17" t="inlineStr">
        <is>
          <t>Address</t>
        </is>
      </c>
      <c r="B17" s="1136" t="n"/>
      <c r="E17" s="1560" t="n"/>
      <c r="F17" s="1560" t="n"/>
      <c r="G17" s="1560" t="n"/>
    </row>
    <row r="18">
      <c r="A18" t="inlineStr">
        <is>
          <t>City</t>
        </is>
      </c>
      <c r="B18" s="1136" t="n"/>
      <c r="E18" s="1560" t="n"/>
      <c r="F18" s="1560" t="n"/>
      <c r="G18" s="1560" t="n"/>
    </row>
    <row r="19">
      <c r="A19" t="inlineStr">
        <is>
          <t>County</t>
        </is>
      </c>
      <c r="B19" s="465" t="inlineStr">
        <is>
          <t>Adams County</t>
        </is>
      </c>
      <c r="E19" s="1560" t="n"/>
      <c r="F19" s="1560" t="n"/>
      <c r="G19" s="1560" t="n"/>
    </row>
    <row r="20">
      <c r="A20" t="inlineStr">
        <is>
          <t>Assumed Occupancy</t>
        </is>
      </c>
      <c r="B20" s="1141" t="n"/>
      <c r="E20" s="1560" t="n"/>
      <c r="F20" s="1560" t="n"/>
      <c r="G20" s="1560" t="n"/>
    </row>
    <row r="21">
      <c r="A21" t="inlineStr">
        <is>
          <t>Assessor's Assigned Value</t>
        </is>
      </c>
      <c r="B21" s="1756" t="n"/>
      <c r="C21" s="1757" t="n"/>
      <c r="D21" s="1758" t="n"/>
      <c r="E21" s="1247" t="n"/>
      <c r="F21" s="1560" t="n"/>
      <c r="G21" s="1560" t="n"/>
    </row>
    <row r="22">
      <c r="A22" t="inlineStr">
        <is>
          <t>Petitioner's Value</t>
        </is>
      </c>
      <c r="B22" s="1756" t="n"/>
      <c r="C22" s="1757" t="n"/>
      <c r="E22" s="1560" t="n"/>
      <c r="F22" s="1560" t="n"/>
      <c r="G22" s="1560" t="n"/>
    </row>
    <row r="23">
      <c r="A23" t="inlineStr">
        <is>
          <t>Recent Sale Date</t>
        </is>
      </c>
      <c r="B23" s="1143" t="n"/>
      <c r="E23" s="1560" t="n"/>
      <c r="F23" s="1560" t="n"/>
      <c r="G23" s="1560" t="n"/>
    </row>
    <row r="24">
      <c r="A24" t="inlineStr">
        <is>
          <t>Recent Sale Price</t>
        </is>
      </c>
      <c r="B24" s="1756" t="n"/>
      <c r="C24" s="1757" t="n"/>
      <c r="E24" s="1560" t="n"/>
      <c r="F24" s="1560" t="n"/>
      <c r="G24" s="1560" t="n"/>
    </row>
    <row r="25">
      <c r="A25" t="inlineStr">
        <is>
          <t>Sale Type</t>
        </is>
      </c>
      <c r="B25" s="1136" t="n"/>
      <c r="E25" s="1560" t="n"/>
      <c r="F25" s="1560" t="n"/>
      <c r="G25" s="1560" t="n"/>
    </row>
    <row r="26">
      <c r="A26" t="inlineStr">
        <is>
          <t>Value Premise</t>
        </is>
      </c>
      <c r="B26" s="1759" t="inlineStr">
        <is>
          <t>Fee Simple</t>
        </is>
      </c>
      <c r="E26" s="1560" t="n"/>
      <c r="F26" s="1560" t="n"/>
      <c r="G26" s="1560" t="n"/>
    </row>
    <row r="27">
      <c r="A27" t="inlineStr">
        <is>
          <t>Date of Value</t>
        </is>
      </c>
      <c r="B27" s="1143" t="n"/>
    </row>
    <row r="28">
      <c r="A28" t="inlineStr">
        <is>
          <t>Report Date</t>
        </is>
      </c>
      <c r="B28" s="1143" t="n"/>
    </row>
    <row r="29">
      <c r="A29" t="inlineStr">
        <is>
          <t>Hearing Date</t>
        </is>
      </c>
      <c r="B29" s="1144" t="n"/>
    </row>
    <row r="30">
      <c r="A30" t="inlineStr">
        <is>
          <t>Zoning</t>
        </is>
      </c>
      <c r="B30" s="1140" t="n"/>
    </row>
    <row r="31">
      <c r="A31" t="inlineStr">
        <is>
          <t>Zoning Authority</t>
        </is>
      </c>
      <c r="B31" s="1140" t="inlineStr">
        <is>
          <t>Adams County</t>
        </is>
      </c>
    </row>
  </sheetData>
  <conditionalFormatting sqref="C1:C16">
    <cfRule type="expression" priority="1" dxfId="10">
      <formula>LEN($C$1)=0</formula>
    </cfRule>
  </conditionalFormatting>
  <conditionalFormatting sqref="D1:D16">
    <cfRule type="expression" priority="2" dxfId="10">
      <formula>LEN($D$1)=0</formula>
    </cfRule>
  </conditionalFormatting>
  <conditionalFormatting sqref="E1:E16">
    <cfRule type="expression" priority="3" dxfId="10">
      <formula>LEN($E$1)=0</formula>
    </cfRule>
  </conditionalFormatting>
  <conditionalFormatting sqref="F1:F16">
    <cfRule type="expression" priority="4" dxfId="10">
      <formula>LEN($F$1)=0</formula>
    </cfRule>
  </conditionalFormatting>
  <conditionalFormatting sqref="G1:G16">
    <cfRule type="expression" priority="5" dxfId="10">
      <formula>LEN($G$1)=0</formula>
    </cfRule>
  </conditionalFormatting>
  <conditionalFormatting sqref="H1:H16">
    <cfRule type="expression" priority="6" dxfId="10">
      <formula>LEN($H$1)=0</formula>
    </cfRule>
  </conditionalFormatting>
  <conditionalFormatting sqref="I1:I16">
    <cfRule type="expression" priority="7" dxfId="10">
      <formula>LEN($I$1)=0</formula>
    </cfRule>
  </conditionalFormatting>
  <conditionalFormatting sqref="J1:J16">
    <cfRule type="expression" priority="8" dxfId="10">
      <formula>LEN($J$1)=0</formula>
    </cfRule>
  </conditionalFormatting>
  <conditionalFormatting sqref="K1:K16">
    <cfRule type="expression" priority="9" dxfId="10">
      <formula>LEN($K$1)=0</formula>
    </cfRule>
  </conditionalFormatting>
  <conditionalFormatting sqref="L1:L16">
    <cfRule type="expression" priority="10" dxfId="10">
      <formula>LEN($L$1)=0</formula>
    </cfRule>
  </conditionalFormatting>
  <conditionalFormatting sqref="M1:M16">
    <cfRule type="expression" priority="11" dxfId="10">
      <formula>LEN($M$1)=0</formula>
    </cfRule>
  </conditionalFormatting>
  <dataValidations count="1">
    <dataValidation sqref="B7" showDropDown="0" showInputMessage="1" showErrorMessage="1" allowBlank="1" type="list">
      <formula1>$E$7:$E$9</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164"/>
  <sheetViews>
    <sheetView zoomScale="70" zoomScaleNormal="70" workbookViewId="0">
      <selection activeCell="M13" sqref="M13"/>
    </sheetView>
  </sheetViews>
  <sheetFormatPr baseColWidth="8" defaultRowHeight="15"/>
  <cols>
    <col width="9.140625" customWidth="1" style="1454" min="1" max="1"/>
    <col width="33.85546875" bestFit="1" customWidth="1" style="1449" min="2" max="2"/>
    <col width="51" customWidth="1" style="1449" min="3" max="3"/>
    <col width="33.42578125" customWidth="1" style="1449" min="4" max="4"/>
    <col width="13" bestFit="1" customWidth="1" style="1449" min="5" max="5"/>
    <col width="12.140625" customWidth="1" style="1449" min="6" max="6"/>
    <col width="33.7109375" customWidth="1" style="1449" min="7" max="7"/>
    <col width="11.140625" customWidth="1" style="1449" min="8" max="12"/>
    <col width="43.85546875" bestFit="1" customWidth="1" style="1449" min="13" max="13"/>
    <col width="14.28515625" customWidth="1" style="1449" min="14" max="16"/>
    <col width="27.7109375" customWidth="1" style="1449" min="17" max="17"/>
    <col width="38.28515625" customWidth="1" style="1449" min="18" max="18"/>
    <col width="57.5703125" customWidth="1" style="1449" min="19" max="19"/>
    <col width="27.140625" customWidth="1" style="1449" min="20" max="20"/>
    <col width="29.28515625" customWidth="1" style="1449" min="21" max="21"/>
    <col width="12" bestFit="1" customWidth="1" style="1449" min="22" max="22"/>
    <col width="10.28515625" customWidth="1" style="1449" min="23" max="23"/>
    <col width="6.28515625" customWidth="1" style="1449" min="24" max="24"/>
    <col width="26.85546875" bestFit="1" customWidth="1" style="1449" min="25" max="25"/>
    <col width="16.42578125" customWidth="1" style="1449" min="26" max="28"/>
    <col width="30.28515625" customWidth="1" style="1449" min="29" max="29"/>
    <col width="15" customWidth="1" style="1449" min="30" max="32"/>
    <col width="25.28515625" bestFit="1" customWidth="1" style="1449" min="33" max="33"/>
    <col width="6.7109375" bestFit="1" customWidth="1" style="1449" min="34" max="34"/>
    <col width="21.140625" customWidth="1" style="1449" min="35" max="36"/>
  </cols>
  <sheetData>
    <row r="1" customFormat="1" s="1454">
      <c r="A1" s="1454" t="inlineStr">
        <is>
          <t>Note:</t>
        </is>
      </c>
      <c r="B1" s="1454" t="inlineStr">
        <is>
          <t>FILL ONLY HIGHLIGHTED CELLS</t>
        </is>
      </c>
    </row>
    <row r="2" customFormat="1" s="1454"/>
    <row r="3">
      <c r="B3" s="1474" t="inlineStr">
        <is>
          <t>EXECUTIVE SUMMARY</t>
        </is>
      </c>
      <c r="D3" s="1454" t="n"/>
      <c r="E3" s="1454" t="n"/>
      <c r="F3" s="1454" t="n"/>
      <c r="G3" s="1454" t="n"/>
      <c r="H3" s="1454" t="n"/>
      <c r="I3" s="1454" t="n"/>
      <c r="J3" s="1454" t="n"/>
      <c r="K3" s="1454" t="n"/>
      <c r="L3" s="1454" t="n"/>
      <c r="M3" s="1454" t="n"/>
      <c r="N3" s="1454" t="n"/>
      <c r="O3" s="1454" t="n"/>
      <c r="P3" s="1454" t="n"/>
      <c r="Q3" s="1454" t="n"/>
      <c r="R3" s="1454" t="n"/>
      <c r="S3" s="1454" t="n"/>
      <c r="T3" s="1454" t="n"/>
    </row>
    <row r="4">
      <c r="B4" s="1152" t="inlineStr">
        <is>
          <t>Account Number</t>
        </is>
      </c>
      <c r="C4" s="1153">
        <f>'Property Info'!B2</f>
        <v/>
      </c>
      <c r="D4" s="1454" t="n"/>
      <c r="E4" s="1454" t="n"/>
      <c r="F4" s="1454" t="n"/>
      <c r="G4" s="1454" t="n"/>
      <c r="H4" s="1454" t="n"/>
      <c r="I4" s="1454" t="n"/>
      <c r="J4" s="1454" t="n"/>
      <c r="K4" s="1454" t="n"/>
      <c r="L4" s="1454" t="n"/>
      <c r="M4" s="1454" t="n"/>
      <c r="N4" s="1454" t="n"/>
      <c r="O4" s="1454" t="n"/>
      <c r="P4" s="1454" t="n"/>
      <c r="Q4" s="1454" t="n"/>
      <c r="R4" s="1454" t="n"/>
      <c r="S4" s="1454" t="n"/>
      <c r="T4" s="1454" t="n"/>
    </row>
    <row r="5">
      <c r="B5" s="1152" t="inlineStr">
        <is>
          <t>Address</t>
        </is>
      </c>
      <c r="C5" s="1153">
        <f>'Property Info'!B17</f>
        <v/>
      </c>
      <c r="D5" s="1454" t="n"/>
      <c r="E5" s="1454" t="n"/>
      <c r="F5" s="1454" t="n"/>
      <c r="G5" s="1454" t="n"/>
      <c r="H5" s="1454" t="n"/>
      <c r="I5" s="1454" t="n"/>
      <c r="J5" s="1454" t="n"/>
      <c r="K5" s="1454" t="n"/>
      <c r="L5" s="1454" t="n"/>
      <c r="M5" s="1454" t="n"/>
      <c r="N5" s="1454" t="n"/>
      <c r="O5" s="1454" t="n"/>
      <c r="P5" s="1454" t="n"/>
      <c r="Q5" s="1454" t="n"/>
      <c r="R5" s="1454" t="n"/>
      <c r="S5" s="1454" t="n"/>
      <c r="T5" s="1454" t="n"/>
    </row>
    <row r="6">
      <c r="B6" s="1152" t="inlineStr">
        <is>
          <t>County</t>
        </is>
      </c>
      <c r="C6" s="1153">
        <f>'Property Info'!B19</f>
        <v/>
      </c>
      <c r="D6" s="1454" t="n"/>
      <c r="E6" s="1454" t="n"/>
      <c r="F6" s="1454" t="n"/>
      <c r="G6" s="1454" t="n"/>
      <c r="H6" s="1454" t="n"/>
      <c r="I6" s="1454" t="n"/>
      <c r="J6" s="1454" t="n"/>
      <c r="K6" s="1454" t="n"/>
      <c r="L6" s="1454" t="n"/>
      <c r="M6" s="1454" t="n"/>
      <c r="N6" s="1454" t="n"/>
      <c r="O6" s="1454" t="n"/>
      <c r="P6" s="1454" t="n"/>
      <c r="Q6" s="1454" t="n"/>
      <c r="R6" s="1454" t="n"/>
      <c r="S6" s="1454" t="n"/>
      <c r="T6" s="1454" t="n"/>
    </row>
    <row r="7">
      <c r="B7" s="1152" t="inlineStr">
        <is>
          <t>City, State</t>
        </is>
      </c>
      <c r="C7" s="1153">
        <f>'Property Info'!B18</f>
        <v/>
      </c>
      <c r="D7" s="1454" t="n"/>
      <c r="E7" s="1454" t="n"/>
      <c r="F7" s="1454" t="n"/>
      <c r="G7" s="1454" t="n"/>
      <c r="H7" s="1454" t="n"/>
      <c r="I7" s="1454" t="n"/>
      <c r="J7" s="1454" t="n"/>
      <c r="K7" s="1454" t="n"/>
      <c r="L7" s="1454" t="n"/>
      <c r="M7" s="1454" t="n"/>
      <c r="N7" s="1454" t="n"/>
      <c r="O7" s="1454" t="n"/>
      <c r="P7" s="1454" t="n"/>
      <c r="Q7" s="1454" t="n"/>
      <c r="R7" s="1454" t="n"/>
      <c r="S7" s="1454" t="n"/>
      <c r="T7" s="1454" t="n"/>
    </row>
    <row r="8">
      <c r="B8" s="1152" t="inlineStr">
        <is>
          <t>Effective Date</t>
        </is>
      </c>
      <c r="C8" s="1760">
        <f>'Property Info'!B27</f>
        <v/>
      </c>
      <c r="D8" s="1454" t="n"/>
      <c r="E8" s="1454" t="n"/>
      <c r="F8" s="1454" t="n"/>
      <c r="G8" s="1454" t="n"/>
      <c r="H8" s="1454" t="n"/>
      <c r="I8" s="1454" t="n"/>
      <c r="J8" s="1454" t="n"/>
      <c r="K8" s="1454" t="n"/>
      <c r="L8" s="1454" t="n"/>
      <c r="M8" s="1454" t="n"/>
      <c r="N8" s="1454" t="n"/>
      <c r="O8" s="1454" t="n"/>
      <c r="P8" s="1454" t="n"/>
      <c r="Q8" s="1454" t="n"/>
      <c r="R8" s="1454" t="n"/>
      <c r="S8" s="1454" t="n"/>
      <c r="T8" s="1454" t="n"/>
    </row>
    <row r="9">
      <c r="B9" s="1152" t="inlineStr">
        <is>
          <t>Appraisal Date</t>
        </is>
      </c>
      <c r="C9" s="1760">
        <f>'Property Info'!B28</f>
        <v/>
      </c>
      <c r="D9" s="1454" t="n"/>
      <c r="E9" s="1454" t="n"/>
      <c r="F9" s="1454" t="n"/>
      <c r="G9" s="1454" t="n"/>
      <c r="H9" s="1454" t="n"/>
      <c r="I9" s="1454" t="n"/>
      <c r="J9" s="1454" t="n"/>
      <c r="K9" s="1454" t="n"/>
      <c r="L9" s="1454" t="n"/>
      <c r="M9" s="1454" t="n"/>
      <c r="N9" s="1454" t="n"/>
      <c r="O9" s="1454" t="n"/>
      <c r="P9" s="1454" t="n"/>
      <c r="Q9" s="1454" t="n"/>
      <c r="R9" s="1454" t="n"/>
      <c r="S9" s="1454" t="n"/>
      <c r="T9" s="1454" t="n"/>
    </row>
    <row r="10">
      <c r="B10" s="1152" t="inlineStr">
        <is>
          <t>Hearing Date</t>
        </is>
      </c>
      <c r="C10" s="1760">
        <f>'Property Info'!B29</f>
        <v/>
      </c>
      <c r="D10" s="1454" t="n"/>
      <c r="E10" s="1454" t="n"/>
      <c r="F10" s="1454" t="n"/>
      <c r="G10" s="1454" t="n"/>
      <c r="H10" s="1454" t="n"/>
      <c r="I10" s="1454" t="n"/>
      <c r="J10" s="1454" t="n"/>
      <c r="K10" s="1454" t="n"/>
      <c r="L10" s="1454" t="n"/>
      <c r="M10" s="1454" t="n"/>
      <c r="N10" s="1454" t="n"/>
      <c r="O10" s="1454" t="n"/>
      <c r="P10" s="1454" t="n"/>
      <c r="Q10" s="1454" t="n"/>
      <c r="R10" s="1454" t="n"/>
      <c r="S10" s="1454" t="n"/>
      <c r="T10" s="1454" t="n"/>
    </row>
    <row r="11" ht="2.25" customHeight="1" s="1449">
      <c r="B11" s="1155" t="n"/>
      <c r="C11" s="1156" t="n"/>
      <c r="D11" s="1454" t="n"/>
      <c r="E11" s="1454" t="n"/>
      <c r="F11" s="1454" t="n"/>
      <c r="G11" s="1454" t="n"/>
      <c r="H11" s="1454" t="n"/>
      <c r="I11" s="1454" t="n"/>
      <c r="J11" s="1454" t="n"/>
      <c r="K11" s="1454" t="n"/>
      <c r="L11" s="1454" t="n"/>
      <c r="M11" s="1454" t="n"/>
      <c r="N11" s="1454" t="n"/>
      <c r="O11" s="1454" t="n"/>
      <c r="P11" s="1454" t="n"/>
      <c r="Q11" s="1454" t="n"/>
      <c r="R11" s="1454" t="n"/>
      <c r="S11" s="1454" t="n"/>
      <c r="T11" s="1454" t="n"/>
    </row>
    <row r="12">
      <c r="B12" s="1152" t="inlineStr">
        <is>
          <t>Property Type</t>
        </is>
      </c>
      <c r="C12" s="1153">
        <f>'Property Info'!B16</f>
        <v/>
      </c>
      <c r="D12" s="1454" t="n"/>
      <c r="E12" s="1454" t="n"/>
      <c r="F12" s="1454" t="n"/>
      <c r="G12" s="1454" t="n"/>
      <c r="H12" s="1454" t="n"/>
      <c r="I12" s="1454" t="n"/>
      <c r="J12" s="1454" t="n"/>
      <c r="K12" s="1454" t="n"/>
      <c r="L12" s="1454" t="n"/>
      <c r="M12" s="1454" t="n"/>
      <c r="N12" s="1454" t="n"/>
      <c r="O12" s="1454" t="n"/>
      <c r="P12" s="1454" t="n"/>
      <c r="Q12" s="1454" t="n"/>
      <c r="R12" s="1454" t="n"/>
      <c r="S12" s="1454" t="n"/>
      <c r="T12" s="1454" t="n"/>
    </row>
    <row r="13">
      <c r="B13" s="1152" t="inlineStr">
        <is>
          <t>Property Size</t>
        </is>
      </c>
      <c r="C13" s="1157" t="n"/>
      <c r="D13" s="1454" t="n"/>
      <c r="E13" s="1454" t="n"/>
      <c r="F13" s="1454" t="n"/>
      <c r="G13" s="1454" t="n"/>
      <c r="H13" s="1454" t="n"/>
      <c r="I13" s="1454" t="n"/>
      <c r="J13" s="1454" t="n"/>
      <c r="K13" s="1454" t="n"/>
      <c r="L13" s="1454" t="n"/>
      <c r="M13" s="1454" t="n"/>
      <c r="N13" s="1454" t="n"/>
      <c r="O13" s="1454" t="n"/>
      <c r="P13" s="1454" t="n"/>
      <c r="Q13" s="1454" t="n"/>
      <c r="R13" s="1454" t="n"/>
      <c r="S13" s="1454" t="n"/>
      <c r="T13" s="1454" t="n"/>
    </row>
    <row r="14">
      <c r="B14" s="1233">
        <f>'Property Info'!B8</f>
        <v/>
      </c>
      <c r="C14" s="1157">
        <f>IF(B14="GBA", 'Property Info'!B5,IF(B14="NRA",'Property Info'!B7,'Property Info'!B5))</f>
        <v/>
      </c>
      <c r="D14" s="1454" t="n"/>
      <c r="E14" s="1454" t="n"/>
      <c r="F14" s="1454" t="n"/>
      <c r="G14" s="1454" t="n"/>
      <c r="H14" s="1454" t="n"/>
      <c r="I14" s="1454" t="n"/>
      <c r="J14" s="1454" t="n"/>
      <c r="K14" s="1454" t="n"/>
      <c r="L14" s="1454" t="n"/>
      <c r="M14" s="1454" t="n"/>
      <c r="N14" s="1454" t="n"/>
      <c r="O14" s="1454" t="n"/>
      <c r="P14" s="1454" t="n"/>
      <c r="Q14" s="1454" t="n"/>
      <c r="R14" s="1454" t="n"/>
      <c r="S14" s="1454" t="n"/>
      <c r="T14" s="1454" t="n"/>
    </row>
    <row r="15">
      <c r="B15" s="1152" t="inlineStr">
        <is>
          <t>Number of Buildings</t>
        </is>
      </c>
      <c r="C15" s="1158">
        <f>'Property Info'!B4</f>
        <v/>
      </c>
      <c r="D15" s="1454" t="n"/>
      <c r="E15" s="1454" t="n"/>
      <c r="F15" s="1454" t="n"/>
      <c r="G15" s="1454" t="n"/>
      <c r="H15" s="1454" t="n"/>
      <c r="I15" s="1454" t="n"/>
      <c r="J15" s="1454" t="n"/>
      <c r="K15" s="1454" t="n"/>
      <c r="L15" s="1454" t="n"/>
      <c r="M15" s="1454" t="n"/>
      <c r="N15" s="1454" t="n"/>
      <c r="O15" s="1454" t="n"/>
      <c r="P15" s="1454" t="n"/>
      <c r="Q15" s="1454" t="n"/>
      <c r="R15" s="1454" t="n"/>
      <c r="S15" s="1454" t="n"/>
      <c r="T15" s="1454" t="n"/>
    </row>
    <row r="16">
      <c r="B16" s="1152" t="inlineStr">
        <is>
          <t>Year Built/Condition</t>
        </is>
      </c>
      <c r="C16" s="1153">
        <f>'Property Info'!B11</f>
        <v/>
      </c>
      <c r="D16" s="1454" t="n"/>
      <c r="E16" s="1454" t="n"/>
      <c r="F16" s="1454" t="n"/>
      <c r="G16" s="1454" t="n"/>
      <c r="H16" s="1454" t="n"/>
      <c r="I16" s="1454" t="n"/>
      <c r="J16" s="1454" t="n"/>
      <c r="K16" s="1454" t="n"/>
      <c r="L16" s="1454" t="n"/>
      <c r="M16" s="1454" t="n"/>
      <c r="N16" s="1454" t="n"/>
      <c r="O16" s="1454" t="n"/>
      <c r="P16" s="1454" t="n"/>
      <c r="Q16" s="1454" t="n"/>
      <c r="R16" s="1454" t="n"/>
      <c r="S16" s="1454" t="n"/>
      <c r="T16" s="1454" t="n"/>
    </row>
    <row r="17" hidden="1" s="1449">
      <c r="B17" s="1152" t="inlineStr">
        <is>
          <t>Condition</t>
        </is>
      </c>
      <c r="C17" s="1159">
        <f>'Property Info'!B10</f>
        <v/>
      </c>
      <c r="D17" s="1454" t="n"/>
      <c r="E17" s="1454" t="n"/>
      <c r="F17" s="1454" t="n"/>
      <c r="G17" s="1454" t="n"/>
      <c r="H17" s="1454" t="n"/>
      <c r="I17" s="1454" t="n"/>
      <c r="J17" s="1454" t="n"/>
      <c r="K17" s="1454" t="n"/>
      <c r="L17" s="1454" t="n"/>
      <c r="M17" s="1454" t="n"/>
      <c r="N17" s="1454" t="n"/>
      <c r="O17" s="1454" t="n"/>
      <c r="P17" s="1454" t="n"/>
      <c r="Q17" s="1454" t="n"/>
      <c r="R17" s="1454" t="n"/>
      <c r="S17" s="1454" t="n"/>
      <c r="T17" s="1454" t="n"/>
    </row>
    <row r="18">
      <c r="B18" s="1152" t="inlineStr">
        <is>
          <t>Site Size (SF)</t>
        </is>
      </c>
      <c r="C18" s="1157">
        <f>'Property Info'!B12</f>
        <v/>
      </c>
      <c r="D18" s="1454" t="n"/>
      <c r="E18" s="1454" t="n"/>
      <c r="F18" s="1454" t="n"/>
      <c r="G18" s="1454" t="n"/>
      <c r="H18" s="1454" t="n"/>
      <c r="I18" s="1454" t="n"/>
      <c r="J18" s="1454" t="n"/>
      <c r="K18" s="1454" t="n"/>
      <c r="L18" s="1454" t="n"/>
      <c r="M18" s="1454" t="n"/>
      <c r="N18" s="1454" t="n"/>
      <c r="O18" s="1454" t="n"/>
      <c r="P18" s="1454" t="n"/>
      <c r="Q18" s="1454" t="n"/>
      <c r="R18" s="1454" t="n"/>
      <c r="S18" s="1454" t="n"/>
      <c r="T18" s="1454" t="n"/>
    </row>
    <row r="19">
      <c r="B19" s="1152" t="inlineStr">
        <is>
          <t>Property Rights Appraised</t>
        </is>
      </c>
      <c r="C19" s="1153">
        <f>'Property Info'!B26</f>
        <v/>
      </c>
      <c r="D19" s="1454" t="n"/>
      <c r="E19" s="1454" t="n"/>
      <c r="F19" s="1454" t="n"/>
      <c r="G19" s="1454" t="n"/>
      <c r="H19" s="1454" t="n"/>
      <c r="I19" s="1454" t="n"/>
      <c r="J19" s="1454" t="n"/>
      <c r="K19" s="1454" t="n"/>
      <c r="L19" s="1454" t="n"/>
      <c r="M19" s="1454" t="n"/>
      <c r="N19" s="1454" t="n"/>
      <c r="O19" s="1454" t="n"/>
      <c r="P19" s="1454" t="n"/>
      <c r="Q19" s="1454" t="n"/>
      <c r="R19" s="1454" t="n"/>
      <c r="S19" s="1454" t="n"/>
      <c r="T19" s="1454" t="n"/>
    </row>
    <row r="20">
      <c r="B20" s="1152" t="inlineStr">
        <is>
          <t>Assumed Occupancy</t>
        </is>
      </c>
      <c r="C20" s="1160">
        <f>'Property Info'!B20</f>
        <v/>
      </c>
      <c r="D20" s="1454" t="n"/>
      <c r="E20" s="1454" t="n"/>
      <c r="F20" s="1454" t="n"/>
      <c r="G20" s="1454" t="n"/>
      <c r="H20" s="1454" t="n"/>
      <c r="I20" s="1454" t="n"/>
      <c r="J20" s="1454" t="n"/>
      <c r="K20" s="1454" t="n"/>
      <c r="L20" s="1454" t="n"/>
      <c r="M20" s="1454" t="n"/>
      <c r="N20" s="1454" t="n"/>
      <c r="O20" s="1454" t="n"/>
      <c r="P20" s="1454" t="n"/>
      <c r="Q20" s="1454" t="n"/>
      <c r="R20" s="1454" t="n"/>
      <c r="S20" s="1454" t="n"/>
      <c r="T20" s="1454" t="n"/>
    </row>
    <row r="21">
      <c r="B21" s="1161" t="inlineStr">
        <is>
          <t>Stabilized Occupancy</t>
        </is>
      </c>
      <c r="C21" s="1162">
        <f>'Income Approach'!D22</f>
        <v/>
      </c>
      <c r="D21" s="1454" t="n"/>
      <c r="E21" s="1454" t="n"/>
      <c r="F21" s="1454" t="n"/>
      <c r="G21" s="1454" t="n"/>
      <c r="H21" s="1454" t="n"/>
      <c r="I21" s="1454" t="n"/>
      <c r="J21" s="1454" t="n"/>
      <c r="K21" s="1454" t="n"/>
      <c r="L21" s="1454" t="n"/>
      <c r="M21" s="1454" t="n"/>
      <c r="N21" s="1454" t="n"/>
      <c r="O21" s="1454" t="n"/>
      <c r="P21" s="1454" t="n"/>
      <c r="Q21" s="1454" t="n"/>
      <c r="R21" s="1454" t="n"/>
      <c r="S21" s="1454" t="n"/>
      <c r="T21" s="1454" t="n"/>
    </row>
    <row r="22">
      <c r="B22" s="1152" t="n"/>
      <c r="C22" s="1160" t="n"/>
      <c r="D22" s="1454" t="n"/>
      <c r="E22" s="1454" t="n"/>
      <c r="F22" s="1454" t="n"/>
      <c r="G22" s="1454" t="n"/>
      <c r="H22" s="1454" t="n"/>
      <c r="I22" s="1454" t="n"/>
      <c r="J22" s="1454" t="n"/>
      <c r="K22" s="1454" t="n"/>
      <c r="L22" s="1454" t="n"/>
      <c r="M22" s="1454" t="n"/>
      <c r="N22" s="1454" t="n"/>
      <c r="O22" s="1454" t="n"/>
      <c r="P22" s="1454" t="n"/>
      <c r="Q22" s="1454" t="n"/>
      <c r="R22" s="1454" t="n"/>
      <c r="S22" s="1454" t="n"/>
      <c r="T22" s="1454" t="n"/>
    </row>
    <row r="23">
      <c r="B23" s="1454" t="n"/>
      <c r="C23" s="1454" t="n"/>
      <c r="D23" s="1481" t="inlineStr">
        <is>
          <t xml:space="preserve">PETITION SCENARIO </t>
        </is>
      </c>
      <c r="E23" s="1477" t="n"/>
      <c r="F23" s="1477" t="n"/>
      <c r="G23" s="1454" t="n"/>
      <c r="H23" s="1454" t="n"/>
      <c r="I23" s="1454" t="n"/>
      <c r="J23" s="1454" t="n"/>
      <c r="K23" s="1454" t="n"/>
      <c r="L23" s="1454" t="n"/>
      <c r="M23" s="1454" t="n"/>
      <c r="N23" s="1454" t="n"/>
      <c r="O23" s="1454" t="n"/>
      <c r="P23" s="1454" t="n"/>
      <c r="Q23" s="1454" t="n"/>
      <c r="R23" s="1454" t="n"/>
      <c r="S23" s="1454" t="n"/>
      <c r="T23" s="1454" t="n"/>
    </row>
    <row r="24">
      <c r="B24" s="1454" t="n"/>
      <c r="C24" s="1454" t="n"/>
      <c r="D24" s="1554" t="n"/>
      <c r="E24" s="1554" t="inlineStr">
        <is>
          <t>$</t>
        </is>
      </c>
      <c r="F24" s="1554" t="inlineStr">
        <is>
          <t>$/SF</t>
        </is>
      </c>
      <c r="G24" s="1454" t="n"/>
      <c r="H24" s="1454" t="n"/>
      <c r="I24" s="1454" t="n"/>
      <c r="J24" s="1454" t="n"/>
      <c r="K24" s="1454" t="n"/>
      <c r="L24" s="1454" t="n"/>
      <c r="M24" s="1454" t="n"/>
      <c r="N24" s="1454" t="n"/>
      <c r="O24" s="1454" t="n"/>
      <c r="P24" s="1454" t="n"/>
      <c r="Q24" s="1454" t="n"/>
      <c r="R24" s="1454" t="n"/>
      <c r="S24" s="1454" t="n"/>
      <c r="T24" s="1454" t="n"/>
    </row>
    <row r="25">
      <c r="B25" s="1454" t="n"/>
      <c r="C25" s="1454" t="n"/>
      <c r="D25" s="1164" t="inlineStr">
        <is>
          <t>Assessor's Assigned Value</t>
        </is>
      </c>
      <c r="E25" s="1761">
        <f>'Basic Sales Grid'!D51</f>
        <v/>
      </c>
      <c r="F25" s="1762">
        <f>E25/C14</f>
        <v/>
      </c>
      <c r="G25" s="1454" t="n"/>
      <c r="H25" s="1454" t="n"/>
      <c r="I25" s="1454" t="n"/>
      <c r="J25" s="1454" t="n"/>
      <c r="K25" s="1454" t="n"/>
      <c r="L25" s="1454" t="n"/>
      <c r="M25" s="1454" t="n"/>
      <c r="N25" s="1454" t="n"/>
      <c r="O25" s="1454" t="n"/>
      <c r="P25" s="1454" t="n"/>
      <c r="Q25" s="1454" t="n"/>
      <c r="R25" s="1454" t="n"/>
      <c r="S25" s="1454" t="n"/>
      <c r="T25" s="1454" t="n"/>
    </row>
    <row r="26">
      <c r="B26" s="1454" t="n"/>
      <c r="C26" s="1454" t="n"/>
      <c r="D26" s="1167" t="inlineStr">
        <is>
          <t>Petitioner’s Requested Value</t>
        </is>
      </c>
      <c r="E26" s="1763">
        <f>'Basic Sales Grid'!D52</f>
        <v/>
      </c>
      <c r="F26" s="1764">
        <f>E26/C14</f>
        <v/>
      </c>
      <c r="G26" s="1454" t="n"/>
      <c r="H26" s="1454" t="n"/>
      <c r="I26" s="1454" t="n"/>
      <c r="J26" s="1454" t="n"/>
      <c r="K26" s="1454" t="n"/>
      <c r="L26" s="1454" t="n"/>
      <c r="M26" s="1454" t="n"/>
      <c r="N26" s="1454" t="n"/>
      <c r="O26" s="1454" t="n"/>
      <c r="P26" s="1454" t="n"/>
      <c r="Q26" s="1454" t="n"/>
      <c r="R26" s="1454" t="n"/>
      <c r="S26" s="1454" t="n"/>
      <c r="T26" s="1454" t="n"/>
    </row>
    <row r="27">
      <c r="B27" s="1454" t="n"/>
      <c r="C27" s="1454" t="n"/>
      <c r="D27" s="1454" t="n"/>
      <c r="E27" s="1454" t="n"/>
      <c r="F27" s="1454" t="n"/>
      <c r="G27" s="1454" t="n"/>
      <c r="H27" s="1454" t="n"/>
      <c r="I27" s="1454" t="n"/>
      <c r="J27" s="1454" t="n"/>
      <c r="K27" s="1454" t="n"/>
      <c r="L27" s="1454" t="n"/>
      <c r="M27" s="1454" t="n"/>
      <c r="N27" s="1454" t="n"/>
      <c r="O27" s="1454" t="n"/>
      <c r="P27" s="1454" t="n"/>
      <c r="Q27" s="1454" t="n"/>
      <c r="R27" s="1454" t="n"/>
      <c r="S27" s="1454" t="n"/>
      <c r="T27" s="1454" t="n"/>
    </row>
    <row r="28">
      <c r="B28" s="1454" t="n"/>
      <c r="C28" s="1454" t="n"/>
      <c r="D28" s="1454" t="n"/>
      <c r="E28" s="1454" t="n"/>
      <c r="F28" s="1454" t="n"/>
      <c r="G28" s="1480" t="inlineStr">
        <is>
          <t>APPRAISAL INFORMATION</t>
        </is>
      </c>
      <c r="M28" s="1170" t="n"/>
      <c r="N28" s="1170" t="n"/>
      <c r="O28" s="1170" t="n"/>
      <c r="P28" s="1170" t="n"/>
      <c r="Q28" s="1170" t="n"/>
      <c r="R28" s="1170" t="n"/>
      <c r="S28" s="1170" t="n"/>
      <c r="T28" s="1454" t="n"/>
    </row>
    <row r="29" ht="31.5" customHeight="1" s="1449">
      <c r="B29" s="1454" t="n"/>
      <c r="C29" s="1454" t="n"/>
      <c r="D29" s="1454" t="n"/>
      <c r="E29" s="1454" t="n"/>
      <c r="F29" s="1454" t="n"/>
      <c r="G29" s="1171" t="inlineStr">
        <is>
          <t>Intended User</t>
        </is>
      </c>
      <c r="H29" s="1451" t="inlineStr">
        <is>
          <t>Adams County Board of Equalization, Adams County Attorney, Colorado Board of Assessment Appeals</t>
        </is>
      </c>
      <c r="M29" s="1470" t="n"/>
      <c r="N29" s="1470" t="n"/>
      <c r="O29" s="1470" t="n"/>
      <c r="P29" s="1470" t="n"/>
      <c r="Q29" s="1470" t="n"/>
      <c r="R29" s="1470" t="n"/>
      <c r="S29" s="1470" t="n"/>
      <c r="T29" s="1454" t="n"/>
    </row>
    <row r="30" hidden="1" s="1449">
      <c r="B30" s="1454" t="n"/>
      <c r="C30" s="1454" t="n"/>
      <c r="D30" s="1454" t="n"/>
      <c r="E30" s="1454" t="n"/>
      <c r="F30" s="1454" t="n"/>
      <c r="G30" s="1171" t="n"/>
      <c r="H30" s="1487">
        <f>clCompanyAddressStreet1&amp;", "&amp;clCompanyAddressStreet2</f>
        <v/>
      </c>
      <c r="L30" s="1173" t="n"/>
      <c r="M30" s="1173" t="n"/>
      <c r="N30" s="1173" t="n"/>
      <c r="O30" s="1173" t="n"/>
      <c r="P30" s="1173" t="n"/>
      <c r="Q30" s="1173" t="n"/>
      <c r="R30" s="1173" t="n"/>
      <c r="S30" s="1173" t="n"/>
      <c r="T30" s="1454" t="n"/>
    </row>
    <row r="31" hidden="1" s="1449">
      <c r="B31" s="1454" t="n"/>
      <c r="C31" s="1454" t="n"/>
      <c r="D31" s="1454" t="n"/>
      <c r="E31" s="1454" t="n"/>
      <c r="F31" s="1454" t="n"/>
      <c r="G31" s="1171" t="n"/>
      <c r="H31" s="1487">
        <f>clCompanyAddressCity&amp;", "&amp;clCompanyAddressState&amp;"  "&amp;clCompanyAddressZip</f>
        <v/>
      </c>
      <c r="L31" s="1173" t="n"/>
      <c r="M31" s="1173" t="n"/>
      <c r="N31" s="1173" t="n"/>
      <c r="O31" s="1173" t="n"/>
      <c r="P31" s="1173" t="n"/>
      <c r="Q31" s="1173" t="n"/>
      <c r="R31" s="1173" t="n"/>
      <c r="S31" s="1173" t="n"/>
      <c r="T31" s="1454" t="n"/>
    </row>
    <row r="32" hidden="1" s="1449">
      <c r="B32" s="1454" t="n"/>
      <c r="C32" s="1454" t="n"/>
      <c r="D32" s="1454" t="n"/>
      <c r="E32" s="1454" t="n"/>
      <c r="F32" s="1454" t="n"/>
      <c r="G32" s="1171" t="inlineStr">
        <is>
          <t>Intended User(s)</t>
        </is>
      </c>
      <c r="H32" s="1488">
        <f>H29</f>
        <v/>
      </c>
      <c r="L32" s="1174" t="n"/>
      <c r="M32" s="1173" t="n"/>
      <c r="N32" s="1173" t="n"/>
      <c r="O32" s="1173" t="n"/>
      <c r="P32" s="1173" t="n"/>
      <c r="Q32" s="1173" t="n"/>
      <c r="R32" s="1173" t="n"/>
      <c r="S32" s="1173" t="n"/>
      <c r="T32" s="1454" t="n"/>
    </row>
    <row r="33" ht="15" customHeight="1" s="1449">
      <c r="B33" s="1454" t="n"/>
      <c r="C33" s="1454" t="n"/>
      <c r="D33" s="1454" t="n"/>
      <c r="E33" s="1454" t="n"/>
      <c r="F33" s="1454" t="n"/>
      <c r="G33" s="1171" t="inlineStr">
        <is>
          <t>Intended Use</t>
        </is>
      </c>
      <c r="H33" s="1451" t="inlineStr">
        <is>
          <t>Aid in tax appeal decision</t>
        </is>
      </c>
      <c r="M33" s="1470" t="n"/>
      <c r="N33" s="1470" t="n"/>
      <c r="O33" s="1470" t="n"/>
      <c r="P33" s="1470" t="n"/>
      <c r="Q33" s="1470" t="n"/>
      <c r="R33" s="1470" t="n"/>
      <c r="S33" s="1470" t="n"/>
      <c r="T33" s="1454" t="n"/>
    </row>
    <row r="34" ht="20.25" customHeight="1" s="1449">
      <c r="B34" s="1454" t="n"/>
      <c r="C34" s="1454" t="n"/>
      <c r="D34" s="1454" t="n"/>
      <c r="E34" s="1454" t="n"/>
      <c r="F34" s="1454" t="n"/>
      <c r="G34" s="1171" t="inlineStr">
        <is>
          <t>Values Concluded</t>
        </is>
      </c>
      <c r="H34" s="1451" t="inlineStr">
        <is>
          <t xml:space="preserve">Retrospective Market Value </t>
        </is>
      </c>
      <c r="M34" s="1470" t="n"/>
      <c r="N34" s="1470" t="n"/>
      <c r="O34" s="1470" t="n"/>
      <c r="P34" s="1470" t="n"/>
      <c r="Q34" s="1470" t="n"/>
      <c r="R34" s="1470" t="n"/>
      <c r="S34" s="1470" t="n"/>
      <c r="T34" s="1454" t="n"/>
    </row>
    <row r="35" ht="29.25" customHeight="1" s="1449">
      <c r="B35" s="1454" t="n"/>
      <c r="C35" s="1454" t="n"/>
      <c r="D35" s="1454" t="n"/>
      <c r="E35" s="1454" t="n"/>
      <c r="F35" s="1454" t="n"/>
      <c r="G35" s="1171" t="inlineStr">
        <is>
          <t>Property Rights Appraised / Premise</t>
        </is>
      </c>
      <c r="H35" s="1451" t="n"/>
      <c r="M35" s="1470" t="n"/>
      <c r="N35" s="1470" t="n"/>
      <c r="O35" s="1470" t="n"/>
      <c r="P35" s="1470" t="n"/>
      <c r="Q35" s="1470" t="n"/>
      <c r="R35" s="1470" t="n"/>
      <c r="S35" s="1470" t="n"/>
      <c r="T35" s="1454" t="n"/>
    </row>
    <row r="36" ht="18" customHeight="1" s="1449">
      <c r="B36" s="1454" t="n"/>
      <c r="C36" s="1454" t="n"/>
      <c r="D36" s="1454" t="n"/>
      <c r="E36" s="1454" t="n"/>
      <c r="F36" s="1454" t="n"/>
      <c r="G36" s="1171" t="inlineStr">
        <is>
          <t>Premise Summary</t>
        </is>
      </c>
      <c r="H36" s="1451" t="n"/>
      <c r="M36" s="1470" t="n"/>
      <c r="N36" s="1470" t="n"/>
      <c r="O36" s="1470" t="n"/>
      <c r="P36" s="1470" t="n"/>
      <c r="Q36" s="1470" t="n"/>
      <c r="R36" s="1470" t="n"/>
      <c r="S36" s="1470" t="n"/>
      <c r="T36" s="1454" t="n"/>
    </row>
    <row r="37">
      <c r="B37" s="1454" t="n"/>
      <c r="C37" s="1454" t="n"/>
      <c r="D37" s="1454" t="n"/>
      <c r="E37" s="1454" t="n"/>
      <c r="F37" s="1454" t="n"/>
      <c r="G37" s="1171" t="inlineStr">
        <is>
          <t>Date of Inspection</t>
        </is>
      </c>
      <c r="H37" s="1765" t="n"/>
      <c r="M37" s="1766" t="n"/>
      <c r="N37" s="1766" t="n"/>
      <c r="O37" s="1766" t="n"/>
      <c r="P37" s="1766" t="n"/>
      <c r="Q37" s="1766" t="n"/>
      <c r="R37" s="1766" t="n"/>
      <c r="S37" s="1766" t="n"/>
      <c r="T37" s="1454" t="n"/>
    </row>
    <row r="38">
      <c r="B38" s="1454" t="n"/>
      <c r="C38" s="1454" t="n"/>
      <c r="D38" s="1454" t="n"/>
      <c r="E38" s="1454" t="n"/>
      <c r="F38" s="1454" t="n"/>
      <c r="G38" s="1171" t="inlineStr">
        <is>
          <t>Report Date</t>
        </is>
      </c>
      <c r="H38" s="1766">
        <f>'Property Info'!B28</f>
        <v/>
      </c>
      <c r="M38" s="1766" t="n"/>
      <c r="N38" s="1766" t="n"/>
      <c r="O38" s="1766" t="n"/>
      <c r="P38" s="1766" t="n"/>
      <c r="Q38" s="1766" t="n"/>
      <c r="R38" s="1766" t="n"/>
      <c r="S38" s="1766" t="n"/>
      <c r="T38" s="1454" t="n"/>
    </row>
    <row r="39">
      <c r="B39" s="1454" t="n"/>
      <c r="C39" s="1454" t="n"/>
      <c r="D39" s="1454" t="n"/>
      <c r="E39" s="1454" t="n"/>
      <c r="F39" s="1454" t="n"/>
      <c r="G39" s="1171" t="inlineStr">
        <is>
          <t>Marketing Time</t>
        </is>
      </c>
      <c r="H39" s="1767" t="inlineStr">
        <is>
          <t>12 months</t>
        </is>
      </c>
      <c r="M39" s="1767" t="n"/>
      <c r="N39" s="1767" t="n"/>
      <c r="O39" s="1767" t="n"/>
      <c r="P39" s="1767" t="n"/>
      <c r="Q39" s="1767" t="n"/>
      <c r="R39" s="1767" t="n"/>
      <c r="S39" s="1767" t="n"/>
      <c r="T39" s="1454" t="n"/>
    </row>
    <row r="40">
      <c r="B40" s="1454" t="n"/>
      <c r="C40" s="1454" t="n"/>
      <c r="D40" s="1454" t="n"/>
      <c r="E40" s="1454" t="n"/>
      <c r="F40" s="1454" t="n"/>
      <c r="G40" s="1171" t="inlineStr">
        <is>
          <t>Exposure Time</t>
        </is>
      </c>
      <c r="H40" s="1767" t="inlineStr">
        <is>
          <t>12 months</t>
        </is>
      </c>
      <c r="M40" s="1767" t="n"/>
      <c r="N40" s="1767" t="n"/>
      <c r="O40" s="1767" t="n"/>
      <c r="P40" s="1767" t="n"/>
      <c r="Q40" s="1767" t="n"/>
      <c r="R40" s="1767" t="n"/>
      <c r="S40" s="1767" t="n"/>
      <c r="T40" s="1454" t="n"/>
    </row>
    <row r="41">
      <c r="B41" s="1454" t="n"/>
      <c r="C41" s="1454" t="n"/>
      <c r="D41" s="1454" t="n"/>
      <c r="E41" s="1454" t="n"/>
      <c r="F41" s="1454" t="n"/>
      <c r="G41" s="1171" t="inlineStr">
        <is>
          <t>Owner of Record</t>
        </is>
      </c>
      <c r="H41" s="1451" t="n"/>
      <c r="M41" s="1470" t="n"/>
      <c r="N41" s="1470" t="n"/>
      <c r="O41" s="1470" t="n"/>
      <c r="P41" s="1470" t="n"/>
      <c r="Q41" s="1470" t="n"/>
      <c r="R41" s="1470" t="n"/>
      <c r="S41" s="1470" t="n"/>
      <c r="T41" s="1454" t="n"/>
    </row>
    <row r="42" ht="67.5" customHeight="1" s="1449">
      <c r="B42" s="1454" t="n"/>
      <c r="C42" s="1454" t="n"/>
      <c r="D42" s="1454" t="n"/>
      <c r="E42" s="1454" t="n"/>
      <c r="F42" s="1454" t="n"/>
      <c r="G42" s="1171" t="inlineStr">
        <is>
          <t>Property Contact(s)</t>
        </is>
      </c>
      <c r="H42" s="1451" t="n"/>
      <c r="M42" s="1470" t="n"/>
      <c r="N42" s="1470" t="n"/>
      <c r="O42" s="1470" t="n"/>
      <c r="P42" s="1470" t="n"/>
      <c r="Q42" s="1470" t="n"/>
      <c r="R42" s="1470" t="n"/>
      <c r="S42" s="1470" t="n"/>
      <c r="T42" s="1454" t="n"/>
    </row>
    <row r="43">
      <c r="B43" s="1454" t="n"/>
      <c r="C43" s="1454" t="n"/>
      <c r="D43" s="1454" t="n"/>
      <c r="E43" s="1454" t="n"/>
      <c r="F43" s="1454" t="n"/>
      <c r="G43" s="1171" t="inlineStr">
        <is>
          <t>Most Probable Purchaser</t>
        </is>
      </c>
      <c r="H43" s="1470">
        <f>pdMostProbablePurchaser</f>
        <v/>
      </c>
      <c r="M43" s="1470" t="n"/>
      <c r="N43" s="1470" t="n"/>
      <c r="O43" s="1470" t="n"/>
      <c r="P43" s="1470" t="n"/>
      <c r="Q43" s="1470" t="n"/>
      <c r="R43" s="1470" t="n"/>
      <c r="S43" s="1470" t="n"/>
      <c r="T43" s="1454" t="n"/>
    </row>
    <row r="44">
      <c r="B44" s="1454" t="n"/>
      <c r="C44" s="1454" t="n"/>
      <c r="D44" s="1454" t="n"/>
      <c r="E44" s="1454" t="n"/>
      <c r="F44" s="1454" t="n"/>
      <c r="G44" s="1171" t="inlineStr">
        <is>
          <t>Highest and Best Use</t>
        </is>
      </c>
      <c r="H44" s="1487" t="n"/>
      <c r="I44" s="1178" t="n"/>
      <c r="J44" s="1178" t="n"/>
      <c r="K44" s="1178" t="n"/>
      <c r="L44" s="1178" t="n"/>
      <c r="M44" s="1178" t="n"/>
      <c r="N44" s="1178" t="n"/>
      <c r="O44" s="1178" t="n"/>
      <c r="P44" s="1178" t="n"/>
      <c r="Q44" s="1178" t="n"/>
      <c r="R44" s="1178" t="n"/>
      <c r="S44" s="1178" t="n"/>
      <c r="T44" s="1454" t="n"/>
    </row>
    <row r="45" ht="15" customHeight="1" s="1449">
      <c r="B45" s="1454" t="n"/>
      <c r="C45" s="1454" t="n"/>
      <c r="D45" s="1454" t="n"/>
      <c r="E45" s="1454" t="n"/>
      <c r="F45" s="1454" t="n"/>
      <c r="G45" s="1179" t="inlineStr">
        <is>
          <t>If Vacant</t>
        </is>
      </c>
      <c r="H45" s="1451" t="inlineStr">
        <is>
          <t xml:space="preserve">Light Industrial Development </t>
        </is>
      </c>
      <c r="M45" s="1470" t="n"/>
      <c r="N45" s="1470" t="n"/>
      <c r="O45" s="1470" t="n"/>
      <c r="P45" s="1470" t="n"/>
      <c r="Q45" s="1470" t="n"/>
      <c r="R45" s="1470" t="n"/>
      <c r="S45" s="1470" t="n"/>
      <c r="T45" s="1454" t="n"/>
    </row>
    <row r="46" ht="15" customHeight="1" s="1449">
      <c r="B46" s="1454" t="n"/>
      <c r="C46" s="1454" t="n"/>
      <c r="D46" s="1454" t="n"/>
      <c r="E46" s="1454" t="n"/>
      <c r="F46" s="1454" t="n"/>
      <c r="G46" s="1180" t="inlineStr">
        <is>
          <t>As Improved</t>
        </is>
      </c>
      <c r="H46" s="1471">
        <f>pdHBUAsImproved</f>
        <v/>
      </c>
      <c r="I46" s="1464" t="n"/>
      <c r="J46" s="1464" t="n"/>
      <c r="K46" s="1464" t="n"/>
      <c r="L46" s="1464" t="n"/>
      <c r="M46" s="1470" t="n"/>
      <c r="N46" s="1470" t="n"/>
      <c r="O46" s="1470" t="n"/>
      <c r="P46" s="1470" t="n"/>
      <c r="Q46" s="1470" t="n"/>
      <c r="R46" s="1470" t="n"/>
      <c r="S46" s="1470" t="n"/>
      <c r="T46" s="1454" t="n"/>
    </row>
    <row r="47">
      <c r="B47" s="1454" t="n"/>
      <c r="C47" s="1454" t="n"/>
      <c r="D47" s="1454" t="n"/>
      <c r="E47" s="1454" t="n"/>
      <c r="F47" s="1454" t="n"/>
      <c r="G47" s="1179" t="n"/>
      <c r="H47" s="1487" t="n"/>
      <c r="I47" s="1173" t="n"/>
      <c r="J47" s="1173" t="n"/>
      <c r="K47" s="1173" t="n"/>
      <c r="L47" s="1173" t="n"/>
      <c r="M47" s="1173" t="n"/>
      <c r="N47" s="1173" t="n"/>
      <c r="O47" s="1173" t="n"/>
      <c r="P47" s="1173" t="n"/>
      <c r="Q47" s="1173" t="n"/>
      <c r="R47" s="1173" t="n"/>
      <c r="S47" s="1173" t="n"/>
      <c r="T47" s="1454" t="n"/>
    </row>
    <row r="48">
      <c r="B48" s="1454" t="n"/>
      <c r="C48" s="1454" t="n"/>
      <c r="D48" s="1454" t="n"/>
      <c r="E48" s="1454" t="n"/>
      <c r="F48" s="1454" t="n"/>
      <c r="G48" s="1179" t="n"/>
      <c r="H48" s="1487" t="n"/>
      <c r="I48" s="1173" t="n"/>
      <c r="J48" s="1173" t="n"/>
      <c r="K48" s="1173" t="n"/>
      <c r="L48" s="1173" t="n"/>
      <c r="M48" s="1173" t="n"/>
      <c r="N48" s="1173" t="n"/>
      <c r="O48" s="1173" t="n"/>
      <c r="P48" s="1173" t="n"/>
      <c r="Q48" s="1173" t="n"/>
      <c r="R48" s="1173" t="n"/>
      <c r="S48" s="1173" t="n"/>
      <c r="T48" s="1454" t="n"/>
    </row>
    <row r="49">
      <c r="B49" s="1454" t="n"/>
      <c r="C49" s="1454" t="n"/>
      <c r="D49" s="1454" t="n"/>
      <c r="E49" s="1454" t="n"/>
      <c r="F49" s="1454" t="n"/>
      <c r="G49" s="1179" t="n"/>
      <c r="H49" s="1487" t="n"/>
      <c r="I49" s="1173" t="n"/>
      <c r="J49" s="1173" t="n"/>
      <c r="K49" s="1173" t="n"/>
      <c r="L49" s="1173" t="n"/>
      <c r="M49" s="1482" t="inlineStr">
        <is>
          <t>SCOPE OF THE INVESTIGATION</t>
        </is>
      </c>
      <c r="R49" s="1409" t="n"/>
      <c r="S49" s="1409" t="n"/>
    </row>
    <row r="50" customFormat="1" s="1454">
      <c r="G50" s="1179" t="n"/>
      <c r="H50" s="1487" t="n"/>
      <c r="I50" s="1173" t="n"/>
      <c r="J50" s="1173" t="n"/>
      <c r="K50" s="1173" t="n"/>
      <c r="L50" s="1173" t="n"/>
      <c r="M50" s="1479" t="inlineStr">
        <is>
          <t>General and Market Data Analyzed</t>
        </is>
      </c>
      <c r="N50" s="1460" t="inlineStr">
        <is>
          <t>§  Regional economic data and trends</t>
        </is>
      </c>
      <c r="R50" s="1460" t="n"/>
      <c r="S50" s="1460" t="n"/>
    </row>
    <row r="51" customFormat="1" s="1454">
      <c r="G51" s="1179" t="n"/>
      <c r="H51" s="1487" t="n"/>
      <c r="I51" s="1173" t="n"/>
      <c r="J51" s="1173" t="n"/>
      <c r="K51" s="1173" t="n"/>
      <c r="L51" s="1173" t="n"/>
      <c r="N51" s="1460" t="inlineStr">
        <is>
          <t>§  Market analysis data specific to the subject property type</t>
        </is>
      </c>
      <c r="R51" s="1460" t="n"/>
      <c r="S51" s="1460" t="n"/>
    </row>
    <row r="52" customFormat="1" s="1454">
      <c r="G52" s="1179" t="n"/>
      <c r="H52" s="1487" t="n"/>
      <c r="I52" s="1173" t="n"/>
      <c r="J52" s="1173" t="n"/>
      <c r="K52" s="1173" t="n"/>
      <c r="L52" s="1173" t="n"/>
      <c r="N52" s="1460" t="inlineStr">
        <is>
          <t>§  Published survey data</t>
        </is>
      </c>
      <c r="R52" s="1460" t="n"/>
      <c r="S52" s="1460" t="n"/>
    </row>
    <row r="53" customFormat="1" s="1454">
      <c r="G53" s="1179" t="n"/>
      <c r="H53" s="1487" t="n"/>
      <c r="I53" s="1173" t="n"/>
      <c r="J53" s="1173" t="n"/>
      <c r="K53" s="1173" t="n"/>
      <c r="L53" s="1173" t="n"/>
      <c r="N53" s="1460" t="inlineStr">
        <is>
          <t>§  Neighborhood demographic data</t>
        </is>
      </c>
      <c r="R53" s="1460" t="n"/>
      <c r="S53" s="1460" t="n"/>
    </row>
    <row r="54" customFormat="1" s="1454">
      <c r="G54" s="1179" t="n"/>
      <c r="H54" s="1487" t="n"/>
      <c r="I54" s="1173" t="n"/>
      <c r="J54" s="1173" t="n"/>
      <c r="K54" s="1173" t="n"/>
      <c r="L54" s="1173" t="n"/>
      <c r="N54" s="1460" t="inlineStr">
        <is>
          <t>§  Comparable cost, sale, rental, expense, and capitalization rate data</t>
        </is>
      </c>
      <c r="R54" s="1460" t="n"/>
      <c r="S54" s="1460" t="n"/>
    </row>
    <row r="55" customFormat="1" s="1454">
      <c r="G55" s="1179" t="n"/>
      <c r="H55" s="1487" t="n"/>
      <c r="I55" s="1173" t="n"/>
      <c r="J55" s="1173" t="n"/>
      <c r="K55" s="1173" t="n"/>
      <c r="L55" s="1173" t="n"/>
      <c r="N55" s="1460" t="inlineStr">
        <is>
          <t>§  Floodplain status</t>
        </is>
      </c>
      <c r="R55" s="1460" t="n"/>
      <c r="S55" s="1460" t="n"/>
    </row>
    <row r="56" customFormat="1" s="1454">
      <c r="G56" s="1179" t="n"/>
      <c r="H56" s="1487" t="n"/>
      <c r="I56" s="1173" t="n"/>
      <c r="J56" s="1173" t="n"/>
      <c r="K56" s="1173" t="n"/>
      <c r="L56" s="1173" t="n"/>
      <c r="N56" s="1460" t="inlineStr">
        <is>
          <t>§  Zoning information</t>
        </is>
      </c>
      <c r="R56" s="1460" t="n"/>
      <c r="S56" s="1460" t="n"/>
    </row>
    <row r="57" customFormat="1" s="1454">
      <c r="G57" s="1179" t="n"/>
      <c r="H57" s="1487" t="n"/>
      <c r="I57" s="1173" t="n"/>
      <c r="J57" s="1173" t="n"/>
      <c r="K57" s="1173" t="n"/>
      <c r="L57" s="1173" t="n"/>
      <c r="N57" s="1460" t="inlineStr">
        <is>
          <t>§  Assessor’s information</t>
        </is>
      </c>
      <c r="R57" s="1460" t="n"/>
      <c r="S57" s="1460" t="n"/>
    </row>
    <row r="58" customFormat="1" s="1454">
      <c r="G58" s="1179" t="n"/>
      <c r="H58" s="1487" t="n"/>
      <c r="I58" s="1173" t="n"/>
      <c r="J58" s="1173" t="n"/>
      <c r="K58" s="1173" t="n"/>
      <c r="L58" s="1173" t="n"/>
      <c r="N58" s="1460" t="inlineStr">
        <is>
          <t>§  Interviewed professionals knowledgeable about the subject’s property type and market</t>
        </is>
      </c>
      <c r="R58" s="1460" t="n"/>
      <c r="S58" s="1460" t="n"/>
    </row>
    <row r="59" ht="15" customFormat="1" customHeight="1" s="1454">
      <c r="G59" s="1179" t="n"/>
      <c r="H59" s="1487" t="n"/>
      <c r="I59" s="1173" t="n"/>
      <c r="J59" s="1173" t="n"/>
      <c r="K59" s="1173" t="n"/>
      <c r="L59" s="1173" t="n"/>
      <c r="M59" s="1479" t="inlineStr">
        <is>
          <t>Inspection Details</t>
        </is>
      </c>
      <c r="N59" s="1453" t="inlineStr">
        <is>
          <t>The interior and exterior of the subject was inspected.</t>
        </is>
      </c>
      <c r="R59" s="1453" t="n"/>
      <c r="S59" s="1453" t="n"/>
    </row>
    <row r="60" customFormat="1" s="1454">
      <c r="G60" s="1179" t="n"/>
      <c r="H60" s="1487" t="n"/>
      <c r="I60" s="1173" t="n"/>
      <c r="J60" s="1173" t="n"/>
      <c r="K60" s="1173" t="n"/>
      <c r="L60" s="1173" t="n"/>
      <c r="M60" s="1479" t="inlineStr">
        <is>
          <t>Data Sources</t>
        </is>
      </c>
      <c r="N60" s="1453" t="n"/>
      <c r="R60" s="1453" t="n"/>
      <c r="S60" s="1453" t="n"/>
    </row>
    <row r="61" customFormat="1" s="1454">
      <c r="G61" s="1179" t="n"/>
      <c r="H61" s="1487" t="n"/>
      <c r="I61" s="1173" t="n"/>
      <c r="J61" s="1173" t="n"/>
      <c r="K61" s="1173" t="n"/>
      <c r="L61" s="1173" t="n"/>
      <c r="M61" s="1206" t="inlineStr">
        <is>
          <t>Site Size</t>
        </is>
      </c>
      <c r="N61" s="1484" t="inlineStr">
        <is>
          <t>Adams County Assessor Records, Appraiser Measurement</t>
        </is>
      </c>
      <c r="R61" s="1453" t="n"/>
      <c r="S61" s="1453" t="n"/>
    </row>
    <row r="62" customFormat="1" s="1454">
      <c r="G62" s="1179" t="n"/>
      <c r="H62" s="1487" t="n"/>
      <c r="I62" s="1173" t="n"/>
      <c r="J62" s="1173" t="n"/>
      <c r="K62" s="1173" t="n"/>
      <c r="L62" s="1173" t="n"/>
      <c r="M62" s="1206" t="inlineStr">
        <is>
          <t>Building Size</t>
        </is>
      </c>
      <c r="N62" s="1462" t="inlineStr">
        <is>
          <t>Adams County Assessor Records, Appraiser Measurement</t>
        </is>
      </c>
      <c r="R62" s="1453" t="n"/>
      <c r="S62" s="1453" t="n"/>
    </row>
    <row r="63" customFormat="1" s="1454">
      <c r="G63" s="1179" t="n"/>
      <c r="H63" s="1487" t="n"/>
      <c r="I63" s="1173" t="n"/>
      <c r="J63" s="1173" t="n"/>
      <c r="K63" s="1173" t="n"/>
      <c r="L63" s="1173" t="n"/>
      <c r="M63" s="1206" t="inlineStr">
        <is>
          <t>Zoning information</t>
        </is>
      </c>
      <c r="N63" s="1462" t="inlineStr">
        <is>
          <t>Adams County Planning Department</t>
        </is>
      </c>
      <c r="R63" s="1453" t="n"/>
      <c r="S63" s="1453" t="n"/>
    </row>
    <row r="64" customFormat="1" s="1454">
      <c r="G64" s="1179" t="n"/>
      <c r="H64" s="1487" t="n"/>
      <c r="I64" s="1173" t="n"/>
      <c r="J64" s="1173" t="n"/>
      <c r="K64" s="1173" t="n"/>
      <c r="L64" s="1173" t="n"/>
      <c r="M64" s="1206" t="inlineStr">
        <is>
          <t>Flood Status</t>
        </is>
      </c>
      <c r="N64" s="1462" t="inlineStr">
        <is>
          <t>FEMA Flood Map Service Center</t>
        </is>
      </c>
      <c r="R64" s="1453" t="n"/>
      <c r="S64" s="1453" t="n"/>
    </row>
    <row r="65" customFormat="1" s="1454">
      <c r="G65" s="1179" t="n"/>
      <c r="H65" s="1487" t="n"/>
      <c r="I65" s="1173" t="n"/>
      <c r="J65" s="1173" t="n"/>
      <c r="K65" s="1173" t="n"/>
      <c r="L65" s="1173" t="n"/>
      <c r="M65" s="1206" t="inlineStr">
        <is>
          <t>Demographics</t>
        </is>
      </c>
      <c r="N65" s="1462" t="inlineStr">
        <is>
          <t>CoStar Market Reports</t>
        </is>
      </c>
      <c r="R65" s="1453" t="n"/>
      <c r="S65" s="1453" t="n"/>
    </row>
    <row r="66" customFormat="1" s="1454">
      <c r="G66" s="1179" t="n"/>
      <c r="H66" s="1487" t="n"/>
      <c r="I66" s="1173" t="n"/>
      <c r="J66" s="1173" t="n"/>
      <c r="K66" s="1173" t="n"/>
      <c r="L66" s="1173" t="n"/>
      <c r="M66" s="1206" t="inlineStr">
        <is>
          <t>Land Sales</t>
        </is>
      </c>
      <c r="N66" s="1462" t="inlineStr">
        <is>
          <t>CoStar, MLS, Adams County Sales Data, Local Brokers</t>
        </is>
      </c>
      <c r="R66" s="1453" t="n"/>
      <c r="S66" s="1453" t="n"/>
    </row>
    <row r="67" customFormat="1" s="1454">
      <c r="G67" s="1179" t="n"/>
      <c r="H67" s="1487" t="n"/>
      <c r="I67" s="1173" t="n"/>
      <c r="J67" s="1173" t="n"/>
      <c r="K67" s="1173" t="n"/>
      <c r="L67" s="1173" t="n"/>
      <c r="M67" s="1206" t="inlineStr">
        <is>
          <t>Cost Estimate Data</t>
        </is>
      </c>
      <c r="N67" s="1462" t="inlineStr">
        <is>
          <t>Marshall &amp; Swift Cost Estimator</t>
        </is>
      </c>
      <c r="R67" s="1453" t="n"/>
      <c r="S67" s="1453" t="n"/>
    </row>
    <row r="68" customFormat="1" s="1454">
      <c r="G68" s="1179" t="n"/>
      <c r="H68" s="1487" t="n"/>
      <c r="I68" s="1173" t="n"/>
      <c r="J68" s="1173" t="n"/>
      <c r="K68" s="1173" t="n"/>
      <c r="L68" s="1173" t="n"/>
      <c r="M68" s="1206" t="inlineStr">
        <is>
          <t>Comparable Improved Sales</t>
        </is>
      </c>
      <c r="N68" s="1462" t="inlineStr">
        <is>
          <t>CoStar, MLS, Adams County Sales Data, Local Brokers</t>
        </is>
      </c>
      <c r="R68" s="1453" t="n"/>
      <c r="S68" s="1453" t="n"/>
    </row>
    <row r="69" customFormat="1" s="1454">
      <c r="G69" s="1179" t="n"/>
      <c r="H69" s="1487" t="n"/>
      <c r="I69" s="1173" t="n"/>
      <c r="J69" s="1173" t="n"/>
      <c r="K69" s="1173" t="n"/>
      <c r="L69" s="1173" t="n"/>
      <c r="M69" s="1206" t="inlineStr">
        <is>
          <t>Comparable Improved Rents</t>
        </is>
      </c>
      <c r="N69" s="1462" t="inlineStr">
        <is>
          <t>CoStar, MLS, Adams County Lease Data, Local Brokers</t>
        </is>
      </c>
      <c r="R69" s="1453" t="n"/>
      <c r="S69" s="1453" t="n"/>
    </row>
    <row r="70" ht="15" customFormat="1" customHeight="1" s="1454">
      <c r="K70" s="1470" t="n"/>
      <c r="L70" s="1470" t="n"/>
      <c r="M70" s="1483" t="inlineStr">
        <is>
          <t>Property Specific Data Requested and Received</t>
        </is>
      </c>
      <c r="N70" s="1470" t="n"/>
      <c r="R70" s="1470" t="n"/>
      <c r="S70" s="1470" t="n"/>
    </row>
    <row r="71" ht="15" customFormat="1" customHeight="1" s="1454">
      <c r="K71" s="1470" t="n"/>
      <c r="L71" s="1470" t="n"/>
      <c r="N71" s="1451" t="inlineStr">
        <is>
          <t>Lease, Lease Addendum</t>
        </is>
      </c>
      <c r="R71" s="1470" t="n"/>
      <c r="S71" s="1470" t="n"/>
    </row>
    <row r="72" customFormat="1" s="1454">
      <c r="K72" s="1470" t="n"/>
      <c r="L72" s="1470" t="n"/>
      <c r="N72" s="1451" t="inlineStr">
        <is>
          <t>Estimated financial analysis</t>
        </is>
      </c>
      <c r="R72" s="1470" t="n"/>
      <c r="S72" s="1470" t="n"/>
    </row>
    <row r="73" customFormat="1" s="1454">
      <c r="K73" s="1470" t="n"/>
      <c r="L73" s="1470" t="n"/>
      <c r="N73" s="1451" t="inlineStr">
        <is>
          <t>Property Expenses (2019, 2020)</t>
        </is>
      </c>
      <c r="R73" s="1470" t="n"/>
      <c r="S73" s="1470" t="n"/>
    </row>
    <row r="74" hidden="1" ht="15" customFormat="1" customHeight="1" s="1454">
      <c r="K74" s="1470" t="n"/>
      <c r="L74" s="1470" t="n"/>
      <c r="N74" s="1451" t="n"/>
      <c r="R74" s="1470" t="n"/>
      <c r="S74" s="1470" t="n"/>
    </row>
    <row r="75" customFormat="1" s="1454">
      <c r="K75" s="1470" t="n"/>
      <c r="L75" s="1470" t="n"/>
      <c r="M75" s="1171" t="inlineStr">
        <is>
          <t>Data Requested, but not Provided</t>
        </is>
      </c>
      <c r="N75" s="1451" t="n"/>
      <c r="R75" s="1470" t="n"/>
      <c r="S75" s="1470" t="n"/>
    </row>
    <row r="76" ht="15" customFormat="1" customHeight="1" s="1454">
      <c r="K76" s="1182" t="n"/>
      <c r="L76" s="1182" t="n"/>
      <c r="M76" s="1179" t="n"/>
      <c r="N76" s="1451" t="inlineStr">
        <is>
          <t>Rent Roll</t>
        </is>
      </c>
      <c r="O76" s="1451" t="n"/>
      <c r="P76" s="1451" t="n"/>
      <c r="Q76" s="1451" t="n"/>
      <c r="R76" s="1470" t="n"/>
      <c r="S76" s="1470" t="n"/>
    </row>
    <row r="77" customFormat="1" s="1454">
      <c r="K77" s="1470" t="n"/>
      <c r="L77" s="1470" t="n"/>
      <c r="M77" s="1179" t="n"/>
      <c r="N77" s="1451" t="inlineStr">
        <is>
          <t>Building Plans</t>
        </is>
      </c>
      <c r="O77" s="1451" t="n"/>
      <c r="P77" s="1451" t="n"/>
      <c r="Q77" s="1451" t="n"/>
      <c r="R77" s="1470" t="n"/>
      <c r="S77" s="1470" t="n"/>
    </row>
    <row r="78" ht="15" customFormat="1" customHeight="1" s="1454">
      <c r="K78" s="1470" t="n"/>
      <c r="L78" s="1470" t="n"/>
      <c r="M78" s="1179" t="n"/>
      <c r="N78" s="1451" t="inlineStr">
        <is>
          <t>Environmental survey</t>
        </is>
      </c>
      <c r="R78" s="1470" t="n"/>
      <c r="S78" s="1470" t="n"/>
    </row>
    <row r="79" ht="15" customFormat="1" customHeight="1" s="1454">
      <c r="K79" s="1470" t="n"/>
      <c r="L79" s="1470" t="n"/>
      <c r="M79" s="1180" t="n"/>
      <c r="N79" s="1471" t="inlineStr">
        <is>
          <t>ALTA Survey</t>
        </is>
      </c>
      <c r="O79" s="1464" t="n"/>
      <c r="P79" s="1464" t="n"/>
      <c r="Q79" s="1464" t="n"/>
      <c r="R79" s="1470" t="n"/>
      <c r="S79" s="1470" t="n"/>
    </row>
    <row r="80" ht="15" customFormat="1" customHeight="1" s="1454">
      <c r="K80" s="1470" t="n"/>
      <c r="L80" s="1470" t="n"/>
      <c r="M80" s="1179" t="n"/>
      <c r="N80" s="1470" t="n"/>
      <c r="O80" s="1470" t="n"/>
      <c r="P80" s="1470" t="n"/>
      <c r="Q80" s="1470" t="n"/>
      <c r="R80" s="1470" t="n"/>
      <c r="S80" s="1470" t="n"/>
    </row>
    <row r="81">
      <c r="D81" s="1402" t="n"/>
      <c r="R81" s="1480" t="inlineStr">
        <is>
          <t>EXTRAORDINARY ASSUMPTION(S) AND HYPOTHETICAL CONDITION(S)</t>
        </is>
      </c>
    </row>
    <row r="82" ht="63" customFormat="1" customHeight="1" s="1454">
      <c r="R82" s="1473" t="inlineStr">
        <is>
          <t>The values presented within this appraisal report are subject to the extraordinary assumptions and hypothetical conditions listed below. Pursuant to the requirement within Uniform Standards of Professional Appraisal Practice Standards, it is stated here that the use of any extraordinary assumptions might have affected the assignment results.</t>
        </is>
      </c>
    </row>
    <row r="83" customFormat="1" s="1454">
      <c r="E83" s="1403" t="n"/>
      <c r="F83" s="1404" t="n"/>
      <c r="R83" s="1053" t="inlineStr">
        <is>
          <t>Extraordinary Assumption(s)</t>
        </is>
      </c>
      <c r="S83" s="1473" t="n"/>
    </row>
    <row r="84" customFormat="1" s="1454">
      <c r="A84" s="1407">
        <f>IF(R84="","X","")</f>
        <v/>
      </c>
      <c r="E84" s="1403" t="n"/>
      <c r="Q84" s="1454" t="n">
        <v>1</v>
      </c>
      <c r="R84" s="1458" t="inlineStr">
        <is>
          <t>This appraisal employs no extroidinary assumptions.</t>
        </is>
      </c>
    </row>
    <row r="85" customFormat="1" s="1454">
      <c r="A85" s="1407">
        <f>IF(R85="","X","")</f>
        <v/>
      </c>
      <c r="E85" s="1403" t="n"/>
      <c r="Q85" s="1454" t="n">
        <v>2</v>
      </c>
      <c r="R85" s="1458">
        <f>IFERROR(IF(INDEX([14]!TableCondLang[#Data],MATCH($E85,[14]!TableCondLang[Row_Num],0),COLUMN([14]!TableCondLang[Discriminator])-1)="Extraordinary",INDEX([14]!TableCondLang[#Data],MATCH($E85,[14]!TableCondLang[Row_Num],0),COLUMN([14]!TableCondLang[Description])-1),""),"")</f>
        <v/>
      </c>
    </row>
    <row r="86" customFormat="1" s="1454">
      <c r="A86" s="1407">
        <f>IF(R86="","X","")</f>
        <v/>
      </c>
      <c r="E86" s="1403" t="n"/>
      <c r="Q86" s="1454" t="n">
        <v>3</v>
      </c>
      <c r="R86" s="1458">
        <f>IFERROR(IF(INDEX([14]!TableCondLang[#Data],MATCH($E86,[14]!TableCondLang[Row_Num],0),COLUMN([14]!TableCondLang[Discriminator])-1)="Extraordinary",INDEX([14]!TableCondLang[#Data],MATCH($E86,[14]!TableCondLang[Row_Num],0),COLUMN([14]!TableCondLang[Description])-1),""),"")</f>
        <v/>
      </c>
    </row>
    <row r="87" customFormat="1" s="1454">
      <c r="A87" s="1407">
        <f>IF(R87="","X","")</f>
        <v/>
      </c>
      <c r="E87" s="1403" t="n"/>
      <c r="Q87" s="1454" t="n">
        <v>4</v>
      </c>
      <c r="R87" s="1458">
        <f>IFERROR(IF(INDEX([14]!TableCondLang[#Data],MATCH($E87,[14]!TableCondLang[Row_Num],0),COLUMN([14]!TableCondLang[Discriminator])-1)="Extraordinary",INDEX([14]!TableCondLang[#Data],MATCH($E87,[14]!TableCondLang[Row_Num],0),COLUMN([14]!TableCondLang[Description])-1),""),"")</f>
        <v/>
      </c>
    </row>
    <row r="88" customFormat="1" s="1454">
      <c r="A88" s="1407">
        <f>IF(S88="","X","")</f>
        <v/>
      </c>
      <c r="E88" s="1403" t="n"/>
      <c r="S88" s="1473">
        <f>IFERROR(IF(INDEX([14]!TableCondLang[#Data],MATCH($E88,[14]!TableCondLang[Row_Num],0),COLUMN([14]!TableCondLang[Discriminator])-1)="Extraordinary",INDEX([14]!TableCondLang[#Data],MATCH($E88,[14]!TableCondLang[Row_Num],0),COLUMN([14]!TableCondLang[Description])-1),""),"")</f>
        <v/>
      </c>
    </row>
    <row r="89" customFormat="1" s="1454">
      <c r="A89" s="1407">
        <f>IF(S89="","X","")</f>
        <v/>
      </c>
      <c r="E89" s="1403" t="n"/>
      <c r="R89" s="1053" t="inlineStr">
        <is>
          <t>Hypothetical Condition(s)</t>
        </is>
      </c>
      <c r="S89" s="1473">
        <f>IFERROR(IF(INDEX([14]!TableCondLang[#Data],MATCH($E89,[14]!TableCondLang[Row_Num],0),COLUMN([14]!TableCondLang[Discriminator])-1)="Extraordinary",INDEX([14]!TableCondLang[#Data],MATCH($E89,[14]!TableCondLang[Row_Num],0),COLUMN([14]!TableCondLang[Description])-1),""),"")</f>
        <v/>
      </c>
    </row>
    <row r="90" customFormat="1" s="1454">
      <c r="A90" s="1407">
        <f>IF(R90="","X","")</f>
        <v/>
      </c>
      <c r="E90" s="1403" t="n"/>
      <c r="Q90" s="1454" t="n">
        <v>1</v>
      </c>
      <c r="R90" s="1458" t="inlineStr">
        <is>
          <t>This appraisal employs no hypothetical conditions.</t>
        </is>
      </c>
    </row>
    <row r="91" customFormat="1" s="1454">
      <c r="A91" s="1407">
        <f>IF(R91="","X","")</f>
        <v/>
      </c>
      <c r="E91" s="1403" t="n"/>
      <c r="Q91" s="1454" t="n">
        <v>2</v>
      </c>
      <c r="R91" s="1458">
        <f>IFERROR(IF(INDEX([14]!TableCondLang[#Data],MATCH($E91,[14]!TableCondLang[Row_Num],0),COLUMN([14]!TableCondLang[Discriminator])-1)="Extraordinary",INDEX([14]!TableCondLang[#Data],MATCH($E91,[14]!TableCondLang[Row_Num],0),COLUMN([14]!TableCondLang[Description])-1),""),"")</f>
        <v/>
      </c>
    </row>
    <row r="92" customFormat="1" s="1454">
      <c r="A92" s="1407">
        <f>IF(R92="","X","")</f>
        <v/>
      </c>
      <c r="E92" s="1403" t="n"/>
      <c r="Q92" s="1454" t="n">
        <v>3</v>
      </c>
      <c r="R92" s="1489">
        <f>IFERROR(IF(INDEX([14]!TableCondLang[#Data],MATCH($E92,[14]!TableCondLang[Row_Num],0),COLUMN([14]!TableCondLang[Discriminator])-1)="Extraordinary",INDEX([14]!TableCondLang[#Data],MATCH($E92,[14]!TableCondLang[Row_Num],0),COLUMN([14]!TableCondLang[Description])-1),""),"")</f>
        <v/>
      </c>
    </row>
    <row r="93" customFormat="1" s="1454">
      <c r="A93" s="1407">
        <f>IF(R93="","X","")</f>
        <v/>
      </c>
      <c r="E93" s="1403" t="n"/>
      <c r="F93" s="1405" t="n"/>
      <c r="G93" s="1406" t="n"/>
      <c r="Q93" s="1454" t="n">
        <v>4</v>
      </c>
      <c r="R93" s="1466">
        <f>IFERROR(IF(INDEX([14]!TableCondLang[#Data],MATCH($E93,[14]!TableCondLang[Row_Num],0),COLUMN([14]!TableCondLang[Discriminator])-1)="Extraordinary",INDEX([14]!TableCondLang[#Data],MATCH($E93,[14]!TableCondLang[Row_Num],0),COLUMN([14]!TableCondLang[Description])-1),""),"")</f>
        <v/>
      </c>
      <c r="S93" s="1464" t="n"/>
    </row>
    <row r="94" customFormat="1" s="1454">
      <c r="A94" s="1407">
        <f>IF(R94="","X","")</f>
        <v/>
      </c>
      <c r="E94" s="1403" t="n"/>
      <c r="F94" s="1405" t="n"/>
      <c r="G94" s="1406" t="n"/>
      <c r="R94" s="1490">
        <f>IFERROR(IF(INDEX([14]!TableCondLang[#Data],MATCH($E94,[14]!TableCondLang[Row_Num],0),COLUMN([14]!TableCondLang[Discriminator])-1)="Extraordinary",INDEX([14]!TableCondLang[#Data],MATCH($E94,[14]!TableCondLang[Row_Num],0),COLUMN([14]!TableCondLang[Description])-1),""),"")</f>
        <v/>
      </c>
    </row>
    <row r="95">
      <c r="G95" s="1179" t="n"/>
      <c r="H95" s="1492" t="n"/>
      <c r="K95" s="1454" t="n"/>
      <c r="L95" s="1454" t="n"/>
      <c r="M95" s="1454" t="n"/>
      <c r="N95" s="1454" t="n"/>
      <c r="O95" s="1454" t="n"/>
      <c r="P95" s="1454" t="n"/>
      <c r="Q95" s="1454" t="n"/>
      <c r="R95" s="1454" t="n"/>
      <c r="S95" s="1454" t="n"/>
      <c r="T95" s="1480" t="inlineStr">
        <is>
          <t>PROPERTY OVERVIEW</t>
        </is>
      </c>
    </row>
    <row r="96" ht="15" customHeight="1" s="1449">
      <c r="N96" s="1454" t="n"/>
      <c r="O96" s="1454" t="n"/>
      <c r="P96" s="1454" t="n"/>
      <c r="Q96" s="1454" t="n"/>
      <c r="R96" s="1454" t="n"/>
      <c r="S96" s="1454" t="n"/>
      <c r="T96" s="808" t="inlineStr">
        <is>
          <t>Property Name</t>
        </is>
      </c>
      <c r="U96" s="1455" t="n"/>
    </row>
    <row r="97">
      <c r="N97" s="1454" t="n"/>
      <c r="O97" s="1454" t="n"/>
      <c r="P97" s="1454" t="n"/>
      <c r="Q97" s="1454" t="n"/>
      <c r="R97" s="1454" t="n"/>
      <c r="S97" s="1454" t="n"/>
      <c r="T97" s="808" t="inlineStr">
        <is>
          <t>Address</t>
        </is>
      </c>
      <c r="U97" s="1452">
        <f>'Property Info'!B17</f>
        <v/>
      </c>
    </row>
    <row r="98">
      <c r="N98" s="1454" t="n"/>
      <c r="O98" s="1454" t="n"/>
      <c r="P98" s="1454" t="n"/>
      <c r="Q98" s="1454" t="n"/>
      <c r="R98" s="1454" t="n"/>
      <c r="S98" s="1454" t="n"/>
      <c r="T98" s="808" t="n"/>
      <c r="U98" s="1452">
        <f>'Property Info'!B18</f>
        <v/>
      </c>
    </row>
    <row r="99" ht="30.75" customHeight="1" s="1449">
      <c r="N99" s="1454" t="n"/>
      <c r="O99" s="1454" t="n"/>
      <c r="P99" s="1454" t="n"/>
      <c r="Q99" s="1454" t="n"/>
      <c r="R99" s="1454" t="n"/>
      <c r="S99" s="1454" t="n"/>
      <c r="T99" s="808" t="inlineStr">
        <is>
          <t>Location</t>
        </is>
      </c>
      <c r="U99" s="1455" t="n"/>
    </row>
    <row r="100">
      <c r="N100" s="1454" t="n"/>
      <c r="O100" s="1454" t="n"/>
      <c r="P100" s="1454" t="n"/>
      <c r="Q100" s="1454" t="n"/>
      <c r="R100" s="1454" t="n"/>
      <c r="S100" s="1454" t="n"/>
      <c r="T100" s="808" t="inlineStr">
        <is>
          <t>Property Description</t>
        </is>
      </c>
      <c r="U100" s="1452">
        <f>U96</f>
        <v/>
      </c>
    </row>
    <row r="101" hidden="1" ht="15" customHeight="1" s="1449">
      <c r="N101" s="1454" t="n"/>
      <c r="O101" s="1454" t="n"/>
      <c r="P101" s="1454" t="n"/>
      <c r="Q101" s="1454" t="n"/>
      <c r="R101" s="1454" t="n"/>
      <c r="S101" s="1454" t="n"/>
      <c r="T101" s="1147" t="inlineStr">
        <is>
          <t>and</t>
        </is>
      </c>
      <c r="U101" s="1455">
        <f>'[7]Improvement Description_2'!C31&amp;" ("&amp;'[7]Improvement Description_2'!C32&amp;")
"&amp;'[7]Improvement Description_2'!C33</f>
        <v/>
      </c>
    </row>
    <row r="102">
      <c r="N102" s="1454" t="n"/>
      <c r="O102" s="1454" t="n"/>
      <c r="P102" s="1454" t="n"/>
      <c r="Q102" s="1454" t="n"/>
      <c r="R102" s="1454" t="n"/>
      <c r="S102" s="1454" t="n"/>
      <c r="T102" s="808" t="inlineStr">
        <is>
          <t>County</t>
        </is>
      </c>
      <c r="U102" s="1468">
        <f>'Property Info'!B19</f>
        <v/>
      </c>
    </row>
    <row r="103">
      <c r="N103" s="1454" t="n"/>
      <c r="O103" s="1454" t="n"/>
      <c r="P103" s="1454" t="n"/>
      <c r="Q103" s="1454" t="n"/>
      <c r="R103" s="1454" t="n"/>
      <c r="S103" s="1454" t="n"/>
      <c r="T103" s="808" t="inlineStr">
        <is>
          <t>Account Number(s)</t>
        </is>
      </c>
      <c r="U103" s="1468">
        <f>'Property Info'!B2</f>
        <v/>
      </c>
    </row>
    <row r="104" ht="49.5" customHeight="1" s="1449">
      <c r="N104" s="1454" t="n"/>
      <c r="O104" s="1454" t="n"/>
      <c r="P104" s="1454" t="n"/>
      <c r="Q104" s="1454" t="n"/>
      <c r="R104" s="1479" t="n"/>
      <c r="S104" s="1479" t="n"/>
      <c r="T104" s="1148" t="inlineStr">
        <is>
          <t>Note:</t>
        </is>
      </c>
      <c r="U104" s="1478" t="n"/>
    </row>
    <row r="105" hidden="1" ht="15" customHeight="1" s="1449">
      <c r="N105" s="1454" t="n"/>
      <c r="O105" s="1454" t="n"/>
      <c r="P105" s="1454" t="n"/>
      <c r="Q105" s="1454" t="n"/>
      <c r="R105" s="1454" t="n"/>
      <c r="S105" s="1454" t="n"/>
      <c r="T105" s="826" t="inlineStr">
        <is>
          <t>Census Tract No.</t>
        </is>
      </c>
      <c r="U105" s="1452">
        <f>pdCensusTract</f>
        <v/>
      </c>
    </row>
    <row r="106">
      <c r="N106" s="1454" t="n"/>
      <c r="O106" s="1454" t="n"/>
      <c r="P106" s="1454" t="n"/>
      <c r="Q106" s="1454" t="n"/>
      <c r="R106" s="1454" t="n"/>
      <c r="S106" s="1454" t="n"/>
      <c r="T106" s="808" t="inlineStr">
        <is>
          <t>Legal Description</t>
        </is>
      </c>
      <c r="U106" s="1455" t="n"/>
    </row>
    <row r="107">
      <c r="N107" s="1454" t="n"/>
      <c r="O107" s="1454" t="n"/>
      <c r="P107" s="1454" t="n"/>
      <c r="Q107" s="1454" t="n"/>
      <c r="R107" s="1454" t="n"/>
      <c r="S107" s="1454" t="n"/>
      <c r="T107" s="808" t="inlineStr">
        <is>
          <t>Site Area</t>
        </is>
      </c>
      <c r="U107" s="1468" t="n"/>
      <c r="V107" s="1148" t="n"/>
      <c r="W107" s="1148" t="n"/>
      <c r="X107" s="1148" t="n"/>
    </row>
    <row r="108">
      <c r="N108" s="1454" t="n"/>
      <c r="O108" s="1454" t="n"/>
      <c r="P108" s="1454" t="n"/>
      <c r="Q108" s="1454" t="n"/>
      <c r="R108" s="1454" t="n"/>
      <c r="S108" s="1454" t="n"/>
      <c r="T108" s="1209" t="inlineStr">
        <is>
          <t>Primary Site</t>
        </is>
      </c>
      <c r="U108" s="1768">
        <f>'Property Info'!B12</f>
        <v/>
      </c>
      <c r="V108" s="1769">
        <f>U108/43560</f>
        <v/>
      </c>
      <c r="W108" s="1148" t="n"/>
      <c r="X108" s="1148" t="n"/>
    </row>
    <row r="109">
      <c r="N109" s="1454" t="n"/>
      <c r="O109" s="1454" t="n"/>
      <c r="P109" s="1454" t="n"/>
      <c r="Q109" s="1454" t="n"/>
      <c r="R109" s="1454" t="n"/>
      <c r="S109" s="1454" t="n"/>
      <c r="T109" s="1209" t="inlineStr">
        <is>
          <t>Excess Land</t>
        </is>
      </c>
      <c r="U109" s="1768" t="n"/>
      <c r="V109" s="1769">
        <f>U109/43560</f>
        <v/>
      </c>
      <c r="W109" s="1148" t="n"/>
      <c r="X109" s="1148" t="n"/>
    </row>
    <row r="110">
      <c r="N110" s="1454" t="n"/>
      <c r="O110" s="1454" t="n"/>
      <c r="P110" s="1454" t="n"/>
      <c r="Q110" s="1454" t="n"/>
      <c r="R110" s="1454" t="n"/>
      <c r="S110" s="1454" t="n"/>
      <c r="T110" s="1209" t="inlineStr">
        <is>
          <t>Surplus Land</t>
        </is>
      </c>
      <c r="U110" s="1768" t="n"/>
      <c r="V110" s="1769">
        <f>U110/43560</f>
        <v/>
      </c>
      <c r="W110" s="1148" t="n"/>
      <c r="X110" s="1148" t="n"/>
    </row>
    <row r="111">
      <c r="N111" s="1454" t="n"/>
      <c r="O111" s="1454" t="n"/>
      <c r="P111" s="1454" t="n"/>
      <c r="Q111" s="1454" t="n"/>
      <c r="R111" s="1454" t="n"/>
      <c r="S111" s="1454" t="n"/>
      <c r="T111" s="826" t="inlineStr">
        <is>
          <t>Total</t>
        </is>
      </c>
      <c r="U111" s="1770">
        <f>SUM(U108:U110)</f>
        <v/>
      </c>
      <c r="V111" s="1771">
        <f>U111/43560</f>
        <v/>
      </c>
      <c r="W111" s="1148" t="n"/>
      <c r="X111" s="1148" t="n"/>
    </row>
    <row r="112">
      <c r="N112" s="1454" t="n"/>
      <c r="O112" s="1454" t="n"/>
      <c r="P112" s="1454" t="n"/>
      <c r="Q112" s="1454" t="n"/>
      <c r="R112" s="1454" t="n"/>
      <c r="S112" s="1454" t="n"/>
      <c r="T112" s="826" t="inlineStr">
        <is>
          <t>Zoning</t>
        </is>
      </c>
      <c r="U112" s="1452">
        <f>'Property Info'!B30</f>
        <v/>
      </c>
    </row>
    <row r="113">
      <c r="N113" s="1454" t="n"/>
      <c r="O113" s="1454" t="n"/>
      <c r="P113" s="1454" t="n"/>
      <c r="Q113" s="1454" t="n"/>
      <c r="R113" s="1454" t="n"/>
      <c r="S113" s="1454" t="n"/>
      <c r="T113" s="826" t="inlineStr">
        <is>
          <t>Flood Status</t>
        </is>
      </c>
      <c r="U113" s="1452">
        <f>'Site Information'!C17</f>
        <v/>
      </c>
    </row>
    <row r="114">
      <c r="N114" s="1454" t="n"/>
      <c r="O114" s="1454" t="n"/>
      <c r="P114" s="1454" t="n"/>
      <c r="Q114" s="1454" t="n"/>
      <c r="R114" s="1454" t="n"/>
      <c r="S114" s="1454" t="n"/>
      <c r="T114" s="826" t="inlineStr">
        <is>
          <t>Year Built</t>
        </is>
      </c>
      <c r="U114" s="1452">
        <f>'Property Info'!B9</f>
        <v/>
      </c>
    </row>
    <row r="115" hidden="1" s="1449">
      <c r="N115" s="1454" t="n"/>
      <c r="O115" s="1454" t="n"/>
      <c r="P115" s="1454" t="n"/>
      <c r="Q115" s="1454" t="n"/>
      <c r="R115" s="1454" t="n"/>
      <c r="S115" s="1454" t="n"/>
      <c r="T115" s="1147" t="inlineStr">
        <is>
          <t>and</t>
        </is>
      </c>
      <c r="U115" s="1455">
        <f>'[7]Improvement Description_2'!C34</f>
        <v/>
      </c>
    </row>
    <row r="116">
      <c r="N116" s="1454" t="n"/>
      <c r="O116" s="1454" t="n"/>
      <c r="P116" s="1454" t="n"/>
      <c r="Q116" s="1454" t="n"/>
      <c r="R116" s="1454" t="n"/>
      <c r="S116" s="1454" t="n"/>
      <c r="T116" s="826" t="inlineStr">
        <is>
          <t>Year Renovated</t>
        </is>
      </c>
      <c r="U116" s="1455" t="n"/>
    </row>
    <row r="117" hidden="1" s="1449">
      <c r="N117" s="1454" t="n"/>
      <c r="O117" s="1454" t="n"/>
      <c r="P117" s="1454" t="n"/>
      <c r="Q117" s="1454" t="n"/>
      <c r="R117" s="1454" t="n"/>
      <c r="S117" s="1454" t="n"/>
      <c r="T117" s="1147" t="inlineStr">
        <is>
          <t>and</t>
        </is>
      </c>
      <c r="U117" s="1452">
        <f>IF(OR('[7]Improvement Description_2'!C35=0,'[7]Improvement Description_2'!C35=""),"N/A",'[7]Improvement Description_2'!C35)</f>
        <v/>
      </c>
    </row>
    <row r="118">
      <c r="N118" s="1454" t="n"/>
      <c r="O118" s="1454" t="n"/>
      <c r="P118" s="1454" t="n"/>
      <c r="Q118" s="1454" t="n"/>
      <c r="R118" s="1454" t="n"/>
      <c r="S118" s="1454" t="n"/>
      <c r="T118" s="826" t="inlineStr">
        <is>
          <t>Type of Construction</t>
        </is>
      </c>
      <c r="U118" s="1455" t="n"/>
    </row>
    <row r="119" hidden="1" s="1449">
      <c r="N119" s="1454" t="n"/>
      <c r="O119" s="1454" t="n"/>
      <c r="P119" s="1454" t="n"/>
      <c r="Q119" s="1454" t="n"/>
      <c r="R119" s="1454" t="n"/>
      <c r="S119" s="1454" t="n"/>
      <c r="T119" s="1147" t="inlineStr">
        <is>
          <t>and</t>
        </is>
      </c>
      <c r="U119" s="1452">
        <f>'[7]Improvement Description_2'!C85</f>
        <v/>
      </c>
    </row>
    <row r="120">
      <c r="N120" s="1454" t="n"/>
      <c r="O120" s="1454" t="n"/>
      <c r="P120" s="1454" t="n"/>
      <c r="Q120" s="1454" t="n"/>
      <c r="R120" s="1454" t="n"/>
      <c r="S120" s="1454" t="n"/>
      <c r="T120" s="826" t="inlineStr">
        <is>
          <t>Number of Buildings</t>
        </is>
      </c>
      <c r="U120" s="1467">
        <f>'Property Info'!B4</f>
        <v/>
      </c>
    </row>
    <row r="121" hidden="1" s="1449">
      <c r="N121" s="1454" t="n"/>
      <c r="O121" s="1454" t="n"/>
      <c r="P121" s="1454" t="n"/>
      <c r="Q121" s="1454" t="n"/>
      <c r="R121" s="1454" t="n"/>
      <c r="S121" s="1454" t="n"/>
      <c r="T121" s="1147" t="inlineStr">
        <is>
          <t>and</t>
        </is>
      </c>
      <c r="U121" s="1452">
        <f>'[7]Improvement Description_2'!C36</f>
        <v/>
      </c>
    </row>
    <row r="122">
      <c r="N122" s="1454" t="n"/>
      <c r="O122" s="1454" t="n"/>
      <c r="P122" s="1454" t="n"/>
      <c r="Q122" s="1454" t="n"/>
      <c r="R122" s="1454" t="n"/>
      <c r="S122" s="1454" t="n"/>
      <c r="T122" s="826" t="inlineStr">
        <is>
          <t>Gross Leasable Area (SF)</t>
        </is>
      </c>
      <c r="U122" s="1772">
        <f>'Property Info'!B5</f>
        <v/>
      </c>
    </row>
    <row r="123" hidden="1" s="1449">
      <c r="N123" s="1454" t="n"/>
      <c r="O123" s="1454" t="n"/>
      <c r="P123" s="1454" t="n"/>
      <c r="Q123" s="1454" t="n"/>
      <c r="R123" s="1454" t="n"/>
      <c r="S123" s="1454" t="n"/>
      <c r="T123" s="1147" t="inlineStr">
        <is>
          <t>and</t>
        </is>
      </c>
      <c r="U123" s="1772">
        <f>'[7]Improvement Description_2'!C39</f>
        <v/>
      </c>
    </row>
    <row r="124" hidden="1" s="1449">
      <c r="N124" s="1454" t="n"/>
      <c r="O124" s="1454" t="n"/>
      <c r="P124" s="1454" t="n"/>
      <c r="Q124" s="1454" t="n"/>
      <c r="R124" s="1454" t="n"/>
      <c r="S124" s="1454" t="n"/>
      <c r="T124" s="826" t="inlineStr">
        <is>
          <t>Net Rentable Area (SF)</t>
        </is>
      </c>
      <c r="U124" s="1772">
        <f>'Property Info'!B7</f>
        <v/>
      </c>
    </row>
    <row r="125" hidden="1" ht="14.25" customHeight="1" s="1449">
      <c r="N125" s="1454" t="n"/>
      <c r="O125" s="1454" t="n"/>
      <c r="P125" s="1454" t="n"/>
      <c r="Q125" s="1454" t="n"/>
      <c r="R125" s="1454" t="n"/>
      <c r="S125" s="1454" t="n"/>
      <c r="T125" s="1147" t="inlineStr">
        <is>
          <t>and</t>
        </is>
      </c>
      <c r="U125" s="1772">
        <f>'[7]Improvement Description_2'!C40</f>
        <v/>
      </c>
    </row>
    <row r="126">
      <c r="N126" s="1454" t="n"/>
      <c r="O126" s="1454" t="n"/>
      <c r="P126" s="1454" t="n"/>
      <c r="Q126" s="1454" t="n"/>
      <c r="R126" s="1479" t="n"/>
      <c r="S126" s="1479" t="n"/>
      <c r="T126" s="826" t="inlineStr">
        <is>
          <t>Total Number of Units</t>
        </is>
      </c>
      <c r="U126" s="1455" t="n"/>
    </row>
    <row r="127">
      <c r="N127" s="1454" t="n"/>
      <c r="O127" s="1454" t="n"/>
      <c r="P127" s="1454" t="n"/>
      <c r="Q127" s="1454" t="n"/>
      <c r="R127" s="1479" t="n"/>
      <c r="S127" s="1479" t="n"/>
      <c r="T127" s="826" t="inlineStr">
        <is>
          <t>Total Number of Tenants</t>
        </is>
      </c>
      <c r="U127" s="1455" t="n"/>
    </row>
    <row r="128">
      <c r="N128" s="1454" t="n"/>
      <c r="O128" s="1454" t="n"/>
      <c r="P128" s="1454" t="n"/>
      <c r="Q128" s="1454" t="n"/>
      <c r="R128" s="1454" t="n"/>
      <c r="S128" s="1454" t="n"/>
      <c r="T128" s="826" t="inlineStr">
        <is>
          <t>Assumed Occupancy</t>
        </is>
      </c>
      <c r="U128" s="1491">
        <f>'Property Info'!B20</f>
        <v/>
      </c>
    </row>
    <row r="129">
      <c r="N129" s="1454" t="n"/>
      <c r="O129" s="1454" t="n"/>
      <c r="P129" s="1454" t="n"/>
      <c r="Q129" s="1454" t="n"/>
      <c r="R129" s="1454" t="n"/>
      <c r="S129" s="1454" t="n"/>
      <c r="T129" s="826" t="inlineStr">
        <is>
          <t>Overall Condition</t>
        </is>
      </c>
      <c r="U129" s="1452">
        <f>'Property Info'!B10</f>
        <v/>
      </c>
    </row>
    <row r="130">
      <c r="N130" s="1454" t="n"/>
      <c r="O130" s="1454" t="n"/>
      <c r="P130" s="1454" t="n"/>
      <c r="Q130" s="1454" t="n"/>
      <c r="R130" s="1454" t="n"/>
      <c r="S130" s="1454" t="n"/>
      <c r="T130" s="826" t="inlineStr">
        <is>
          <t>Overall Quality</t>
        </is>
      </c>
      <c r="U130" s="1467">
        <f>Export030823!U2</f>
        <v/>
      </c>
    </row>
    <row r="131">
      <c r="T131" s="886" t="inlineStr">
        <is>
          <t>Overall Design/Functionality</t>
        </is>
      </c>
      <c r="U131" s="1485">
        <f>Export030823!X2</f>
        <v/>
      </c>
      <c r="V131" s="1464" t="n"/>
      <c r="W131" s="1464" t="n"/>
      <c r="X131" s="1464" t="n"/>
    </row>
    <row r="132" customFormat="1" s="1454">
      <c r="Y132" s="1463" t="inlineStr">
        <is>
          <t>FILL IN ENTIRE TABLE HERE</t>
        </is>
      </c>
      <c r="Z132" s="1464" t="n"/>
      <c r="AA132" s="1464" t="n"/>
      <c r="AB132" s="1464" t="n"/>
    </row>
    <row r="133">
      <c r="Y133" s="1476" t="inlineStr">
        <is>
          <t>APPEAL HISTORY</t>
        </is>
      </c>
      <c r="Z133" s="1477" t="n"/>
      <c r="AA133" s="1477" t="n"/>
      <c r="AB133" s="1477" t="n"/>
    </row>
    <row r="134">
      <c r="Y134" s="417" t="inlineStr">
        <is>
          <t>Docket #:</t>
        </is>
      </c>
      <c r="Z134" s="1486" t="n"/>
    </row>
    <row r="135">
      <c r="Y135" s="1190" t="n"/>
      <c r="Z135" s="1191" t="inlineStr">
        <is>
          <t>Land</t>
        </is>
      </c>
      <c r="AA135" s="1191" t="inlineStr">
        <is>
          <t>Improvements</t>
        </is>
      </c>
      <c r="AB135" s="1191" t="inlineStr">
        <is>
          <t>Total</t>
        </is>
      </c>
    </row>
    <row r="136">
      <c r="Y136" s="824" t="inlineStr">
        <is>
          <t>Assessor's Assigned Value</t>
        </is>
      </c>
      <c r="Z136" s="1773" t="n"/>
      <c r="AA136" s="1774" t="n"/>
      <c r="AB136" s="1774">
        <f>SUM(Z136:AA136)</f>
        <v/>
      </c>
    </row>
    <row r="137">
      <c r="Y137" s="824" t="inlineStr">
        <is>
          <t>Petitioners Estimated Value</t>
        </is>
      </c>
      <c r="Z137" s="1773" t="n"/>
      <c r="AA137" s="1774" t="n"/>
      <c r="AB137" s="1774">
        <f>SUM(Z137:AA137)</f>
        <v/>
      </c>
    </row>
    <row r="138" ht="13.5" customHeight="1" s="1449">
      <c r="Y138" s="417" t="inlineStr">
        <is>
          <t>Adjustment by Assessor</t>
        </is>
      </c>
      <c r="Z138" s="1773" t="n">
        <v>0</v>
      </c>
      <c r="AA138" s="1774" t="n">
        <v>0</v>
      </c>
      <c r="AB138" s="1774">
        <f>SUM(Z138:AA138)</f>
        <v/>
      </c>
    </row>
    <row r="139" ht="6.75" customHeight="1" s="1449">
      <c r="Y139" s="417" t="n"/>
      <c r="Z139" s="1773" t="n"/>
      <c r="AA139" s="1774" t="n"/>
      <c r="AB139" s="1774" t="n"/>
    </row>
    <row r="140" ht="15" customHeight="1" s="1449">
      <c r="Y140" s="417" t="inlineStr">
        <is>
          <t>BOE Assigned Value</t>
        </is>
      </c>
      <c r="Z140" s="1773">
        <f>Z136</f>
        <v/>
      </c>
      <c r="AA140" s="1774">
        <f>AA136</f>
        <v/>
      </c>
      <c r="AB140" s="1774">
        <f>SUM(Z140:AA140)</f>
        <v/>
      </c>
    </row>
    <row r="141" ht="15" customHeight="1" s="1449">
      <c r="Y141" s="1194" t="inlineStr">
        <is>
          <t>BOE #</t>
        </is>
      </c>
      <c r="Z141" s="1457" t="n"/>
      <c r="AB141" s="1775" t="n"/>
    </row>
    <row r="142" ht="15" customHeight="1" s="1449">
      <c r="Y142" s="1196" t="inlineStr">
        <is>
          <t>Adjustment by BOE</t>
        </is>
      </c>
      <c r="Z142" s="1773" t="n">
        <v>0</v>
      </c>
      <c r="AA142" s="1774" t="n">
        <v>0</v>
      </c>
      <c r="AB142" s="1774">
        <f>SUM(Z142:AA142)</f>
        <v/>
      </c>
    </row>
    <row r="143">
      <c r="Y143" s="1197" t="inlineStr">
        <is>
          <t>Current Actual Value</t>
        </is>
      </c>
      <c r="Z143" s="1776">
        <f>Z136</f>
        <v/>
      </c>
      <c r="AA143" s="1777">
        <f>AA136</f>
        <v/>
      </c>
      <c r="AB143" s="1777">
        <f>SUM(Z143:AA143)</f>
        <v/>
      </c>
      <c r="AC143" s="1463" t="inlineStr">
        <is>
          <t>FILL IN ENTIRE TABLE HERE</t>
        </is>
      </c>
      <c r="AD143" s="1464" t="n"/>
      <c r="AE143" s="1464" t="n"/>
      <c r="AF143" s="1464" t="n"/>
    </row>
    <row r="144" hidden="1" s="1449">
      <c r="Y144" s="417" t="inlineStr">
        <is>
          <t>Current Assessed Value</t>
        </is>
      </c>
      <c r="Z144" s="1778" t="n"/>
      <c r="AA144" s="1779" t="n"/>
      <c r="AB144" s="1774">
        <f>SUM(Z144:AA144)</f>
        <v/>
      </c>
    </row>
    <row r="145" hidden="1" s="1449">
      <c r="Y145" s="1189" t="inlineStr">
        <is>
          <t>Current Assessed Value</t>
        </is>
      </c>
      <c r="Z145" s="1780" t="n"/>
      <c r="AA145" s="1781" t="n"/>
      <c r="AB145" s="1777">
        <f>SUM(Z145:AA145)</f>
        <v/>
      </c>
    </row>
    <row r="146" hidden="1" s="1449">
      <c r="Y146" s="417" t="n"/>
      <c r="Z146" s="1465" t="n"/>
    </row>
    <row r="147">
      <c r="Y147" s="417" t="n"/>
      <c r="Z147" s="1124" t="n"/>
      <c r="AA147" s="1184" t="n"/>
      <c r="AB147" s="1184" t="n"/>
      <c r="AC147" s="1482" t="inlineStr">
        <is>
          <t>SUBJECT SALE HISTORY</t>
        </is>
      </c>
    </row>
    <row r="148">
      <c r="Y148" s="824" t="n"/>
      <c r="Z148" s="1782" t="n"/>
      <c r="AA148" s="1783" t="n"/>
      <c r="AB148" s="1184" t="n"/>
      <c r="AC148" s="1065" t="n"/>
      <c r="AD148" s="1204" t="inlineStr">
        <is>
          <t>Status</t>
        </is>
      </c>
      <c r="AE148" s="1204" t="inlineStr">
        <is>
          <t>Price</t>
        </is>
      </c>
      <c r="AF148" s="1204" t="inlineStr">
        <is>
          <t>Price PSF</t>
        </is>
      </c>
    </row>
    <row r="149">
      <c r="Y149" s="824" t="n"/>
      <c r="Z149" s="1782" t="n"/>
      <c r="AA149" s="1783" t="n"/>
      <c r="AB149" s="1184" t="n"/>
      <c r="AC149" s="889" t="inlineStr">
        <is>
          <t>Subject Listed for Sale/Price</t>
        </is>
      </c>
      <c r="AD149" s="1784">
        <f>IF(AE149="N/A","N/A","Currently Listed")</f>
        <v/>
      </c>
      <c r="AE149" s="1785">
        <f>IF('[7]Property History'!T115&gt;0,'[7]Property History'!T115,"N/A")</f>
        <v/>
      </c>
      <c r="AF149" s="1786">
        <f>IFERROR(AE149/GBA,0)</f>
        <v/>
      </c>
    </row>
    <row r="150">
      <c r="Y150" s="824" t="n"/>
      <c r="Z150" s="1782" t="n"/>
      <c r="AA150" s="1783" t="n"/>
      <c r="AB150" s="1184" t="n"/>
      <c r="AC150" s="889" t="inlineStr">
        <is>
          <t>Subject Under Contract/Price</t>
        </is>
      </c>
      <c r="AD150" s="1784">
        <f>IF('[7]Property History'!T122="","N/A",'[7]Property History'!T122)</f>
        <v/>
      </c>
      <c r="AE150" s="1785">
        <f>IF('[7]Property History'!T123&gt;0,'[7]Property History'!T123,"N/A")</f>
        <v/>
      </c>
      <c r="AF150" s="1786">
        <f>IFERROR(AE150/GBA,0)</f>
        <v/>
      </c>
    </row>
    <row r="151">
      <c r="Y151" s="824" t="n"/>
      <c r="Z151" s="1787" t="n"/>
      <c r="AA151" s="1788" t="n"/>
      <c r="AB151" s="1184" t="n"/>
      <c r="AC151" s="889" t="inlineStr">
        <is>
          <t>Recent Sale</t>
        </is>
      </c>
      <c r="AD151" s="1784">
        <f>IF('[7]Property History'!T132="","N/A",'[7]Property History'!T132)</f>
        <v/>
      </c>
      <c r="AE151" s="1785">
        <f>IF('[7]Property History'!T134&gt;0,'[7]Property History'!T134,"N/A")</f>
        <v/>
      </c>
      <c r="AF151" s="1786">
        <f>IFERROR(AE151/GBA,0)</f>
        <v/>
      </c>
    </row>
    <row r="152">
      <c r="Y152" s="824" t="n"/>
      <c r="Z152" s="1448" t="n"/>
      <c r="AC152" s="1205" t="inlineStr">
        <is>
          <t>Recent Sale</t>
        </is>
      </c>
      <c r="AD152" s="1789">
        <f>IF('[7]Property History'!T132="","N/A",'[7]Property History'!T132)</f>
        <v/>
      </c>
      <c r="AE152" s="1790">
        <f>IF('[7]Property History'!T134&gt;0,'[7]Property History'!T134,"N/A")</f>
        <v/>
      </c>
      <c r="AF152" s="1791">
        <f>IFERROR(AE152/GBA,0)</f>
        <v/>
      </c>
    </row>
    <row r="153">
      <c r="Y153" s="824" t="n"/>
      <c r="Z153" s="1448" t="n"/>
    </row>
    <row r="154">
      <c r="Y154" s="1183" t="n"/>
      <c r="Z154" s="1448" t="n"/>
    </row>
    <row r="155">
      <c r="Y155" s="824" t="n"/>
      <c r="Z155" s="1792" t="n"/>
    </row>
    <row r="156">
      <c r="Y156" s="1183" t="n"/>
      <c r="Z156" s="1792" t="n"/>
    </row>
    <row r="157">
      <c r="Y157" s="824" t="n"/>
      <c r="Z157" s="1792" t="n"/>
    </row>
    <row r="158">
      <c r="Y158" s="1183" t="n"/>
      <c r="Z158" s="1792" t="n"/>
    </row>
    <row r="159">
      <c r="Y159" s="824" t="n"/>
      <c r="Z159" s="1448" t="n"/>
    </row>
    <row r="160">
      <c r="Y160" s="824" t="n"/>
      <c r="Z160" s="1448" t="n"/>
    </row>
    <row r="161">
      <c r="Y161" s="824" t="n"/>
      <c r="Z161" s="1793" t="n"/>
    </row>
    <row r="162">
      <c r="Y162" s="824" t="n"/>
      <c r="Z162" s="1448" t="n"/>
    </row>
    <row r="163">
      <c r="Y163" s="824" t="n"/>
      <c r="Z163" s="1448" t="n"/>
    </row>
    <row r="164">
      <c r="Y164" s="1189" t="n"/>
      <c r="Z164" s="1472" t="n"/>
      <c r="AA164" s="1464" t="n"/>
      <c r="AB164" s="1464" t="n"/>
    </row>
  </sheetData>
  <mergeCells count="115">
    <mergeCell ref="Z156:AB156"/>
    <mergeCell ref="R92:S92"/>
    <mergeCell ref="U118:X118"/>
    <mergeCell ref="G28:L28"/>
    <mergeCell ref="H43:L43"/>
    <mergeCell ref="M49:Q49"/>
    <mergeCell ref="H41:L41"/>
    <mergeCell ref="R94:S94"/>
    <mergeCell ref="R84:S84"/>
    <mergeCell ref="U128:X128"/>
    <mergeCell ref="H95:J95"/>
    <mergeCell ref="Z152:AB152"/>
    <mergeCell ref="N75:Q75"/>
    <mergeCell ref="U96:X96"/>
    <mergeCell ref="N53:Q53"/>
    <mergeCell ref="D23:F23"/>
    <mergeCell ref="U105:X105"/>
    <mergeCell ref="Z158:AB158"/>
    <mergeCell ref="U120:X120"/>
    <mergeCell ref="AC147:AF147"/>
    <mergeCell ref="M70:M74"/>
    <mergeCell ref="N61:Q61"/>
    <mergeCell ref="Z160:AB160"/>
    <mergeCell ref="U122:X122"/>
    <mergeCell ref="U131:X131"/>
    <mergeCell ref="U100:X100"/>
    <mergeCell ref="T95:X95"/>
    <mergeCell ref="Z159:AB159"/>
    <mergeCell ref="U106:X106"/>
    <mergeCell ref="U115:X115"/>
    <mergeCell ref="Z134:AB134"/>
    <mergeCell ref="U102:X102"/>
    <mergeCell ref="Z164:AB164"/>
    <mergeCell ref="H29:L29"/>
    <mergeCell ref="R82:S82"/>
    <mergeCell ref="B3:C3"/>
    <mergeCell ref="H38:L38"/>
    <mergeCell ref="H40:L40"/>
    <mergeCell ref="N65:Q65"/>
    <mergeCell ref="N74:Q74"/>
    <mergeCell ref="U119:X119"/>
    <mergeCell ref="N50:Q50"/>
    <mergeCell ref="N51:Q51"/>
    <mergeCell ref="Y133:AB133"/>
    <mergeCell ref="R86:S86"/>
    <mergeCell ref="N66:Q66"/>
    <mergeCell ref="U104:X104"/>
    <mergeCell ref="M50:M58"/>
    <mergeCell ref="N68:Q68"/>
    <mergeCell ref="U97:X97"/>
    <mergeCell ref="N52:Q52"/>
    <mergeCell ref="R81:S81"/>
    <mergeCell ref="H42:L42"/>
    <mergeCell ref="N67:Q67"/>
    <mergeCell ref="N69:Q69"/>
    <mergeCell ref="N78:Q78"/>
    <mergeCell ref="U121:X121"/>
    <mergeCell ref="Z161:AB161"/>
    <mergeCell ref="U114:X114"/>
    <mergeCell ref="U129:X129"/>
    <mergeCell ref="U123:X123"/>
    <mergeCell ref="R90:S90"/>
    <mergeCell ref="N70:Q70"/>
    <mergeCell ref="N79:Q79"/>
    <mergeCell ref="H46:L46"/>
    <mergeCell ref="N54:Q54"/>
    <mergeCell ref="Z162:AB162"/>
    <mergeCell ref="Z153:AB153"/>
    <mergeCell ref="N63:Q63"/>
    <mergeCell ref="U124:X124"/>
    <mergeCell ref="H45:L45"/>
    <mergeCell ref="Z146:AB146"/>
    <mergeCell ref="N56:Q56"/>
    <mergeCell ref="R91:S91"/>
    <mergeCell ref="R85:S85"/>
    <mergeCell ref="Z163:AB163"/>
    <mergeCell ref="U125:X125"/>
    <mergeCell ref="H33:L33"/>
    <mergeCell ref="U112:X112"/>
    <mergeCell ref="N59:Q59"/>
    <mergeCell ref="U127:X127"/>
    <mergeCell ref="H35:L35"/>
    <mergeCell ref="Z155:AB155"/>
    <mergeCell ref="N60:Q60"/>
    <mergeCell ref="U98:X98"/>
    <mergeCell ref="Z141:AA141"/>
    <mergeCell ref="U113:X113"/>
    <mergeCell ref="Z157:AB157"/>
    <mergeCell ref="R87:S87"/>
    <mergeCell ref="H34:L34"/>
    <mergeCell ref="H39:L39"/>
    <mergeCell ref="H30:K30"/>
    <mergeCell ref="N55:Q55"/>
    <mergeCell ref="H36:L36"/>
    <mergeCell ref="U99:X99"/>
    <mergeCell ref="H31:K31"/>
    <mergeCell ref="N72:Q72"/>
    <mergeCell ref="U101:X101"/>
    <mergeCell ref="H37:L37"/>
    <mergeCell ref="N62:Q62"/>
    <mergeCell ref="Y132:AB132"/>
    <mergeCell ref="N71:Q71"/>
    <mergeCell ref="N58:Q58"/>
    <mergeCell ref="U126:X126"/>
    <mergeCell ref="Z154:AB154"/>
    <mergeCell ref="N64:Q64"/>
    <mergeCell ref="R93:S93"/>
    <mergeCell ref="N73:Q73"/>
    <mergeCell ref="U116:X116"/>
    <mergeCell ref="H32:K32"/>
    <mergeCell ref="U130:X130"/>
    <mergeCell ref="AC143:AF143"/>
    <mergeCell ref="U103:X103"/>
    <mergeCell ref="U117:X117"/>
    <mergeCell ref="N57:Q57"/>
  </mergeCell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B2:P37"/>
  <sheetViews>
    <sheetView zoomScale="175" zoomScaleNormal="175" workbookViewId="0">
      <selection activeCell="F32" sqref="F32"/>
    </sheetView>
  </sheetViews>
  <sheetFormatPr baseColWidth="8" defaultRowHeight="15"/>
  <cols>
    <col width="32.42578125" customWidth="1" style="1449" min="2" max="2"/>
    <col width="14.85546875" customWidth="1" style="1449" min="3" max="3"/>
    <col width="21.85546875" bestFit="1" customWidth="1" style="1449" min="4" max="4"/>
    <col width="14" bestFit="1" customWidth="1" style="1449" min="5" max="5"/>
    <col width="23.28515625" customWidth="1" style="1449" min="6" max="6"/>
    <col width="19.42578125" customWidth="1" style="1449" min="7" max="9"/>
    <col width="13.5703125" customWidth="1" style="1449" min="13" max="13"/>
  </cols>
  <sheetData>
    <row r="2">
      <c r="B2" s="1493" t="inlineStr">
        <is>
          <t>MARKET DATA</t>
        </is>
      </c>
    </row>
    <row r="3">
      <c r="B3" s="889" t="inlineStr">
        <is>
          <t>Surrounding Area</t>
        </is>
      </c>
      <c r="C3" s="1212" t="inlineStr">
        <is>
          <t xml:space="preserve">Industrial </t>
        </is>
      </c>
      <c r="D3" s="889" t="inlineStr">
        <is>
          <t>Market Trend</t>
        </is>
      </c>
      <c r="E3" s="1496" t="inlineStr">
        <is>
          <t>Growth</t>
        </is>
      </c>
    </row>
    <row r="4">
      <c r="B4" s="889" t="inlineStr">
        <is>
          <t>Overall Real Estate Values</t>
        </is>
      </c>
      <c r="C4" s="1212" t="inlineStr">
        <is>
          <t xml:space="preserve">Increasing </t>
        </is>
      </c>
      <c r="D4" s="889" t="inlineStr">
        <is>
          <t>Neighborhood Vacancy</t>
        </is>
      </c>
      <c r="E4" s="1214" t="n"/>
    </row>
    <row r="5" ht="15" customHeight="1" s="1449">
      <c r="B5" s="889" t="inlineStr">
        <is>
          <t>Predominant Property Use(s)</t>
        </is>
      </c>
      <c r="C5" s="1458" t="inlineStr">
        <is>
          <t>Industrial
Neighborhood Retail
Lodging</t>
        </is>
      </c>
      <c r="D5" s="889" t="inlineStr">
        <is>
          <t>Estimated Marketing</t>
        </is>
      </c>
      <c r="E5" s="1496" t="inlineStr">
        <is>
          <t>12 months</t>
        </is>
      </c>
    </row>
    <row r="6" ht="30.75" customHeight="1" s="1449">
      <c r="D6" s="889" t="inlineStr">
        <is>
          <t>Estimated Exposure</t>
        </is>
      </c>
      <c r="E6" s="1496" t="inlineStr">
        <is>
          <t>12 months</t>
        </is>
      </c>
    </row>
    <row r="7">
      <c r="B7" s="889" t="inlineStr">
        <is>
          <t>Market Subsector(s)</t>
        </is>
      </c>
      <c r="C7" s="1073" t="n"/>
      <c r="D7" s="1494" t="n"/>
      <c r="E7" s="1495" t="n"/>
      <c r="F7" t="inlineStr">
        <is>
          <t>←Change this</t>
        </is>
      </c>
    </row>
    <row r="8">
      <c r="B8" s="1496" t="inlineStr">
        <is>
          <t>Vacancy - CoStar - Industrial 20,000 SF-50,000 SF</t>
        </is>
      </c>
      <c r="D8" s="1500" t="n"/>
      <c r="E8" s="1501" t="n"/>
      <c r="F8" t="inlineStr">
        <is>
          <t>←From Income</t>
        </is>
      </c>
    </row>
    <row r="9">
      <c r="B9" s="889" t="n"/>
      <c r="C9" s="1073" t="n"/>
      <c r="D9" s="1494">
        <f>D7</f>
        <v/>
      </c>
      <c r="E9" s="1495" t="n"/>
      <c r="F9" t="inlineStr">
        <is>
          <t>←Change This</t>
        </is>
      </c>
    </row>
    <row r="10">
      <c r="B10" s="1498" t="inlineStr">
        <is>
          <t>Vacancy - CoStar - Industrial 20,000 SF-50,000 SF</t>
        </is>
      </c>
      <c r="C10" s="1464" t="n"/>
      <c r="D10" s="1503" t="n"/>
      <c r="E10" s="1504" t="n"/>
      <c r="F10" t="inlineStr">
        <is>
          <t>←From Income</t>
        </is>
      </c>
    </row>
    <row r="11">
      <c r="F11" s="1493" t="inlineStr">
        <is>
          <t>NEIGHBORHOOD DATA</t>
        </is>
      </c>
    </row>
    <row r="12" ht="173.25" customHeight="1" s="1449">
      <c r="F12" s="896" t="inlineStr">
        <is>
          <t>Market Area Comments</t>
        </is>
      </c>
      <c r="G12" s="1458" t="n"/>
    </row>
    <row r="13">
      <c r="F13" s="1502" t="inlineStr">
        <is>
          <t>Surrounding Uses</t>
        </is>
      </c>
      <c r="G13" s="1051" t="n"/>
      <c r="H13" s="1496" t="inlineStr">
        <is>
          <t>Industrial Lots</t>
        </is>
      </c>
    </row>
    <row r="14">
      <c r="G14" s="1051" t="n"/>
      <c r="H14" s="1496" t="inlineStr">
        <is>
          <t>Light Industrial</t>
        </is>
      </c>
    </row>
    <row r="15">
      <c r="G15" s="1051" t="n"/>
      <c r="H15" s="1496" t="inlineStr">
        <is>
          <t xml:space="preserve">Industrial Storage Lot </t>
        </is>
      </c>
    </row>
    <row r="16">
      <c r="F16" s="1464" t="n"/>
      <c r="G16" s="1052" t="n"/>
      <c r="H16" s="1498" t="inlineStr">
        <is>
          <t>Light Industrial</t>
        </is>
      </c>
      <c r="I16" s="1464" t="n"/>
    </row>
    <row r="17" hidden="1" ht="15" customHeight="1" s="1449">
      <c r="F17" s="897" t="inlineStr">
        <is>
          <t>Property Contact Interview</t>
        </is>
      </c>
      <c r="G17" s="1499">
        <f>clInspectionContactName</f>
        <v/>
      </c>
      <c r="H17" s="1464" t="n"/>
      <c r="I17" s="1464" t="n"/>
    </row>
    <row r="18" ht="51.75" customHeight="1" s="1449">
      <c r="I18" s="1343" t="inlineStr">
        <is>
          <t>CHANGE →</t>
        </is>
      </c>
      <c r="J18" s="1497" t="inlineStr">
        <is>
          <t>Average Sale Price - Denver Market Industrial - 10,000 SF-50,000 SF</t>
        </is>
      </c>
      <c r="N18" s="1497" t="inlineStr">
        <is>
          <t>Average Sale Price - Adams County Industrial - 10,000 SF-50,000 SF</t>
        </is>
      </c>
    </row>
    <row r="19" ht="25.5" customHeight="1" s="1449">
      <c r="J19" s="1340" t="inlineStr">
        <is>
          <t>Period</t>
        </is>
      </c>
      <c r="K19" s="1341" t="inlineStr">
        <is>
          <t>Avg. Price ($/SF)</t>
        </is>
      </c>
      <c r="L19" s="1341" t="inlineStr">
        <is>
          <t>% Change - Q2 2020</t>
        </is>
      </c>
      <c r="M19" s="1342" t="inlineStr">
        <is>
          <t>←CHANGE →</t>
        </is>
      </c>
      <c r="N19" s="1340" t="inlineStr">
        <is>
          <t>Period</t>
        </is>
      </c>
      <c r="O19" s="1341" t="inlineStr">
        <is>
          <t>Avg. Price ($/SF)</t>
        </is>
      </c>
      <c r="P19" s="1341" t="inlineStr">
        <is>
          <t>% Change - Q2 2020</t>
        </is>
      </c>
    </row>
    <row r="20" ht="15" customHeight="1" s="1449">
      <c r="J20" s="601" t="n"/>
      <c r="K20" s="1794" t="n"/>
      <c r="L20" s="603" t="n"/>
      <c r="N20" s="601" t="n"/>
      <c r="O20" s="1794" t="n"/>
      <c r="P20" s="603" t="n"/>
    </row>
    <row r="21">
      <c r="J21" s="601" t="n"/>
      <c r="K21" s="1794" t="n"/>
      <c r="L21" s="1795" t="n"/>
      <c r="N21" s="601" t="n"/>
      <c r="O21" s="1794" t="n"/>
      <c r="P21" s="1795" t="n"/>
    </row>
    <row r="22">
      <c r="J22" s="601" t="n"/>
      <c r="K22" s="1794" t="n"/>
      <c r="L22" s="1795" t="n"/>
      <c r="N22" s="601" t="n"/>
      <c r="O22" s="1794" t="n"/>
      <c r="P22" s="1795" t="n"/>
    </row>
    <row r="23">
      <c r="J23" s="601" t="n"/>
      <c r="K23" s="1794" t="n"/>
      <c r="L23" s="1795" t="n"/>
      <c r="N23" s="601" t="n"/>
      <c r="O23" s="1794" t="n"/>
      <c r="P23" s="1795" t="n"/>
    </row>
    <row r="24">
      <c r="J24" s="601" t="n"/>
      <c r="K24" s="1794" t="n"/>
      <c r="L24" s="1795" t="n"/>
      <c r="N24" s="601" t="n"/>
      <c r="O24" s="1794" t="n"/>
      <c r="P24" s="1795" t="n"/>
    </row>
    <row r="25">
      <c r="J25" s="601" t="n"/>
      <c r="K25" s="1794" t="n"/>
      <c r="L25" s="1795" t="n"/>
      <c r="N25" s="601" t="n"/>
      <c r="O25" s="1794" t="n"/>
      <c r="P25" s="1795" t="n"/>
    </row>
    <row r="26">
      <c r="J26" s="601" t="n"/>
      <c r="K26" s="1794" t="n"/>
      <c r="L26" s="1795" t="n"/>
      <c r="N26" s="601" t="n"/>
      <c r="O26" s="1794" t="n"/>
      <c r="P26" s="1795" t="n"/>
    </row>
    <row r="27">
      <c r="J27" s="601" t="n"/>
      <c r="K27" s="1794" t="n"/>
      <c r="L27" s="1795" t="n"/>
      <c r="N27" s="601" t="n"/>
      <c r="O27" s="1794" t="n"/>
      <c r="P27" s="1795" t="n"/>
    </row>
    <row r="28">
      <c r="J28" s="601" t="n"/>
      <c r="K28" s="1794" t="n"/>
      <c r="L28" s="1795" t="n"/>
      <c r="N28" s="601" t="n"/>
      <c r="O28" s="1794" t="n"/>
      <c r="P28" s="1795" t="n"/>
    </row>
    <row r="29">
      <c r="J29" s="601" t="n"/>
      <c r="K29" s="1794" t="n"/>
      <c r="L29" s="1795" t="n"/>
      <c r="N29" s="601" t="n"/>
      <c r="O29" s="1794" t="n"/>
      <c r="P29" s="1795" t="n"/>
    </row>
    <row r="30">
      <c r="J30" s="601" t="n"/>
      <c r="K30" s="1794" t="n"/>
      <c r="L30" s="1795" t="n"/>
      <c r="N30" s="601" t="n"/>
      <c r="O30" s="1794" t="n"/>
      <c r="P30" s="1795" t="n"/>
    </row>
    <row r="31">
      <c r="J31" s="601" t="n"/>
      <c r="K31" s="1794" t="n"/>
      <c r="L31" s="1795" t="n"/>
      <c r="N31" s="601" t="n"/>
      <c r="O31" s="1794" t="n"/>
      <c r="P31" s="1795" t="n"/>
    </row>
    <row r="32">
      <c r="J32" s="601" t="n"/>
      <c r="K32" s="1794" t="n"/>
      <c r="L32" s="1795" t="n"/>
      <c r="N32" s="601" t="n"/>
      <c r="O32" s="1794" t="n"/>
      <c r="P32" s="1795" t="n"/>
    </row>
    <row r="33">
      <c r="J33" s="601" t="n"/>
      <c r="K33" s="1794" t="n"/>
      <c r="L33" s="1795" t="n"/>
      <c r="N33" s="601" t="n"/>
      <c r="O33" s="1794" t="n"/>
      <c r="P33" s="1795" t="n"/>
    </row>
    <row r="34">
      <c r="J34" s="601" t="n"/>
      <c r="K34" s="1794" t="n"/>
      <c r="L34" s="1795" t="n"/>
      <c r="N34" s="601" t="n"/>
      <c r="O34" s="1794" t="n"/>
      <c r="P34" s="1795" t="n"/>
    </row>
    <row r="35">
      <c r="J35" s="601" t="n"/>
      <c r="K35" s="1794" t="n"/>
      <c r="L35" s="1795" t="n"/>
      <c r="N35" s="601" t="n"/>
      <c r="O35" s="1794" t="n"/>
      <c r="P35" s="1795" t="n"/>
    </row>
    <row r="36">
      <c r="J36" s="832" t="n"/>
      <c r="K36" s="1796" t="n"/>
      <c r="L36" s="1797" t="n"/>
      <c r="N36" s="601" t="n"/>
      <c r="O36" s="1794" t="n"/>
      <c r="P36" s="1795" t="n"/>
    </row>
    <row r="37">
      <c r="J37" s="605" t="n"/>
      <c r="K37" s="1798" t="n"/>
      <c r="L37" s="1799" t="n"/>
      <c r="N37" s="605" t="n"/>
      <c r="O37" s="1798" t="n"/>
      <c r="P37" s="1799" t="n"/>
    </row>
  </sheetData>
  <mergeCells count="18">
    <mergeCell ref="D8:E8"/>
    <mergeCell ref="H13:I13"/>
    <mergeCell ref="D10:E10"/>
    <mergeCell ref="F13:F16"/>
    <mergeCell ref="H16:I16"/>
    <mergeCell ref="D7:E7"/>
    <mergeCell ref="J18:L18"/>
    <mergeCell ref="N18:P18"/>
    <mergeCell ref="F11:I11"/>
    <mergeCell ref="H15:I15"/>
    <mergeCell ref="B10:C10"/>
    <mergeCell ref="G17:I17"/>
    <mergeCell ref="G12:I12"/>
    <mergeCell ref="B2:E2"/>
    <mergeCell ref="D9:E9"/>
    <mergeCell ref="B8:C8"/>
    <mergeCell ref="H14:I14"/>
    <mergeCell ref="C5:C6"/>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B2:J47"/>
  <sheetViews>
    <sheetView zoomScale="145" zoomScaleNormal="145" workbookViewId="0">
      <selection activeCell="I48" sqref="I48"/>
    </sheetView>
  </sheetViews>
  <sheetFormatPr baseColWidth="8" defaultRowHeight="15"/>
  <cols>
    <col width="3.140625" customWidth="1" style="1449" min="1" max="1"/>
    <col width="30" customWidth="1" style="1449" min="2" max="2"/>
    <col width="18.42578125" bestFit="1" customWidth="1" style="1449" min="3" max="3"/>
    <col width="16.28515625" bestFit="1" customWidth="1" style="1449" min="4" max="4"/>
    <col width="13.140625" bestFit="1" customWidth="1" style="1449" min="5" max="5"/>
    <col width="21.42578125" customWidth="1" style="1449" min="6" max="6"/>
    <col width="17.7109375" customWidth="1" style="1449" min="8" max="8"/>
    <col width="61.7109375" customWidth="1" style="1449" min="9" max="9"/>
    <col width="31.85546875" customWidth="1" style="1449" min="10" max="11"/>
  </cols>
  <sheetData>
    <row r="1" ht="8.25" customHeight="1" s="1449"/>
    <row r="2">
      <c r="B2" s="1506" t="inlineStr">
        <is>
          <t>SITE DESCRIPTION OVERVIEW</t>
        </is>
      </c>
    </row>
    <row r="3" ht="7.5" customHeight="1" s="1449">
      <c r="B3" s="811" t="n"/>
      <c r="C3" s="1508" t="n"/>
    </row>
    <row r="4" ht="36" customHeight="1" s="1449">
      <c r="B4" s="807" t="inlineStr">
        <is>
          <t>Location</t>
        </is>
      </c>
      <c r="C4" s="1509">
        <f>FE!U99</f>
        <v/>
      </c>
    </row>
    <row r="5">
      <c r="B5" s="807" t="inlineStr">
        <is>
          <t>Account Number</t>
        </is>
      </c>
      <c r="C5" s="1508">
        <f>FE!U103</f>
        <v/>
      </c>
    </row>
    <row r="6">
      <c r="B6" s="807" t="inlineStr">
        <is>
          <t>Legal Description</t>
        </is>
      </c>
      <c r="C6" s="1509">
        <f>FE!U106</f>
        <v/>
      </c>
    </row>
    <row r="7">
      <c r="B7" s="807" t="inlineStr">
        <is>
          <t>Site Area</t>
        </is>
      </c>
      <c r="C7" s="1508" t="n"/>
      <c r="D7" s="835" t="n"/>
      <c r="E7" s="835" t="n"/>
      <c r="F7" s="835" t="n"/>
    </row>
    <row r="8">
      <c r="B8" s="812" t="inlineStr">
        <is>
          <t>Primary Site</t>
        </is>
      </c>
      <c r="C8" s="1800">
        <f>FE!U108</f>
        <v/>
      </c>
      <c r="D8" s="1801">
        <f>FE!V108</f>
        <v/>
      </c>
      <c r="E8" s="835" t="n"/>
      <c r="F8" s="835" t="n"/>
    </row>
    <row r="9">
      <c r="B9" s="812" t="inlineStr">
        <is>
          <t>Excess Land</t>
        </is>
      </c>
      <c r="C9" s="1800">
        <f>FE!U109</f>
        <v/>
      </c>
      <c r="D9" s="1801">
        <f>FE!V109</f>
        <v/>
      </c>
      <c r="E9" s="835" t="n"/>
      <c r="F9" s="835" t="n"/>
    </row>
    <row r="10">
      <c r="B10" s="812" t="inlineStr">
        <is>
          <t>Surplus Land</t>
        </is>
      </c>
      <c r="C10" s="1800">
        <f>FE!U110</f>
        <v/>
      </c>
      <c r="D10" s="1801">
        <f>FE!V110</f>
        <v/>
      </c>
      <c r="E10" s="835" t="n"/>
      <c r="F10" s="835" t="n"/>
    </row>
    <row r="11">
      <c r="B11" s="812" t="inlineStr">
        <is>
          <t>Total</t>
        </is>
      </c>
      <c r="C11" s="1802">
        <f>FE!U111</f>
        <v/>
      </c>
      <c r="D11" s="1803">
        <f>FE!V111</f>
        <v/>
      </c>
      <c r="E11" s="835" t="n"/>
      <c r="F11" s="835" t="n"/>
    </row>
    <row r="12" ht="48" customHeight="1" s="1449">
      <c r="B12" s="809" t="inlineStr">
        <is>
          <t>Configuration</t>
        </is>
      </c>
      <c r="C12" s="1505" t="n"/>
    </row>
    <row r="13">
      <c r="B13" s="809" t="inlineStr">
        <is>
          <t>Topography</t>
        </is>
      </c>
      <c r="C13" s="1505" t="inlineStr">
        <is>
          <t>Generally Level</t>
        </is>
      </c>
    </row>
    <row r="14">
      <c r="B14" s="809" t="inlineStr">
        <is>
          <t>Drainage</t>
        </is>
      </c>
      <c r="C14" s="1505" t="inlineStr">
        <is>
          <t>Appears adequate</t>
        </is>
      </c>
    </row>
    <row r="15">
      <c r="B15" s="809" t="inlineStr">
        <is>
          <t>Utilities/Municipal Services</t>
        </is>
      </c>
      <c r="C15" s="1505" t="inlineStr">
        <is>
          <t>Typical utilities and municipal services available to site.</t>
        </is>
      </c>
    </row>
    <row r="16">
      <c r="B16" s="826" t="inlineStr">
        <is>
          <t>Floodplain</t>
        </is>
      </c>
      <c r="C16" s="827" t="inlineStr">
        <is>
          <t>Zone</t>
        </is>
      </c>
      <c r="D16" s="828" t="inlineStr">
        <is>
          <t>Map</t>
        </is>
      </c>
      <c r="E16" s="828" t="inlineStr">
        <is>
          <t>Date</t>
        </is>
      </c>
      <c r="F16" s="825" t="n"/>
    </row>
    <row r="17">
      <c r="B17" s="809" t="n"/>
      <c r="C17" s="1215" t="inlineStr">
        <is>
          <t>Zone X (Unshaded)</t>
        </is>
      </c>
      <c r="D17" s="1216" t="n"/>
      <c r="E17" s="1804" t="n"/>
      <c r="F17" s="825" t="n"/>
      <c r="I17" t="inlineStr">
        <is>
          <t>Zone A</t>
        </is>
      </c>
      <c r="J17" t="inlineStr">
        <is>
          <t>Zone X (Shaded)</t>
        </is>
      </c>
    </row>
    <row r="18" ht="111.75" customHeight="1" s="1449">
      <c r="B18" s="886" t="n"/>
      <c r="C18" s="1507" t="inlineStr">
        <is>
          <t>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t>
        </is>
      </c>
      <c r="D18" s="1464" t="n"/>
      <c r="E18" s="1464" t="n"/>
      <c r="F18" s="1464" t="n"/>
    </row>
    <row r="19" hidden="1" s="1449">
      <c r="B19" s="810" t="inlineStr">
        <is>
          <t>Census Tract No.</t>
        </is>
      </c>
      <c r="C19" s="1511">
        <f>pdCensusTract</f>
        <v/>
      </c>
      <c r="D19" s="1464" t="n"/>
      <c r="E19" s="1464" t="n"/>
      <c r="F19" s="1464" t="n"/>
    </row>
    <row r="20">
      <c r="B20" s="809" t="n"/>
      <c r="C20" s="1518" t="n"/>
      <c r="D20" s="871" t="n"/>
      <c r="E20" s="871" t="n"/>
      <c r="F20" s="871" t="n"/>
    </row>
    <row r="21">
      <c r="B21" s="1506" t="inlineStr">
        <is>
          <t>SITE DESCRIPTION OVERVIEW - CONTINUED</t>
        </is>
      </c>
    </row>
    <row r="22" ht="68.25" customHeight="1" s="1449">
      <c r="B22" s="809" t="inlineStr">
        <is>
          <t>Soil/Subsoil Conditions</t>
        </is>
      </c>
      <c r="C22" s="1505" t="inlineStr">
        <is>
          <t>We did not receive nor review a soil report.  However, we assume that the soil's load-bearing capacity is sufficient to support existing structure(s).  We did not observe any evidence to the contrary during our physical inspection of the property.</t>
        </is>
      </c>
    </row>
    <row r="23" ht="33" customHeight="1" s="1449">
      <c r="B23" s="809" t="inlineStr">
        <is>
          <t>Environmental Concerns</t>
        </is>
      </c>
      <c r="C23" s="1505" t="inlineStr">
        <is>
          <t>No unusual conditions observed.  No studies provided.  Site is assumed to be free of any environmental concerns.</t>
        </is>
      </c>
    </row>
    <row r="24" ht="60" customHeight="1" s="1449">
      <c r="B24" s="809" t="inlineStr">
        <is>
          <t>Land Use Restrictions</t>
        </is>
      </c>
      <c r="C24" s="1505" t="n"/>
    </row>
    <row r="25">
      <c r="B25" s="809" t="inlineStr">
        <is>
          <t>Hazards Nuisances</t>
        </is>
      </c>
      <c r="C25" s="1505" t="inlineStr">
        <is>
          <t>None noted</t>
        </is>
      </c>
    </row>
    <row r="26">
      <c r="B26" s="809" t="inlineStr">
        <is>
          <t>Frontage</t>
        </is>
      </c>
      <c r="C26" s="1505" t="n"/>
    </row>
    <row r="27" ht="31.5" customHeight="1" s="1449">
      <c r="B27" s="809" t="inlineStr">
        <is>
          <t>Access</t>
        </is>
      </c>
      <c r="C27" s="1505" t="n"/>
    </row>
    <row r="28" ht="33" customHeight="1" s="1449">
      <c r="B28" s="809" t="inlineStr">
        <is>
          <t>Visibility</t>
        </is>
      </c>
      <c r="C28" s="1505" t="n"/>
    </row>
    <row r="29">
      <c r="B29" s="809" t="inlineStr">
        <is>
          <t>Surrounding Land Uses</t>
        </is>
      </c>
      <c r="C29" s="1505" t="inlineStr">
        <is>
          <t>Light to medium-intensity industrial</t>
        </is>
      </c>
    </row>
    <row r="30">
      <c r="B30" s="809" t="inlineStr">
        <is>
          <t>Enterprise Zone</t>
        </is>
      </c>
      <c r="C30" s="1505" t="inlineStr">
        <is>
          <t>None noted</t>
        </is>
      </c>
    </row>
    <row r="31" ht="37.5" customHeight="1" s="1449">
      <c r="B31" s="809" t="inlineStr">
        <is>
          <t>Traffic Counts</t>
        </is>
      </c>
      <c r="C31" s="1505" t="n"/>
    </row>
    <row r="32" ht="36" customHeight="1" s="1449">
      <c r="B32" s="809" t="inlineStr">
        <is>
          <t>Transportation Facilities</t>
        </is>
      </c>
      <c r="C32" s="1505" t="n"/>
    </row>
    <row r="33" ht="103.5" customHeight="1" s="1449">
      <c r="B33" s="810" t="inlineStr">
        <is>
          <t>Comments</t>
        </is>
      </c>
      <c r="C33" s="1513" t="n"/>
      <c r="D33" s="1464" t="n"/>
      <c r="E33" s="1464" t="n"/>
      <c r="F33" s="1464" t="n"/>
    </row>
    <row r="35">
      <c r="H35" s="1510" t="inlineStr">
        <is>
          <t>ZONING</t>
        </is>
      </c>
    </row>
    <row r="36">
      <c r="H36" s="1053" t="inlineStr">
        <is>
          <t>Designation</t>
        </is>
      </c>
      <c r="I36" s="1218" t="n"/>
    </row>
    <row r="37">
      <c r="H37" s="1054" t="inlineStr">
        <is>
          <t>Description</t>
        </is>
      </c>
      <c r="I37" s="1218" t="inlineStr">
        <is>
          <t>Industrial-1 (Light Industrial)</t>
        </is>
      </c>
    </row>
    <row r="38" ht="140.25" customHeight="1" s="1449">
      <c r="H38" s="1053" t="inlineStr">
        <is>
          <t>Zoning Intent</t>
        </is>
      </c>
      <c r="I38" s="1218" t="inlineStr">
        <is>
          <t>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t>
        </is>
      </c>
    </row>
    <row r="39">
      <c r="H39" s="1054" t="inlineStr">
        <is>
          <t>Compliance</t>
        </is>
      </c>
      <c r="I39" s="1219" t="inlineStr">
        <is>
          <t>The subject is a legal confirming use in the I-1 zoning designation.</t>
        </is>
      </c>
    </row>
    <row r="40">
      <c r="H40" s="1512" t="inlineStr">
        <is>
          <t>ZONING REQUIREMENTS</t>
        </is>
      </c>
    </row>
    <row r="41">
      <c r="H41" s="1055" t="inlineStr">
        <is>
          <t>Min. Lot Size:</t>
        </is>
      </c>
      <c r="I41" s="1220" t="inlineStr">
        <is>
          <t>1 Acre</t>
        </is>
      </c>
    </row>
    <row r="42">
      <c r="H42" s="1055" t="inlineStr">
        <is>
          <t>Min. Lot Width:</t>
        </is>
      </c>
      <c r="I42" s="1221" t="inlineStr">
        <is>
          <t>100 Feet</t>
        </is>
      </c>
    </row>
    <row r="43">
      <c r="H43" s="1454" t="inlineStr">
        <is>
          <t>Setbacks:</t>
        </is>
      </c>
      <c r="I43" s="1222" t="n"/>
    </row>
    <row r="44">
      <c r="H44" s="1056" t="inlineStr">
        <is>
          <t>Front</t>
        </is>
      </c>
      <c r="I44" s="1140" t="inlineStr">
        <is>
          <t>25 Feet</t>
        </is>
      </c>
    </row>
    <row r="45" ht="30" customHeight="1" s="1449">
      <c r="H45" s="1056" t="inlineStr">
        <is>
          <t>Side</t>
        </is>
      </c>
      <c r="I45" s="1223" t="inlineStr">
        <is>
          <t xml:space="preserve">15 feet on one side and five 5 feet on the other side; 0 foot setbacks may be approved for fireproof structures. </t>
        </is>
      </c>
    </row>
    <row r="46">
      <c r="H46" s="1056" t="inlineStr">
        <is>
          <t>Rear</t>
        </is>
      </c>
      <c r="I46" s="1140" t="inlineStr">
        <is>
          <t>15 Feet</t>
        </is>
      </c>
    </row>
    <row r="47">
      <c r="H47" s="1057" t="inlineStr">
        <is>
          <t>Maximum Height:</t>
        </is>
      </c>
      <c r="I47" s="1224" t="inlineStr">
        <is>
          <t>60 Feet</t>
        </is>
      </c>
    </row>
  </sheetData>
  <mergeCells count="26">
    <mergeCell ref="H35:I35"/>
    <mergeCell ref="C23:F23"/>
    <mergeCell ref="C32:F32"/>
    <mergeCell ref="C19:F19"/>
    <mergeCell ref="H40:I40"/>
    <mergeCell ref="C28:F28"/>
    <mergeCell ref="C13:F13"/>
    <mergeCell ref="B21:F21"/>
    <mergeCell ref="C18:F18"/>
    <mergeCell ref="C3:F3"/>
    <mergeCell ref="B2:F2"/>
    <mergeCell ref="C6:F6"/>
    <mergeCell ref="C30:F30"/>
    <mergeCell ref="C15:F15"/>
    <mergeCell ref="C33:F33"/>
    <mergeCell ref="C24:F24"/>
    <mergeCell ref="C5:F5"/>
    <mergeCell ref="C14:F14"/>
    <mergeCell ref="C4:F4"/>
    <mergeCell ref="C26:F26"/>
    <mergeCell ref="C29:F29"/>
    <mergeCell ref="C25:F25"/>
    <mergeCell ref="C22:F22"/>
    <mergeCell ref="C31:F31"/>
    <mergeCell ref="C12:F12"/>
    <mergeCell ref="C27:F27"/>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B2:F99"/>
  <sheetViews>
    <sheetView zoomScale="130" zoomScaleNormal="130" workbookViewId="0">
      <selection activeCell="C98" sqref="C97:F98"/>
    </sheetView>
  </sheetViews>
  <sheetFormatPr baseColWidth="8" defaultRowHeight="15"/>
  <cols>
    <col width="3.85546875" customWidth="1" style="1449" min="1" max="1"/>
    <col width="30.140625" customWidth="1" style="1449" min="2" max="2"/>
    <col width="14.85546875" customWidth="1" style="1449" min="3" max="3"/>
    <col width="18.42578125" customWidth="1" style="1449" min="4" max="5"/>
    <col width="20.42578125" customWidth="1" style="1449" min="6" max="6"/>
    <col width="22.42578125" customWidth="1" style="1449" min="7" max="7"/>
  </cols>
  <sheetData>
    <row r="2">
      <c r="B2" s="1506">
        <f>IF(OR(pdGenPropUse2="",pdGenPropUse2=0),"GENERAL DESCRIPTION OVERVIEW", "GENERAL DESCRIPTION OVERVIEW - "&amp;UPPER(pdGenPropUse))</f>
        <v/>
      </c>
    </row>
    <row r="3">
      <c r="B3" s="417" t="inlineStr">
        <is>
          <t>Address</t>
        </is>
      </c>
      <c r="C3" s="1532">
        <f>'Property Info'!B17</f>
        <v/>
      </c>
    </row>
    <row r="4">
      <c r="B4" s="808" t="n"/>
      <c r="C4" s="1518">
        <f>'Property Info'!B18</f>
        <v/>
      </c>
    </row>
    <row r="5">
      <c r="B5" s="807" t="inlineStr">
        <is>
          <t>Property Description</t>
        </is>
      </c>
      <c r="C5" s="1518">
        <f>FE!U100</f>
        <v/>
      </c>
    </row>
    <row r="6">
      <c r="B6" s="807" t="inlineStr">
        <is>
          <t>Year Built</t>
        </is>
      </c>
      <c r="C6" s="1518">
        <f>'Property Info'!B9</f>
        <v/>
      </c>
    </row>
    <row r="7">
      <c r="B7" s="809" t="inlineStr">
        <is>
          <t>Year Renovated</t>
        </is>
      </c>
      <c r="C7" s="1518">
        <f>FE!U116</f>
        <v/>
      </c>
    </row>
    <row r="8">
      <c r="B8" s="809" t="inlineStr">
        <is>
          <t>Number of Buildings</t>
        </is>
      </c>
      <c r="C8" s="1518">
        <f>FE!U120</f>
        <v/>
      </c>
    </row>
    <row r="9">
      <c r="B9" s="809" t="inlineStr">
        <is>
          <t>Number of Stories</t>
        </is>
      </c>
      <c r="C9" s="1505" t="n"/>
    </row>
    <row r="10">
      <c r="B10" s="809" t="inlineStr">
        <is>
          <t>Total Number of Units</t>
        </is>
      </c>
      <c r="C10" s="1518">
        <f>FE!U126</f>
        <v/>
      </c>
    </row>
    <row r="11">
      <c r="B11" s="809" t="inlineStr">
        <is>
          <t>Building Construction Class</t>
        </is>
      </c>
      <c r="C11" s="1505" t="n"/>
    </row>
    <row r="12" hidden="1" s="1449">
      <c r="B12" s="809" t="inlineStr">
        <is>
          <t>Net Rentable Area</t>
        </is>
      </c>
      <c r="C12" s="1805">
        <f>FE!U124</f>
        <v/>
      </c>
    </row>
    <row r="13">
      <c r="B13" s="809" t="inlineStr">
        <is>
          <t>Gross Leasable Area</t>
        </is>
      </c>
      <c r="C13" s="1805">
        <f>FE!U122</f>
        <v/>
      </c>
    </row>
    <row r="14" hidden="1" s="1449">
      <c r="B14" s="812" t="inlineStr">
        <is>
          <t>+ Clubhouse</t>
        </is>
      </c>
      <c r="C14" s="1805">
        <f>pdBldgAreaClubhouse</f>
        <v/>
      </c>
    </row>
    <row r="15" hidden="1" s="1449">
      <c r="B15" s="812" t="inlineStr">
        <is>
          <t>+ Others(s)</t>
        </is>
      </c>
      <c r="C15" s="1805">
        <f>pdBldgAreaOther</f>
        <v/>
      </c>
    </row>
    <row r="16" ht="32.25" customHeight="1" s="1449">
      <c r="B16" s="1059" t="inlineStr">
        <is>
          <t xml:space="preserve">Mezzanine Area </t>
        </is>
      </c>
      <c r="C16" s="1806" t="n"/>
    </row>
    <row r="17">
      <c r="B17" s="809" t="inlineStr">
        <is>
          <t>Building Footprint</t>
        </is>
      </c>
      <c r="C17" s="1805">
        <f>'Property Info'!B6</f>
        <v/>
      </c>
    </row>
    <row r="18" hidden="1" s="1449">
      <c r="B18" s="809" t="inlineStr">
        <is>
          <t>Bay Depth</t>
        </is>
      </c>
      <c r="C18" s="1807">
        <f>pdBayDepth</f>
        <v/>
      </c>
    </row>
    <row r="19" hidden="1" s="1449">
      <c r="B19" s="809" t="inlineStr">
        <is>
          <t>LEED Ratio</t>
        </is>
      </c>
      <c r="C19" s="1805">
        <f>pdLEEDRating</f>
        <v/>
      </c>
      <c r="D19" s="871" t="n"/>
      <c r="E19" s="871" t="n"/>
      <c r="F19" s="871" t="n"/>
    </row>
    <row r="20" hidden="1" s="1449">
      <c r="B20" s="809" t="inlineStr">
        <is>
          <t>Floor-Area Ratio</t>
        </is>
      </c>
      <c r="C20" s="875">
        <f>pdFAR</f>
        <v/>
      </c>
      <c r="D20" s="871" t="n"/>
      <c r="E20" s="871" t="n"/>
      <c r="F20" s="871" t="n"/>
    </row>
    <row r="21">
      <c r="B21" s="809" t="inlineStr">
        <is>
          <t>Elevator(s)</t>
        </is>
      </c>
      <c r="C21" s="1505" t="inlineStr">
        <is>
          <t>None</t>
        </is>
      </c>
    </row>
    <row r="22">
      <c r="B22" s="809" t="inlineStr">
        <is>
          <t>Ceiling Heights</t>
        </is>
      </c>
      <c r="C22" s="1505" t="n"/>
    </row>
    <row r="23">
      <c r="B23" s="809" t="inlineStr">
        <is>
          <t>Utility Metering</t>
        </is>
      </c>
      <c r="C23" s="1505" t="inlineStr">
        <is>
          <t>Master metered</t>
        </is>
      </c>
    </row>
    <row r="24" hidden="1" s="1449">
      <c r="B24" s="809" t="inlineStr">
        <is>
          <t>Density (Units/Acre)</t>
        </is>
      </c>
      <c r="C24" s="1808">
        <f>C10/'Site Information'!C11</f>
        <v/>
      </c>
    </row>
    <row r="25">
      <c r="B25" s="809" t="inlineStr">
        <is>
          <t>Coverage Ratio</t>
        </is>
      </c>
      <c r="C25" s="1809">
        <f>C17/'Site Information'!C11</f>
        <v/>
      </c>
    </row>
    <row r="26">
      <c r="B26" s="809" t="inlineStr">
        <is>
          <t>Land-to-Building Ratio</t>
        </is>
      </c>
      <c r="C26" s="1810">
        <f>'Site Information'!C11/Improvements!C13</f>
        <v/>
      </c>
    </row>
    <row r="27">
      <c r="B27" s="809" t="inlineStr">
        <is>
          <t>Ingress/Egress</t>
        </is>
      </c>
      <c r="C27" s="1505" t="n"/>
    </row>
    <row r="28">
      <c r="B28" s="809" t="inlineStr">
        <is>
          <t>Percentage Office Build-Out</t>
        </is>
      </c>
      <c r="C28" s="1528">
        <f>'Property Info'!B15</f>
        <v/>
      </c>
    </row>
    <row r="29">
      <c r="B29" s="809" t="inlineStr">
        <is>
          <t>Clear Height</t>
        </is>
      </c>
      <c r="C29" s="1505" t="n"/>
    </row>
    <row r="30">
      <c r="B30" s="809" t="inlineStr">
        <is>
          <t>Power</t>
        </is>
      </c>
      <c r="C30" s="1526" t="inlineStr">
        <is>
          <t xml:space="preserve">Assumed adequate for industrial use. </t>
        </is>
      </c>
    </row>
    <row r="31">
      <c r="B31" s="809" t="inlineStr">
        <is>
          <t>Loading Doors</t>
        </is>
      </c>
      <c r="C31" s="1518" t="n"/>
    </row>
    <row r="32">
      <c r="B32" s="812" t="inlineStr">
        <is>
          <t>Dock High</t>
        </is>
      </c>
      <c r="C32" s="1505" t="n"/>
    </row>
    <row r="33">
      <c r="B33" s="812" t="inlineStr">
        <is>
          <t>Roll-Up</t>
        </is>
      </c>
      <c r="C33" s="1505" t="n"/>
    </row>
    <row r="34">
      <c r="B34" s="809" t="inlineStr">
        <is>
          <t>Rail Access</t>
        </is>
      </c>
      <c r="C34" s="1505" t="inlineStr">
        <is>
          <t>None</t>
        </is>
      </c>
    </row>
    <row r="35">
      <c r="B35" s="809" t="inlineStr">
        <is>
          <t>Storage Yard</t>
        </is>
      </c>
      <c r="C35" s="1505" t="n"/>
    </row>
    <row r="36">
      <c r="B36" s="809" t="inlineStr">
        <is>
          <t>Truck Court</t>
        </is>
      </c>
      <c r="C36" s="1505" t="n"/>
    </row>
    <row r="37">
      <c r="B37" s="809" t="inlineStr">
        <is>
          <t>Parking</t>
        </is>
      </c>
      <c r="C37" s="1518" t="n"/>
      <c r="D37" s="871" t="n"/>
      <c r="E37" s="871" t="n"/>
      <c r="F37" s="871" t="n"/>
    </row>
    <row r="38">
      <c r="B38" s="812" t="inlineStr">
        <is>
          <t>Surface Parking Spaces</t>
        </is>
      </c>
      <c r="C38" s="1226" t="n"/>
      <c r="D38" s="814" t="n"/>
      <c r="E38" s="814" t="n"/>
      <c r="F38" s="814" t="n"/>
    </row>
    <row r="39">
      <c r="B39" s="812" t="inlineStr">
        <is>
          <t>Other</t>
        </is>
      </c>
      <c r="C39" s="1225" t="n">
        <v>0</v>
      </c>
      <c r="D39" s="814" t="n"/>
      <c r="E39" s="814" t="n"/>
      <c r="F39" s="814" t="n"/>
    </row>
    <row r="40">
      <c r="B40" s="812" t="inlineStr">
        <is>
          <t>Garages</t>
        </is>
      </c>
      <c r="C40" s="1225" t="n">
        <v>0</v>
      </c>
      <c r="D40" s="814" t="n"/>
      <c r="E40" s="814" t="n"/>
      <c r="F40" s="814" t="n"/>
    </row>
    <row r="41">
      <c r="B41" s="809" t="inlineStr">
        <is>
          <t>Total Parking Spaces</t>
        </is>
      </c>
      <c r="C41" s="813">
        <f>SUM(C38:C40)</f>
        <v/>
      </c>
      <c r="D41" s="814" t="n"/>
      <c r="E41" s="814" t="n"/>
      <c r="F41" s="814" t="n"/>
    </row>
    <row r="42" ht="30" customHeight="1" s="1449">
      <c r="B42" s="1058" t="inlineStr">
        <is>
          <t>Parking Ratio 
(Spaces/1,000 SF GBA)</t>
        </is>
      </c>
      <c r="C42" s="1519">
        <f>(C41/C13)*1000</f>
        <v/>
      </c>
      <c r="D42" s="1464" t="n"/>
      <c r="E42" s="1464" t="n"/>
      <c r="F42" s="1464" t="n"/>
    </row>
    <row r="43" hidden="1" ht="39" customHeight="1" s="1449">
      <c r="B43" s="809" t="inlineStr">
        <is>
          <t>ADA Compliance</t>
        </is>
      </c>
      <c r="C43" s="1527">
        <f>pdADA</f>
        <v/>
      </c>
      <c r="D43" s="1517" t="n"/>
      <c r="E43" s="1517" t="n"/>
      <c r="F43" s="1517" t="n"/>
    </row>
    <row r="44">
      <c r="B44" s="1560" t="n"/>
      <c r="C44" s="815" t="n"/>
      <c r="D44" s="1560" t="n"/>
      <c r="E44" s="1560" t="n"/>
      <c r="F44" s="1560" t="n"/>
    </row>
    <row r="45">
      <c r="B45" s="1506" t="inlineStr">
        <is>
          <t>CONSTRUCTION DETAIL</t>
        </is>
      </c>
    </row>
    <row r="46">
      <c r="B46" s="811" t="n"/>
      <c r="C46" s="1508" t="n"/>
    </row>
    <row r="47" ht="135" customHeight="1" s="1449">
      <c r="B47" s="807" t="inlineStr">
        <is>
          <t>General Layout</t>
        </is>
      </c>
      <c r="C47" s="1505" t="n"/>
    </row>
    <row r="48">
      <c r="B48" s="809" t="inlineStr">
        <is>
          <t>Foundation</t>
        </is>
      </c>
      <c r="C48" s="1505" t="n"/>
    </row>
    <row r="49">
      <c r="B49" s="807" t="inlineStr">
        <is>
          <t>Construction</t>
        </is>
      </c>
      <c r="C49" s="1505" t="n"/>
    </row>
    <row r="50">
      <c r="B50" s="809" t="inlineStr">
        <is>
          <t>Floor Structure</t>
        </is>
      </c>
      <c r="C50" s="1505" t="n"/>
    </row>
    <row r="51">
      <c r="B51" s="807" t="inlineStr">
        <is>
          <t>Exterior Walls</t>
        </is>
      </c>
      <c r="C51" s="1505" t="n"/>
    </row>
    <row r="52">
      <c r="B52" s="809" t="inlineStr">
        <is>
          <t>Roof Type</t>
        </is>
      </c>
      <c r="C52" s="1505" t="n"/>
    </row>
    <row r="53">
      <c r="B53" s="807" t="inlineStr">
        <is>
          <t>Roof Cover</t>
        </is>
      </c>
      <c r="C53" s="1505" t="n"/>
    </row>
    <row r="54">
      <c r="B54" s="809" t="inlineStr">
        <is>
          <t>Windows</t>
        </is>
      </c>
      <c r="C54" s="1505" t="n"/>
    </row>
    <row r="55">
      <c r="B55" s="810" t="inlineStr">
        <is>
          <t>Balcony/Patios:</t>
        </is>
      </c>
      <c r="C55" s="1515" t="inlineStr">
        <is>
          <t>None</t>
        </is>
      </c>
      <c r="D55" s="1464" t="n"/>
      <c r="E55" s="1464" t="n"/>
      <c r="F55" s="1464" t="n"/>
    </row>
    <row r="56" hidden="1" s="1449">
      <c r="B56" s="1560" t="n"/>
      <c r="C56" s="815" t="n"/>
      <c r="D56" s="1560" t="n"/>
      <c r="E56" s="1560" t="n"/>
      <c r="F56" s="1560" t="n"/>
    </row>
    <row r="57">
      <c r="B57" s="1506" t="inlineStr">
        <is>
          <t>INTERIOR DETAIL</t>
        </is>
      </c>
    </row>
    <row r="58">
      <c r="B58" s="811" t="n"/>
      <c r="C58" s="1508" t="n"/>
    </row>
    <row r="59" ht="30.75" customHeight="1" s="1449">
      <c r="B59" s="807" t="inlineStr">
        <is>
          <t>Interior Walls</t>
        </is>
      </c>
      <c r="C59" s="1505" t="n"/>
    </row>
    <row r="60">
      <c r="B60" s="809" t="inlineStr">
        <is>
          <t>Ceilings</t>
        </is>
      </c>
      <c r="C60" s="1505" t="n"/>
    </row>
    <row r="61">
      <c r="B61" s="807" t="inlineStr">
        <is>
          <t>Floor Coverings</t>
        </is>
      </c>
      <c r="C61" s="1505" t="n"/>
    </row>
    <row r="62">
      <c r="B62" s="809" t="inlineStr">
        <is>
          <t>Doors</t>
        </is>
      </c>
      <c r="C62" s="1505" t="n"/>
    </row>
    <row r="63" ht="36" customHeight="1" s="1449">
      <c r="B63" s="807" t="inlineStr">
        <is>
          <t>Lighting</t>
        </is>
      </c>
      <c r="C63" s="1505" t="n"/>
    </row>
    <row r="64">
      <c r="B64" s="809" t="inlineStr">
        <is>
          <t>Ceiling Heights</t>
        </is>
      </c>
      <c r="C64" s="1505" t="n"/>
    </row>
    <row r="65">
      <c r="B65" s="809" t="inlineStr">
        <is>
          <t>Restrooms</t>
        </is>
      </c>
      <c r="C65" s="1505" t="n"/>
    </row>
    <row r="66" hidden="1" s="1449">
      <c r="B66" s="807" t="inlineStr">
        <is>
          <t>Kitchen Finish</t>
        </is>
      </c>
      <c r="C66" s="1509" t="n"/>
    </row>
    <row r="67" hidden="1" s="1449">
      <c r="B67" s="807" t="inlineStr">
        <is>
          <t>Bathroom Finish</t>
        </is>
      </c>
      <c r="C67" s="1509" t="n"/>
    </row>
    <row r="68" ht="30.75" customHeight="1" s="1449">
      <c r="B68" s="810" t="inlineStr">
        <is>
          <t>Amenities (Unit)</t>
        </is>
      </c>
      <c r="C68" s="1524" t="inlineStr">
        <is>
          <t>Small structural mezzanine above temporary structure in warehouse (not part of GBA)</t>
        </is>
      </c>
      <c r="D68" s="1517" t="n"/>
      <c r="E68" s="1517" t="n"/>
      <c r="F68" s="1517" t="n"/>
    </row>
    <row r="69">
      <c r="B69" s="1560" t="n"/>
      <c r="C69" s="815" t="n"/>
      <c r="D69" s="1560" t="n"/>
      <c r="E69" s="1560" t="n"/>
      <c r="F69" s="1560" t="n"/>
    </row>
    <row r="70">
      <c r="B70" s="1506" t="inlineStr">
        <is>
          <t>MECHANICAL DETAIL</t>
        </is>
      </c>
    </row>
    <row r="71">
      <c r="B71" s="807" t="inlineStr">
        <is>
          <t>Heating</t>
        </is>
      </c>
      <c r="C71" s="1505" t="n"/>
    </row>
    <row r="72">
      <c r="B72" s="809" t="inlineStr">
        <is>
          <t>Cooling</t>
        </is>
      </c>
      <c r="C72" s="1505" t="n"/>
    </row>
    <row r="73">
      <c r="B73" s="807" t="inlineStr">
        <is>
          <t>Plumbing</t>
        </is>
      </c>
      <c r="C73" s="1505" t="n"/>
    </row>
    <row r="74">
      <c r="B74" s="809" t="inlineStr">
        <is>
          <t>Electrical</t>
        </is>
      </c>
      <c r="C74" s="1518" t="n"/>
    </row>
    <row r="75">
      <c r="B75" s="810" t="inlineStr">
        <is>
          <t>Fire Protection</t>
        </is>
      </c>
      <c r="C75" s="1516" t="n"/>
      <c r="D75" s="1517" t="n"/>
      <c r="E75" s="1517" t="n"/>
      <c r="F75" s="1517" t="n"/>
    </row>
    <row r="76">
      <c r="B76" s="1560" t="n"/>
      <c r="C76" s="815" t="n"/>
      <c r="D76" s="1560" t="n"/>
      <c r="E76" s="1560" t="n"/>
      <c r="F76" s="1560" t="n"/>
    </row>
    <row r="77">
      <c r="B77" s="1506" t="inlineStr">
        <is>
          <t>SITE IMPROVEMENTS</t>
        </is>
      </c>
    </row>
    <row r="78">
      <c r="B78" s="807" t="inlineStr">
        <is>
          <t>Parking Type</t>
        </is>
      </c>
      <c r="C78" s="1505" t="n"/>
    </row>
    <row r="79">
      <c r="B79" s="809" t="inlineStr">
        <is>
          <t>Landscaping</t>
        </is>
      </c>
      <c r="C79" s="1505" t="n"/>
    </row>
    <row r="80">
      <c r="B80" s="807" t="inlineStr">
        <is>
          <t>Signage</t>
        </is>
      </c>
      <c r="C80" s="1505" t="n"/>
    </row>
    <row r="81" ht="30.75" customHeight="1" s="1449">
      <c r="B81" s="810" t="inlineStr">
        <is>
          <t>Fencing</t>
        </is>
      </c>
      <c r="C81" s="1513" t="n"/>
      <c r="D81" s="1464" t="n"/>
      <c r="E81" s="1464" t="n"/>
      <c r="F81" s="1464" t="n"/>
    </row>
    <row r="82" hidden="1" s="1449">
      <c r="B82" s="809" t="inlineStr">
        <is>
          <t>Other</t>
        </is>
      </c>
      <c r="C82" s="1505" t="n"/>
    </row>
    <row r="83" hidden="1" s="1449">
      <c r="B83" s="810" t="inlineStr">
        <is>
          <t>Amenities (Project)</t>
        </is>
      </c>
      <c r="C83" s="1524" t="n"/>
      <c r="D83" s="1517" t="n"/>
      <c r="E83" s="1517" t="n"/>
      <c r="F83" s="1517" t="n"/>
    </row>
    <row r="84">
      <c r="B84" s="1560" t="n"/>
      <c r="C84" s="815" t="n"/>
      <c r="D84" s="1560" t="n"/>
      <c r="E84" s="1560" t="n"/>
      <c r="F84" s="1560" t="n"/>
    </row>
    <row r="85">
      <c r="B85" s="1506" t="inlineStr">
        <is>
          <t>RENOVATION/DEFERRED MAINTENANCE</t>
        </is>
      </c>
    </row>
    <row r="86" ht="30" customHeight="1" s="1449">
      <c r="B86" s="1074" t="inlineStr">
        <is>
          <t>Recent Renovations or
 Replacements</t>
        </is>
      </c>
      <c r="C86" s="1505" t="n"/>
    </row>
    <row r="87">
      <c r="B87" s="809" t="inlineStr">
        <is>
          <t>Deferred Maintenance</t>
        </is>
      </c>
      <c r="C87" s="1505" t="n"/>
    </row>
    <row r="88">
      <c r="B88" s="809" t="inlineStr">
        <is>
          <t>Cost to Cure</t>
        </is>
      </c>
      <c r="C88" s="1527">
        <f>pdCosttoCure</f>
        <v/>
      </c>
      <c r="D88" s="1517" t="n"/>
      <c r="E88" s="1517" t="n"/>
      <c r="F88" s="1517" t="n"/>
    </row>
    <row r="89">
      <c r="B89" s="816" t="n"/>
      <c r="C89" s="817" t="n"/>
      <c r="D89" s="816" t="n"/>
      <c r="E89" s="816" t="n"/>
      <c r="F89" s="816" t="n"/>
    </row>
    <row r="90">
      <c r="B90" s="1560" t="n"/>
      <c r="C90" s="815" t="n"/>
      <c r="D90" s="1560" t="n"/>
      <c r="E90" s="1560" t="n"/>
      <c r="F90" s="1560" t="n"/>
    </row>
    <row r="91">
      <c r="B91" s="1506" t="inlineStr">
        <is>
          <t>SUMMARY</t>
        </is>
      </c>
    </row>
    <row r="92">
      <c r="B92" s="807" t="inlineStr">
        <is>
          <t>Building Condition</t>
        </is>
      </c>
      <c r="C92" s="1518">
        <f>FE!U129</f>
        <v/>
      </c>
    </row>
    <row r="93" ht="83.25" customHeight="1" s="1449">
      <c r="B93" s="809" t="n"/>
      <c r="C93" s="1518" t="inlineStr">
        <is>
          <t>We did not inspect the roof of the building(s) nor make a detailed inspection of the mechanical systems. We are not qualified to render an opinion as to the adequacy or condition of these components. Interested parties are urged to retain an expert in this field if detailed information is needed about the adequacy and condition of mechanical systems.</t>
        </is>
      </c>
    </row>
    <row r="94">
      <c r="B94" s="809" t="inlineStr">
        <is>
          <t>Building Quality</t>
        </is>
      </c>
      <c r="C94" s="1518">
        <f>FE!U130</f>
        <v/>
      </c>
    </row>
    <row r="95">
      <c r="B95" s="807" t="inlineStr">
        <is>
          <t>Design and Functionality</t>
        </is>
      </c>
      <c r="C95" s="1518">
        <f>FE!U131</f>
        <v/>
      </c>
    </row>
    <row r="96">
      <c r="B96" s="809" t="inlineStr">
        <is>
          <t>Actual Age</t>
        </is>
      </c>
      <c r="C96" s="1811">
        <f>YEAR('Cost Approach'!C17)-'Property Info'!B9</f>
        <v/>
      </c>
    </row>
    <row r="97">
      <c r="B97" s="807" t="inlineStr">
        <is>
          <t>Expected Economic Life</t>
        </is>
      </c>
      <c r="C97" s="1812">
        <f>'Cost Approach'!C59</f>
        <v/>
      </c>
    </row>
    <row r="98">
      <c r="B98" s="809" t="inlineStr">
        <is>
          <t>Effective Age</t>
        </is>
      </c>
      <c r="C98" s="1811">
        <f>'Cost Approach'!C58</f>
        <v/>
      </c>
    </row>
    <row r="99">
      <c r="B99" s="810" t="inlineStr">
        <is>
          <t>Remaining Economic Life</t>
        </is>
      </c>
      <c r="C99" s="1813">
        <f>C97-C98</f>
        <v/>
      </c>
      <c r="D99" s="1464" t="n"/>
      <c r="E99" s="1464" t="n"/>
      <c r="F99" s="1464" t="n"/>
    </row>
  </sheetData>
  <mergeCells count="84">
    <mergeCell ref="C52:F52"/>
    <mergeCell ref="C61:F61"/>
    <mergeCell ref="C72:F72"/>
    <mergeCell ref="C81:F81"/>
    <mergeCell ref="C32:F32"/>
    <mergeCell ref="C13:F13"/>
    <mergeCell ref="C78:F78"/>
    <mergeCell ref="B2:F2"/>
    <mergeCell ref="C87:F87"/>
    <mergeCell ref="C6:F6"/>
    <mergeCell ref="C62:F62"/>
    <mergeCell ref="C15:F15"/>
    <mergeCell ref="C24:F24"/>
    <mergeCell ref="C64:F64"/>
    <mergeCell ref="C79:F79"/>
    <mergeCell ref="C73:F73"/>
    <mergeCell ref="C88:F88"/>
    <mergeCell ref="C26:F26"/>
    <mergeCell ref="C54:F54"/>
    <mergeCell ref="C63:F63"/>
    <mergeCell ref="C10:F10"/>
    <mergeCell ref="C93:F93"/>
    <mergeCell ref="C50:F50"/>
    <mergeCell ref="C43:F43"/>
    <mergeCell ref="C27:F27"/>
    <mergeCell ref="C36:F36"/>
    <mergeCell ref="C17:F17"/>
    <mergeCell ref="C67:F67"/>
    <mergeCell ref="C28:F28"/>
    <mergeCell ref="B70:F70"/>
    <mergeCell ref="C3:F3"/>
    <mergeCell ref="C96:F96"/>
    <mergeCell ref="C83:F83"/>
    <mergeCell ref="C92:F92"/>
    <mergeCell ref="C30:F30"/>
    <mergeCell ref="C5:F5"/>
    <mergeCell ref="B57:F57"/>
    <mergeCell ref="C98:F98"/>
    <mergeCell ref="C14:F14"/>
    <mergeCell ref="C4:F4"/>
    <mergeCell ref="B45:F45"/>
    <mergeCell ref="B85:F85"/>
    <mergeCell ref="C71:F71"/>
    <mergeCell ref="C8:F8"/>
    <mergeCell ref="C82:F82"/>
    <mergeCell ref="C66:F66"/>
    <mergeCell ref="C18:F18"/>
    <mergeCell ref="C53:F53"/>
    <mergeCell ref="C34:F34"/>
    <mergeCell ref="C86:F86"/>
    <mergeCell ref="C68:F68"/>
    <mergeCell ref="C58:F58"/>
    <mergeCell ref="C97:F97"/>
    <mergeCell ref="C29:F29"/>
    <mergeCell ref="C94:F94"/>
    <mergeCell ref="C65:F65"/>
    <mergeCell ref="C47:F47"/>
    <mergeCell ref="C22:F22"/>
    <mergeCell ref="C80:F80"/>
    <mergeCell ref="C31:F31"/>
    <mergeCell ref="C12:F12"/>
    <mergeCell ref="C46:F46"/>
    <mergeCell ref="C21:F21"/>
    <mergeCell ref="C95:F95"/>
    <mergeCell ref="C51:F51"/>
    <mergeCell ref="C60:F60"/>
    <mergeCell ref="B91:F91"/>
    <mergeCell ref="C23:F23"/>
    <mergeCell ref="C48:F48"/>
    <mergeCell ref="C7:F7"/>
    <mergeCell ref="B77:F77"/>
    <mergeCell ref="C49:F49"/>
    <mergeCell ref="C33:F33"/>
    <mergeCell ref="C42:F42"/>
    <mergeCell ref="C74:F74"/>
    <mergeCell ref="C35:F35"/>
    <mergeCell ref="C16:F16"/>
    <mergeCell ref="C25:F25"/>
    <mergeCell ref="C99:F99"/>
    <mergeCell ref="C55:F55"/>
    <mergeCell ref="C9:F9"/>
    <mergeCell ref="C75:F75"/>
    <mergeCell ref="C59:F59"/>
    <mergeCell ref="C11:F11"/>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B1:C15"/>
  <sheetViews>
    <sheetView zoomScale="115" zoomScaleNormal="115" workbookViewId="0">
      <selection activeCell="H5" sqref="H5"/>
    </sheetView>
  </sheetViews>
  <sheetFormatPr baseColWidth="8" defaultRowHeight="15"/>
  <cols>
    <col width="14.140625" bestFit="1" customWidth="1" style="1449" min="2" max="2"/>
    <col width="112.7109375" customWidth="1" style="1449" min="3" max="3"/>
  </cols>
  <sheetData>
    <row r="1" ht="30" customHeight="1" s="1449">
      <c r="C1" s="1208" t="inlineStr">
        <is>
          <t xml:space="preserve">NOTE: Most of the below text is standard boilerplate and should remain the same. Read through and change only the descriptions as they pertain to your property. </t>
        </is>
      </c>
    </row>
    <row r="3">
      <c r="B3" s="821" t="inlineStr">
        <is>
          <t>AS IF VACANT</t>
        </is>
      </c>
      <c r="C3" s="822" t="n"/>
    </row>
    <row r="4" ht="124.5" customHeight="1" s="1449">
      <c r="B4" s="818" t="inlineStr">
        <is>
          <t>Legally</t>
        </is>
      </c>
      <c r="C4" s="1227" t="inlineStr">
        <is>
          <t xml:space="preserve">Legal restrictions include deed restrictions, CC&amp;R’s, lease encumbrances, zoning requirements, building codes, historic district controls and environmental regulations, and were previously analyzed to determine legally permitted uses.  Legally, the subject is zoned I-1 (Light Industrial). 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 Allowable uses include but are not limited to storage, distribution, wholesale, office/flex, warehousing, maintenance, and light manufacturing. </t>
        </is>
      </c>
    </row>
    <row r="5" ht="81.75" customHeight="1" s="1449">
      <c r="B5" s="819" t="inlineStr">
        <is>
          <t>Physically</t>
        </is>
      </c>
      <c r="C5" s="1228" t="inlineStr">
        <is>
          <t>Size, shape, topography, soil condition, availability of utilities, transportation access, surrounding uses, and locational characteristics were previously analyzed to determine which legal land uses are physically possible and which are best to conform to the physical and locational aspects of the site and its setting with respect to the neighborhood and community.  Overall, the physical site attributes result in adequate utility, and the property could be developed with a variety of legally-conforming uses.  Given the surrounding uses and location, the site is best suited for light industrial use.</t>
        </is>
      </c>
    </row>
    <row r="6" ht="113.25" customHeight="1" s="1449">
      <c r="B6" s="819" t="inlineStr">
        <is>
          <t>Financially</t>
        </is>
      </c>
      <c r="C6" s="1229" t="inlineStr">
        <is>
          <t>Financial feasibility is determined by the relationship of supply and demand for the legally probable land uses versus the cost to create them.  The market analysis section reveals that retail uses in the subject's market are generally stabilized.  Ongoing industrial development during the period in question throughout the market area serve as direct evidence that new industrial development was financially feasible at this time.  Comparisons of rental rates, operating expenses and construction costs indicate the subject property would have been capable of providing an adequate return on investment to warrant new industrial development in the market.  This assertion is supported by the fact that the property has the potential to generate rental income as shown in the income approach.  Therefore, retail use is considered financially feasible.</t>
        </is>
      </c>
    </row>
    <row r="7" ht="75" customHeight="1" s="1449">
      <c r="B7" s="820" t="inlineStr">
        <is>
          <t>Maximally</t>
        </is>
      </c>
      <c r="C7" s="1230" t="inlineStr">
        <is>
          <t>The final test of highest and best use of the site as vacant is that the use be maximally productive, yielding the highest return to the land.  In order to determine the maximally productive use, a comparison of rental rates, occupancy, operating expenses, and rates of return for the financially feasible uses have been made.  Based on this analysis, light industrial use renders the highest residual land value; therefore, light industrial development on the subject's site is the maximally productive use of the subject as vacant.</t>
        </is>
      </c>
    </row>
    <row r="8" hidden="1" s="1449">
      <c r="C8" s="1075" t="n"/>
    </row>
    <row r="9" hidden="1" s="1449">
      <c r="C9" s="1075" t="n"/>
    </row>
    <row r="10" ht="6" customHeight="1" s="1449">
      <c r="B10" s="887" t="n"/>
      <c r="C10" s="1075" t="n"/>
    </row>
    <row r="11">
      <c r="B11" s="821" t="inlineStr">
        <is>
          <t>AS IMPROVED</t>
        </is>
      </c>
      <c r="C11" s="822" t="n"/>
    </row>
    <row r="12" ht="30" customHeight="1" s="1449">
      <c r="B12" s="818" t="inlineStr">
        <is>
          <t>Legally</t>
        </is>
      </c>
      <c r="C12" s="1227" t="inlineStr">
        <is>
          <t xml:space="preserve">The subject is a legal conforming use in the I-1 zoning district. No other known legal encumbrances exists that limit use or function on the improved property. </t>
        </is>
      </c>
    </row>
    <row r="13" ht="30" customHeight="1" s="1449">
      <c r="B13" s="819" t="inlineStr">
        <is>
          <t>Physically</t>
        </is>
      </c>
      <c r="C13" s="1229" t="n"/>
    </row>
    <row r="14" ht="75" customHeight="1" s="1449">
      <c r="B14" s="819" t="inlineStr">
        <is>
          <t>Financially</t>
        </is>
      </c>
      <c r="C14" s="1229" t="inlineStr">
        <is>
          <t>Financial feasibility as an income-producing investment is based on the amount of rental income it can generate net of the required operating expenses.  If the resulting net operating income motivates continued operation, then the land is being put to a productive and financially feasible use.  The subject is capable of producing positive net cash flow to an investor.  The existing improvements provide contributory value to the site, and there is no alternate use that would result in a greater value.  Therefore, utilization of the existing improvements is financially feasible.</t>
        </is>
      </c>
    </row>
    <row r="15" ht="75" customHeight="1" s="1449">
      <c r="B15" s="820" t="inlineStr">
        <is>
          <t>Maximally</t>
        </is>
      </c>
      <c r="C15" s="1230" t="inlineStr">
        <is>
          <t>The maximally productive use should conform to neighborhood trends and be consistent with existing nearby land uses.  The single use that produces the greatest return on investment and usually the highest price and value is typically the highest and best use.  As shown in the applicable valuation sections, properties like the subject have been acquired and continue to be used for retail use.  None of the comparable properties were acquired for conversion to an alternative use.  This provides evidence suggesting that the current retail use is maximally productive.</t>
        </is>
      </c>
    </row>
  </sheetData>
  <dataValidations xWindow="615" yWindow="1174" count="2">
    <dataValidation sqref="C12" showDropDown="0" showInputMessage="1" showErrorMessage="1" allowBlank="1" promptTitle="Legal, As Improved" prompt="The Legal Default option = the Zoning Compliance paragraph (found on Zoning tab).  If left blank there, it will be blank here._x000a__x000a_Review autopopulated paragraphs.  This is what will link to your Word doc."/>
    <dataValidation sqref="C4:C7 C13:C15" showDropDown="0" showInputMessage="1" showErrorMessage="1" allowBlank="1" prompt="Review autopopulated paragraphs.  This is what will link to your Word doc."/>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fitToPage="1"/>
  </sheetPr>
  <dimension ref="C2:J37"/>
  <sheetViews>
    <sheetView showGridLines="0" zoomScale="130" zoomScaleNormal="130" workbookViewId="0">
      <selection activeCell="D7" sqref="D7"/>
    </sheetView>
  </sheetViews>
  <sheetFormatPr baseColWidth="8" defaultRowHeight="15"/>
  <cols>
    <col width="31.85546875" customWidth="1" style="1449" min="3" max="3"/>
    <col width="12.85546875" customWidth="1" style="1449" min="4" max="4"/>
    <col width="19.42578125" bestFit="1" customWidth="1" style="1449" min="5" max="5"/>
    <col width="4.140625" customWidth="1" style="1449" min="6" max="6"/>
    <col width="26.140625" bestFit="1" customWidth="1" style="1449" min="7" max="7"/>
    <col width="17.7109375" bestFit="1" customWidth="1" style="1449" min="8" max="8"/>
    <col width="20.7109375" customWidth="1" style="1449" min="9" max="10"/>
  </cols>
  <sheetData>
    <row r="2">
      <c r="C2" s="1533" t="inlineStr">
        <is>
          <t>VALUE INDICATIONS</t>
        </is>
      </c>
    </row>
    <row r="3" ht="15" customHeight="1" s="1449">
      <c r="C3" s="240" t="inlineStr">
        <is>
          <t>As Is - Land Value Only</t>
        </is>
      </c>
      <c r="D3" s="240" t="n"/>
      <c r="E3" s="240" t="n"/>
      <c r="F3" s="240" t="n"/>
    </row>
    <row r="4" ht="15" customHeight="1" s="1449">
      <c r="C4" s="170" t="inlineStr">
        <is>
          <t>Sales Comparison Approach</t>
        </is>
      </c>
      <c r="D4" s="1814">
        <f>'Land Sales'!#REF!</f>
        <v/>
      </c>
      <c r="E4" s="1815">
        <f>D4/'Property Info'!B12</f>
        <v/>
      </c>
      <c r="F4" s="186" t="inlineStr">
        <is>
          <t>Per Square Foot (LA)</t>
        </is>
      </c>
    </row>
    <row r="5" ht="15" customHeight="1" s="1449">
      <c r="C5" s="188" t="inlineStr">
        <is>
          <t>Value Conclusion - As Is</t>
        </is>
      </c>
      <c r="D5" s="1816">
        <f>D4</f>
        <v/>
      </c>
      <c r="E5" s="1817">
        <f>E4</f>
        <v/>
      </c>
      <c r="F5" s="188">
        <f>F4</f>
        <v/>
      </c>
    </row>
    <row r="6" ht="15" customHeight="1" s="1449">
      <c r="C6" s="1535" t="inlineStr">
        <is>
          <t>As Is - Retrospective Market Value - Fee Simple Estate</t>
        </is>
      </c>
      <c r="D6" s="1477" t="n"/>
      <c r="E6" s="1477" t="n"/>
      <c r="F6" s="1477" t="n"/>
    </row>
    <row r="7" ht="15" customHeight="1" s="1449">
      <c r="C7" s="170" t="inlineStr">
        <is>
          <t>Cost Approach</t>
        </is>
      </c>
      <c r="D7" s="1814" t="inlineStr">
        <is>
          <t>Not Developed</t>
        </is>
      </c>
      <c r="E7" s="1818" t="n"/>
      <c r="F7" s="186" t="n"/>
    </row>
    <row r="8" ht="15" customHeight="1" s="1449">
      <c r="C8" s="170" t="inlineStr">
        <is>
          <t>Sales Comparison Approach</t>
        </is>
      </c>
      <c r="D8" s="1814">
        <f>'Basic Sales Grid'!D46</f>
        <v/>
      </c>
      <c r="E8" s="1819">
        <f>D8/FE!$C$14</f>
        <v/>
      </c>
      <c r="F8" s="1248">
        <f>FE!B14</f>
        <v/>
      </c>
    </row>
    <row r="9" ht="15" customHeight="1" s="1449">
      <c r="C9" s="170" t="inlineStr">
        <is>
          <t>Income Capitalization Approach</t>
        </is>
      </c>
      <c r="D9" s="1814" t="n"/>
      <c r="E9" s="1818" t="n"/>
      <c r="F9" s="186" t="n"/>
    </row>
    <row r="10" ht="15" customHeight="1" s="1449">
      <c r="C10" s="170" t="inlineStr">
        <is>
          <t xml:space="preserve">     Direct Capitalization</t>
        </is>
      </c>
      <c r="D10" s="1814">
        <f>'Income Approach'!C65</f>
        <v/>
      </c>
      <c r="E10" s="1819">
        <f>D10/FE!$C$14</f>
        <v/>
      </c>
      <c r="F10" s="186">
        <f>F8</f>
        <v/>
      </c>
    </row>
    <row r="11" ht="15" customHeight="1" s="1449">
      <c r="C11" s="153" t="inlineStr">
        <is>
          <t>Approach Reliance</t>
        </is>
      </c>
      <c r="D11" s="339">
        <f>IF(FE!B14="GBA",'Final Value'!C8,'Final Value'!C9)</f>
        <v/>
      </c>
      <c r="E11" s="1820" t="n"/>
      <c r="F11" s="339" t="n"/>
    </row>
    <row r="12" ht="15" customHeight="1" s="1449">
      <c r="C12" s="158" t="inlineStr">
        <is>
          <t>Value Conclusion</t>
        </is>
      </c>
      <c r="D12" s="1821">
        <f>D10</f>
        <v/>
      </c>
      <c r="E12" s="1822">
        <f>D12/FE!$C$14</f>
        <v/>
      </c>
      <c r="F12" s="158">
        <f>F8</f>
        <v/>
      </c>
    </row>
    <row r="13" hidden="1" ht="15" customHeight="1" s="1449">
      <c r="C13" s="240" t="inlineStr">
        <is>
          <t>As Is</t>
        </is>
      </c>
      <c r="D13" s="240" t="n"/>
      <c r="E13" s="240" t="n"/>
      <c r="F13" s="240" t="n"/>
    </row>
    <row r="14" hidden="1" ht="15" customHeight="1" s="1449">
      <c r="C14" s="170" t="inlineStr">
        <is>
          <t>Sales Comparison Approach</t>
        </is>
      </c>
      <c r="D14" s="1814">
        <f>#REF!</f>
        <v/>
      </c>
      <c r="E14" s="1823">
        <f>#REF!</f>
        <v/>
      </c>
      <c r="F14" s="186" t="inlineStr">
        <is>
          <t>Per Square Foot (GBA)</t>
        </is>
      </c>
    </row>
    <row r="15" hidden="1" ht="15" customHeight="1" s="1449">
      <c r="C15" s="170" t="inlineStr">
        <is>
          <t>Income Capitalization Approach</t>
        </is>
      </c>
      <c r="D15" s="1814" t="n"/>
      <c r="E15" s="1815" t="n"/>
      <c r="F15" s="186" t="n"/>
    </row>
    <row r="16" hidden="1" ht="15" customHeight="1" s="1449">
      <c r="C16" s="170" t="inlineStr">
        <is>
          <t xml:space="preserve">     Direct Capitalization</t>
        </is>
      </c>
      <c r="D16" s="1814" t="n"/>
      <c r="E16" s="1815" t="n"/>
      <c r="F16" s="186">
        <f>F14</f>
        <v/>
      </c>
    </row>
    <row r="17" hidden="1" ht="15" customHeight="1" s="1449">
      <c r="C17" s="153" t="inlineStr">
        <is>
          <t>Approach Reliance</t>
        </is>
      </c>
      <c r="D17" s="339" t="inlineStr">
        <is>
          <t>Sales Comparison Approach</t>
        </is>
      </c>
      <c r="E17" s="339" t="n"/>
      <c r="F17" s="339" t="n"/>
    </row>
    <row r="18" hidden="1" ht="15" customHeight="1" s="1449">
      <c r="C18" s="158">
        <f>"Value Conclusion - "&amp;PROPER(bbValueConditionScen1)&amp;""</f>
        <v/>
      </c>
      <c r="D18" s="1821">
        <f>D14</f>
        <v/>
      </c>
      <c r="E18" s="1824">
        <f>E14</f>
        <v/>
      </c>
      <c r="F18" s="158">
        <f>F14</f>
        <v/>
      </c>
    </row>
    <row r="19" hidden="1" ht="15" customHeight="1" s="1449">
      <c r="C19" s="170" t="inlineStr">
        <is>
          <t>Exposure Time</t>
        </is>
      </c>
      <c r="D19" s="243" t="inlineStr">
        <is>
          <t>12 months</t>
        </is>
      </c>
      <c r="E19" s="13" t="n"/>
      <c r="F19" s="186" t="n"/>
    </row>
    <row r="20" hidden="1" ht="15" customHeight="1" s="1449">
      <c r="C20" s="104" t="inlineStr">
        <is>
          <t>Marketing Time</t>
        </is>
      </c>
      <c r="D20" s="244" t="inlineStr">
        <is>
          <t>12 months</t>
        </is>
      </c>
      <c r="E20" s="245" t="n"/>
      <c r="F20" s="14" t="n"/>
    </row>
    <row r="21">
      <c r="G21" s="1536" t="inlineStr">
        <is>
          <t>MARKET VALUE CONCLUSION</t>
        </is>
      </c>
    </row>
    <row r="22">
      <c r="G22" s="1065" t="inlineStr">
        <is>
          <t>Appraisal Premise</t>
        </is>
      </c>
      <c r="H22" s="1065" t="inlineStr">
        <is>
          <t>Interest Appraised</t>
        </is>
      </c>
      <c r="I22" s="1065" t="inlineStr">
        <is>
          <t>Date of Value</t>
        </is>
      </c>
      <c r="J22" s="1065" t="inlineStr">
        <is>
          <t>Value Conclusion</t>
        </is>
      </c>
    </row>
    <row r="23">
      <c r="G23" s="1825" t="inlineStr">
        <is>
          <t>Retrospective Market Value</t>
        </is>
      </c>
      <c r="H23" s="1067" t="inlineStr">
        <is>
          <t xml:space="preserve">Fee Simple </t>
        </is>
      </c>
      <c r="I23" s="1826">
        <f>'Property Info'!B27</f>
        <v/>
      </c>
      <c r="J23" s="1827">
        <f>D12</f>
        <v/>
      </c>
    </row>
    <row r="26" hidden="1" s="1449">
      <c r="G26" s="1534" t="inlineStr">
        <is>
          <t>6 MONTH LIQUIDATION VALUE CONCLUSION</t>
        </is>
      </c>
    </row>
    <row r="27" hidden="1" s="1449">
      <c r="G27" s="1650" t="inlineStr">
        <is>
          <t>Appraisal Premise</t>
        </is>
      </c>
      <c r="H27" s="1650" t="inlineStr">
        <is>
          <t>Interest Appraised</t>
        </is>
      </c>
      <c r="I27" s="1650" t="inlineStr">
        <is>
          <t>Date of Value</t>
        </is>
      </c>
      <c r="J27" s="1650" t="inlineStr">
        <is>
          <t>Value Conclusion</t>
        </is>
      </c>
    </row>
    <row r="28" hidden="1" s="1449">
      <c r="G28" s="1828">
        <f>bbValueNameScen1</f>
        <v/>
      </c>
      <c r="H28" s="247" t="inlineStr">
        <is>
          <t xml:space="preserve">Fee Simple </t>
        </is>
      </c>
      <c r="I28" s="1829" t="n"/>
      <c r="J28" s="1830" t="n"/>
    </row>
    <row r="29" hidden="1" s="1449"/>
    <row r="30" hidden="1" s="1449">
      <c r="G30" s="1534" t="inlineStr">
        <is>
          <t>HYPOTHETICAL MARKET VALUE CONCLUSION (UNDERLYING LAND ONLY)</t>
        </is>
      </c>
    </row>
    <row r="31" hidden="1" s="1449">
      <c r="G31" s="1650" t="inlineStr">
        <is>
          <t>Appraisal Premise</t>
        </is>
      </c>
      <c r="H31" s="1650" t="inlineStr">
        <is>
          <t>Interest Appraised</t>
        </is>
      </c>
      <c r="I31" s="1650" t="inlineStr">
        <is>
          <t>Date of Value</t>
        </is>
      </c>
      <c r="J31" s="1650" t="inlineStr">
        <is>
          <t>Value Conclusion</t>
        </is>
      </c>
    </row>
    <row r="32" hidden="1" s="1449">
      <c r="G32" s="1828" t="inlineStr">
        <is>
          <t>As If Vacant</t>
        </is>
      </c>
      <c r="H32" s="247" t="inlineStr">
        <is>
          <t xml:space="preserve">Fee Simple </t>
        </is>
      </c>
      <c r="I32" s="1829" t="n"/>
      <c r="J32" s="1830" t="n"/>
    </row>
    <row r="33" hidden="1" s="1449"/>
    <row r="34" hidden="1" s="1449">
      <c r="G34" s="1534" t="inlineStr">
        <is>
          <t>PROSPECTIVE MARKET VALUE CONCLUSION</t>
        </is>
      </c>
    </row>
    <row r="35" hidden="1" s="1449">
      <c r="G35" s="1650" t="inlineStr">
        <is>
          <t>Appraisal Premise</t>
        </is>
      </c>
      <c r="H35" s="1650" t="inlineStr">
        <is>
          <t>Interest Appraised</t>
        </is>
      </c>
      <c r="I35" s="1650" t="inlineStr">
        <is>
          <t>Date of Value</t>
        </is>
      </c>
      <c r="J35" s="1650" t="inlineStr">
        <is>
          <t>Value Conclusion</t>
        </is>
      </c>
    </row>
    <row r="36" hidden="1" s="1449">
      <c r="G36" s="1828" t="inlineStr">
        <is>
          <t>Upon Completion</t>
        </is>
      </c>
      <c r="H36" s="247" t="inlineStr">
        <is>
          <t xml:space="preserve">Fee Simple </t>
        </is>
      </c>
      <c r="I36" s="1829" t="n"/>
      <c r="J36" s="1830">
        <f>D12</f>
        <v/>
      </c>
    </row>
    <row r="37">
      <c r="E37" s="1758" t="n"/>
    </row>
  </sheetData>
  <mergeCells count="6">
    <mergeCell ref="G26:J26"/>
    <mergeCell ref="G34:J34"/>
    <mergeCell ref="C6:F6"/>
    <mergeCell ref="G30:J30"/>
    <mergeCell ref="G21:J21"/>
    <mergeCell ref="C2:F2"/>
  </mergeCell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B1:R67"/>
  <sheetViews>
    <sheetView zoomScale="85" zoomScaleNormal="85" workbookViewId="0">
      <selection activeCell="O10" sqref="O10"/>
    </sheetView>
  </sheetViews>
  <sheetFormatPr baseColWidth="8" defaultColWidth="9.140625" defaultRowHeight="15"/>
  <cols>
    <col width="9.140625" customWidth="1" style="1454" min="1" max="1"/>
    <col width="33.85546875" customWidth="1" style="1449" min="2" max="2"/>
    <col width="25.7109375" customWidth="1" style="1449" min="3" max="3"/>
    <col hidden="1" width="21.85546875" customWidth="1" style="1449" min="4" max="4"/>
    <col width="27.28515625" customWidth="1" style="1538" min="5" max="5"/>
    <col hidden="1" width="21.85546875" customWidth="1" style="1449" min="6" max="6"/>
    <col width="27.28515625" customWidth="1" style="1538" min="7" max="7"/>
    <col hidden="1" width="22" customWidth="1" style="1449" min="8" max="8"/>
    <col width="27.28515625" customWidth="1" style="1538" min="9" max="9"/>
    <col hidden="1" width="21.85546875" customWidth="1" style="1449" min="10" max="10"/>
    <col width="27.28515625" customWidth="1" style="1538" min="11" max="11"/>
    <col hidden="1" width="21.85546875" customWidth="1" style="1449" min="12" max="12"/>
    <col hidden="1" width="8.7109375" customWidth="1" style="1449" min="13" max="13"/>
    <col width="9.140625" customWidth="1" style="1454" min="14" max="14"/>
    <col width="31.85546875" customWidth="1" style="1454" min="15" max="15"/>
    <col width="9.140625" customWidth="1" style="1454" min="16" max="16"/>
  </cols>
  <sheetData>
    <row r="1">
      <c r="B1" s="1275" t="inlineStr">
        <is>
          <t xml:space="preserve">NOTES: </t>
        </is>
      </c>
      <c r="C1" s="1276" t="n"/>
      <c r="D1" s="1276" t="n"/>
      <c r="E1" s="1277" t="n"/>
    </row>
    <row r="2">
      <c r="B2" s="1278" t="inlineStr">
        <is>
          <t>Change Highlighted fields only</t>
        </is>
      </c>
      <c r="C2" s="1145" t="n"/>
      <c r="D2" s="1145" t="n"/>
      <c r="E2" s="1279" t="n"/>
    </row>
    <row r="3">
      <c r="B3" s="1278" t="inlineStr">
        <is>
          <t>Change highlighted areas to WHITE when complete</t>
        </is>
      </c>
      <c r="C3" s="1145" t="n"/>
      <c r="D3" s="1145" t="n"/>
      <c r="E3" s="1279" t="n"/>
    </row>
    <row r="4">
      <c r="B4" s="1278" t="inlineStr">
        <is>
          <t>Check all cells for accuracy after completing</t>
        </is>
      </c>
      <c r="C4" s="1145" t="n"/>
      <c r="D4" s="1145" t="n"/>
      <c r="E4" s="1279" t="n"/>
    </row>
    <row r="5" ht="15.75" customHeight="1" s="1449" thickBot="1">
      <c r="B5" s="1280" t="inlineStr">
        <is>
          <t>Remember to spell check every worksheet as you go.</t>
        </is>
      </c>
      <c r="C5" s="1281" t="n"/>
      <c r="D5" s="1281" t="n"/>
      <c r="E5" s="1282" t="n"/>
    </row>
    <row r="7">
      <c r="B7" s="1539" t="inlineStr">
        <is>
          <t>COMPARABLE SALE ADJUSTMENT GRID</t>
        </is>
      </c>
    </row>
    <row r="8">
      <c r="B8" s="801" t="n"/>
      <c r="C8" s="801" t="inlineStr">
        <is>
          <t>Subject</t>
        </is>
      </c>
      <c r="D8" s="1537" t="inlineStr">
        <is>
          <t>Sale 1</t>
        </is>
      </c>
      <c r="F8" s="1537" t="inlineStr">
        <is>
          <t>Sale 2</t>
        </is>
      </c>
      <c r="H8" s="1537" t="inlineStr">
        <is>
          <t>Sale 3</t>
        </is>
      </c>
      <c r="J8" s="1537" t="inlineStr">
        <is>
          <t>Sale 4</t>
        </is>
      </c>
      <c r="L8" s="1548" t="inlineStr">
        <is>
          <t>Sale 5</t>
        </is>
      </c>
    </row>
    <row r="9">
      <c r="B9" s="840" t="inlineStr">
        <is>
          <t>Address</t>
        </is>
      </c>
      <c r="C9" s="841">
        <f>'Property Info'!B17</f>
        <v/>
      </c>
      <c r="D9" s="1077" t="n"/>
      <c r="E9" s="1254" t="n"/>
      <c r="F9" s="1077" t="n"/>
      <c r="G9" s="1254" t="n"/>
      <c r="H9" s="1077" t="n"/>
      <c r="I9" s="1254" t="n"/>
      <c r="J9" s="1076" t="n"/>
      <c r="K9" s="1255" t="n"/>
      <c r="L9" s="1543" t="n"/>
    </row>
    <row r="10" ht="30" customHeight="1" s="1449">
      <c r="B10" s="840" t="inlineStr">
        <is>
          <t>City, State</t>
        </is>
      </c>
      <c r="C10" s="842">
        <f>'Property Info'!B18</f>
        <v/>
      </c>
      <c r="D10" s="1076" t="n"/>
      <c r="E10" s="1255" t="n"/>
      <c r="F10" s="1076" t="n"/>
      <c r="G10" s="1255" t="n"/>
      <c r="H10" s="1076" t="n"/>
      <c r="I10" s="1255" t="n"/>
      <c r="J10" s="1076" t="n"/>
      <c r="K10" s="1255" t="n"/>
      <c r="L10" s="1543" t="n"/>
    </row>
    <row r="11" ht="27" customHeight="1" s="1449">
      <c r="B11" s="840" t="inlineStr">
        <is>
          <t>Account/Parcel Number</t>
        </is>
      </c>
      <c r="C11" s="842">
        <f>'Property Info'!B2</f>
        <v/>
      </c>
      <c r="D11" s="1076" t="n"/>
      <c r="E11" s="1255" t="n"/>
      <c r="F11" s="1076" t="n"/>
      <c r="G11" s="1255" t="n"/>
      <c r="H11" s="1076" t="n"/>
      <c r="I11" s="1255" t="n"/>
      <c r="J11" s="1077" t="n"/>
      <c r="K11" s="1254" t="n"/>
      <c r="L11" s="1542" t="n"/>
    </row>
    <row r="12">
      <c r="B12" s="840" t="inlineStr">
        <is>
          <t>Property Type</t>
        </is>
      </c>
      <c r="C12" s="1249" t="inlineStr">
        <is>
          <t>Industrial Land</t>
        </is>
      </c>
      <c r="D12" s="1076" t="n"/>
      <c r="E12" s="1255" t="inlineStr">
        <is>
          <t>Industrial Land</t>
        </is>
      </c>
      <c r="F12" s="1076" t="n"/>
      <c r="G12" s="1255" t="inlineStr">
        <is>
          <t>Industrial Land</t>
        </is>
      </c>
      <c r="H12" s="1076" t="n"/>
      <c r="I12" s="1255" t="inlineStr">
        <is>
          <t>Industrial Land</t>
        </is>
      </c>
      <c r="J12" s="1076" t="n"/>
      <c r="K12" s="1255" t="inlineStr">
        <is>
          <t>Industrial Land</t>
        </is>
      </c>
      <c r="L12" s="1543" t="inlineStr">
        <is>
          <t>Commercial Land</t>
        </is>
      </c>
    </row>
    <row r="13">
      <c r="B13" s="840" t="inlineStr">
        <is>
          <t>Sale Date</t>
        </is>
      </c>
      <c r="C13" s="1250" t="inlineStr">
        <is>
          <t>N/A</t>
        </is>
      </c>
      <c r="D13" s="1831" t="n"/>
      <c r="E13" s="1832" t="n"/>
      <c r="F13" s="1831" t="n"/>
      <c r="G13" s="1832" t="n"/>
      <c r="H13" s="1831" t="n"/>
      <c r="I13" s="1832" t="n"/>
      <c r="J13" s="1831" t="n"/>
      <c r="K13" s="1832" t="n"/>
      <c r="L13" s="1833" t="n"/>
    </row>
    <row r="14" ht="12.6" customHeight="1" s="1449">
      <c r="B14" s="840" t="inlineStr">
        <is>
          <t>Sale Price</t>
        </is>
      </c>
      <c r="C14" s="1834" t="inlineStr">
        <is>
          <t>N/A</t>
        </is>
      </c>
      <c r="D14" s="1835" t="n"/>
      <c r="E14" s="1836" t="n"/>
      <c r="F14" s="1835" t="n"/>
      <c r="G14" s="1836" t="n"/>
      <c r="H14" s="1835" t="n"/>
      <c r="I14" s="1836" t="n"/>
      <c r="J14" s="1835" t="n"/>
      <c r="K14" s="1836" t="n"/>
      <c r="L14" s="1837" t="n"/>
    </row>
    <row r="15" ht="12.6" customHeight="1" s="1449">
      <c r="B15" s="840" t="inlineStr">
        <is>
          <t>Listing Price</t>
        </is>
      </c>
      <c r="C15" s="1834" t="inlineStr">
        <is>
          <t>N/A</t>
        </is>
      </c>
      <c r="D15" s="1835" t="n"/>
      <c r="E15" s="1836" t="inlineStr">
        <is>
          <t>Not Reported</t>
        </is>
      </c>
      <c r="F15" s="1835" t="n"/>
      <c r="G15" s="1836" t="n">
        <v>1224040</v>
      </c>
      <c r="H15" s="1835" t="n"/>
      <c r="I15" s="1836" t="n">
        <v>1600000</v>
      </c>
      <c r="J15" s="1835" t="n"/>
      <c r="K15" s="1836" t="inlineStr">
        <is>
          <t>Not Reported</t>
        </is>
      </c>
      <c r="L15" s="1837" t="n">
        <v>500000</v>
      </c>
    </row>
    <row r="16" ht="12.6" customHeight="1" s="1449">
      <c r="B16" s="840" t="inlineStr">
        <is>
          <t>Days On Market</t>
        </is>
      </c>
      <c r="C16" s="1250" t="inlineStr">
        <is>
          <t>N/A</t>
        </is>
      </c>
      <c r="D16" s="1076" t="n"/>
      <c r="E16" s="1255" t="inlineStr">
        <is>
          <t>Not Reported</t>
        </is>
      </c>
      <c r="F16" s="1076" t="n"/>
      <c r="G16" s="1255" t="n">
        <v>1117</v>
      </c>
      <c r="H16" s="1076" t="n"/>
      <c r="I16" s="1255" t="n">
        <v>259</v>
      </c>
      <c r="J16" s="1076" t="n"/>
      <c r="K16" s="1255" t="inlineStr">
        <is>
          <t>Not Reported</t>
        </is>
      </c>
      <c r="L16" s="1543" t="n">
        <v>725</v>
      </c>
    </row>
    <row r="17" ht="60" customHeight="1" s="1449">
      <c r="B17" s="840" t="inlineStr">
        <is>
          <t>Data Source</t>
        </is>
      </c>
      <c r="C17" s="1252" t="inlineStr">
        <is>
          <t>Assessor, appraiser measurements</t>
        </is>
      </c>
      <c r="D17" s="1077" t="n"/>
      <c r="E17" s="1254" t="inlineStr">
        <is>
          <t>Costar, Assessor Data, Deed, Troy DeVos (Buyer Representative)</t>
        </is>
      </c>
      <c r="F17" s="1077" t="n"/>
      <c r="G17" s="1254" t="inlineStr">
        <is>
          <t>CoStar, Assessor Data, Listing Broker (Phil Foster &amp; Co.)</t>
        </is>
      </c>
      <c r="H17" s="1077" t="n"/>
      <c r="I17" s="1254" t="inlineStr">
        <is>
          <t>CoStar, Assessor Data, Listing Broker (Mark Goodman/Goodman Commercial)</t>
        </is>
      </c>
      <c r="J17" s="1077" t="n"/>
      <c r="K17" s="1254" t="inlineStr">
        <is>
          <t>CoStar, Denver Assessor, Deed, Loan</t>
        </is>
      </c>
      <c r="L17" s="1542" t="inlineStr">
        <is>
          <t>CoStar, Assessor, Listing</t>
        </is>
      </c>
    </row>
    <row r="18" hidden="1" ht="12.6" customHeight="1" s="1449">
      <c r="B18" s="840" t="inlineStr">
        <is>
          <t>Grantor</t>
        </is>
      </c>
      <c r="C18" s="843" t="inlineStr">
        <is>
          <t>TBD</t>
        </is>
      </c>
      <c r="D18" s="1079" t="n"/>
      <c r="E18" s="1258" t="n"/>
      <c r="F18" s="1079" t="n"/>
      <c r="G18" s="1258" t="n"/>
      <c r="H18" s="1079" t="n"/>
      <c r="I18" s="1258" t="n"/>
      <c r="J18" s="1079" t="n"/>
      <c r="K18" s="1258" t="n"/>
      <c r="L18" s="1547" t="n"/>
    </row>
    <row r="19" hidden="1" ht="12.6" customHeight="1" s="1449">
      <c r="B19" s="840" t="inlineStr">
        <is>
          <t>Grantee</t>
        </is>
      </c>
      <c r="C19" s="843" t="inlineStr">
        <is>
          <t>TBD</t>
        </is>
      </c>
      <c r="D19" s="1079" t="n"/>
      <c r="E19" s="1258" t="n"/>
      <c r="F19" s="1079" t="n"/>
      <c r="G19" s="1258" t="n"/>
      <c r="H19" s="1079" t="n"/>
      <c r="I19" s="1258" t="n"/>
      <c r="J19" s="1079" t="n"/>
      <c r="K19" s="1258" t="n"/>
      <c r="L19" s="1541" t="n"/>
    </row>
    <row r="20">
      <c r="B20" s="840" t="inlineStr">
        <is>
          <t>Site Size (SF)</t>
        </is>
      </c>
      <c r="C20" s="843">
        <f>'Property Info'!B12</f>
        <v/>
      </c>
      <c r="D20" s="1079" t="n"/>
      <c r="E20" s="1258" t="n"/>
      <c r="F20" s="1079" t="n"/>
      <c r="G20" s="1258" t="n"/>
      <c r="H20" s="1079" t="n"/>
      <c r="I20" s="1258" t="n"/>
      <c r="J20" s="1079" t="n"/>
      <c r="K20" s="1258" t="n"/>
      <c r="L20" s="1541" t="n"/>
    </row>
    <row r="21">
      <c r="B21" s="840" t="inlineStr">
        <is>
          <t xml:space="preserve">Zoning </t>
        </is>
      </c>
      <c r="C21" s="843">
        <f>'Property Info'!B30</f>
        <v/>
      </c>
      <c r="D21" s="1079" t="n"/>
      <c r="E21" s="1258" t="inlineStr">
        <is>
          <t>B-3 (Business/Commercial)</t>
        </is>
      </c>
      <c r="F21" s="1079" t="n"/>
      <c r="G21" s="1258" t="inlineStr">
        <is>
          <t>PUD-I (Industrial)</t>
        </is>
      </c>
      <c r="H21" s="1079" t="n"/>
      <c r="I21" s="1258" t="inlineStr">
        <is>
          <t>I-2 (General Industrial)</t>
        </is>
      </c>
      <c r="J21" s="1079" t="n"/>
      <c r="K21" s="1258" t="inlineStr">
        <is>
          <t>I-B (General Industrial)</t>
        </is>
      </c>
      <c r="L21" s="1541" t="inlineStr">
        <is>
          <t>B-2</t>
        </is>
      </c>
    </row>
    <row r="22" ht="48.75" customHeight="1" s="1449">
      <c r="B22" s="840" t="inlineStr">
        <is>
          <t>Comments</t>
        </is>
      </c>
      <c r="C22" s="1838" t="inlineStr">
        <is>
          <t>Industrial land</t>
        </is>
      </c>
      <c r="D22" s="1839" t="n"/>
      <c r="E22" s="1840" t="n"/>
      <c r="F22" s="1839" t="n"/>
      <c r="G22" s="1840" t="n"/>
      <c r="H22" s="1839" t="n"/>
      <c r="I22" s="1840" t="n"/>
      <c r="J22" s="1839" t="n"/>
      <c r="K22" s="1841" t="n"/>
      <c r="L22" s="1842" t="n"/>
      <c r="M22" s="1545" t="n"/>
    </row>
    <row r="23" ht="12.6" customHeight="1" s="1449">
      <c r="B23" s="513" t="inlineStr">
        <is>
          <t>Unadjusted Price Per SF</t>
        </is>
      </c>
      <c r="C23" s="1843" t="n"/>
      <c r="D23" s="515" t="n"/>
      <c r="E23" s="1844">
        <f>E14/E20</f>
        <v/>
      </c>
      <c r="F23" s="515" t="n"/>
      <c r="G23" s="1844">
        <f>G14/G20</f>
        <v/>
      </c>
      <c r="H23" s="515" t="n"/>
      <c r="I23" s="1844">
        <f>I14/I20</f>
        <v/>
      </c>
      <c r="J23" s="515" t="n"/>
      <c r="K23" s="1845">
        <f>K14/K20</f>
        <v/>
      </c>
      <c r="L23" s="1132" t="n"/>
      <c r="M23" s="1844">
        <f>L15/L20</f>
        <v/>
      </c>
    </row>
    <row r="24">
      <c r="B24" s="862" t="inlineStr">
        <is>
          <t>Quantified Adjustments</t>
        </is>
      </c>
      <c r="C24" s="863" t="n"/>
      <c r="D24" s="864" t="n"/>
      <c r="E24" s="865" t="n"/>
      <c r="F24" s="864" t="n"/>
      <c r="G24" s="865" t="n"/>
      <c r="H24" s="864" t="n"/>
      <c r="I24" s="865" t="n"/>
      <c r="J24" s="864" t="n"/>
      <c r="K24" s="1134" t="n"/>
      <c r="L24" s="523" t="n"/>
      <c r="M24" s="523" t="n"/>
    </row>
    <row r="25">
      <c r="B25" s="844" t="inlineStr">
        <is>
          <t>Property Rights Conveyed</t>
        </is>
      </c>
      <c r="C25" s="1091" t="inlineStr">
        <is>
          <t>Fee Simple</t>
        </is>
      </c>
      <c r="D25" s="845" t="inlineStr">
        <is>
          <t>Fee Simple</t>
        </is>
      </c>
      <c r="E25" s="1846" t="n">
        <v>0</v>
      </c>
      <c r="F25" s="1107" t="inlineStr">
        <is>
          <t>Fee Simple</t>
        </is>
      </c>
      <c r="G25" s="1846" t="n">
        <v>0</v>
      </c>
      <c r="H25" s="1107" t="inlineStr">
        <is>
          <t>Fee Simple</t>
        </is>
      </c>
      <c r="I25" s="1846" t="n">
        <v>0</v>
      </c>
      <c r="J25" s="1107" t="inlineStr">
        <is>
          <t>Fee Simple</t>
        </is>
      </c>
      <c r="K25" s="1847" t="n">
        <v>0</v>
      </c>
      <c r="L25" s="1107" t="inlineStr">
        <is>
          <t>Fee Simple</t>
        </is>
      </c>
      <c r="M25" s="1848" t="n"/>
    </row>
    <row r="26" hidden="1" s="1449">
      <c r="B26" s="847" t="inlineStr">
        <is>
          <t>Property Rights Conveyed Adjusted</t>
        </is>
      </c>
      <c r="C26" s="1092" t="n"/>
      <c r="D26" s="848" t="n"/>
      <c r="E26" s="1849">
        <f>IF(LEFT(CELL("format",E25),1)="P",E23*(1+E25),IF(LEFT(CELL("format",E25),1)="C",E23+E25))</f>
        <v/>
      </c>
      <c r="F26" s="1108" t="n"/>
      <c r="G26" s="1849">
        <f>IF(LEFT(CELL("format",G25),1)="P",G23*(1+G25),IF(LEFT(CELL("format",G25),1)="C",G23+G25))</f>
        <v/>
      </c>
      <c r="H26" s="1108" t="n"/>
      <c r="I26" s="1849">
        <f>IF(LEFT(CELL("format",I25),1)="P",I23*(1+I25),IF(LEFT(CELL("format",I25),1)="C",I23+I25))</f>
        <v/>
      </c>
      <c r="J26" s="1108" t="n"/>
      <c r="K26" s="1850">
        <f>IF(LEFT(CELL("format",K25),1)="P",K23*(1+K25),IF(LEFT(CELL("format",K25),1)="C",K23+K25))</f>
        <v/>
      </c>
      <c r="L26" s="1108" t="n"/>
      <c r="M26" s="1851">
        <f>IF(LEFT(CELL("format",M25),1)="P",M23*(1+M25),IF(LEFT(CELL("format",M25),1)="C",M23+M25))</f>
        <v/>
      </c>
    </row>
    <row r="27">
      <c r="B27" s="840" t="inlineStr">
        <is>
          <t>Financing</t>
        </is>
      </c>
      <c r="C27" s="1092" t="inlineStr">
        <is>
          <t>N/A</t>
        </is>
      </c>
      <c r="D27" s="848" t="inlineStr">
        <is>
          <t>Market-Based</t>
        </is>
      </c>
      <c r="E27" s="1852" t="n">
        <v>0</v>
      </c>
      <c r="F27" s="1108" t="inlineStr">
        <is>
          <t>Market-Based</t>
        </is>
      </c>
      <c r="G27" s="1852" t="n">
        <v>0</v>
      </c>
      <c r="H27" s="1108" t="inlineStr">
        <is>
          <t>Market-Based</t>
        </is>
      </c>
      <c r="I27" s="1852" t="n">
        <v>0</v>
      </c>
      <c r="J27" s="1108" t="inlineStr">
        <is>
          <t>Market-Based</t>
        </is>
      </c>
      <c r="K27" s="1847" t="n">
        <v>0</v>
      </c>
      <c r="L27" s="1108" t="inlineStr">
        <is>
          <t>Market-Based</t>
        </is>
      </c>
      <c r="M27" s="1853" t="n">
        <v>0</v>
      </c>
      <c r="N27" s="362" t="n"/>
    </row>
    <row r="28" hidden="1" s="1449">
      <c r="B28" s="847" t="inlineStr">
        <is>
          <t>Financing Adjusted</t>
        </is>
      </c>
      <c r="C28" s="1092" t="n"/>
      <c r="D28" s="848" t="n"/>
      <c r="E28" s="1854">
        <f>IF(LEFT(CELL("format",E27),1)="P",E26*(1+E27),IF(LEFT(CELL("format",E27),1)="C",E26+E27))</f>
        <v/>
      </c>
      <c r="F28" s="1108" t="n"/>
      <c r="G28" s="1854">
        <f>IF(LEFT(CELL("format",G27),1)="P",G26*(1+G27),IF(LEFT(CELL("format",G27),1)="C",G26+G27))</f>
        <v/>
      </c>
      <c r="H28" s="1108" t="n"/>
      <c r="I28" s="1854">
        <f>IF(LEFT(CELL("format",I27),1)="P",I26*(1+I27),IF(LEFT(CELL("format",I27),1)="C",I26+I27))</f>
        <v/>
      </c>
      <c r="J28" s="1108" t="n"/>
      <c r="K28" s="1855">
        <f>IF(LEFT(CELL("format",K27),1)="P",K26*(1+K27),IF(LEFT(CELL("format",K27),1)="C",K26+K27))</f>
        <v/>
      </c>
      <c r="L28" s="1108" t="n"/>
      <c r="M28" s="1856">
        <f>IF(LEFT(CELL("format",M27),1)="P",M26*(1+M27),IF(LEFT(CELL("format",M27),1)="C",M26+M27))</f>
        <v/>
      </c>
      <c r="N28" s="362" t="n"/>
      <c r="R28">
        <f>0.25*J20</f>
        <v/>
      </c>
    </row>
    <row r="29">
      <c r="B29" s="840" t="inlineStr">
        <is>
          <t>Terms/Conditions of Sale</t>
        </is>
      </c>
      <c r="C29" s="1092" t="inlineStr">
        <is>
          <t>N/A</t>
        </is>
      </c>
      <c r="D29" s="848" t="inlineStr">
        <is>
          <t>None</t>
        </is>
      </c>
      <c r="E29" s="1852" t="n">
        <v>0</v>
      </c>
      <c r="F29" s="1108" t="inlineStr">
        <is>
          <t>None</t>
        </is>
      </c>
      <c r="G29" s="1852" t="n">
        <v>0</v>
      </c>
      <c r="H29" s="1108" t="inlineStr">
        <is>
          <t>None</t>
        </is>
      </c>
      <c r="I29" s="1852" t="n">
        <v>0</v>
      </c>
      <c r="J29" s="1108" t="inlineStr">
        <is>
          <t>None</t>
        </is>
      </c>
      <c r="K29" s="1847" t="n">
        <v>0</v>
      </c>
      <c r="L29" s="1108" t="inlineStr">
        <is>
          <t>None</t>
        </is>
      </c>
      <c r="M29" s="1853" t="n">
        <v>0</v>
      </c>
      <c r="N29" s="362" t="n"/>
    </row>
    <row r="30" hidden="1" s="1449">
      <c r="B30" s="847" t="inlineStr">
        <is>
          <t>Terms/Conditions of Sale Adjusted</t>
        </is>
      </c>
      <c r="C30" s="1092" t="n"/>
      <c r="D30" s="848" t="n"/>
      <c r="E30" s="1854">
        <f>IF(LEFT(CELL("format",E29),1)="P",E28*(1+E29),IF(LEFT(CELL("format",E29),1)="C",E28+E29))</f>
        <v/>
      </c>
      <c r="F30" s="1108" t="n"/>
      <c r="G30" s="1854">
        <f>IF(LEFT(CELL("format",G29),1)="P",G28*(1+G29),IF(LEFT(CELL("format",G29),1)="C",G28+G29))</f>
        <v/>
      </c>
      <c r="H30" s="1108" t="n"/>
      <c r="I30" s="1854">
        <f>IF(LEFT(CELL("format",I29),1)="P",I28*(1+I29),IF(LEFT(CELL("format",I29),1)="C",I28+I29))</f>
        <v/>
      </c>
      <c r="J30" s="1108" t="n"/>
      <c r="K30" s="1855">
        <f>IF(LEFT(CELL("format",K29),1)="P",K28*(1+K29),IF(LEFT(CELL("format",K29),1)="C",K28+K29))</f>
        <v/>
      </c>
      <c r="L30" s="1108" t="n"/>
      <c r="M30" s="1856">
        <f>IF(LEFT(CELL("format",M29),1)="P",M28*(1+M29),IF(LEFT(CELL("format",M29),1)="C",M28+M29))</f>
        <v/>
      </c>
      <c r="N30" s="362" t="n"/>
    </row>
    <row r="31">
      <c r="B31" s="840" t="inlineStr">
        <is>
          <t>Expenditures After Sale</t>
        </is>
      </c>
      <c r="C31" s="1092" t="inlineStr">
        <is>
          <t>N/A</t>
        </is>
      </c>
      <c r="D31" s="848" t="inlineStr">
        <is>
          <t>None</t>
        </is>
      </c>
      <c r="E31" s="1852" t="n">
        <v>0</v>
      </c>
      <c r="F31" s="1108" t="inlineStr">
        <is>
          <t>None</t>
        </is>
      </c>
      <c r="G31" s="1852" t="n">
        <v>0</v>
      </c>
      <c r="H31" s="1108" t="inlineStr">
        <is>
          <t>None</t>
        </is>
      </c>
      <c r="I31" s="1852" t="n">
        <v>0</v>
      </c>
      <c r="J31" s="1108" t="inlineStr">
        <is>
          <t>None</t>
        </is>
      </c>
      <c r="K31" s="1847" t="n">
        <v>0</v>
      </c>
      <c r="L31" s="1108" t="inlineStr">
        <is>
          <t>None</t>
        </is>
      </c>
      <c r="M31" s="1853" t="n">
        <v>0</v>
      </c>
      <c r="N31" s="362" t="n"/>
    </row>
    <row r="32" hidden="1" s="1449">
      <c r="B32" s="847" t="inlineStr">
        <is>
          <t>Expenditures After Sale Adjusted</t>
        </is>
      </c>
      <c r="C32" s="1092" t="n"/>
      <c r="D32" s="848" t="n"/>
      <c r="E32" s="1854">
        <f>IF(LEFT(CELL("format",E31),1)="P",E30*(1+E31),IF(LEFT(CELL("format",E31),1)="C",E30+E31))</f>
        <v/>
      </c>
      <c r="F32" s="1108" t="n"/>
      <c r="G32" s="1854">
        <f>IF(LEFT(CELL("format",G31),1)="P",G30*(1+G31),IF(LEFT(CELL("format",G31),1)="C",G30+G31))</f>
        <v/>
      </c>
      <c r="H32" s="1108" t="n"/>
      <c r="I32" s="1854">
        <f>IF(LEFT(CELL("format",I31),1)="P",I30*(1+I31),IF(LEFT(CELL("format",I31),1)="C",I30+I31))</f>
        <v/>
      </c>
      <c r="J32" s="1108" t="n"/>
      <c r="K32" s="1855">
        <f>IF(LEFT(CELL("format",K31),1)="P",K30*(1+K31),IF(LEFT(CELL("format",K31),1)="C",K30+K31))</f>
        <v/>
      </c>
      <c r="L32" s="1108" t="n"/>
      <c r="M32" s="1856">
        <f>IF(LEFT(CELL("format",M31),1)="P",M30*(1+M31),IF(LEFT(CELL("format",M31),1)="C",M30+M31))</f>
        <v/>
      </c>
      <c r="N32" s="362" t="n"/>
    </row>
    <row r="33">
      <c r="B33" s="840" t="inlineStr">
        <is>
          <t>Market Conditions</t>
        </is>
      </c>
      <c r="C33" s="1092" t="inlineStr">
        <is>
          <t>N/A</t>
        </is>
      </c>
      <c r="D33" s="1857">
        <f>D13</f>
        <v/>
      </c>
      <c r="E33" s="1852" t="n">
        <v>0</v>
      </c>
      <c r="F33" s="1858">
        <f>F13</f>
        <v/>
      </c>
      <c r="G33" s="1852" t="n">
        <v>0</v>
      </c>
      <c r="H33" s="1858">
        <f>H13</f>
        <v/>
      </c>
      <c r="I33" s="1852" t="n">
        <v>0</v>
      </c>
      <c r="J33" s="1858">
        <f>J13</f>
        <v/>
      </c>
      <c r="K33" s="1847" t="n">
        <v>0</v>
      </c>
      <c r="L33" s="1108" t="inlineStr">
        <is>
          <t>TBD</t>
        </is>
      </c>
      <c r="M33" s="1853" t="n">
        <v>0</v>
      </c>
      <c r="N33" s="362" t="n"/>
    </row>
    <row r="34" hidden="1" s="1449">
      <c r="B34" s="847" t="inlineStr">
        <is>
          <t>Market Conditions Adjusted</t>
        </is>
      </c>
      <c r="C34" s="1092" t="n"/>
      <c r="D34" s="848" t="n"/>
      <c r="E34" s="1859">
        <f>IF(LEFT(CELL("format",E33),1)="P",E32*(1+E33),IF(LEFT(CELL("format",E33),1)="C",E32+E33))</f>
        <v/>
      </c>
      <c r="F34" s="1108" t="n"/>
      <c r="G34" s="1859">
        <f>IF(LEFT(CELL("format",G33),1)="P",G32*(1+G33),IF(LEFT(CELL("format",G33),1)="C",G32+G33))</f>
        <v/>
      </c>
      <c r="H34" s="1108" t="n"/>
      <c r="I34" s="1859">
        <f>IF(LEFT(CELL("format",I33),1)="P",I32*(1+I33),IF(LEFT(CELL("format",I33),1)="C",I32+I33))</f>
        <v/>
      </c>
      <c r="J34" s="1108" t="n"/>
      <c r="K34" s="1860">
        <f>IF(LEFT(CELL("format",K33),1)="P",K32*(1+K33),IF(LEFT(CELL("format",K33),1)="C",K32+K33))</f>
        <v/>
      </c>
      <c r="L34" s="1108" t="n"/>
      <c r="M34" s="1851">
        <f>IF(LEFT(CELL("format",M33),1)="P",M32*(1+M33),IF(LEFT(CELL("format",M33),1)="C",M32+M33))</f>
        <v/>
      </c>
    </row>
    <row r="35" ht="15" customHeight="1" s="1449">
      <c r="B35" s="542" t="inlineStr">
        <is>
          <t>Total Quantified Adjustment</t>
        </is>
      </c>
      <c r="C35" s="1093" t="n"/>
      <c r="D35" s="544" t="n"/>
      <c r="E35" s="547">
        <f>IFERROR(TEXT(E34-E23,"$#,##0.00")&amp;CHAR(10)&amp;" or "&amp;CHAR(10)&amp;TEXT((E34-E23)/E23,"0.00%"),0)</f>
        <v/>
      </c>
      <c r="F35" s="1110" t="n"/>
      <c r="G35" s="547">
        <f>IFERROR(TEXT(G34-G23,"$#,##0.00")&amp;CHAR(10)&amp;" or "&amp;CHAR(10)&amp;TEXT((G34-G23)/G23,"0.00%"),0)</f>
        <v/>
      </c>
      <c r="H35" s="1110" t="n"/>
      <c r="I35" s="547">
        <f>IFERROR(TEXT(I34-I23,"$#,##0.00")&amp;CHAR(10)&amp;" or "&amp;CHAR(10)&amp;TEXT((I34-I23)/I23,"0.00%"),0)</f>
        <v/>
      </c>
      <c r="J35" s="1110" t="n"/>
      <c r="K35" s="546">
        <f>IFERROR(TEXT(K34-K23,"$#,##0.00")&amp;CHAR(10)&amp;" or "&amp;CHAR(10)&amp;TEXT((K34-K23)/K23,"0.00%"),0)</f>
        <v/>
      </c>
      <c r="L35" s="1110" t="n"/>
      <c r="M35" s="545">
        <f>IFERROR(TEXT(M34-M23,"$#,##0.00")&amp;CHAR(10)&amp;" or "&amp;CHAR(10)&amp;TEXT((M34-M23)/M23,"0.00%"),0)</f>
        <v/>
      </c>
    </row>
    <row r="36">
      <c r="B36" s="548" t="inlineStr">
        <is>
          <t>Quantitatively Adjusted Price</t>
        </is>
      </c>
      <c r="C36" s="1094" t="n"/>
      <c r="D36" s="544" t="n"/>
      <c r="E36" s="1861">
        <f>E34</f>
        <v/>
      </c>
      <c r="F36" s="1110" t="n"/>
      <c r="G36" s="1861">
        <f>G34</f>
        <v/>
      </c>
      <c r="H36" s="1110" t="n"/>
      <c r="I36" s="1861">
        <f>I34</f>
        <v/>
      </c>
      <c r="J36" s="1110" t="n"/>
      <c r="K36" s="1862">
        <f>K34</f>
        <v/>
      </c>
      <c r="L36" s="1110" t="n"/>
      <c r="M36" s="1863">
        <f>M34</f>
        <v/>
      </c>
    </row>
    <row r="37">
      <c r="B37" s="1085" t="inlineStr">
        <is>
          <t>Location</t>
        </is>
      </c>
      <c r="C37" s="1095">
        <f>'Basic Sales Grid'!D28</f>
        <v/>
      </c>
      <c r="D37" s="1086" t="inlineStr">
        <is>
          <t>Average</t>
        </is>
      </c>
      <c r="E37" s="1864" t="n"/>
      <c r="F37" s="1111" t="n"/>
      <c r="G37" s="1864" t="n"/>
      <c r="H37" s="1111" t="n"/>
      <c r="I37" s="1864" t="n"/>
      <c r="J37" s="1111" t="n"/>
      <c r="K37" s="1865" t="n"/>
      <c r="L37" s="618" t="n"/>
      <c r="M37" s="1866" t="n"/>
    </row>
    <row r="38" hidden="1" ht="12.6" customHeight="1" s="1449">
      <c r="B38" s="568" t="inlineStr">
        <is>
          <t>Distance from Subject</t>
        </is>
      </c>
      <c r="C38" s="1096" t="inlineStr">
        <is>
          <t>N/A</t>
        </is>
      </c>
      <c r="D38" s="854" t="n"/>
      <c r="E38" s="1864" t="n"/>
      <c r="F38" s="1112" t="n"/>
      <c r="G38" s="1864" t="n"/>
      <c r="H38" s="1112" t="n"/>
      <c r="I38" s="1864" t="n"/>
      <c r="J38" s="1112" t="n"/>
      <c r="K38" s="1865" t="n"/>
      <c r="L38" s="1112" t="n"/>
      <c r="M38" s="1867" t="n"/>
    </row>
    <row r="39" hidden="1" ht="29.25" customHeight="1" s="1449">
      <c r="B39" s="568" t="inlineStr">
        <is>
          <t>Surrounding Land Uses</t>
        </is>
      </c>
      <c r="C39" s="1096" t="inlineStr">
        <is>
          <t>Retail, residential, developable land</t>
        </is>
      </c>
      <c r="D39" s="854" t="n"/>
      <c r="E39" s="1864" t="n"/>
      <c r="F39" s="1112" t="n"/>
      <c r="G39" s="1864" t="n"/>
      <c r="H39" s="1112" t="n"/>
      <c r="I39" s="1864" t="n"/>
      <c r="J39" s="1112" t="n"/>
      <c r="K39" s="1865" t="n"/>
      <c r="L39" s="1112" t="n"/>
      <c r="M39" s="1867" t="n"/>
    </row>
    <row r="40" hidden="1" ht="12.6" customHeight="1" s="1449">
      <c r="B40" s="568" t="inlineStr">
        <is>
          <t>Quality/Condition of Surrounding Area</t>
        </is>
      </c>
      <c r="C40" s="1097" t="inlineStr">
        <is>
          <t>Average to New</t>
        </is>
      </c>
      <c r="D40" s="856" t="n"/>
      <c r="E40" s="1864" t="n"/>
      <c r="F40" s="1113" t="n"/>
      <c r="G40" s="1864" t="n"/>
      <c r="H40" s="1113" t="n"/>
      <c r="I40" s="1864" t="n"/>
      <c r="J40" s="1113" t="n"/>
      <c r="K40" s="1865" t="n"/>
      <c r="L40" s="1113" t="n"/>
      <c r="M40" s="1867" t="n"/>
    </row>
    <row r="41" hidden="1" ht="12.6" customHeight="1" s="1449">
      <c r="B41" s="568" t="inlineStr">
        <is>
          <t>Access to Commercial Services/Amenities</t>
        </is>
      </c>
      <c r="C41" s="1097" t="inlineStr">
        <is>
          <t>Good</t>
        </is>
      </c>
      <c r="D41" s="856" t="n"/>
      <c r="E41" s="1864" t="n"/>
      <c r="F41" s="1113" t="n"/>
      <c r="G41" s="1864" t="n"/>
      <c r="H41" s="1113" t="n"/>
      <c r="I41" s="1864" t="n"/>
      <c r="J41" s="1113" t="n"/>
      <c r="K41" s="1865" t="n"/>
      <c r="L41" s="1113" t="n"/>
      <c r="M41" s="1867" t="n"/>
    </row>
    <row r="42" hidden="1" ht="75.75" customHeight="1" s="1449">
      <c r="B42" s="568" t="inlineStr">
        <is>
          <t>Visibility/Access</t>
        </is>
      </c>
      <c r="C42" s="1098" t="inlineStr">
        <is>
          <t>Average- access and visibility from two secondary thoroughfares.</t>
        </is>
      </c>
      <c r="D42" s="857" t="n"/>
      <c r="E42" s="1864" t="n"/>
      <c r="F42" s="1114" t="n"/>
      <c r="G42" s="1864" t="n"/>
      <c r="H42" s="1114" t="n"/>
      <c r="I42" s="1864" t="n"/>
      <c r="J42" s="1114" t="n"/>
      <c r="K42" s="1865" t="n"/>
      <c r="L42" s="1114" t="n"/>
      <c r="M42" s="1867" t="n"/>
    </row>
    <row r="43" hidden="1" ht="70.5" customHeight="1" s="1449">
      <c r="B43" s="568" t="inlineStr">
        <is>
          <t>Description</t>
        </is>
      </c>
      <c r="C43" s="1099" t="inlineStr">
        <is>
          <t xml:space="preserve">Developing residential/retail area. Commercial thoroughfare exposure. Adjacent to anchored retail center. </t>
        </is>
      </c>
      <c r="D43" s="569" t="n"/>
      <c r="E43" s="1864" t="n"/>
      <c r="F43" s="622" t="n"/>
      <c r="G43" s="1864" t="n"/>
      <c r="H43" s="622" t="n"/>
      <c r="I43" s="1864" t="n"/>
      <c r="J43" s="622" t="n"/>
      <c r="K43" s="1865" t="n"/>
      <c r="L43" s="622" t="n"/>
      <c r="M43" s="1867" t="n"/>
    </row>
    <row r="44">
      <c r="B44" s="806">
        <f>B20</f>
        <v/>
      </c>
      <c r="C44" s="1100">
        <f>C20</f>
        <v/>
      </c>
      <c r="D44" s="1087">
        <f>D20</f>
        <v/>
      </c>
      <c r="E44" s="1864" t="n"/>
      <c r="F44" s="1115" t="n"/>
      <c r="G44" s="1864" t="n"/>
      <c r="H44" s="1115" t="n"/>
      <c r="I44" s="1864" t="n"/>
      <c r="J44" s="1115" t="n"/>
      <c r="K44" s="1865" t="n"/>
      <c r="L44" s="623" t="n"/>
      <c r="M44" s="1866" t="n"/>
    </row>
    <row r="45">
      <c r="B45" s="1088" t="inlineStr">
        <is>
          <t xml:space="preserve">Zoning </t>
        </is>
      </c>
      <c r="C45" s="1095">
        <f>C21</f>
        <v/>
      </c>
      <c r="D45" s="1089">
        <f>D21</f>
        <v/>
      </c>
      <c r="E45" s="1864" t="n"/>
      <c r="F45" s="1116" t="n"/>
      <c r="G45" s="1864" t="n"/>
      <c r="H45" s="1116" t="n"/>
      <c r="I45" s="1864" t="n"/>
      <c r="J45" s="1116" t="n"/>
      <c r="K45" s="1865" t="n"/>
      <c r="L45" s="1125" t="n"/>
      <c r="M45" s="1866" t="n"/>
    </row>
    <row r="46" ht="16.5" customHeight="1" s="1449">
      <c r="B46" s="1085" t="inlineStr">
        <is>
          <t>Utilities / Infrastructure</t>
        </is>
      </c>
      <c r="C46" s="1261" t="inlineStr">
        <is>
          <t>Average</t>
        </is>
      </c>
      <c r="D46" s="1086" t="inlineStr">
        <is>
          <t>Average</t>
        </is>
      </c>
      <c r="E46" s="1864" t="n"/>
      <c r="F46" s="1111" t="n"/>
      <c r="G46" s="1864" t="n"/>
      <c r="H46" s="1111" t="n"/>
      <c r="I46" s="1864" t="n"/>
      <c r="J46" s="1111" t="n"/>
      <c r="K46" s="1865" t="n"/>
      <c r="L46" s="618" t="n"/>
      <c r="M46" s="1866" t="n"/>
    </row>
    <row r="47" hidden="1" ht="12.6" customHeight="1" s="1449">
      <c r="B47" s="568" t="inlineStr">
        <is>
          <t>Water/Sewer</t>
        </is>
      </c>
      <c r="C47" s="1096" t="inlineStr">
        <is>
          <t>Available - Municipal Services</t>
        </is>
      </c>
      <c r="D47" s="854" t="inlineStr">
        <is>
          <t>Available - Municipal Services</t>
        </is>
      </c>
      <c r="E47" s="1868" t="n"/>
      <c r="F47" s="1112" t="n"/>
      <c r="G47" s="1868" t="n"/>
      <c r="H47" s="1112" t="n"/>
      <c r="I47" s="1868" t="n"/>
      <c r="J47" s="1112" t="n"/>
      <c r="K47" s="1869" t="n"/>
      <c r="L47" s="1112" t="n"/>
      <c r="M47" s="1870" t="n"/>
    </row>
    <row r="48" hidden="1" ht="15" customHeight="1" s="1449">
      <c r="B48" s="568" t="inlineStr">
        <is>
          <t>Electricity/Gas</t>
        </is>
      </c>
      <c r="C48" s="1096" t="inlineStr">
        <is>
          <t>Available - Xcel Energy</t>
        </is>
      </c>
      <c r="D48" s="854" t="inlineStr">
        <is>
          <t>Available - Xcel Energy</t>
        </is>
      </c>
      <c r="E48" s="1868" t="n"/>
      <c r="F48" s="1112" t="n"/>
      <c r="G48" s="1868" t="n"/>
      <c r="H48" s="1112" t="n"/>
      <c r="I48" s="1868" t="n"/>
      <c r="J48" s="1112" t="n"/>
      <c r="K48" s="1869" t="n"/>
      <c r="L48" s="1112" t="n"/>
      <c r="M48" s="1870" t="n"/>
    </row>
    <row r="49" hidden="1" ht="11.25" customHeight="1" s="1449">
      <c r="B49" s="568" t="inlineStr">
        <is>
          <t>Other</t>
        </is>
      </c>
      <c r="C49" s="1097" t="inlineStr">
        <is>
          <t>All available</t>
        </is>
      </c>
      <c r="D49" s="856" t="inlineStr">
        <is>
          <t>Historical Design</t>
        </is>
      </c>
      <c r="E49" s="1868" t="n"/>
      <c r="F49" s="1113" t="n"/>
      <c r="G49" s="1868" t="n"/>
      <c r="H49" s="1113" t="n"/>
      <c r="I49" s="1868" t="n"/>
      <c r="J49" s="1113" t="n"/>
      <c r="K49" s="1869" t="n"/>
      <c r="L49" s="1113" t="n"/>
      <c r="M49" s="1870" t="n"/>
    </row>
    <row r="50" ht="18" customHeight="1" s="1449">
      <c r="B50" s="806" t="inlineStr">
        <is>
          <t>Site Utility</t>
        </is>
      </c>
      <c r="C50" s="1261" t="inlineStr">
        <is>
          <t>Average</t>
        </is>
      </c>
      <c r="D50" s="1090" t="inlineStr">
        <is>
          <t>Average</t>
        </is>
      </c>
      <c r="E50" s="1871" t="n"/>
      <c r="F50" s="1117" t="n"/>
      <c r="G50" s="1871" t="n"/>
      <c r="H50" s="1117" t="n"/>
      <c r="I50" s="1871" t="n"/>
      <c r="J50" s="1111" t="n"/>
      <c r="K50" s="1872" t="n"/>
      <c r="L50" s="618" t="n"/>
      <c r="M50" s="1873" t="n"/>
    </row>
    <row r="51" hidden="1" s="1449">
      <c r="B51" s="568" t="inlineStr">
        <is>
          <t>Site Shape</t>
        </is>
      </c>
      <c r="C51" s="1097" t="inlineStr">
        <is>
          <t>Rectangular</t>
        </is>
      </c>
      <c r="D51" s="856" t="inlineStr">
        <is>
          <t>Rectangular</t>
        </is>
      </c>
      <c r="E51" s="1874" t="n"/>
      <c r="F51" s="1113" t="n"/>
      <c r="G51" s="1874" t="n"/>
      <c r="H51" s="1113" t="n"/>
      <c r="I51" s="1874" t="n"/>
      <c r="J51" s="1113" t="n"/>
      <c r="K51" s="1875" t="n"/>
      <c r="L51" s="1113" t="n"/>
      <c r="M51" s="1870" t="n"/>
    </row>
    <row r="52" hidden="1" ht="12" customHeight="1" s="1449">
      <c r="B52" s="568" t="inlineStr">
        <is>
          <t>Topography</t>
        </is>
      </c>
      <c r="C52" s="1101" t="inlineStr">
        <is>
          <t>Generally Level</t>
        </is>
      </c>
      <c r="D52" s="859" t="inlineStr">
        <is>
          <t>Generally Level</t>
        </is>
      </c>
      <c r="E52" s="1874" t="n"/>
      <c r="F52" s="1118" t="n"/>
      <c r="G52" s="1874" t="n"/>
      <c r="H52" s="1118" t="n"/>
      <c r="I52" s="1874" t="n"/>
      <c r="J52" s="1118" t="n"/>
      <c r="K52" s="1875" t="n"/>
      <c r="L52" s="1113" t="n"/>
      <c r="M52" s="1870" t="n"/>
    </row>
    <row r="53" hidden="1" ht="17.25" customHeight="1" s="1449">
      <c r="B53" s="568" t="inlineStr">
        <is>
          <t>Easement/Encroachments/Obstructions</t>
        </is>
      </c>
      <c r="C53" s="1101" t="inlineStr">
        <is>
          <t>None known</t>
        </is>
      </c>
      <c r="D53" s="859" t="inlineStr">
        <is>
          <t>None known</t>
        </is>
      </c>
      <c r="E53" s="1874" t="n"/>
      <c r="F53" s="1118" t="n"/>
      <c r="G53" s="1874" t="n"/>
      <c r="H53" s="1118" t="n"/>
      <c r="I53" s="1874" t="n"/>
      <c r="J53" s="1118" t="n"/>
      <c r="K53" s="1875" t="n"/>
      <c r="L53" s="1126" t="n"/>
      <c r="M53" s="1870" t="n"/>
    </row>
    <row r="54" hidden="1" ht="12" customHeight="1" s="1449">
      <c r="B54" s="568" t="inlineStr">
        <is>
          <t>Other</t>
        </is>
      </c>
      <c r="C54" s="1102" t="inlineStr">
        <is>
          <t>None</t>
        </is>
      </c>
      <c r="D54" s="860" t="inlineStr">
        <is>
          <t>None</t>
        </is>
      </c>
      <c r="E54" s="1874" t="n"/>
      <c r="F54" s="1119" t="n"/>
      <c r="G54" s="1874" t="n"/>
      <c r="H54" s="1119" t="n"/>
      <c r="I54" s="1874" t="n"/>
      <c r="J54" s="1119" t="n"/>
      <c r="K54" s="1875" t="n"/>
      <c r="L54" s="1127" t="n"/>
      <c r="M54" s="1870" t="n"/>
    </row>
    <row r="55">
      <c r="B55" s="586" t="inlineStr">
        <is>
          <t>Total Non Quantified Adj.</t>
        </is>
      </c>
      <c r="C55" s="1103" t="n"/>
      <c r="D55" s="588" t="n"/>
      <c r="E55" s="1876" t="n"/>
      <c r="F55" s="513" t="n"/>
      <c r="G55" s="1877" t="n"/>
      <c r="H55" s="1105" t="n"/>
      <c r="I55" s="1878" t="n"/>
      <c r="J55" s="1105" t="n"/>
      <c r="K55" s="1879" t="n"/>
      <c r="L55" s="1105" t="n"/>
      <c r="M55" s="1880" t="n"/>
    </row>
    <row r="56">
      <c r="B56" s="594" t="inlineStr">
        <is>
          <t>Indication for Subject:</t>
        </is>
      </c>
      <c r="C56" s="1104" t="n"/>
      <c r="D56" s="596" t="n"/>
      <c r="E56" s="1881">
        <f>IF(LEFT(CELL("format",E55),1)="P",E36*(1+E55),IF(LEFT(CELL("format",E55),1)="C",E36+E55))</f>
        <v/>
      </c>
      <c r="F56" s="1120" t="n"/>
      <c r="G56" s="1882">
        <f>IF(LEFT(CELL("format",G55),1)="P",G36*(1+G55),IF(LEFT(CELL("format",G55),1)="C",G36+G55))</f>
        <v/>
      </c>
      <c r="H56" s="1106" t="n"/>
      <c r="I56" s="1882">
        <f>IF(LEFT(CELL("format",I55),1)="P",I36*(1+I55),IF(LEFT(CELL("format",I55),1)="C",I36+I55))</f>
        <v/>
      </c>
      <c r="J56" s="1106" t="n"/>
      <c r="K56" s="1883">
        <f>IF(LEFT(CELL("format",K55),1)="P",K36*(1+K55),IF(LEFT(CELL("format",K55),1)="C",K36+K55))</f>
        <v/>
      </c>
      <c r="L56" s="1106" t="n"/>
      <c r="M56" s="1884">
        <f>IF(LEFT(CELL("format",M55),1)="P",M36*(1+M55),IF(LEFT(CELL("format",M55),1)="C",M36+M55))</f>
        <v/>
      </c>
    </row>
    <row r="58">
      <c r="C58" s="358" t="n"/>
    </row>
    <row r="59">
      <c r="B59" s="1549" t="inlineStr">
        <is>
          <t>VALUE CONCLUSION - UNDERLYING LAND AREA</t>
        </is>
      </c>
    </row>
    <row r="60" customFormat="1" s="1454">
      <c r="B60" s="362" t="inlineStr">
        <is>
          <t>Indicated Value per SF</t>
        </is>
      </c>
      <c r="C60" s="1885" t="n"/>
      <c r="E60" s="465" t="n"/>
      <c r="G60" s="465" t="n"/>
      <c r="I60" s="465" t="n"/>
      <c r="K60" s="465" t="n"/>
    </row>
    <row r="61" customFormat="1" s="1454">
      <c r="B61" s="362" t="inlineStr">
        <is>
          <t>Land Area (SF)</t>
        </is>
      </c>
      <c r="C61" s="1886">
        <f>C44</f>
        <v/>
      </c>
      <c r="E61" s="465" t="n"/>
      <c r="G61" s="465" t="n"/>
      <c r="I61" s="465" t="n"/>
      <c r="K61" s="465" t="n"/>
    </row>
    <row r="62" hidden="1" ht="17.25" customHeight="1" s="1449">
      <c r="B62" s="1060">
        <f>IF(C63=0,"HIDE THIS ROW IF NO DEFERRED MAINTENANCE", "Indicated Value")</f>
        <v/>
      </c>
      <c r="C62" s="1887">
        <f>C60*C61</f>
        <v/>
      </c>
    </row>
    <row r="63" hidden="1" s="1449">
      <c r="B63" s="1062" t="inlineStr">
        <is>
          <t xml:space="preserve">Contract Price </t>
        </is>
      </c>
      <c r="C63" s="1888" t="n"/>
    </row>
    <row r="64" hidden="1" s="1449">
      <c r="B64" s="1889" t="n"/>
      <c r="C64" s="1464" t="n"/>
    </row>
    <row r="65" customFormat="1" s="1454">
      <c r="B65" s="1071">
        <f>IF(SUM(C63:C63)=0,"Indicated Value","Indicated Value - Adjusted")</f>
        <v/>
      </c>
      <c r="C65" s="1890">
        <f>C60*C61</f>
        <v/>
      </c>
      <c r="E65" s="465" t="n"/>
      <c r="G65" s="465" t="n"/>
      <c r="I65" s="465" t="n"/>
      <c r="K65" s="465" t="n"/>
    </row>
    <row r="66">
      <c r="B66" s="1891" t="n">
        <v>5000</v>
      </c>
      <c r="C66" s="1892">
        <f>ROUND((C65/B66),0)*B66</f>
        <v/>
      </c>
    </row>
    <row r="67">
      <c r="B67" s="1666" t="inlineStr">
        <is>
          <t>Per SF</t>
        </is>
      </c>
      <c r="C67" s="1893">
        <f>C66/C61</f>
        <v/>
      </c>
    </row>
  </sheetData>
  <mergeCells count="22">
    <mergeCell ref="L17:M17"/>
    <mergeCell ref="B59:C59"/>
    <mergeCell ref="L16:M16"/>
    <mergeCell ref="L19:M19"/>
    <mergeCell ref="L13:M13"/>
    <mergeCell ref="L12:M12"/>
    <mergeCell ref="L15:M15"/>
    <mergeCell ref="L18:M18"/>
    <mergeCell ref="L8:M8"/>
    <mergeCell ref="L14:M14"/>
    <mergeCell ref="F8:G8"/>
    <mergeCell ref="L20:M20"/>
    <mergeCell ref="L10:M10"/>
    <mergeCell ref="L22:M22"/>
    <mergeCell ref="L9:M9"/>
    <mergeCell ref="D8:E8"/>
    <mergeCell ref="B7:M7"/>
    <mergeCell ref="B64:C64"/>
    <mergeCell ref="L21:M21"/>
    <mergeCell ref="L11:M11"/>
    <mergeCell ref="H8:I8"/>
    <mergeCell ref="J8:K8"/>
  </mergeCells>
  <conditionalFormatting sqref="B62">
    <cfRule type="expression" priority="3" dxfId="0" stopIfTrue="1">
      <formula>SUM(C63:C63)=0</formula>
    </cfRule>
  </conditionalFormatting>
  <conditionalFormatting sqref="B63">
    <cfRule type="expression" priority="2" dxfId="2">
      <formula>C63=0</formula>
    </cfRule>
  </conditionalFormatting>
  <conditionalFormatting sqref="B64">
    <cfRule type="expression" priority="1" dxfId="0" stopIfTrue="1">
      <formula>SUM(C65:C65)=0</formula>
    </cfRule>
  </conditionalFormatting>
  <dataValidations count="2">
    <dataValidation sqref="D56 F56 H56 J56 L56" showDropDown="0" showInputMessage="1" showErrorMessage="1" allowBlank="1" type="list">
      <formula1>lstCondition</formula1>
    </dataValidation>
    <dataValidation sqref="C63" showDropDown="0" showInputMessage="1" showErrorMessage="1" allowBlank="1" promptTitle="Adjustment #2" prompt="Input adjustment to calculated value—default link to Deferred Maintenance entered in Cost Approach."/>
  </dataValidation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B1:M4941"/>
  <sheetViews>
    <sheetView workbookViewId="0">
      <selection activeCell="A1" sqref="A1"/>
    </sheetView>
  </sheetViews>
  <sheetFormatPr baseColWidth="8" defaultRowHeight="15"/>
  <cols>
    <col width="52" customWidth="1" style="1449" min="2" max="2"/>
    <col width="12" customWidth="1" style="1449" min="3" max="3"/>
    <col width="10" customWidth="1" style="1449" min="4" max="4"/>
    <col width="8" customWidth="1" style="1449" min="5" max="5"/>
    <col width="10" customWidth="1" style="1449" min="6" max="6"/>
    <col width="11" customWidth="1" style="1449" min="7" max="7"/>
    <col width="10" customWidth="1" style="1449" min="8" max="8"/>
    <col width="14" customWidth="1" style="1449" min="9" max="9"/>
    <col width="26" customWidth="1" style="1449" min="10" max="10"/>
    <col width="10" customWidth="1" style="1449" min="11" max="11"/>
    <col width="10" customWidth="1" style="1449" min="12" max="12"/>
    <col width="10" customWidth="1" style="1449" min="13" max="13"/>
  </cols>
  <sheetData>
    <row r="1">
      <c r="B1" s="2453" t="inlineStr">
        <is>
          <t>MARSHALL AND SWIFT (MVS) REFERENCE ENGINE -- June 2024 Ed. (Sec.99/98 multiplier inserts dated Jan 2025). COMPLETE occupancy coverage: every Class/Quality cost table in calculator Sections 11-18.</t>
        </is>
      </c>
    </row>
    <row r="2">
      <c r="B2" t="inlineStr">
        <is>
          <t>ALL WORKING INPUTS LIVE ON THE 'COST APPROACH' TAB -- this sheet is locked MVS reference/lookup data only. Go to Cost Approach to value a property.</t>
        </is>
      </c>
    </row>
    <row r="4">
      <c r="B4" t="inlineStr">
        <is>
          <t>CURRENT RESULT  (mirrors the 'Cost Approach' tab)</t>
        </is>
      </c>
    </row>
    <row r="5">
      <c r="B5" t="inlineStr">
        <is>
          <t>Total Replacement Cost New (RCN)</t>
        </is>
      </c>
      <c r="C5">
        <f>'Cost Approach'!G51</f>
        <v/>
      </c>
    </row>
    <row r="6">
      <c r="B6" t="inlineStr">
        <is>
          <t>Depreciated Value of Improvements</t>
        </is>
      </c>
      <c r="C6">
        <f>'Cost Approach'!G64</f>
        <v/>
      </c>
    </row>
    <row r="7">
      <c r="B7" t="inlineStr">
        <is>
          <t>Plus: Land Value</t>
        </is>
      </c>
      <c r="C7">
        <f>'Cost Approach'!G67</f>
        <v/>
      </c>
    </row>
    <row r="8">
      <c r="B8" t="inlineStr">
        <is>
          <t>INDICATED VALUE BY COST APPROACH</t>
        </is>
      </c>
      <c r="C8">
        <f>'Cost Approach'!G70</f>
        <v/>
      </c>
    </row>
    <row r="11">
      <c r="B11" s="2453" t="inlineStr">
        <is>
          <t>MVS QUICK-REFERENCE TABLES -- DO NOT EDIT  (sourced &amp;amp; verified from the licensed MVS June 2024 edition; Sec.99/98 multiplier inserts dated Jan 2025)</t>
        </is>
      </c>
    </row>
    <row r="13">
      <c r="B13" s="2453" t="inlineStr">
        <is>
          <t>REFERENCE 1 -- Class of Construction Indicators (MVS Section 1, pp.4-9)</t>
        </is>
      </c>
    </row>
    <row r="14">
      <c r="B14" t="inlineStr">
        <is>
          <t>Class</t>
        </is>
      </c>
      <c r="C14" t="inlineStr">
        <is>
          <t>Frame</t>
        </is>
      </c>
      <c r="D14" t="inlineStr">
        <is>
          <t>Floor</t>
        </is>
      </c>
      <c r="E14" t="inlineStr">
        <is>
          <t>Roof</t>
        </is>
      </c>
      <c r="F14" t="inlineStr">
        <is>
          <t>Walls</t>
        </is>
      </c>
    </row>
    <row r="15">
      <c r="B15" t="inlineStr">
        <is>
          <t>A</t>
        </is>
      </c>
      <c r="C15" t="inlineStr">
        <is>
          <t>Structural steel columns and beams, fireproofed with masonry, concrete, plaster, or other noncombustible material.</t>
        </is>
      </c>
      <c r="D15" t="inlineStr">
        <is>
          <t>Concrete or concrete on steel deck, fireproofed.</t>
        </is>
      </c>
      <c r="E15" t="inlineStr">
        <is>
          <t>Formed concrete, precast slabs, concrete or gypsum on steel deck, fireproofed.</t>
        </is>
      </c>
      <c r="F15" t="inlineStr">
        <is>
          <t>Nonbearing curtain walls, masonry, concrete, metal and glass panels, stone, steel studs and masonry, tile or stucco, etc.</t>
        </is>
      </c>
    </row>
    <row r="16">
      <c r="B16" t="inlineStr">
        <is>
          <t>B</t>
        </is>
      </c>
      <c r="C16" t="inlineStr">
        <is>
          <t>Reinforced concrete columns and beams.</t>
        </is>
      </c>
      <c r="D16" t="inlineStr">
        <is>
          <t>Concrete or concrete on steel deck, fireproofed.</t>
        </is>
      </c>
      <c r="E16" t="inlineStr">
        <is>
          <t>Formed concrete, precast slabs, concrete or gypsum on steel deck, fireproofed.</t>
        </is>
      </c>
      <c r="F16" t="inlineStr">
        <is>
          <t>Nonbearing curtain walls, masonry, concrete, metal and glass panels, stone, steel studs and masonry, tile or stucco, etc.</t>
        </is>
      </c>
    </row>
    <row r="17">
      <c r="B17" t="inlineStr">
        <is>
          <t>C</t>
        </is>
      </c>
      <c r="C17" t="inlineStr">
        <is>
          <t>Masonry or concrete load-bearing walls with or without pilasters. Masonry, concrete or curtain walls with full or partial open steel, wood, or concrete frame.</t>
        </is>
      </c>
      <c r="D17" t="inlineStr">
        <is>
          <t>Wood or concrete plank on wood or steel floor joists, or concrete slab on grade.</t>
        </is>
      </c>
      <c r="E17" t="inlineStr">
        <is>
          <t>Wood or steel joists with wood or steel deck. Concrete plank.</t>
        </is>
      </c>
      <c r="F17" t="inlineStr">
        <is>
          <t>Brick, concrete block, or tile masonry, tilt-up, formed concrete, nonbearing curtain walls.</t>
        </is>
      </c>
    </row>
    <row r="18">
      <c r="B18" t="inlineStr">
        <is>
          <t>D</t>
        </is>
      </c>
      <c r="C18" t="inlineStr">
        <is>
          <t>Wood or steel studs in bearing wall, full or partial open wood or steel frame, primarily combustible construction.</t>
        </is>
      </c>
      <c r="D18" t="inlineStr">
        <is>
          <t>Wood or steel floor joists or concrete slab on grade.</t>
        </is>
      </c>
      <c r="E18" t="inlineStr">
        <is>
          <t>Wood or steel joists with wood or steel deck.</t>
        </is>
      </c>
      <c r="F18" t="inlineStr">
        <is>
          <t>Almost any material except bearing or curtain walls of solid masonry or concrete. Generally combustible construction.</t>
        </is>
      </c>
    </row>
    <row r="19">
      <c r="B19" t="inlineStr">
        <is>
          <t>S</t>
        </is>
      </c>
      <c r="C19" t="inlineStr">
        <is>
          <t>Metal bents, columns, girders, purlins and girts without fireproofing, incombustible construction.</t>
        </is>
      </c>
      <c r="D19" t="inlineStr">
        <is>
          <t>Wood or steel deck on steel floor joists, or concrete slab on grade.</t>
        </is>
      </c>
      <c r="E19" t="inlineStr">
        <is>
          <t>Steel or wood deck on steel joists.</t>
        </is>
      </c>
      <c r="F19" t="inlineStr">
        <is>
          <t>Metal skin or sandwich panels. Generally incombustible.</t>
        </is>
      </c>
    </row>
    <row r="21">
      <c r="B21" s="2453" t="inlineStr">
        <is>
          <t>REFERENCE 2 -- Quality Tier Definitions (MVS Section 1, pp.10-12)</t>
        </is>
      </c>
    </row>
    <row r="22">
      <c r="B22" t="inlineStr">
        <is>
          <t>Quality</t>
        </is>
      </c>
      <c r="C22" t="inlineStr">
        <is>
          <t>Description</t>
        </is>
      </c>
    </row>
    <row r="23">
      <c r="B23" t="inlineStr">
        <is>
          <t>Low Cost</t>
        </is>
      </c>
      <c r="C23" t="inlineStr">
        <is>
          <t>Constructed to minimum code requirements, little regard for architectural appearance, minimum investment, little ornamentation, minimal/low-quality interior finish.</t>
        </is>
      </c>
    </row>
    <row r="24">
      <c r="B24" t="inlineStr">
        <is>
          <t>Average</t>
        </is>
      </c>
      <c r="C24" t="inlineStr">
        <is>
          <t>Largest group of buildings constructed (~50% of all buildings). Designed for maximum economic potential without pride-of-ownership amenities. Good standard code construction, simple ornamentation and finishes.</t>
        </is>
      </c>
    </row>
    <row r="25">
      <c r="B25" t="inlineStr">
        <is>
          <t>Good</t>
        </is>
      </c>
      <c r="C25" t="inlineStr">
        <is>
          <t>Designed for good appearance, comfort and convenience with an element of prestige. Higher-quality ornamental treatment, interiors designed for upper-class rentals, better lighting and mechanical work.</t>
        </is>
      </c>
    </row>
    <row r="26">
      <c r="B26" t="inlineStr">
        <is>
          <t>Excellent</t>
        </is>
      </c>
      <c r="C26" t="inlineStr">
        <is>
          <t>Prestige buildings. Part of cost is attributable to pride of ownership. Expensive finishes and fixtures; built for established professionals/institutions or high-profile tenants.</t>
        </is>
      </c>
    </row>
    <row r="28">
      <c r="B28" s="2454" t="inlineStr">
        <is>
          <t>REFERENCE 3 -- Occupancy Base Cost Tables (Calculator Method, $/SF) -- every Class/Quality occupancy cost table in MVS calculator Sections 11-18</t>
        </is>
      </c>
    </row>
    <row r="29">
      <c r="B29" s="2455" t="inlineStr">
        <is>
          <t>Occupancy Name</t>
        </is>
      </c>
      <c r="C29" s="2455" t="inlineStr">
        <is>
          <t>Occ. Code</t>
        </is>
      </c>
      <c r="D29" s="2455" t="inlineStr">
        <is>
          <t>Section</t>
        </is>
      </c>
      <c r="E29" s="2455" t="inlineStr">
        <is>
          <t>Page</t>
        </is>
      </c>
      <c r="F29" s="2455" t="inlineStr">
        <is>
          <t>Class</t>
        </is>
      </c>
      <c r="G29" s="2455" t="inlineStr">
        <is>
          <t>Quality</t>
        </is>
      </c>
      <c r="H29" s="2455" t="inlineStr">
        <is>
          <t>$/SF</t>
        </is>
      </c>
      <c r="I29" s="2455" t="inlineStr">
        <is>
          <t>Lookup Key</t>
        </is>
      </c>
      <c r="J29" s="2455" t="inlineStr">
        <is>
          <t>Citation</t>
        </is>
      </c>
    </row>
    <row r="30">
      <c r="B30" t="inlineStr">
        <is>
          <t>Homes For the Elderly</t>
        </is>
      </c>
      <c r="C30" t="inlineStr">
        <is>
          <t>330</t>
        </is>
      </c>
      <c r="D30" t="inlineStr">
        <is>
          <t>11</t>
        </is>
      </c>
      <c r="E30" t="inlineStr">
        <is>
          <t>13</t>
        </is>
      </c>
      <c r="F30" t="inlineStr">
        <is>
          <t>A</t>
        </is>
      </c>
      <c r="G30" t="inlineStr">
        <is>
          <t>Good</t>
        </is>
      </c>
      <c r="H30" t="n">
        <v>304</v>
      </c>
      <c r="I30">
        <f>B30&amp;"~"&amp;F30&amp;"~"&amp;G30</f>
        <v/>
      </c>
      <c r="J30" t="inlineStr">
        <is>
          <t>MVS Sec.11 p.13</t>
        </is>
      </c>
    </row>
    <row r="31">
      <c r="B31" t="inlineStr">
        <is>
          <t>Homes For the Elderly</t>
        </is>
      </c>
      <c r="C31" t="inlineStr">
        <is>
          <t>330</t>
        </is>
      </c>
      <c r="D31" t="inlineStr">
        <is>
          <t>11</t>
        </is>
      </c>
      <c r="E31" t="inlineStr">
        <is>
          <t>13</t>
        </is>
      </c>
      <c r="F31" t="inlineStr">
        <is>
          <t>A</t>
        </is>
      </c>
      <c r="G31" t="inlineStr">
        <is>
          <t>Average</t>
        </is>
      </c>
      <c r="H31" t="n">
        <v>238</v>
      </c>
      <c r="I31">
        <f>B31&amp;"~"&amp;F31&amp;"~"&amp;G31</f>
        <v/>
      </c>
      <c r="J31" t="inlineStr">
        <is>
          <t>MVS Sec.11 p.13</t>
        </is>
      </c>
    </row>
    <row r="32">
      <c r="B32" t="inlineStr">
        <is>
          <t>Homes For the Elderly</t>
        </is>
      </c>
      <c r="C32" t="inlineStr">
        <is>
          <t>330</t>
        </is>
      </c>
      <c r="D32" t="inlineStr">
        <is>
          <t>11</t>
        </is>
      </c>
      <c r="E32" t="inlineStr">
        <is>
          <t>13</t>
        </is>
      </c>
      <c r="F32" t="inlineStr">
        <is>
          <t>A</t>
        </is>
      </c>
      <c r="G32" t="inlineStr">
        <is>
          <t>Low Cost</t>
        </is>
      </c>
      <c r="H32" t="n">
        <v>189</v>
      </c>
      <c r="I32">
        <f>B32&amp;"~"&amp;F32&amp;"~"&amp;G32</f>
        <v/>
      </c>
      <c r="J32" t="inlineStr">
        <is>
          <t>MVS Sec.11 p.13</t>
        </is>
      </c>
    </row>
    <row r="33">
      <c r="B33" t="inlineStr">
        <is>
          <t>Homes For the Elderly</t>
        </is>
      </c>
      <c r="C33" t="inlineStr">
        <is>
          <t>330</t>
        </is>
      </c>
      <c r="D33" t="inlineStr">
        <is>
          <t>11</t>
        </is>
      </c>
      <c r="E33" t="inlineStr">
        <is>
          <t>13</t>
        </is>
      </c>
      <c r="F33" t="inlineStr">
        <is>
          <t>B</t>
        </is>
      </c>
      <c r="G33" t="inlineStr">
        <is>
          <t>Good</t>
        </is>
      </c>
      <c r="H33" t="n">
        <v>274</v>
      </c>
      <c r="I33">
        <f>B33&amp;"~"&amp;F33&amp;"~"&amp;G33</f>
        <v/>
      </c>
      <c r="J33" t="inlineStr">
        <is>
          <t>MVS Sec.11 p.13</t>
        </is>
      </c>
    </row>
    <row r="34">
      <c r="B34" t="inlineStr">
        <is>
          <t>Homes For the Elderly</t>
        </is>
      </c>
      <c r="C34" t="inlineStr">
        <is>
          <t>330</t>
        </is>
      </c>
      <c r="D34" t="inlineStr">
        <is>
          <t>11</t>
        </is>
      </c>
      <c r="E34" t="inlineStr">
        <is>
          <t>13</t>
        </is>
      </c>
      <c r="F34" t="inlineStr">
        <is>
          <t>B</t>
        </is>
      </c>
      <c r="G34" t="inlineStr">
        <is>
          <t>Average</t>
        </is>
      </c>
      <c r="H34" t="n">
        <v>214</v>
      </c>
      <c r="I34">
        <f>B34&amp;"~"&amp;F34&amp;"~"&amp;G34</f>
        <v/>
      </c>
      <c r="J34" t="inlineStr">
        <is>
          <t>MVS Sec.11 p.13</t>
        </is>
      </c>
    </row>
    <row r="35">
      <c r="B35" t="inlineStr">
        <is>
          <t>Homes For the Elderly</t>
        </is>
      </c>
      <c r="C35" t="inlineStr">
        <is>
          <t>330</t>
        </is>
      </c>
      <c r="D35" t="inlineStr">
        <is>
          <t>11</t>
        </is>
      </c>
      <c r="E35" t="inlineStr">
        <is>
          <t>13</t>
        </is>
      </c>
      <c r="F35" t="inlineStr">
        <is>
          <t>B</t>
        </is>
      </c>
      <c r="G35" t="inlineStr">
        <is>
          <t>Low Cost</t>
        </is>
      </c>
      <c r="H35" t="n">
        <v>169</v>
      </c>
      <c r="I35">
        <f>B35&amp;"~"&amp;F35&amp;"~"&amp;G35</f>
        <v/>
      </c>
      <c r="J35" t="inlineStr">
        <is>
          <t>MVS Sec.11 p.13</t>
        </is>
      </c>
    </row>
    <row r="36">
      <c r="B36" t="inlineStr">
        <is>
          <t>Homes For the Elderly</t>
        </is>
      </c>
      <c r="C36" t="inlineStr">
        <is>
          <t>330</t>
        </is>
      </c>
      <c r="D36" t="inlineStr">
        <is>
          <t>11</t>
        </is>
      </c>
      <c r="E36" t="inlineStr">
        <is>
          <t>13</t>
        </is>
      </c>
      <c r="F36" t="inlineStr">
        <is>
          <t>C</t>
        </is>
      </c>
      <c r="G36" t="inlineStr">
        <is>
          <t>Good</t>
        </is>
      </c>
      <c r="H36" t="n">
        <v>229</v>
      </c>
      <c r="I36">
        <f>B36&amp;"~"&amp;F36&amp;"~"&amp;G36</f>
        <v/>
      </c>
      <c r="J36" t="inlineStr">
        <is>
          <t>MVS Sec.11 p.13</t>
        </is>
      </c>
    </row>
    <row r="37">
      <c r="B37" t="inlineStr">
        <is>
          <t>Homes For the Elderly</t>
        </is>
      </c>
      <c r="C37" t="inlineStr">
        <is>
          <t>330</t>
        </is>
      </c>
      <c r="D37" t="inlineStr">
        <is>
          <t>11</t>
        </is>
      </c>
      <c r="E37" t="inlineStr">
        <is>
          <t>13</t>
        </is>
      </c>
      <c r="F37" t="inlineStr">
        <is>
          <t>C</t>
        </is>
      </c>
      <c r="G37" t="inlineStr">
        <is>
          <t>Average</t>
        </is>
      </c>
      <c r="H37" t="n">
        <v>173</v>
      </c>
      <c r="I37">
        <f>B37&amp;"~"&amp;F37&amp;"~"&amp;G37</f>
        <v/>
      </c>
      <c r="J37" t="inlineStr">
        <is>
          <t>MVS Sec.11 p.13</t>
        </is>
      </c>
    </row>
    <row r="38">
      <c r="B38" t="inlineStr">
        <is>
          <t>Homes For the Elderly</t>
        </is>
      </c>
      <c r="C38" t="inlineStr">
        <is>
          <t>330</t>
        </is>
      </c>
      <c r="D38" t="inlineStr">
        <is>
          <t>11</t>
        </is>
      </c>
      <c r="E38" t="inlineStr">
        <is>
          <t>13</t>
        </is>
      </c>
      <c r="F38" t="inlineStr">
        <is>
          <t>C</t>
        </is>
      </c>
      <c r="G38" t="inlineStr">
        <is>
          <t>Low Cost</t>
        </is>
      </c>
      <c r="H38" t="n">
        <v>131</v>
      </c>
      <c r="I38">
        <f>B38&amp;"~"&amp;F38&amp;"~"&amp;G38</f>
        <v/>
      </c>
      <c r="J38" t="inlineStr">
        <is>
          <t>MVS Sec.11 p.13</t>
        </is>
      </c>
    </row>
    <row r="39">
      <c r="B39" t="inlineStr">
        <is>
          <t>Homes For the Elderly</t>
        </is>
      </c>
      <c r="C39" t="inlineStr">
        <is>
          <t>330</t>
        </is>
      </c>
      <c r="D39" t="inlineStr">
        <is>
          <t>11</t>
        </is>
      </c>
      <c r="E39" t="inlineStr">
        <is>
          <t>13</t>
        </is>
      </c>
      <c r="F39" t="inlineStr">
        <is>
          <t>D</t>
        </is>
      </c>
      <c r="G39" t="inlineStr">
        <is>
          <t>Good</t>
        </is>
      </c>
      <c r="H39" t="n">
        <v>222</v>
      </c>
      <c r="I39">
        <f>B39&amp;"~"&amp;F39&amp;"~"&amp;G39</f>
        <v/>
      </c>
      <c r="J39" t="inlineStr">
        <is>
          <t>MVS Sec.11 p.13</t>
        </is>
      </c>
    </row>
    <row r="40">
      <c r="B40" t="inlineStr">
        <is>
          <t>Homes For the Elderly</t>
        </is>
      </c>
      <c r="C40" t="inlineStr">
        <is>
          <t>330</t>
        </is>
      </c>
      <c r="D40" t="inlineStr">
        <is>
          <t>11</t>
        </is>
      </c>
      <c r="E40" t="inlineStr">
        <is>
          <t>13</t>
        </is>
      </c>
      <c r="F40" t="inlineStr">
        <is>
          <t>D</t>
        </is>
      </c>
      <c r="G40" t="inlineStr">
        <is>
          <t>Average</t>
        </is>
      </c>
      <c r="H40" t="n">
        <v>167</v>
      </c>
      <c r="I40">
        <f>B40&amp;"~"&amp;F40&amp;"~"&amp;G40</f>
        <v/>
      </c>
      <c r="J40" t="inlineStr">
        <is>
          <t>MVS Sec.11 p.13</t>
        </is>
      </c>
    </row>
    <row r="41">
      <c r="B41" t="inlineStr">
        <is>
          <t>Homes For the Elderly</t>
        </is>
      </c>
      <c r="C41" t="inlineStr">
        <is>
          <t>330</t>
        </is>
      </c>
      <c r="D41" t="inlineStr">
        <is>
          <t>11</t>
        </is>
      </c>
      <c r="E41" t="inlineStr">
        <is>
          <t>13</t>
        </is>
      </c>
      <c r="F41" t="inlineStr">
        <is>
          <t>D</t>
        </is>
      </c>
      <c r="G41" t="inlineStr">
        <is>
          <t>Low Cost</t>
        </is>
      </c>
      <c r="H41" t="n">
        <v>125</v>
      </c>
      <c r="I41">
        <f>B41&amp;"~"&amp;F41&amp;"~"&amp;G41</f>
        <v/>
      </c>
      <c r="J41" t="inlineStr">
        <is>
          <t>MVS Sec.11 p.13</t>
        </is>
      </c>
    </row>
    <row r="42">
      <c r="B42" t="inlineStr">
        <is>
          <t>Homes For the Elderly</t>
        </is>
      </c>
      <c r="C42" t="inlineStr">
        <is>
          <t>330</t>
        </is>
      </c>
      <c r="D42" t="inlineStr">
        <is>
          <t>11</t>
        </is>
      </c>
      <c r="E42" t="inlineStr">
        <is>
          <t>13</t>
        </is>
      </c>
      <c r="F42" t="inlineStr">
        <is>
          <t>S</t>
        </is>
      </c>
      <c r="G42" t="inlineStr">
        <is>
          <t>Good</t>
        </is>
      </c>
      <c r="H42" t="n">
        <v>216</v>
      </c>
      <c r="I42">
        <f>B42&amp;"~"&amp;F42&amp;"~"&amp;G42</f>
        <v/>
      </c>
      <c r="J42" t="inlineStr">
        <is>
          <t>MVS Sec.11 p.13</t>
        </is>
      </c>
    </row>
    <row r="43">
      <c r="B43" t="inlineStr">
        <is>
          <t>Homes For the Elderly</t>
        </is>
      </c>
      <c r="C43" t="inlineStr">
        <is>
          <t>330</t>
        </is>
      </c>
      <c r="D43" t="inlineStr">
        <is>
          <t>11</t>
        </is>
      </c>
      <c r="E43" t="inlineStr">
        <is>
          <t>13</t>
        </is>
      </c>
      <c r="F43" t="inlineStr">
        <is>
          <t>S</t>
        </is>
      </c>
      <c r="G43" t="inlineStr">
        <is>
          <t>Average</t>
        </is>
      </c>
      <c r="H43" t="n">
        <v>160</v>
      </c>
      <c r="I43">
        <f>B43&amp;"~"&amp;F43&amp;"~"&amp;G43</f>
        <v/>
      </c>
      <c r="J43" t="inlineStr">
        <is>
          <t>MVS Sec.11 p.13</t>
        </is>
      </c>
    </row>
    <row r="44">
      <c r="B44" t="inlineStr">
        <is>
          <t>Dormitories</t>
        </is>
      </c>
      <c r="C44" t="inlineStr">
        <is>
          <t>321</t>
        </is>
      </c>
      <c r="D44" t="inlineStr">
        <is>
          <t>11</t>
        </is>
      </c>
      <c r="E44" t="inlineStr">
        <is>
          <t>14</t>
        </is>
      </c>
      <c r="F44" t="inlineStr">
        <is>
          <t>A</t>
        </is>
      </c>
      <c r="G44" t="inlineStr">
        <is>
          <t>Excellent</t>
        </is>
      </c>
      <c r="H44" t="n">
        <v>431</v>
      </c>
      <c r="I44">
        <f>B44&amp;"~"&amp;F44&amp;"~"&amp;G44</f>
        <v/>
      </c>
      <c r="J44" t="inlineStr">
        <is>
          <t>MVS Sec.11 p.14</t>
        </is>
      </c>
    </row>
    <row r="45">
      <c r="B45" t="inlineStr">
        <is>
          <t>Dormitories</t>
        </is>
      </c>
      <c r="C45" t="inlineStr">
        <is>
          <t>321</t>
        </is>
      </c>
      <c r="D45" t="inlineStr">
        <is>
          <t>11</t>
        </is>
      </c>
      <c r="E45" t="inlineStr">
        <is>
          <t>14</t>
        </is>
      </c>
      <c r="F45" t="inlineStr">
        <is>
          <t>A</t>
        </is>
      </c>
      <c r="G45" t="inlineStr">
        <is>
          <t>Very Good</t>
        </is>
      </c>
      <c r="H45" t="n">
        <v>354</v>
      </c>
      <c r="I45">
        <f>B45&amp;"~"&amp;F45&amp;"~"&amp;G45</f>
        <v/>
      </c>
      <c r="J45" t="inlineStr">
        <is>
          <t>MVS Sec.11 p.14</t>
        </is>
      </c>
    </row>
    <row r="46">
      <c r="B46" t="inlineStr">
        <is>
          <t>Dormitories</t>
        </is>
      </c>
      <c r="C46" t="inlineStr">
        <is>
          <t>321</t>
        </is>
      </c>
      <c r="D46" t="inlineStr">
        <is>
          <t>11</t>
        </is>
      </c>
      <c r="E46" t="inlineStr">
        <is>
          <t>14</t>
        </is>
      </c>
      <c r="F46" t="inlineStr">
        <is>
          <t>A</t>
        </is>
      </c>
      <c r="G46" t="inlineStr">
        <is>
          <t>Good</t>
        </is>
      </c>
      <c r="H46" t="n">
        <v>291</v>
      </c>
      <c r="I46">
        <f>B46&amp;"~"&amp;F46&amp;"~"&amp;G46</f>
        <v/>
      </c>
      <c r="J46" t="inlineStr">
        <is>
          <t>MVS Sec.11 p.14</t>
        </is>
      </c>
    </row>
    <row r="47">
      <c r="B47" t="inlineStr">
        <is>
          <t>Dormitories</t>
        </is>
      </c>
      <c r="C47" t="inlineStr">
        <is>
          <t>321</t>
        </is>
      </c>
      <c r="D47" t="inlineStr">
        <is>
          <t>11</t>
        </is>
      </c>
      <c r="E47" t="inlineStr">
        <is>
          <t>14</t>
        </is>
      </c>
      <c r="F47" t="inlineStr">
        <is>
          <t>A</t>
        </is>
      </c>
      <c r="G47" t="inlineStr">
        <is>
          <t>Average</t>
        </is>
      </c>
      <c r="H47" t="n">
        <v>229</v>
      </c>
      <c r="I47">
        <f>B47&amp;"~"&amp;F47&amp;"~"&amp;G47</f>
        <v/>
      </c>
      <c r="J47" t="inlineStr">
        <is>
          <t>MVS Sec.11 p.14</t>
        </is>
      </c>
    </row>
    <row r="48">
      <c r="B48" t="inlineStr">
        <is>
          <t>Dormitories</t>
        </is>
      </c>
      <c r="C48" t="inlineStr">
        <is>
          <t>321</t>
        </is>
      </c>
      <c r="D48" t="inlineStr">
        <is>
          <t>11</t>
        </is>
      </c>
      <c r="E48" t="inlineStr">
        <is>
          <t>14</t>
        </is>
      </c>
      <c r="F48" t="inlineStr">
        <is>
          <t>A</t>
        </is>
      </c>
      <c r="G48" t="inlineStr">
        <is>
          <t>Low Cost</t>
        </is>
      </c>
      <c r="H48" t="n">
        <v>182</v>
      </c>
      <c r="I48">
        <f>B48&amp;"~"&amp;F48&amp;"~"&amp;G48</f>
        <v/>
      </c>
      <c r="J48" t="inlineStr">
        <is>
          <t>MVS Sec.11 p.14</t>
        </is>
      </c>
    </row>
    <row r="49">
      <c r="B49" t="inlineStr">
        <is>
          <t>Dormitories</t>
        </is>
      </c>
      <c r="C49" t="inlineStr">
        <is>
          <t>321</t>
        </is>
      </c>
      <c r="D49" t="inlineStr">
        <is>
          <t>11</t>
        </is>
      </c>
      <c r="E49" t="inlineStr">
        <is>
          <t>14</t>
        </is>
      </c>
      <c r="F49" t="inlineStr">
        <is>
          <t>B</t>
        </is>
      </c>
      <c r="G49" t="inlineStr">
        <is>
          <t>Excellent</t>
        </is>
      </c>
      <c r="H49" t="n">
        <v>388</v>
      </c>
      <c r="I49">
        <f>B49&amp;"~"&amp;F49&amp;"~"&amp;G49</f>
        <v/>
      </c>
      <c r="J49" t="inlineStr">
        <is>
          <t>MVS Sec.11 p.14</t>
        </is>
      </c>
    </row>
    <row r="50">
      <c r="B50" t="inlineStr">
        <is>
          <t>Dormitories</t>
        </is>
      </c>
      <c r="C50" t="inlineStr">
        <is>
          <t>321</t>
        </is>
      </c>
      <c r="D50" t="inlineStr">
        <is>
          <t>11</t>
        </is>
      </c>
      <c r="E50" t="inlineStr">
        <is>
          <t>14</t>
        </is>
      </c>
      <c r="F50" t="inlineStr">
        <is>
          <t>B</t>
        </is>
      </c>
      <c r="G50" t="inlineStr">
        <is>
          <t>Very Good</t>
        </is>
      </c>
      <c r="H50" t="n">
        <v>319</v>
      </c>
      <c r="I50">
        <f>B50&amp;"~"&amp;F50&amp;"~"&amp;G50</f>
        <v/>
      </c>
      <c r="J50" t="inlineStr">
        <is>
          <t>MVS Sec.11 p.14</t>
        </is>
      </c>
    </row>
    <row r="51">
      <c r="B51" t="inlineStr">
        <is>
          <t>Dormitories</t>
        </is>
      </c>
      <c r="C51" t="inlineStr">
        <is>
          <t>321</t>
        </is>
      </c>
      <c r="D51" t="inlineStr">
        <is>
          <t>11</t>
        </is>
      </c>
      <c r="E51" t="inlineStr">
        <is>
          <t>14</t>
        </is>
      </c>
      <c r="F51" t="inlineStr">
        <is>
          <t>B</t>
        </is>
      </c>
      <c r="G51" t="inlineStr">
        <is>
          <t>Good</t>
        </is>
      </c>
      <c r="H51" t="n">
        <v>262</v>
      </c>
      <c r="I51">
        <f>B51&amp;"~"&amp;F51&amp;"~"&amp;G51</f>
        <v/>
      </c>
      <c r="J51" t="inlineStr">
        <is>
          <t>MVS Sec.11 p.14</t>
        </is>
      </c>
    </row>
    <row r="52">
      <c r="B52" t="inlineStr">
        <is>
          <t>Dormitories</t>
        </is>
      </c>
      <c r="C52" t="inlineStr">
        <is>
          <t>321</t>
        </is>
      </c>
      <c r="D52" t="inlineStr">
        <is>
          <t>11</t>
        </is>
      </c>
      <c r="E52" t="inlineStr">
        <is>
          <t>14</t>
        </is>
      </c>
      <c r="F52" t="inlineStr">
        <is>
          <t>B</t>
        </is>
      </c>
      <c r="G52" t="inlineStr">
        <is>
          <t>Average</t>
        </is>
      </c>
      <c r="H52" t="n">
        <v>205</v>
      </c>
      <c r="I52">
        <f>B52&amp;"~"&amp;F52&amp;"~"&amp;G52</f>
        <v/>
      </c>
      <c r="J52" t="inlineStr">
        <is>
          <t>MVS Sec.11 p.14</t>
        </is>
      </c>
    </row>
    <row r="53">
      <c r="B53" t="inlineStr">
        <is>
          <t>Dormitories</t>
        </is>
      </c>
      <c r="C53" t="inlineStr">
        <is>
          <t>321</t>
        </is>
      </c>
      <c r="D53" t="inlineStr">
        <is>
          <t>11</t>
        </is>
      </c>
      <c r="E53" t="inlineStr">
        <is>
          <t>14</t>
        </is>
      </c>
      <c r="F53" t="inlineStr">
        <is>
          <t>B</t>
        </is>
      </c>
      <c r="G53" t="inlineStr">
        <is>
          <t>Low Cost</t>
        </is>
      </c>
      <c r="H53" t="n">
        <v>163</v>
      </c>
      <c r="I53">
        <f>B53&amp;"~"&amp;F53&amp;"~"&amp;G53</f>
        <v/>
      </c>
      <c r="J53" t="inlineStr">
        <is>
          <t>MVS Sec.11 p.14</t>
        </is>
      </c>
    </row>
    <row r="54">
      <c r="B54" t="inlineStr">
        <is>
          <t>Dormitories</t>
        </is>
      </c>
      <c r="C54" t="inlineStr">
        <is>
          <t>321</t>
        </is>
      </c>
      <c r="D54" t="inlineStr">
        <is>
          <t>11</t>
        </is>
      </c>
      <c r="E54" t="inlineStr">
        <is>
          <t>14</t>
        </is>
      </c>
      <c r="F54" t="inlineStr">
        <is>
          <t>C</t>
        </is>
      </c>
      <c r="G54" t="inlineStr">
        <is>
          <t>Excellent</t>
        </is>
      </c>
      <c r="H54" t="n">
        <v>357</v>
      </c>
      <c r="I54">
        <f>B54&amp;"~"&amp;F54&amp;"~"&amp;G54</f>
        <v/>
      </c>
      <c r="J54" t="inlineStr">
        <is>
          <t>MVS Sec.11 p.14</t>
        </is>
      </c>
    </row>
    <row r="55">
      <c r="B55" t="inlineStr">
        <is>
          <t>Dormitories</t>
        </is>
      </c>
      <c r="C55" t="inlineStr">
        <is>
          <t>321</t>
        </is>
      </c>
      <c r="D55" t="inlineStr">
        <is>
          <t>11</t>
        </is>
      </c>
      <c r="E55" t="inlineStr">
        <is>
          <t>14</t>
        </is>
      </c>
      <c r="F55" t="inlineStr">
        <is>
          <t>C</t>
        </is>
      </c>
      <c r="G55" t="inlineStr">
        <is>
          <t>Very Good</t>
        </is>
      </c>
      <c r="H55" t="n">
        <v>284</v>
      </c>
      <c r="I55">
        <f>B55&amp;"~"&amp;F55&amp;"~"&amp;G55</f>
        <v/>
      </c>
      <c r="J55" t="inlineStr">
        <is>
          <t>MVS Sec.11 p.14</t>
        </is>
      </c>
    </row>
    <row r="56">
      <c r="B56" t="inlineStr">
        <is>
          <t>Dormitories</t>
        </is>
      </c>
      <c r="C56" t="inlineStr">
        <is>
          <t>321</t>
        </is>
      </c>
      <c r="D56" t="inlineStr">
        <is>
          <t>11</t>
        </is>
      </c>
      <c r="E56" t="inlineStr">
        <is>
          <t>14</t>
        </is>
      </c>
      <c r="F56" t="inlineStr">
        <is>
          <t>C</t>
        </is>
      </c>
      <c r="G56" t="inlineStr">
        <is>
          <t>Good</t>
        </is>
      </c>
      <c r="H56" t="n">
        <v>215</v>
      </c>
      <c r="I56">
        <f>B56&amp;"~"&amp;F56&amp;"~"&amp;G56</f>
        <v/>
      </c>
      <c r="J56" t="inlineStr">
        <is>
          <t>MVS Sec.11 p.14</t>
        </is>
      </c>
    </row>
    <row r="57">
      <c r="B57" t="inlineStr">
        <is>
          <t>Dormitories</t>
        </is>
      </c>
      <c r="C57" t="inlineStr">
        <is>
          <t>321</t>
        </is>
      </c>
      <c r="D57" t="inlineStr">
        <is>
          <t>11</t>
        </is>
      </c>
      <c r="E57" t="inlineStr">
        <is>
          <t>14</t>
        </is>
      </c>
      <c r="F57" t="inlineStr">
        <is>
          <t>C</t>
        </is>
      </c>
      <c r="G57" t="inlineStr">
        <is>
          <t>Average</t>
        </is>
      </c>
      <c r="H57" t="n">
        <v>161</v>
      </c>
      <c r="I57">
        <f>B57&amp;"~"&amp;F57&amp;"~"&amp;G57</f>
        <v/>
      </c>
      <c r="J57" t="inlineStr">
        <is>
          <t>MVS Sec.11 p.14</t>
        </is>
      </c>
    </row>
    <row r="58">
      <c r="B58" t="inlineStr">
        <is>
          <t>Dormitories</t>
        </is>
      </c>
      <c r="C58" t="inlineStr">
        <is>
          <t>321</t>
        </is>
      </c>
      <c r="D58" t="inlineStr">
        <is>
          <t>11</t>
        </is>
      </c>
      <c r="E58" t="inlineStr">
        <is>
          <t>14</t>
        </is>
      </c>
      <c r="F58" t="inlineStr">
        <is>
          <t>C</t>
        </is>
      </c>
      <c r="G58" t="inlineStr">
        <is>
          <t>Low Cost</t>
        </is>
      </c>
      <c r="H58" t="n">
        <v>123</v>
      </c>
      <c r="I58">
        <f>B58&amp;"~"&amp;F58&amp;"~"&amp;G58</f>
        <v/>
      </c>
      <c r="J58" t="inlineStr">
        <is>
          <t>MVS Sec.11 p.14</t>
        </is>
      </c>
    </row>
    <row r="59">
      <c r="B59" t="inlineStr">
        <is>
          <t>Dormitories</t>
        </is>
      </c>
      <c r="C59" t="inlineStr">
        <is>
          <t>321</t>
        </is>
      </c>
      <c r="D59" t="inlineStr">
        <is>
          <t>11</t>
        </is>
      </c>
      <c r="E59" t="inlineStr">
        <is>
          <t>14</t>
        </is>
      </c>
      <c r="F59" t="inlineStr">
        <is>
          <t>D</t>
        </is>
      </c>
      <c r="G59" t="inlineStr">
        <is>
          <t>Excellent</t>
        </is>
      </c>
      <c r="H59" t="n">
        <v>349</v>
      </c>
      <c r="I59">
        <f>B59&amp;"~"&amp;F59&amp;"~"&amp;G59</f>
        <v/>
      </c>
      <c r="J59" t="inlineStr">
        <is>
          <t>MVS Sec.11 p.14</t>
        </is>
      </c>
    </row>
    <row r="60">
      <c r="B60" t="inlineStr">
        <is>
          <t>Dormitories</t>
        </is>
      </c>
      <c r="C60" t="inlineStr">
        <is>
          <t>321</t>
        </is>
      </c>
      <c r="D60" t="inlineStr">
        <is>
          <t>11</t>
        </is>
      </c>
      <c r="E60" t="inlineStr">
        <is>
          <t>14</t>
        </is>
      </c>
      <c r="F60" t="inlineStr">
        <is>
          <t>D</t>
        </is>
      </c>
      <c r="G60" t="inlineStr">
        <is>
          <t>Very Good</t>
        </is>
      </c>
      <c r="H60" t="n">
        <v>275</v>
      </c>
      <c r="I60">
        <f>B60&amp;"~"&amp;F60&amp;"~"&amp;G60</f>
        <v/>
      </c>
      <c r="J60" t="inlineStr">
        <is>
          <t>MVS Sec.11 p.14</t>
        </is>
      </c>
    </row>
    <row r="61">
      <c r="B61" t="inlineStr">
        <is>
          <t>Dormitories</t>
        </is>
      </c>
      <c r="C61" t="inlineStr">
        <is>
          <t>321</t>
        </is>
      </c>
      <c r="D61" t="inlineStr">
        <is>
          <t>11</t>
        </is>
      </c>
      <c r="E61" t="inlineStr">
        <is>
          <t>14</t>
        </is>
      </c>
      <c r="F61" t="inlineStr">
        <is>
          <t>D</t>
        </is>
      </c>
      <c r="G61" t="inlineStr">
        <is>
          <t>Good</t>
        </is>
      </c>
      <c r="H61" t="n">
        <v>201</v>
      </c>
      <c r="I61">
        <f>B61&amp;"~"&amp;F61&amp;"~"&amp;G61</f>
        <v/>
      </c>
      <c r="J61" t="inlineStr">
        <is>
          <t>MVS Sec.11 p.14</t>
        </is>
      </c>
    </row>
    <row r="62">
      <c r="B62" t="inlineStr">
        <is>
          <t>Dormitories</t>
        </is>
      </c>
      <c r="C62" t="inlineStr">
        <is>
          <t>321</t>
        </is>
      </c>
      <c r="D62" t="inlineStr">
        <is>
          <t>11</t>
        </is>
      </c>
      <c r="E62" t="inlineStr">
        <is>
          <t>14</t>
        </is>
      </c>
      <c r="F62" t="inlineStr">
        <is>
          <t>D</t>
        </is>
      </c>
      <c r="G62" t="inlineStr">
        <is>
          <t>Average</t>
        </is>
      </c>
      <c r="H62" t="n">
        <v>152</v>
      </c>
      <c r="I62">
        <f>B62&amp;"~"&amp;F62&amp;"~"&amp;G62</f>
        <v/>
      </c>
      <c r="J62" t="inlineStr">
        <is>
          <t>MVS Sec.11 p.14</t>
        </is>
      </c>
    </row>
    <row r="63">
      <c r="B63" t="inlineStr">
        <is>
          <t>Dormitories</t>
        </is>
      </c>
      <c r="C63" t="inlineStr">
        <is>
          <t>321</t>
        </is>
      </c>
      <c r="D63" t="inlineStr">
        <is>
          <t>11</t>
        </is>
      </c>
      <c r="E63" t="inlineStr">
        <is>
          <t>14</t>
        </is>
      </c>
      <c r="F63" t="inlineStr">
        <is>
          <t>D</t>
        </is>
      </c>
      <c r="G63" t="inlineStr">
        <is>
          <t>Low Cost</t>
        </is>
      </c>
      <c r="H63" t="n">
        <v>115</v>
      </c>
      <c r="I63">
        <f>B63&amp;"~"&amp;F63&amp;"~"&amp;G63</f>
        <v/>
      </c>
      <c r="J63" t="inlineStr">
        <is>
          <t>MVS Sec.11 p.14</t>
        </is>
      </c>
    </row>
    <row r="64">
      <c r="B64" t="inlineStr">
        <is>
          <t>Dormitories</t>
        </is>
      </c>
      <c r="C64" t="inlineStr">
        <is>
          <t>321</t>
        </is>
      </c>
      <c r="D64" t="inlineStr">
        <is>
          <t>11</t>
        </is>
      </c>
      <c r="E64" t="inlineStr">
        <is>
          <t>14</t>
        </is>
      </c>
      <c r="F64" t="inlineStr">
        <is>
          <t>S</t>
        </is>
      </c>
      <c r="G64" t="inlineStr">
        <is>
          <t>Average</t>
        </is>
      </c>
      <c r="H64" t="n">
        <v>147</v>
      </c>
      <c r="I64">
        <f>B64&amp;"~"&amp;F64&amp;"~"&amp;G64</f>
        <v/>
      </c>
      <c r="J64" t="inlineStr">
        <is>
          <t>MVS Sec.11 p.14</t>
        </is>
      </c>
    </row>
    <row r="65">
      <c r="B65" t="inlineStr">
        <is>
          <t>Luxury Apartments (High-Rise)</t>
        </is>
      </c>
      <c r="C65" t="inlineStr">
        <is>
          <t>984</t>
        </is>
      </c>
      <c r="D65" t="inlineStr">
        <is>
          <t>11</t>
        </is>
      </c>
      <c r="E65" t="inlineStr">
        <is>
          <t>15</t>
        </is>
      </c>
      <c r="F65" t="inlineStr">
        <is>
          <t>A</t>
        </is>
      </c>
      <c r="G65" t="inlineStr">
        <is>
          <t>Good</t>
        </is>
      </c>
      <c r="H65" t="n">
        <v>404</v>
      </c>
      <c r="I65">
        <f>B65&amp;"~"&amp;F65&amp;"~"&amp;G65</f>
        <v/>
      </c>
      <c r="J65" t="inlineStr">
        <is>
          <t>MVS Sec.11 p.15</t>
        </is>
      </c>
    </row>
    <row r="66">
      <c r="B66" t="inlineStr">
        <is>
          <t>Luxury Apartments (High-Rise)</t>
        </is>
      </c>
      <c r="C66" t="inlineStr">
        <is>
          <t>984</t>
        </is>
      </c>
      <c r="D66" t="inlineStr">
        <is>
          <t>11</t>
        </is>
      </c>
      <c r="E66" t="inlineStr">
        <is>
          <t>15</t>
        </is>
      </c>
      <c r="F66" t="inlineStr">
        <is>
          <t>A</t>
        </is>
      </c>
      <c r="G66" t="inlineStr">
        <is>
          <t>Average</t>
        </is>
      </c>
      <c r="H66" t="n">
        <v>324</v>
      </c>
      <c r="I66">
        <f>B66&amp;"~"&amp;F66&amp;"~"&amp;G66</f>
        <v/>
      </c>
      <c r="J66" t="inlineStr">
        <is>
          <t>MVS Sec.11 p.15</t>
        </is>
      </c>
    </row>
    <row r="67">
      <c r="B67" t="inlineStr">
        <is>
          <t>Luxury Apartments (High-Rise)</t>
        </is>
      </c>
      <c r="C67" t="inlineStr">
        <is>
          <t>984</t>
        </is>
      </c>
      <c r="D67" t="inlineStr">
        <is>
          <t>11</t>
        </is>
      </c>
      <c r="E67" t="inlineStr">
        <is>
          <t>15</t>
        </is>
      </c>
      <c r="F67" t="inlineStr">
        <is>
          <t>B</t>
        </is>
      </c>
      <c r="G67" t="inlineStr">
        <is>
          <t>Good</t>
        </is>
      </c>
      <c r="H67" t="n">
        <v>357</v>
      </c>
      <c r="I67">
        <f>B67&amp;"~"&amp;F67&amp;"~"&amp;G67</f>
        <v/>
      </c>
      <c r="J67" t="inlineStr">
        <is>
          <t>MVS Sec.11 p.15</t>
        </is>
      </c>
    </row>
    <row r="68">
      <c r="B68" t="inlineStr">
        <is>
          <t>Luxury Apartments (High-Rise)</t>
        </is>
      </c>
      <c r="C68" t="inlineStr">
        <is>
          <t>984</t>
        </is>
      </c>
      <c r="D68" t="inlineStr">
        <is>
          <t>11</t>
        </is>
      </c>
      <c r="E68" t="inlineStr">
        <is>
          <t>15</t>
        </is>
      </c>
      <c r="F68" t="inlineStr">
        <is>
          <t>B</t>
        </is>
      </c>
      <c r="G68" t="inlineStr">
        <is>
          <t>Average</t>
        </is>
      </c>
      <c r="H68" t="n">
        <v>288</v>
      </c>
      <c r="I68">
        <f>B68&amp;"~"&amp;F68&amp;"~"&amp;G68</f>
        <v/>
      </c>
      <c r="J68" t="inlineStr">
        <is>
          <t>MVS Sec.11 p.15</t>
        </is>
      </c>
    </row>
    <row r="69">
      <c r="B69" t="inlineStr">
        <is>
          <t>Luxury Apartments (High-Rise)</t>
        </is>
      </c>
      <c r="C69" t="inlineStr">
        <is>
          <t>984</t>
        </is>
      </c>
      <c r="D69" t="inlineStr">
        <is>
          <t>11</t>
        </is>
      </c>
      <c r="E69" t="inlineStr">
        <is>
          <t>15</t>
        </is>
      </c>
      <c r="F69" t="inlineStr">
        <is>
          <t>C</t>
        </is>
      </c>
      <c r="G69" t="inlineStr">
        <is>
          <t>Excellent</t>
        </is>
      </c>
      <c r="H69" t="n">
        <v>355</v>
      </c>
      <c r="I69">
        <f>B69&amp;"~"&amp;F69&amp;"~"&amp;G69</f>
        <v/>
      </c>
      <c r="J69" t="inlineStr">
        <is>
          <t>MVS Sec.11 p.15</t>
        </is>
      </c>
    </row>
    <row r="70">
      <c r="B70" t="inlineStr">
        <is>
          <t>Luxury Apartments (High-Rise)</t>
        </is>
      </c>
      <c r="C70" t="inlineStr">
        <is>
          <t>984</t>
        </is>
      </c>
      <c r="D70" t="inlineStr">
        <is>
          <t>11</t>
        </is>
      </c>
      <c r="E70" t="inlineStr">
        <is>
          <t>15</t>
        </is>
      </c>
      <c r="F70" t="inlineStr">
        <is>
          <t>C</t>
        </is>
      </c>
      <c r="G70" t="inlineStr">
        <is>
          <t>Good</t>
        </is>
      </c>
      <c r="H70" t="n">
        <v>278</v>
      </c>
      <c r="I70">
        <f>B70&amp;"~"&amp;F70&amp;"~"&amp;G70</f>
        <v/>
      </c>
      <c r="J70" t="inlineStr">
        <is>
          <t>MVS Sec.11 p.15</t>
        </is>
      </c>
    </row>
    <row r="71">
      <c r="B71" t="inlineStr">
        <is>
          <t>Luxury Apartments (High-Rise)</t>
        </is>
      </c>
      <c r="C71" t="inlineStr">
        <is>
          <t>984</t>
        </is>
      </c>
      <c r="D71" t="inlineStr">
        <is>
          <t>11</t>
        </is>
      </c>
      <c r="E71" t="inlineStr">
        <is>
          <t>15</t>
        </is>
      </c>
      <c r="F71" t="inlineStr">
        <is>
          <t>C</t>
        </is>
      </c>
      <c r="G71" t="inlineStr">
        <is>
          <t>Average</t>
        </is>
      </c>
      <c r="H71" t="n">
        <v>227</v>
      </c>
      <c r="I71">
        <f>B71&amp;"~"&amp;F71&amp;"~"&amp;G71</f>
        <v/>
      </c>
      <c r="J71" t="inlineStr">
        <is>
          <t>MVS Sec.11 p.15</t>
        </is>
      </c>
    </row>
    <row r="72">
      <c r="B72" t="inlineStr">
        <is>
          <t>Luxury Apartments (High-Rise)</t>
        </is>
      </c>
      <c r="C72" t="inlineStr">
        <is>
          <t>984</t>
        </is>
      </c>
      <c r="D72" t="inlineStr">
        <is>
          <t>11</t>
        </is>
      </c>
      <c r="E72" t="inlineStr">
        <is>
          <t>15</t>
        </is>
      </c>
      <c r="F72" t="inlineStr">
        <is>
          <t>DMASVEN</t>
        </is>
      </c>
      <c r="G72" t="inlineStr">
        <is>
          <t>Excellent</t>
        </is>
      </c>
      <c r="H72" t="n">
        <v>347</v>
      </c>
      <c r="I72">
        <f>B72&amp;"~"&amp;F72&amp;"~"&amp;G72</f>
        <v/>
      </c>
      <c r="J72" t="inlineStr">
        <is>
          <t>MVS Sec.11 p.15</t>
        </is>
      </c>
    </row>
    <row r="73">
      <c r="B73" t="inlineStr">
        <is>
          <t>Luxury Apartments (High-Rise)</t>
        </is>
      </c>
      <c r="C73" t="inlineStr">
        <is>
          <t>984</t>
        </is>
      </c>
      <c r="D73" t="inlineStr">
        <is>
          <t>11</t>
        </is>
      </c>
      <c r="E73" t="inlineStr">
        <is>
          <t>15</t>
        </is>
      </c>
      <c r="F73" t="inlineStr">
        <is>
          <t>DMASVEN</t>
        </is>
      </c>
      <c r="G73" t="inlineStr">
        <is>
          <t>Good</t>
        </is>
      </c>
      <c r="H73" t="n">
        <v>272</v>
      </c>
      <c r="I73">
        <f>B73&amp;"~"&amp;F73&amp;"~"&amp;G73</f>
        <v/>
      </c>
      <c r="J73" t="inlineStr">
        <is>
          <t>MVS Sec.11 p.15</t>
        </is>
      </c>
    </row>
    <row r="74">
      <c r="B74" t="inlineStr">
        <is>
          <t>Luxury Apartments (High-Rise)</t>
        </is>
      </c>
      <c r="C74" t="inlineStr">
        <is>
          <t>984</t>
        </is>
      </c>
      <c r="D74" t="inlineStr">
        <is>
          <t>11</t>
        </is>
      </c>
      <c r="E74" t="inlineStr">
        <is>
          <t>15</t>
        </is>
      </c>
      <c r="F74" t="inlineStr">
        <is>
          <t>DMASVEN</t>
        </is>
      </c>
      <c r="G74" t="inlineStr">
        <is>
          <t>Average</t>
        </is>
      </c>
      <c r="H74" t="n">
        <v>221</v>
      </c>
      <c r="I74">
        <f>B74&amp;"~"&amp;F74&amp;"~"&amp;G74</f>
        <v/>
      </c>
      <c r="J74" t="inlineStr">
        <is>
          <t>MVS Sec.11 p.15</t>
        </is>
      </c>
    </row>
    <row r="75">
      <c r="B75" t="inlineStr">
        <is>
          <t>Luxury Apartments (High-Rise)</t>
        </is>
      </c>
      <c r="C75" t="inlineStr">
        <is>
          <t>984</t>
        </is>
      </c>
      <c r="D75" t="inlineStr">
        <is>
          <t>11</t>
        </is>
      </c>
      <c r="E75" t="inlineStr">
        <is>
          <t>15</t>
        </is>
      </c>
      <c r="F75" t="inlineStr">
        <is>
          <t>D</t>
        </is>
      </c>
      <c r="G75" t="inlineStr">
        <is>
          <t>Excellent</t>
        </is>
      </c>
      <c r="H75" t="n">
        <v>341</v>
      </c>
      <c r="I75">
        <f>B75&amp;"~"&amp;F75&amp;"~"&amp;G75</f>
        <v/>
      </c>
      <c r="J75" t="inlineStr">
        <is>
          <t>MVS Sec.11 p.15</t>
        </is>
      </c>
    </row>
    <row r="76">
      <c r="B76" t="inlineStr">
        <is>
          <t>Luxury Apartments (High-Rise)</t>
        </is>
      </c>
      <c r="C76" t="inlineStr">
        <is>
          <t>984</t>
        </is>
      </c>
      <c r="D76" t="inlineStr">
        <is>
          <t>11</t>
        </is>
      </c>
      <c r="E76" t="inlineStr">
        <is>
          <t>15</t>
        </is>
      </c>
      <c r="F76" t="inlineStr">
        <is>
          <t>D</t>
        </is>
      </c>
      <c r="G76" t="inlineStr">
        <is>
          <t>Good</t>
        </is>
      </c>
      <c r="H76" t="n">
        <v>266</v>
      </c>
      <c r="I76">
        <f>B76&amp;"~"&amp;F76&amp;"~"&amp;G76</f>
        <v/>
      </c>
      <c r="J76" t="inlineStr">
        <is>
          <t>MVS Sec.11 p.15</t>
        </is>
      </c>
    </row>
    <row r="77">
      <c r="B77" t="inlineStr">
        <is>
          <t>Luxury Apartments (High-Rise)</t>
        </is>
      </c>
      <c r="C77" t="inlineStr">
        <is>
          <t>984</t>
        </is>
      </c>
      <c r="D77" t="inlineStr">
        <is>
          <t>11</t>
        </is>
      </c>
      <c r="E77" t="inlineStr">
        <is>
          <t>15</t>
        </is>
      </c>
      <c r="F77" t="inlineStr">
        <is>
          <t>D</t>
        </is>
      </c>
      <c r="G77" t="inlineStr">
        <is>
          <t>Average</t>
        </is>
      </c>
      <c r="H77" t="n">
        <v>216</v>
      </c>
      <c r="I77">
        <f>B77&amp;"~"&amp;F77&amp;"~"&amp;G77</f>
        <v/>
      </c>
      <c r="J77" t="inlineStr">
        <is>
          <t>MVS Sec.11 p.15</t>
        </is>
      </c>
    </row>
    <row r="78">
      <c r="B78" t="inlineStr">
        <is>
          <t>Shell Luxury Apartment Buildings</t>
        </is>
      </c>
      <c r="C78" t="inlineStr">
        <is>
          <t>777</t>
        </is>
      </c>
      <c r="D78" t="inlineStr">
        <is>
          <t>11</t>
        </is>
      </c>
      <c r="E78" t="inlineStr">
        <is>
          <t>16</t>
        </is>
      </c>
      <c r="F78" t="inlineStr">
        <is>
          <t>A</t>
        </is>
      </c>
      <c r="G78" t="inlineStr">
        <is>
          <t>Good</t>
        </is>
      </c>
      <c r="H78" t="n">
        <v>219</v>
      </c>
      <c r="I78">
        <f>B78&amp;"~"&amp;F78&amp;"~"&amp;G78</f>
        <v/>
      </c>
      <c r="J78" t="inlineStr">
        <is>
          <t>MVS Sec.11 p.16</t>
        </is>
      </c>
    </row>
    <row r="79">
      <c r="B79" t="inlineStr">
        <is>
          <t>Shell Luxury Apartment Buildings</t>
        </is>
      </c>
      <c r="C79" t="inlineStr">
        <is>
          <t>777</t>
        </is>
      </c>
      <c r="D79" t="inlineStr">
        <is>
          <t>11</t>
        </is>
      </c>
      <c r="E79" t="inlineStr">
        <is>
          <t>16</t>
        </is>
      </c>
      <c r="F79" t="inlineStr">
        <is>
          <t>A</t>
        </is>
      </c>
      <c r="G79" t="inlineStr">
        <is>
          <t>Average</t>
        </is>
      </c>
      <c r="H79" t="n">
        <v>172</v>
      </c>
      <c r="I79">
        <f>B79&amp;"~"&amp;F79&amp;"~"&amp;G79</f>
        <v/>
      </c>
      <c r="J79" t="inlineStr">
        <is>
          <t>MVS Sec.11 p.16</t>
        </is>
      </c>
    </row>
    <row r="80">
      <c r="B80" t="inlineStr">
        <is>
          <t>Shell Luxury Apartment Buildings</t>
        </is>
      </c>
      <c r="C80" t="inlineStr">
        <is>
          <t>777</t>
        </is>
      </c>
      <c r="D80" t="inlineStr">
        <is>
          <t>11</t>
        </is>
      </c>
      <c r="E80" t="inlineStr">
        <is>
          <t>16</t>
        </is>
      </c>
      <c r="F80" t="inlineStr">
        <is>
          <t>B</t>
        </is>
      </c>
      <c r="G80" t="inlineStr">
        <is>
          <t>Good</t>
        </is>
      </c>
      <c r="H80" t="n">
        <v>186</v>
      </c>
      <c r="I80">
        <f>B80&amp;"~"&amp;F80&amp;"~"&amp;G80</f>
        <v/>
      </c>
      <c r="J80" t="inlineStr">
        <is>
          <t>MVS Sec.11 p.16</t>
        </is>
      </c>
    </row>
    <row r="81">
      <c r="B81" t="inlineStr">
        <is>
          <t>Shell Luxury Apartment Buildings</t>
        </is>
      </c>
      <c r="C81" t="inlineStr">
        <is>
          <t>777</t>
        </is>
      </c>
      <c r="D81" t="inlineStr">
        <is>
          <t>11</t>
        </is>
      </c>
      <c r="E81" t="inlineStr">
        <is>
          <t>16</t>
        </is>
      </c>
      <c r="F81" t="inlineStr">
        <is>
          <t>B</t>
        </is>
      </c>
      <c r="G81" t="inlineStr">
        <is>
          <t>Average</t>
        </is>
      </c>
      <c r="H81" t="n">
        <v>147</v>
      </c>
      <c r="I81">
        <f>B81&amp;"~"&amp;F81&amp;"~"&amp;G81</f>
        <v/>
      </c>
      <c r="J81" t="inlineStr">
        <is>
          <t>MVS Sec.11 p.16</t>
        </is>
      </c>
    </row>
    <row r="82">
      <c r="B82" t="inlineStr">
        <is>
          <t>Shell Luxury Apartment Buildings</t>
        </is>
      </c>
      <c r="C82" t="inlineStr">
        <is>
          <t>777</t>
        </is>
      </c>
      <c r="D82" t="inlineStr">
        <is>
          <t>11</t>
        </is>
      </c>
      <c r="E82" t="inlineStr">
        <is>
          <t>17</t>
        </is>
      </c>
      <c r="F82" t="inlineStr">
        <is>
          <t>C</t>
        </is>
      </c>
      <c r="G82" t="inlineStr">
        <is>
          <t>Excellent</t>
        </is>
      </c>
      <c r="H82" t="n">
        <v>188</v>
      </c>
      <c r="I82">
        <f>B82&amp;"~"&amp;F82&amp;"~"&amp;G82</f>
        <v/>
      </c>
      <c r="J82" t="inlineStr">
        <is>
          <t>MVS Sec.11 p.17</t>
        </is>
      </c>
    </row>
    <row r="83">
      <c r="B83" t="inlineStr">
        <is>
          <t>Shell Luxury Apartment Buildings</t>
        </is>
      </c>
      <c r="C83" t="inlineStr">
        <is>
          <t>777</t>
        </is>
      </c>
      <c r="D83" t="inlineStr">
        <is>
          <t>11</t>
        </is>
      </c>
      <c r="E83" t="inlineStr">
        <is>
          <t>17</t>
        </is>
      </c>
      <c r="F83" t="inlineStr">
        <is>
          <t>C</t>
        </is>
      </c>
      <c r="G83" t="inlineStr">
        <is>
          <t>Good</t>
        </is>
      </c>
      <c r="H83" t="n">
        <v>151</v>
      </c>
      <c r="I83">
        <f>B83&amp;"~"&amp;F83&amp;"~"&amp;G83</f>
        <v/>
      </c>
      <c r="J83" t="inlineStr">
        <is>
          <t>MVS Sec.11 p.17</t>
        </is>
      </c>
    </row>
    <row r="84">
      <c r="B84" t="inlineStr">
        <is>
          <t>Shell Luxury Apartment Buildings</t>
        </is>
      </c>
      <c r="C84" t="inlineStr">
        <is>
          <t>777</t>
        </is>
      </c>
      <c r="D84" t="inlineStr">
        <is>
          <t>11</t>
        </is>
      </c>
      <c r="E84" t="inlineStr">
        <is>
          <t>17</t>
        </is>
      </c>
      <c r="F84" t="inlineStr">
        <is>
          <t>C</t>
        </is>
      </c>
      <c r="G84" t="inlineStr">
        <is>
          <t>Average</t>
        </is>
      </c>
      <c r="H84" t="n">
        <v>121</v>
      </c>
      <c r="I84">
        <f>B84&amp;"~"&amp;F84&amp;"~"&amp;G84</f>
        <v/>
      </c>
      <c r="J84" t="inlineStr">
        <is>
          <t>MVS Sec.11 p.17</t>
        </is>
      </c>
    </row>
    <row r="85">
      <c r="B85" t="inlineStr">
        <is>
          <t>Shell Luxury Apartment Buildings</t>
        </is>
      </c>
      <c r="C85" t="inlineStr">
        <is>
          <t>777</t>
        </is>
      </c>
      <c r="D85" t="inlineStr">
        <is>
          <t>11</t>
        </is>
      </c>
      <c r="E85" t="inlineStr">
        <is>
          <t>17</t>
        </is>
      </c>
      <c r="F85" t="inlineStr">
        <is>
          <t>DMASVEN</t>
        </is>
      </c>
      <c r="G85" t="inlineStr">
        <is>
          <t>Excellent</t>
        </is>
      </c>
      <c r="H85" t="n">
        <v>178</v>
      </c>
      <c r="I85">
        <f>B85&amp;"~"&amp;F85&amp;"~"&amp;G85</f>
        <v/>
      </c>
      <c r="J85" t="inlineStr">
        <is>
          <t>MVS Sec.11 p.17</t>
        </is>
      </c>
    </row>
    <row r="86">
      <c r="B86" t="inlineStr">
        <is>
          <t>Shell Luxury Apartment Buildings</t>
        </is>
      </c>
      <c r="C86" t="inlineStr">
        <is>
          <t>777</t>
        </is>
      </c>
      <c r="D86" t="inlineStr">
        <is>
          <t>11</t>
        </is>
      </c>
      <c r="E86" t="inlineStr">
        <is>
          <t>17</t>
        </is>
      </c>
      <c r="F86" t="inlineStr">
        <is>
          <t>DMASVEN</t>
        </is>
      </c>
      <c r="G86" t="inlineStr">
        <is>
          <t>Good</t>
        </is>
      </c>
      <c r="H86" t="n">
        <v>142</v>
      </c>
      <c r="I86">
        <f>B86&amp;"~"&amp;F86&amp;"~"&amp;G86</f>
        <v/>
      </c>
      <c r="J86" t="inlineStr">
        <is>
          <t>MVS Sec.11 p.17</t>
        </is>
      </c>
    </row>
    <row r="87">
      <c r="B87" t="inlineStr">
        <is>
          <t>Shell Luxury Apartment Buildings</t>
        </is>
      </c>
      <c r="C87" t="inlineStr">
        <is>
          <t>777</t>
        </is>
      </c>
      <c r="D87" t="inlineStr">
        <is>
          <t>11</t>
        </is>
      </c>
      <c r="E87" t="inlineStr">
        <is>
          <t>17</t>
        </is>
      </c>
      <c r="F87" t="inlineStr">
        <is>
          <t>DMASVEN</t>
        </is>
      </c>
      <c r="G87" t="inlineStr">
        <is>
          <t>Average</t>
        </is>
      </c>
      <c r="H87" t="n">
        <v>114</v>
      </c>
      <c r="I87">
        <f>B87&amp;"~"&amp;F87&amp;"~"&amp;G87</f>
        <v/>
      </c>
      <c r="J87" t="inlineStr">
        <is>
          <t>MVS Sec.11 p.17</t>
        </is>
      </c>
    </row>
    <row r="88">
      <c r="B88" t="inlineStr">
        <is>
          <t>Shell Luxury Apartment Buildings</t>
        </is>
      </c>
      <c r="C88" t="inlineStr">
        <is>
          <t>777</t>
        </is>
      </c>
      <c r="D88" t="inlineStr">
        <is>
          <t>11</t>
        </is>
      </c>
      <c r="E88" t="inlineStr">
        <is>
          <t>17</t>
        </is>
      </c>
      <c r="F88" t="inlineStr">
        <is>
          <t>D</t>
        </is>
      </c>
      <c r="G88" t="inlineStr">
        <is>
          <t>Excellent</t>
        </is>
      </c>
      <c r="H88" t="n">
        <v>175</v>
      </c>
      <c r="I88">
        <f>B88&amp;"~"&amp;F88&amp;"~"&amp;G88</f>
        <v/>
      </c>
      <c r="J88" t="inlineStr">
        <is>
          <t>MVS Sec.11 p.17</t>
        </is>
      </c>
    </row>
    <row r="89">
      <c r="B89" t="inlineStr">
        <is>
          <t>Shell Luxury Apartment Buildings</t>
        </is>
      </c>
      <c r="C89" t="inlineStr">
        <is>
          <t>777</t>
        </is>
      </c>
      <c r="D89" t="inlineStr">
        <is>
          <t>11</t>
        </is>
      </c>
      <c r="E89" t="inlineStr">
        <is>
          <t>17</t>
        </is>
      </c>
      <c r="F89" t="inlineStr">
        <is>
          <t>D</t>
        </is>
      </c>
      <c r="G89" t="inlineStr">
        <is>
          <t>Good</t>
        </is>
      </c>
      <c r="H89" t="n">
        <v>139</v>
      </c>
      <c r="I89">
        <f>B89&amp;"~"&amp;F89&amp;"~"&amp;G89</f>
        <v/>
      </c>
      <c r="J89" t="inlineStr">
        <is>
          <t>MVS Sec.11 p.17</t>
        </is>
      </c>
    </row>
    <row r="90">
      <c r="B90" t="inlineStr">
        <is>
          <t>Shell Luxury Apartment Buildings</t>
        </is>
      </c>
      <c r="C90" t="inlineStr">
        <is>
          <t>777</t>
        </is>
      </c>
      <c r="D90" t="inlineStr">
        <is>
          <t>11</t>
        </is>
      </c>
      <c r="E90" t="inlineStr">
        <is>
          <t>17</t>
        </is>
      </c>
      <c r="F90" t="inlineStr">
        <is>
          <t>D</t>
        </is>
      </c>
      <c r="G90" t="inlineStr">
        <is>
          <t>Average</t>
        </is>
      </c>
      <c r="H90" t="n">
        <v>111</v>
      </c>
      <c r="I90">
        <f>B90&amp;"~"&amp;F90&amp;"~"&amp;G90</f>
        <v/>
      </c>
      <c r="J90" t="inlineStr">
        <is>
          <t>MVS Sec.11 p.17</t>
        </is>
      </c>
    </row>
    <row r="91">
      <c r="B91" t="inlineStr">
        <is>
          <t>Apartments (High-Rise)</t>
        </is>
      </c>
      <c r="C91" t="inlineStr">
        <is>
          <t>300</t>
        </is>
      </c>
      <c r="D91" t="inlineStr">
        <is>
          <t>11</t>
        </is>
      </c>
      <c r="E91" t="inlineStr">
        <is>
          <t>18</t>
        </is>
      </c>
      <c r="F91" t="inlineStr">
        <is>
          <t>A</t>
        </is>
      </c>
      <c r="G91" t="inlineStr">
        <is>
          <t>Good</t>
        </is>
      </c>
      <c r="H91" t="n">
        <v>249</v>
      </c>
      <c r="I91">
        <f>B91&amp;"~"&amp;F91&amp;"~"&amp;G91</f>
        <v/>
      </c>
      <c r="J91" t="inlineStr">
        <is>
          <t>MVS Sec.11 p.18</t>
        </is>
      </c>
    </row>
    <row r="92">
      <c r="B92" t="inlineStr">
        <is>
          <t>Apartments (High-Rise)</t>
        </is>
      </c>
      <c r="C92" t="inlineStr">
        <is>
          <t>300</t>
        </is>
      </c>
      <c r="D92" t="inlineStr">
        <is>
          <t>11</t>
        </is>
      </c>
      <c r="E92" t="inlineStr">
        <is>
          <t>18</t>
        </is>
      </c>
      <c r="F92" t="inlineStr">
        <is>
          <t>A</t>
        </is>
      </c>
      <c r="G92" t="inlineStr">
        <is>
          <t>Average</t>
        </is>
      </c>
      <c r="H92" t="n">
        <v>197</v>
      </c>
      <c r="I92">
        <f>B92&amp;"~"&amp;F92&amp;"~"&amp;G92</f>
        <v/>
      </c>
      <c r="J92" t="inlineStr">
        <is>
          <t>MVS Sec.11 p.18</t>
        </is>
      </c>
    </row>
    <row r="93">
      <c r="B93" t="inlineStr">
        <is>
          <t>Apartments (High-Rise)</t>
        </is>
      </c>
      <c r="C93" t="inlineStr">
        <is>
          <t>300</t>
        </is>
      </c>
      <c r="D93" t="inlineStr">
        <is>
          <t>11</t>
        </is>
      </c>
      <c r="E93" t="inlineStr">
        <is>
          <t>18</t>
        </is>
      </c>
      <c r="F93" t="inlineStr">
        <is>
          <t>A</t>
        </is>
      </c>
      <c r="G93" t="inlineStr">
        <is>
          <t>Low Cost</t>
        </is>
      </c>
      <c r="H93" t="n">
        <v>156</v>
      </c>
      <c r="I93">
        <f>B93&amp;"~"&amp;F93&amp;"~"&amp;G93</f>
        <v/>
      </c>
      <c r="J93" t="inlineStr">
        <is>
          <t>MVS Sec.11 p.18</t>
        </is>
      </c>
    </row>
    <row r="94">
      <c r="B94" t="inlineStr">
        <is>
          <t>Apartments (High-Rise)</t>
        </is>
      </c>
      <c r="C94" t="inlineStr">
        <is>
          <t>300</t>
        </is>
      </c>
      <c r="D94" t="inlineStr">
        <is>
          <t>11</t>
        </is>
      </c>
      <c r="E94" t="inlineStr">
        <is>
          <t>18</t>
        </is>
      </c>
      <c r="F94" t="inlineStr">
        <is>
          <t>B</t>
        </is>
      </c>
      <c r="G94" t="inlineStr">
        <is>
          <t>Good</t>
        </is>
      </c>
      <c r="H94" t="n">
        <v>220</v>
      </c>
      <c r="I94">
        <f>B94&amp;"~"&amp;F94&amp;"~"&amp;G94</f>
        <v/>
      </c>
      <c r="J94" t="inlineStr">
        <is>
          <t>MVS Sec.11 p.18</t>
        </is>
      </c>
    </row>
    <row r="95">
      <c r="B95" t="inlineStr">
        <is>
          <t>Apartments (High-Rise)</t>
        </is>
      </c>
      <c r="C95" t="inlineStr">
        <is>
          <t>300</t>
        </is>
      </c>
      <c r="D95" t="inlineStr">
        <is>
          <t>11</t>
        </is>
      </c>
      <c r="E95" t="inlineStr">
        <is>
          <t>18</t>
        </is>
      </c>
      <c r="F95" t="inlineStr">
        <is>
          <t>B</t>
        </is>
      </c>
      <c r="G95" t="inlineStr">
        <is>
          <t>Average</t>
        </is>
      </c>
      <c r="H95" t="n">
        <v>175</v>
      </c>
      <c r="I95">
        <f>B95&amp;"~"&amp;F95&amp;"~"&amp;G95</f>
        <v/>
      </c>
      <c r="J95" t="inlineStr">
        <is>
          <t>MVS Sec.11 p.18</t>
        </is>
      </c>
    </row>
    <row r="96">
      <c r="B96" t="inlineStr">
        <is>
          <t>Apartments (High-Rise)</t>
        </is>
      </c>
      <c r="C96" t="inlineStr">
        <is>
          <t>300</t>
        </is>
      </c>
      <c r="D96" t="inlineStr">
        <is>
          <t>11</t>
        </is>
      </c>
      <c r="E96" t="inlineStr">
        <is>
          <t>18</t>
        </is>
      </c>
      <c r="F96" t="inlineStr">
        <is>
          <t>B</t>
        </is>
      </c>
      <c r="G96" t="inlineStr">
        <is>
          <t>Low Cost</t>
        </is>
      </c>
      <c r="H96" t="n">
        <v>139</v>
      </c>
      <c r="I96">
        <f>B96&amp;"~"&amp;F96&amp;"~"&amp;G96</f>
        <v/>
      </c>
      <c r="J96" t="inlineStr">
        <is>
          <t>MVS Sec.11 p.18</t>
        </is>
      </c>
    </row>
    <row r="97">
      <c r="B97" t="inlineStr">
        <is>
          <t>Apartments (High-Rise)</t>
        </is>
      </c>
      <c r="C97" t="inlineStr">
        <is>
          <t>300</t>
        </is>
      </c>
      <c r="D97" t="inlineStr">
        <is>
          <t>11</t>
        </is>
      </c>
      <c r="E97" t="inlineStr">
        <is>
          <t>18</t>
        </is>
      </c>
      <c r="F97" t="inlineStr">
        <is>
          <t>C</t>
        </is>
      </c>
      <c r="G97" t="inlineStr">
        <is>
          <t>Good</t>
        </is>
      </c>
      <c r="H97" t="n">
        <v>176</v>
      </c>
      <c r="I97">
        <f>B97&amp;"~"&amp;F97&amp;"~"&amp;G97</f>
        <v/>
      </c>
      <c r="J97" t="inlineStr">
        <is>
          <t>MVS Sec.11 p.18</t>
        </is>
      </c>
    </row>
    <row r="98">
      <c r="B98" t="inlineStr">
        <is>
          <t>Apartments (High-Rise)</t>
        </is>
      </c>
      <c r="C98" t="inlineStr">
        <is>
          <t>300</t>
        </is>
      </c>
      <c r="D98" t="inlineStr">
        <is>
          <t>11</t>
        </is>
      </c>
      <c r="E98" t="inlineStr">
        <is>
          <t>18</t>
        </is>
      </c>
      <c r="F98" t="inlineStr">
        <is>
          <t>C</t>
        </is>
      </c>
      <c r="G98" t="inlineStr">
        <is>
          <t>Average</t>
        </is>
      </c>
      <c r="H98" t="n">
        <v>135</v>
      </c>
      <c r="I98">
        <f>B98&amp;"~"&amp;F98&amp;"~"&amp;G98</f>
        <v/>
      </c>
      <c r="J98" t="inlineStr">
        <is>
          <t>MVS Sec.11 p.18</t>
        </is>
      </c>
    </row>
    <row r="99">
      <c r="B99" t="inlineStr">
        <is>
          <t>Apartments (High-Rise)</t>
        </is>
      </c>
      <c r="C99" t="inlineStr">
        <is>
          <t>300</t>
        </is>
      </c>
      <c r="D99" t="inlineStr">
        <is>
          <t>11</t>
        </is>
      </c>
      <c r="E99" t="inlineStr">
        <is>
          <t>18</t>
        </is>
      </c>
      <c r="F99" t="inlineStr">
        <is>
          <t>C</t>
        </is>
      </c>
      <c r="G99" t="inlineStr">
        <is>
          <t>Low Cost</t>
        </is>
      </c>
      <c r="H99" t="n">
        <v>102</v>
      </c>
      <c r="I99">
        <f>B99&amp;"~"&amp;F99&amp;"~"&amp;G99</f>
        <v/>
      </c>
      <c r="J99" t="inlineStr">
        <is>
          <t>MVS Sec.11 p.18</t>
        </is>
      </c>
    </row>
    <row r="100">
      <c r="B100" t="inlineStr">
        <is>
          <t>Apartments (High-Rise)</t>
        </is>
      </c>
      <c r="C100" t="inlineStr">
        <is>
          <t>300</t>
        </is>
      </c>
      <c r="D100" t="inlineStr">
        <is>
          <t>11</t>
        </is>
      </c>
      <c r="E100" t="inlineStr">
        <is>
          <t>18</t>
        </is>
      </c>
      <c r="F100" t="inlineStr">
        <is>
          <t>CMILL</t>
        </is>
      </c>
      <c r="G100" t="inlineStr">
        <is>
          <t>Good</t>
        </is>
      </c>
      <c r="H100" t="n">
        <v>200</v>
      </c>
      <c r="I100">
        <f>B100&amp;"~"&amp;F100&amp;"~"&amp;G100</f>
        <v/>
      </c>
      <c r="J100" t="inlineStr">
        <is>
          <t>MVS Sec.11 p.18</t>
        </is>
      </c>
    </row>
    <row r="101">
      <c r="B101" t="inlineStr">
        <is>
          <t>Apartments (High-Rise)</t>
        </is>
      </c>
      <c r="C101" t="inlineStr">
        <is>
          <t>300</t>
        </is>
      </c>
      <c r="D101" t="inlineStr">
        <is>
          <t>11</t>
        </is>
      </c>
      <c r="E101" t="inlineStr">
        <is>
          <t>18</t>
        </is>
      </c>
      <c r="F101" t="inlineStr">
        <is>
          <t>CMILL</t>
        </is>
      </c>
      <c r="G101" t="inlineStr">
        <is>
          <t>Average</t>
        </is>
      </c>
      <c r="H101" t="n">
        <v>164</v>
      </c>
      <c r="I101">
        <f>B101&amp;"~"&amp;F101&amp;"~"&amp;G101</f>
        <v/>
      </c>
      <c r="J101" t="inlineStr">
        <is>
          <t>MVS Sec.11 p.18</t>
        </is>
      </c>
    </row>
    <row r="102">
      <c r="B102" t="inlineStr">
        <is>
          <t>Apartments (High-Rise)</t>
        </is>
      </c>
      <c r="C102" t="inlineStr">
        <is>
          <t>300</t>
        </is>
      </c>
      <c r="D102" t="inlineStr">
        <is>
          <t>11</t>
        </is>
      </c>
      <c r="E102" t="inlineStr">
        <is>
          <t>18</t>
        </is>
      </c>
      <c r="F102" t="inlineStr">
        <is>
          <t>DMASVEN</t>
        </is>
      </c>
      <c r="G102" t="inlineStr">
        <is>
          <t>Good</t>
        </is>
      </c>
      <c r="H102" t="n">
        <v>172</v>
      </c>
      <c r="I102">
        <f>B102&amp;"~"&amp;F102&amp;"~"&amp;G102</f>
        <v/>
      </c>
      <c r="J102" t="inlineStr">
        <is>
          <t>MVS Sec.11 p.18</t>
        </is>
      </c>
    </row>
    <row r="103">
      <c r="B103" t="inlineStr">
        <is>
          <t>Apartments (High-Rise)</t>
        </is>
      </c>
      <c r="C103" t="inlineStr">
        <is>
          <t>300</t>
        </is>
      </c>
      <c r="D103" t="inlineStr">
        <is>
          <t>11</t>
        </is>
      </c>
      <c r="E103" t="inlineStr">
        <is>
          <t>18</t>
        </is>
      </c>
      <c r="F103" t="inlineStr">
        <is>
          <t>DMASVEN</t>
        </is>
      </c>
      <c r="G103" t="inlineStr">
        <is>
          <t>Average</t>
        </is>
      </c>
      <c r="H103" t="n">
        <v>131</v>
      </c>
      <c r="I103">
        <f>B103&amp;"~"&amp;F103&amp;"~"&amp;G103</f>
        <v/>
      </c>
      <c r="J103" t="inlineStr">
        <is>
          <t>MVS Sec.11 p.18</t>
        </is>
      </c>
    </row>
    <row r="104">
      <c r="B104" t="inlineStr">
        <is>
          <t>Apartments (High-Rise)</t>
        </is>
      </c>
      <c r="C104" t="inlineStr">
        <is>
          <t>300</t>
        </is>
      </c>
      <c r="D104" t="inlineStr">
        <is>
          <t>11</t>
        </is>
      </c>
      <c r="E104" t="inlineStr">
        <is>
          <t>18</t>
        </is>
      </c>
      <c r="F104" t="inlineStr">
        <is>
          <t>D</t>
        </is>
      </c>
      <c r="G104" t="inlineStr">
        <is>
          <t>Good</t>
        </is>
      </c>
      <c r="H104" t="n">
        <v>167</v>
      </c>
      <c r="I104">
        <f>B104&amp;"~"&amp;F104&amp;"~"&amp;G104</f>
        <v/>
      </c>
      <c r="J104" t="inlineStr">
        <is>
          <t>MVS Sec.11 p.18</t>
        </is>
      </c>
    </row>
    <row r="105">
      <c r="B105" t="inlineStr">
        <is>
          <t>Apartments (High-Rise)</t>
        </is>
      </c>
      <c r="C105" t="inlineStr">
        <is>
          <t>300</t>
        </is>
      </c>
      <c r="D105" t="inlineStr">
        <is>
          <t>11</t>
        </is>
      </c>
      <c r="E105" t="inlineStr">
        <is>
          <t>18</t>
        </is>
      </c>
      <c r="F105" t="inlineStr">
        <is>
          <t>D</t>
        </is>
      </c>
      <c r="G105" t="inlineStr">
        <is>
          <t>Average</t>
        </is>
      </c>
      <c r="H105" t="n">
        <v>127</v>
      </c>
      <c r="I105">
        <f>B105&amp;"~"&amp;F105&amp;"~"&amp;G105</f>
        <v/>
      </c>
      <c r="J105" t="inlineStr">
        <is>
          <t>MVS Sec.11 p.18</t>
        </is>
      </c>
    </row>
    <row r="106">
      <c r="B106" t="inlineStr">
        <is>
          <t>Apartments (High-Rise)</t>
        </is>
      </c>
      <c r="C106" t="inlineStr">
        <is>
          <t>300</t>
        </is>
      </c>
      <c r="D106" t="inlineStr">
        <is>
          <t>11</t>
        </is>
      </c>
      <c r="E106" t="inlineStr">
        <is>
          <t>18</t>
        </is>
      </c>
      <c r="F106" t="inlineStr">
        <is>
          <t>D</t>
        </is>
      </c>
      <c r="G106" t="inlineStr">
        <is>
          <t>Low Cost</t>
        </is>
      </c>
      <c r="H106" t="n">
        <v>95.5</v>
      </c>
      <c r="I106">
        <f>B106&amp;"~"&amp;F106&amp;"~"&amp;G106</f>
        <v/>
      </c>
      <c r="J106" t="inlineStr">
        <is>
          <t>MVS Sec.11 p.18</t>
        </is>
      </c>
    </row>
    <row r="107">
      <c r="B107" t="inlineStr">
        <is>
          <t>Apartments (High-Rise)</t>
        </is>
      </c>
      <c r="C107" t="inlineStr">
        <is>
          <t>300</t>
        </is>
      </c>
      <c r="D107" t="inlineStr">
        <is>
          <t>11</t>
        </is>
      </c>
      <c r="E107" t="inlineStr">
        <is>
          <t>18</t>
        </is>
      </c>
      <c r="F107" t="inlineStr">
        <is>
          <t>S</t>
        </is>
      </c>
      <c r="G107" t="inlineStr">
        <is>
          <t>Good</t>
        </is>
      </c>
      <c r="H107" t="n">
        <v>163</v>
      </c>
      <c r="I107">
        <f>B107&amp;"~"&amp;F107&amp;"~"&amp;G107</f>
        <v/>
      </c>
      <c r="J107" t="inlineStr">
        <is>
          <t>MVS Sec.11 p.18</t>
        </is>
      </c>
    </row>
    <row r="108">
      <c r="B108" t="inlineStr">
        <is>
          <t>Apartments (High-Rise)</t>
        </is>
      </c>
      <c r="C108" t="inlineStr">
        <is>
          <t>300</t>
        </is>
      </c>
      <c r="D108" t="inlineStr">
        <is>
          <t>11</t>
        </is>
      </c>
      <c r="E108" t="inlineStr">
        <is>
          <t>18</t>
        </is>
      </c>
      <c r="F108" t="inlineStr">
        <is>
          <t>S</t>
        </is>
      </c>
      <c r="G108" t="inlineStr">
        <is>
          <t>Average</t>
        </is>
      </c>
      <c r="H108" t="n">
        <v>123</v>
      </c>
      <c r="I108">
        <f>B108&amp;"~"&amp;F108&amp;"~"&amp;G108</f>
        <v/>
      </c>
      <c r="J108" t="inlineStr">
        <is>
          <t>MVS Sec.11 p.18</t>
        </is>
      </c>
    </row>
    <row r="109">
      <c r="B109" t="inlineStr">
        <is>
          <t>City Clubs</t>
        </is>
      </c>
      <c r="C109" t="inlineStr">
        <is>
          <t>310</t>
        </is>
      </c>
      <c r="D109" t="inlineStr">
        <is>
          <t>11</t>
        </is>
      </c>
      <c r="E109" t="inlineStr">
        <is>
          <t>19</t>
        </is>
      </c>
      <c r="F109" t="inlineStr">
        <is>
          <t>A-B</t>
        </is>
      </c>
      <c r="G109" t="inlineStr">
        <is>
          <t>Good</t>
        </is>
      </c>
      <c r="H109" t="n">
        <v>304</v>
      </c>
      <c r="I109">
        <f>B109&amp;"~"&amp;F109&amp;"~"&amp;G109</f>
        <v/>
      </c>
      <c r="J109" t="inlineStr">
        <is>
          <t>MVS Sec.11 p.19</t>
        </is>
      </c>
    </row>
    <row r="110">
      <c r="B110" t="inlineStr">
        <is>
          <t>City Clubs</t>
        </is>
      </c>
      <c r="C110" t="inlineStr">
        <is>
          <t>310</t>
        </is>
      </c>
      <c r="D110" t="inlineStr">
        <is>
          <t>11</t>
        </is>
      </c>
      <c r="E110" t="inlineStr">
        <is>
          <t>19</t>
        </is>
      </c>
      <c r="F110" t="inlineStr">
        <is>
          <t>A-B</t>
        </is>
      </c>
      <c r="G110" t="inlineStr">
        <is>
          <t>Average</t>
        </is>
      </c>
      <c r="H110" t="n">
        <v>237</v>
      </c>
      <c r="I110">
        <f>B110&amp;"~"&amp;F110&amp;"~"&amp;G110</f>
        <v/>
      </c>
      <c r="J110" t="inlineStr">
        <is>
          <t>MVS Sec.11 p.19</t>
        </is>
      </c>
    </row>
    <row r="111">
      <c r="B111" t="inlineStr">
        <is>
          <t>City Clubs</t>
        </is>
      </c>
      <c r="C111" t="inlineStr">
        <is>
          <t>310</t>
        </is>
      </c>
      <c r="D111" t="inlineStr">
        <is>
          <t>11</t>
        </is>
      </c>
      <c r="E111" t="inlineStr">
        <is>
          <t>19</t>
        </is>
      </c>
      <c r="F111" t="inlineStr">
        <is>
          <t>C</t>
        </is>
      </c>
      <c r="G111" t="inlineStr">
        <is>
          <t>Good</t>
        </is>
      </c>
      <c r="H111" t="n">
        <v>238</v>
      </c>
      <c r="I111">
        <f>B111&amp;"~"&amp;F111&amp;"~"&amp;G111</f>
        <v/>
      </c>
      <c r="J111" t="inlineStr">
        <is>
          <t>MVS Sec.11 p.19</t>
        </is>
      </c>
    </row>
    <row r="112">
      <c r="B112" t="inlineStr">
        <is>
          <t>City Clubs</t>
        </is>
      </c>
      <c r="C112" t="inlineStr">
        <is>
          <t>310</t>
        </is>
      </c>
      <c r="D112" t="inlineStr">
        <is>
          <t>11</t>
        </is>
      </c>
      <c r="E112" t="inlineStr">
        <is>
          <t>19</t>
        </is>
      </c>
      <c r="F112" t="inlineStr">
        <is>
          <t>C</t>
        </is>
      </c>
      <c r="G112" t="inlineStr">
        <is>
          <t>Average</t>
        </is>
      </c>
      <c r="H112" t="n">
        <v>191</v>
      </c>
      <c r="I112">
        <f>B112&amp;"~"&amp;F112&amp;"~"&amp;G112</f>
        <v/>
      </c>
      <c r="J112" t="inlineStr">
        <is>
          <t>MVS Sec.11 p.19</t>
        </is>
      </c>
    </row>
    <row r="113">
      <c r="B113" t="inlineStr">
        <is>
          <t>Shell Apartment Buildings</t>
        </is>
      </c>
      <c r="C113" t="inlineStr">
        <is>
          <t>596</t>
        </is>
      </c>
      <c r="D113" t="inlineStr">
        <is>
          <t>11</t>
        </is>
      </c>
      <c r="E113" t="inlineStr">
        <is>
          <t>20</t>
        </is>
      </c>
      <c r="F113" t="inlineStr">
        <is>
          <t>A</t>
        </is>
      </c>
      <c r="G113" t="inlineStr">
        <is>
          <t>Good</t>
        </is>
      </c>
      <c r="H113" t="n">
        <v>154</v>
      </c>
      <c r="I113">
        <f>B113&amp;"~"&amp;F113&amp;"~"&amp;G113</f>
        <v/>
      </c>
      <c r="J113" t="inlineStr">
        <is>
          <t>MVS Sec.11 p.20</t>
        </is>
      </c>
    </row>
    <row r="114">
      <c r="B114" t="inlineStr">
        <is>
          <t>Shell Apartment Buildings</t>
        </is>
      </c>
      <c r="C114" t="inlineStr">
        <is>
          <t>596</t>
        </is>
      </c>
      <c r="D114" t="inlineStr">
        <is>
          <t>11</t>
        </is>
      </c>
      <c r="E114" t="inlineStr">
        <is>
          <t>20</t>
        </is>
      </c>
      <c r="F114" t="inlineStr">
        <is>
          <t>A</t>
        </is>
      </c>
      <c r="G114" t="inlineStr">
        <is>
          <t>Average</t>
        </is>
      </c>
      <c r="H114" t="n">
        <v>121</v>
      </c>
      <c r="I114">
        <f>B114&amp;"~"&amp;F114&amp;"~"&amp;G114</f>
        <v/>
      </c>
      <c r="J114" t="inlineStr">
        <is>
          <t>MVS Sec.11 p.20</t>
        </is>
      </c>
    </row>
    <row r="115">
      <c r="B115" t="inlineStr">
        <is>
          <t>Shell Apartment Buildings</t>
        </is>
      </c>
      <c r="C115" t="inlineStr">
        <is>
          <t>596</t>
        </is>
      </c>
      <c r="D115" t="inlineStr">
        <is>
          <t>11</t>
        </is>
      </c>
      <c r="E115" t="inlineStr">
        <is>
          <t>20</t>
        </is>
      </c>
      <c r="F115" t="inlineStr">
        <is>
          <t>A</t>
        </is>
      </c>
      <c r="G115" t="inlineStr">
        <is>
          <t>Low Cost</t>
        </is>
      </c>
      <c r="H115" t="n">
        <v>96</v>
      </c>
      <c r="I115">
        <f>B115&amp;"~"&amp;F115&amp;"~"&amp;G115</f>
        <v/>
      </c>
      <c r="J115" t="inlineStr">
        <is>
          <t>MVS Sec.11 p.20</t>
        </is>
      </c>
    </row>
    <row r="116">
      <c r="B116" t="inlineStr">
        <is>
          <t>Shell Apartment Buildings</t>
        </is>
      </c>
      <c r="C116" t="inlineStr">
        <is>
          <t>596</t>
        </is>
      </c>
      <c r="D116" t="inlineStr">
        <is>
          <t>11</t>
        </is>
      </c>
      <c r="E116" t="inlineStr">
        <is>
          <t>20</t>
        </is>
      </c>
      <c r="F116" t="inlineStr">
        <is>
          <t>B</t>
        </is>
      </c>
      <c r="G116" t="inlineStr">
        <is>
          <t>Good</t>
        </is>
      </c>
      <c r="H116" t="n">
        <v>132</v>
      </c>
      <c r="I116">
        <f>B116&amp;"~"&amp;F116&amp;"~"&amp;G116</f>
        <v/>
      </c>
      <c r="J116" t="inlineStr">
        <is>
          <t>MVS Sec.11 p.20</t>
        </is>
      </c>
    </row>
    <row r="117">
      <c r="B117" t="inlineStr">
        <is>
          <t>Shell Apartment Buildings</t>
        </is>
      </c>
      <c r="C117" t="inlineStr">
        <is>
          <t>596</t>
        </is>
      </c>
      <c r="D117" t="inlineStr">
        <is>
          <t>11</t>
        </is>
      </c>
      <c r="E117" t="inlineStr">
        <is>
          <t>20</t>
        </is>
      </c>
      <c r="F117" t="inlineStr">
        <is>
          <t>B</t>
        </is>
      </c>
      <c r="G117" t="inlineStr">
        <is>
          <t>Average</t>
        </is>
      </c>
      <c r="H117" t="n">
        <v>105</v>
      </c>
      <c r="I117">
        <f>B117&amp;"~"&amp;F117&amp;"~"&amp;G117</f>
        <v/>
      </c>
      <c r="J117" t="inlineStr">
        <is>
          <t>MVS Sec.11 p.20</t>
        </is>
      </c>
    </row>
    <row r="118">
      <c r="B118" t="inlineStr">
        <is>
          <t>Shell Apartment Buildings</t>
        </is>
      </c>
      <c r="C118" t="inlineStr">
        <is>
          <t>596</t>
        </is>
      </c>
      <c r="D118" t="inlineStr">
        <is>
          <t>11</t>
        </is>
      </c>
      <c r="E118" t="inlineStr">
        <is>
          <t>20</t>
        </is>
      </c>
      <c r="F118" t="inlineStr">
        <is>
          <t>B</t>
        </is>
      </c>
      <c r="G118" t="inlineStr">
        <is>
          <t>Low Cost</t>
        </is>
      </c>
      <c r="H118" t="n">
        <v>82.5</v>
      </c>
      <c r="I118">
        <f>B118&amp;"~"&amp;F118&amp;"~"&amp;G118</f>
        <v/>
      </c>
      <c r="J118" t="inlineStr">
        <is>
          <t>MVS Sec.11 p.20</t>
        </is>
      </c>
    </row>
    <row r="119">
      <c r="B119" t="inlineStr">
        <is>
          <t>Shell Apartment Buildings</t>
        </is>
      </c>
      <c r="C119" t="inlineStr">
        <is>
          <t>596</t>
        </is>
      </c>
      <c r="D119" t="inlineStr">
        <is>
          <t>11</t>
        </is>
      </c>
      <c r="E119" t="inlineStr">
        <is>
          <t>21</t>
        </is>
      </c>
      <c r="F119" t="inlineStr">
        <is>
          <t>C</t>
        </is>
      </c>
      <c r="G119" t="inlineStr">
        <is>
          <t>Good</t>
        </is>
      </c>
      <c r="H119" t="n">
        <v>109</v>
      </c>
      <c r="I119">
        <f>B119&amp;"~"&amp;F119&amp;"~"&amp;G119</f>
        <v/>
      </c>
      <c r="J119" t="inlineStr">
        <is>
          <t>MVS Sec.11 p.21</t>
        </is>
      </c>
    </row>
    <row r="120">
      <c r="B120" t="inlineStr">
        <is>
          <t>Shell Apartment Buildings</t>
        </is>
      </c>
      <c r="C120" t="inlineStr">
        <is>
          <t>596</t>
        </is>
      </c>
      <c r="D120" t="inlineStr">
        <is>
          <t>11</t>
        </is>
      </c>
      <c r="E120" t="inlineStr">
        <is>
          <t>21</t>
        </is>
      </c>
      <c r="F120" t="inlineStr">
        <is>
          <t>C</t>
        </is>
      </c>
      <c r="G120" t="inlineStr">
        <is>
          <t>Average</t>
        </is>
      </c>
      <c r="H120" t="n">
        <v>85.5</v>
      </c>
      <c r="I120">
        <f>B120&amp;"~"&amp;F120&amp;"~"&amp;G120</f>
        <v/>
      </c>
      <c r="J120" t="inlineStr">
        <is>
          <t>MVS Sec.11 p.21</t>
        </is>
      </c>
    </row>
    <row r="121">
      <c r="B121" t="inlineStr">
        <is>
          <t>Shell Apartment Buildings</t>
        </is>
      </c>
      <c r="C121" t="inlineStr">
        <is>
          <t>596</t>
        </is>
      </c>
      <c r="D121" t="inlineStr">
        <is>
          <t>11</t>
        </is>
      </c>
      <c r="E121" t="inlineStr">
        <is>
          <t>21</t>
        </is>
      </c>
      <c r="F121" t="inlineStr">
        <is>
          <t>C</t>
        </is>
      </c>
      <c r="G121" t="inlineStr">
        <is>
          <t>Low Cost</t>
        </is>
      </c>
      <c r="H121" t="n">
        <v>63.5</v>
      </c>
      <c r="I121">
        <f>B121&amp;"~"&amp;F121&amp;"~"&amp;G121</f>
        <v/>
      </c>
      <c r="J121" t="inlineStr">
        <is>
          <t>MVS Sec.11 p.21</t>
        </is>
      </c>
    </row>
    <row r="122">
      <c r="B122" t="inlineStr">
        <is>
          <t>Shell Apartment Buildings</t>
        </is>
      </c>
      <c r="C122" t="inlineStr">
        <is>
          <t>596</t>
        </is>
      </c>
      <c r="D122" t="inlineStr">
        <is>
          <t>11</t>
        </is>
      </c>
      <c r="E122" t="inlineStr">
        <is>
          <t>21</t>
        </is>
      </c>
      <c r="F122" t="inlineStr">
        <is>
          <t>DMASVEN</t>
        </is>
      </c>
      <c r="G122" t="inlineStr">
        <is>
          <t>Good</t>
        </is>
      </c>
      <c r="H122" t="n">
        <v>103</v>
      </c>
      <c r="I122">
        <f>B122&amp;"~"&amp;F122&amp;"~"&amp;G122</f>
        <v/>
      </c>
      <c r="J122" t="inlineStr">
        <is>
          <t>MVS Sec.11 p.21</t>
        </is>
      </c>
    </row>
    <row r="123">
      <c r="B123" t="inlineStr">
        <is>
          <t>Shell Apartment Buildings</t>
        </is>
      </c>
      <c r="C123" t="inlineStr">
        <is>
          <t>596</t>
        </is>
      </c>
      <c r="D123" t="inlineStr">
        <is>
          <t>11</t>
        </is>
      </c>
      <c r="E123" t="inlineStr">
        <is>
          <t>21</t>
        </is>
      </c>
      <c r="F123" t="inlineStr">
        <is>
          <t>DMASVEN</t>
        </is>
      </c>
      <c r="G123" t="inlineStr">
        <is>
          <t>Average</t>
        </is>
      </c>
      <c r="H123" t="n">
        <v>80.5</v>
      </c>
      <c r="I123">
        <f>B123&amp;"~"&amp;F123&amp;"~"&amp;G123</f>
        <v/>
      </c>
      <c r="J123" t="inlineStr">
        <is>
          <t>MVS Sec.11 p.21</t>
        </is>
      </c>
    </row>
    <row r="124">
      <c r="B124" t="inlineStr">
        <is>
          <t>Shell Apartment Buildings</t>
        </is>
      </c>
      <c r="C124" t="inlineStr">
        <is>
          <t>596</t>
        </is>
      </c>
      <c r="D124" t="inlineStr">
        <is>
          <t>11</t>
        </is>
      </c>
      <c r="E124" t="inlineStr">
        <is>
          <t>21</t>
        </is>
      </c>
      <c r="F124" t="inlineStr">
        <is>
          <t>D</t>
        </is>
      </c>
      <c r="G124" t="inlineStr">
        <is>
          <t>Good</t>
        </is>
      </c>
      <c r="H124" t="n">
        <v>100</v>
      </c>
      <c r="I124">
        <f>B124&amp;"~"&amp;F124&amp;"~"&amp;G124</f>
        <v/>
      </c>
      <c r="J124" t="inlineStr">
        <is>
          <t>MVS Sec.11 p.21</t>
        </is>
      </c>
    </row>
    <row r="125">
      <c r="B125" t="inlineStr">
        <is>
          <t>Shell Apartment Buildings</t>
        </is>
      </c>
      <c r="C125" t="inlineStr">
        <is>
          <t>596</t>
        </is>
      </c>
      <c r="D125" t="inlineStr">
        <is>
          <t>11</t>
        </is>
      </c>
      <c r="E125" t="inlineStr">
        <is>
          <t>21</t>
        </is>
      </c>
      <c r="F125" t="inlineStr">
        <is>
          <t>D</t>
        </is>
      </c>
      <c r="G125" t="inlineStr">
        <is>
          <t>Average</t>
        </is>
      </c>
      <c r="H125" t="n">
        <v>78</v>
      </c>
      <c r="I125">
        <f>B125&amp;"~"&amp;F125&amp;"~"&amp;G125</f>
        <v/>
      </c>
      <c r="J125" t="inlineStr">
        <is>
          <t>MVS Sec.11 p.21</t>
        </is>
      </c>
    </row>
    <row r="126">
      <c r="B126" t="inlineStr">
        <is>
          <t>Shell Apartment Buildings</t>
        </is>
      </c>
      <c r="C126" t="inlineStr">
        <is>
          <t>596</t>
        </is>
      </c>
      <c r="D126" t="inlineStr">
        <is>
          <t>11</t>
        </is>
      </c>
      <c r="E126" t="inlineStr">
        <is>
          <t>21</t>
        </is>
      </c>
      <c r="F126" t="inlineStr">
        <is>
          <t>D</t>
        </is>
      </c>
      <c r="G126" t="inlineStr">
        <is>
          <t>Low Cost</t>
        </is>
      </c>
      <c r="H126" t="n">
        <v>57.5</v>
      </c>
      <c r="I126">
        <f>B126&amp;"~"&amp;F126&amp;"~"&amp;G126</f>
        <v/>
      </c>
      <c r="J126" t="inlineStr">
        <is>
          <t>MVS Sec.11 p.21</t>
        </is>
      </c>
    </row>
    <row r="127">
      <c r="B127" t="inlineStr">
        <is>
          <t>Shell Apartment Buildings</t>
        </is>
      </c>
      <c r="C127" t="inlineStr">
        <is>
          <t>596</t>
        </is>
      </c>
      <c r="D127" t="inlineStr">
        <is>
          <t>11</t>
        </is>
      </c>
      <c r="E127" t="inlineStr">
        <is>
          <t>21</t>
        </is>
      </c>
      <c r="F127" t="inlineStr">
        <is>
          <t>S</t>
        </is>
      </c>
      <c r="G127" t="inlineStr">
        <is>
          <t>Good</t>
        </is>
      </c>
      <c r="H127" t="n">
        <v>95.5</v>
      </c>
      <c r="I127">
        <f>B127&amp;"~"&amp;F127&amp;"~"&amp;G127</f>
        <v/>
      </c>
      <c r="J127" t="inlineStr">
        <is>
          <t>MVS Sec.11 p.21</t>
        </is>
      </c>
    </row>
    <row r="128">
      <c r="B128" t="inlineStr">
        <is>
          <t>Shell Apartment Buildings</t>
        </is>
      </c>
      <c r="C128" t="inlineStr">
        <is>
          <t>596</t>
        </is>
      </c>
      <c r="D128" t="inlineStr">
        <is>
          <t>11</t>
        </is>
      </c>
      <c r="E128" t="inlineStr">
        <is>
          <t>21</t>
        </is>
      </c>
      <c r="F128" t="inlineStr">
        <is>
          <t>S</t>
        </is>
      </c>
      <c r="G128" t="inlineStr">
        <is>
          <t>Average</t>
        </is>
      </c>
      <c r="H128" t="n">
        <v>74.5</v>
      </c>
      <c r="I128">
        <f>B128&amp;"~"&amp;F128&amp;"~"&amp;G128</f>
        <v/>
      </c>
      <c r="J128" t="inlineStr">
        <is>
          <t>MVS Sec.11 p.21</t>
        </is>
      </c>
    </row>
    <row r="129">
      <c r="B129" t="inlineStr">
        <is>
          <t>Hotels, Limited Service</t>
        </is>
      </c>
      <c r="C129" t="inlineStr">
        <is>
          <t>595</t>
        </is>
      </c>
      <c r="D129" t="inlineStr">
        <is>
          <t>11</t>
        </is>
      </c>
      <c r="E129" t="inlineStr">
        <is>
          <t>22</t>
        </is>
      </c>
      <c r="F129" t="inlineStr">
        <is>
          <t>A</t>
        </is>
      </c>
      <c r="G129" t="inlineStr">
        <is>
          <t>Excellent</t>
        </is>
      </c>
      <c r="H129" t="n">
        <v>271</v>
      </c>
      <c r="I129">
        <f>B129&amp;"~"&amp;F129&amp;"~"&amp;G129</f>
        <v/>
      </c>
      <c r="J129" t="inlineStr">
        <is>
          <t>MVS Sec.11 p.22</t>
        </is>
      </c>
    </row>
    <row r="130">
      <c r="B130" t="inlineStr">
        <is>
          <t>Hotels, Limited Service</t>
        </is>
      </c>
      <c r="C130" t="inlineStr">
        <is>
          <t>595</t>
        </is>
      </c>
      <c r="D130" t="inlineStr">
        <is>
          <t>11</t>
        </is>
      </c>
      <c r="E130" t="inlineStr">
        <is>
          <t>22</t>
        </is>
      </c>
      <c r="F130" t="inlineStr">
        <is>
          <t>A</t>
        </is>
      </c>
      <c r="G130" t="inlineStr">
        <is>
          <t>Good</t>
        </is>
      </c>
      <c r="H130" t="n">
        <v>228</v>
      </c>
      <c r="I130">
        <f>B130&amp;"~"&amp;F130&amp;"~"&amp;G130</f>
        <v/>
      </c>
      <c r="J130" t="inlineStr">
        <is>
          <t>MVS Sec.11 p.22</t>
        </is>
      </c>
    </row>
    <row r="131">
      <c r="B131" t="inlineStr">
        <is>
          <t>Hotels, Limited Service</t>
        </is>
      </c>
      <c r="C131" t="inlineStr">
        <is>
          <t>595</t>
        </is>
      </c>
      <c r="D131" t="inlineStr">
        <is>
          <t>11</t>
        </is>
      </c>
      <c r="E131" t="inlineStr">
        <is>
          <t>22</t>
        </is>
      </c>
      <c r="F131" t="inlineStr">
        <is>
          <t>A</t>
        </is>
      </c>
      <c r="G131" t="inlineStr">
        <is>
          <t>Average</t>
        </is>
      </c>
      <c r="H131" t="n">
        <v>197</v>
      </c>
      <c r="I131">
        <f>B131&amp;"~"&amp;F131&amp;"~"&amp;G131</f>
        <v/>
      </c>
      <c r="J131" t="inlineStr">
        <is>
          <t>MVS Sec.11 p.22</t>
        </is>
      </c>
    </row>
    <row r="132">
      <c r="B132" t="inlineStr">
        <is>
          <t>Hotels, Limited Service</t>
        </is>
      </c>
      <c r="C132" t="inlineStr">
        <is>
          <t>595</t>
        </is>
      </c>
      <c r="D132" t="inlineStr">
        <is>
          <t>11</t>
        </is>
      </c>
      <c r="E132" t="inlineStr">
        <is>
          <t>22</t>
        </is>
      </c>
      <c r="F132" t="inlineStr">
        <is>
          <t>A</t>
        </is>
      </c>
      <c r="G132" t="inlineStr">
        <is>
          <t>Low Cost</t>
        </is>
      </c>
      <c r="H132" t="n">
        <v>165</v>
      </c>
      <c r="I132">
        <f>B132&amp;"~"&amp;F132&amp;"~"&amp;G132</f>
        <v/>
      </c>
      <c r="J132" t="inlineStr">
        <is>
          <t>MVS Sec.11 p.22</t>
        </is>
      </c>
    </row>
    <row r="133">
      <c r="B133" t="inlineStr">
        <is>
          <t>Hotels, Limited Service</t>
        </is>
      </c>
      <c r="C133" t="inlineStr">
        <is>
          <t>595</t>
        </is>
      </c>
      <c r="D133" t="inlineStr">
        <is>
          <t>11</t>
        </is>
      </c>
      <c r="E133" t="inlineStr">
        <is>
          <t>22</t>
        </is>
      </c>
      <c r="F133" t="inlineStr">
        <is>
          <t>B</t>
        </is>
      </c>
      <c r="G133" t="inlineStr">
        <is>
          <t>Excellent</t>
        </is>
      </c>
      <c r="H133" t="n">
        <v>245</v>
      </c>
      <c r="I133">
        <f>B133&amp;"~"&amp;F133&amp;"~"&amp;G133</f>
        <v/>
      </c>
      <c r="J133" t="inlineStr">
        <is>
          <t>MVS Sec.11 p.22</t>
        </is>
      </c>
    </row>
    <row r="134">
      <c r="B134" t="inlineStr">
        <is>
          <t>Hotels, Limited Service</t>
        </is>
      </c>
      <c r="C134" t="inlineStr">
        <is>
          <t>595</t>
        </is>
      </c>
      <c r="D134" t="inlineStr">
        <is>
          <t>11</t>
        </is>
      </c>
      <c r="E134" t="inlineStr">
        <is>
          <t>22</t>
        </is>
      </c>
      <c r="F134" t="inlineStr">
        <is>
          <t>B</t>
        </is>
      </c>
      <c r="G134" t="inlineStr">
        <is>
          <t>Good</t>
        </is>
      </c>
      <c r="H134" t="n">
        <v>205</v>
      </c>
      <c r="I134">
        <f>B134&amp;"~"&amp;F134&amp;"~"&amp;G134</f>
        <v/>
      </c>
      <c r="J134" t="inlineStr">
        <is>
          <t>MVS Sec.11 p.22</t>
        </is>
      </c>
    </row>
    <row r="135">
      <c r="B135" t="inlineStr">
        <is>
          <t>Hotels, Limited Service</t>
        </is>
      </c>
      <c r="C135" t="inlineStr">
        <is>
          <t>595</t>
        </is>
      </c>
      <c r="D135" t="inlineStr">
        <is>
          <t>11</t>
        </is>
      </c>
      <c r="E135" t="inlineStr">
        <is>
          <t>22</t>
        </is>
      </c>
      <c r="F135" t="inlineStr">
        <is>
          <t>B</t>
        </is>
      </c>
      <c r="G135" t="inlineStr">
        <is>
          <t>Average</t>
        </is>
      </c>
      <c r="H135" t="n">
        <v>177</v>
      </c>
      <c r="I135">
        <f>B135&amp;"~"&amp;F135&amp;"~"&amp;G135</f>
        <v/>
      </c>
      <c r="J135" t="inlineStr">
        <is>
          <t>MVS Sec.11 p.22</t>
        </is>
      </c>
    </row>
    <row r="136">
      <c r="B136" t="inlineStr">
        <is>
          <t>Hotels, Limited Service</t>
        </is>
      </c>
      <c r="C136" t="inlineStr">
        <is>
          <t>595</t>
        </is>
      </c>
      <c r="D136" t="inlineStr">
        <is>
          <t>11</t>
        </is>
      </c>
      <c r="E136" t="inlineStr">
        <is>
          <t>22</t>
        </is>
      </c>
      <c r="F136" t="inlineStr">
        <is>
          <t>B</t>
        </is>
      </c>
      <c r="G136" t="inlineStr">
        <is>
          <t>Low Cost</t>
        </is>
      </c>
      <c r="H136" t="n">
        <v>147</v>
      </c>
      <c r="I136">
        <f>B136&amp;"~"&amp;F136&amp;"~"&amp;G136</f>
        <v/>
      </c>
      <c r="J136" t="inlineStr">
        <is>
          <t>MVS Sec.11 p.22</t>
        </is>
      </c>
    </row>
    <row r="137">
      <c r="B137" t="inlineStr">
        <is>
          <t>Hotels, Limited Service</t>
        </is>
      </c>
      <c r="C137" t="inlineStr">
        <is>
          <t>595</t>
        </is>
      </c>
      <c r="D137" t="inlineStr">
        <is>
          <t>11</t>
        </is>
      </c>
      <c r="E137" t="inlineStr">
        <is>
          <t>22</t>
        </is>
      </c>
      <c r="F137" t="inlineStr">
        <is>
          <t>C</t>
        </is>
      </c>
      <c r="G137" t="inlineStr">
        <is>
          <t>Excellent</t>
        </is>
      </c>
      <c r="H137" t="n">
        <v>222</v>
      </c>
      <c r="I137">
        <f>B137&amp;"~"&amp;F137&amp;"~"&amp;G137</f>
        <v/>
      </c>
      <c r="J137" t="inlineStr">
        <is>
          <t>MVS Sec.11 p.22</t>
        </is>
      </c>
    </row>
    <row r="138">
      <c r="B138" t="inlineStr">
        <is>
          <t>Hotels, Limited Service</t>
        </is>
      </c>
      <c r="C138" t="inlineStr">
        <is>
          <t>595</t>
        </is>
      </c>
      <c r="D138" t="inlineStr">
        <is>
          <t>11</t>
        </is>
      </c>
      <c r="E138" t="inlineStr">
        <is>
          <t>22</t>
        </is>
      </c>
      <c r="F138" t="inlineStr">
        <is>
          <t>C</t>
        </is>
      </c>
      <c r="G138" t="inlineStr">
        <is>
          <t>Good</t>
        </is>
      </c>
      <c r="H138" t="n">
        <v>183</v>
      </c>
      <c r="I138">
        <f>B138&amp;"~"&amp;F138&amp;"~"&amp;G138</f>
        <v/>
      </c>
      <c r="J138" t="inlineStr">
        <is>
          <t>MVS Sec.11 p.22</t>
        </is>
      </c>
    </row>
    <row r="139">
      <c r="B139" t="inlineStr">
        <is>
          <t>Hotels, Limited Service</t>
        </is>
      </c>
      <c r="C139" t="inlineStr">
        <is>
          <t>595</t>
        </is>
      </c>
      <c r="D139" t="inlineStr">
        <is>
          <t>11</t>
        </is>
      </c>
      <c r="E139" t="inlineStr">
        <is>
          <t>22</t>
        </is>
      </c>
      <c r="F139" t="inlineStr">
        <is>
          <t>C</t>
        </is>
      </c>
      <c r="G139" t="inlineStr">
        <is>
          <t>Average</t>
        </is>
      </c>
      <c r="H139" t="n">
        <v>145</v>
      </c>
      <c r="I139">
        <f>B139&amp;"~"&amp;F139&amp;"~"&amp;G139</f>
        <v/>
      </c>
      <c r="J139" t="inlineStr">
        <is>
          <t>MVS Sec.11 p.22</t>
        </is>
      </c>
    </row>
    <row r="140">
      <c r="B140" t="inlineStr">
        <is>
          <t>Hotels, Limited Service</t>
        </is>
      </c>
      <c r="C140" t="inlineStr">
        <is>
          <t>595</t>
        </is>
      </c>
      <c r="D140" t="inlineStr">
        <is>
          <t>11</t>
        </is>
      </c>
      <c r="E140" t="inlineStr">
        <is>
          <t>22</t>
        </is>
      </c>
      <c r="F140" t="inlineStr">
        <is>
          <t>C</t>
        </is>
      </c>
      <c r="G140" t="inlineStr">
        <is>
          <t>Low Cost</t>
        </is>
      </c>
      <c r="H140" t="n">
        <v>121</v>
      </c>
      <c r="I140">
        <f>B140&amp;"~"&amp;F140&amp;"~"&amp;G140</f>
        <v/>
      </c>
      <c r="J140" t="inlineStr">
        <is>
          <t>MVS Sec.11 p.22</t>
        </is>
      </c>
    </row>
    <row r="141">
      <c r="B141" t="inlineStr">
        <is>
          <t>Hotels, Limited Service</t>
        </is>
      </c>
      <c r="C141" t="inlineStr">
        <is>
          <t>595</t>
        </is>
      </c>
      <c r="D141" t="inlineStr">
        <is>
          <t>11</t>
        </is>
      </c>
      <c r="E141" t="inlineStr">
        <is>
          <t>22</t>
        </is>
      </c>
      <c r="F141" t="inlineStr">
        <is>
          <t>D</t>
        </is>
      </c>
      <c r="G141" t="inlineStr">
        <is>
          <t>Good</t>
        </is>
      </c>
      <c r="H141" t="n">
        <v>174</v>
      </c>
      <c r="I141">
        <f>B141&amp;"~"&amp;F141&amp;"~"&amp;G141</f>
        <v/>
      </c>
      <c r="J141" t="inlineStr">
        <is>
          <t>MVS Sec.11 p.22</t>
        </is>
      </c>
    </row>
    <row r="142">
      <c r="B142" t="inlineStr">
        <is>
          <t>Hotels, Limited Service</t>
        </is>
      </c>
      <c r="C142" t="inlineStr">
        <is>
          <t>595</t>
        </is>
      </c>
      <c r="D142" t="inlineStr">
        <is>
          <t>11</t>
        </is>
      </c>
      <c r="E142" t="inlineStr">
        <is>
          <t>22</t>
        </is>
      </c>
      <c r="F142" t="inlineStr">
        <is>
          <t>D</t>
        </is>
      </c>
      <c r="G142" t="inlineStr">
        <is>
          <t>Average</t>
        </is>
      </c>
      <c r="H142" t="n">
        <v>137</v>
      </c>
      <c r="I142">
        <f>B142&amp;"~"&amp;F142&amp;"~"&amp;G142</f>
        <v/>
      </c>
      <c r="J142" t="inlineStr">
        <is>
          <t>MVS Sec.11 p.22</t>
        </is>
      </c>
    </row>
    <row r="143">
      <c r="B143" t="inlineStr">
        <is>
          <t>Hotels, Limited Service</t>
        </is>
      </c>
      <c r="C143" t="inlineStr">
        <is>
          <t>595</t>
        </is>
      </c>
      <c r="D143" t="inlineStr">
        <is>
          <t>11</t>
        </is>
      </c>
      <c r="E143" t="inlineStr">
        <is>
          <t>22</t>
        </is>
      </c>
      <c r="F143" t="inlineStr">
        <is>
          <t>D</t>
        </is>
      </c>
      <c r="G143" t="inlineStr">
        <is>
          <t>Low Cost</t>
        </is>
      </c>
      <c r="H143" t="n">
        <v>114</v>
      </c>
      <c r="I143">
        <f>B143&amp;"~"&amp;F143&amp;"~"&amp;G143</f>
        <v/>
      </c>
      <c r="J143" t="inlineStr">
        <is>
          <t>MVS Sec.11 p.22</t>
        </is>
      </c>
    </row>
    <row r="144">
      <c r="B144" t="inlineStr">
        <is>
          <t>Hotels, Limited Service</t>
        </is>
      </c>
      <c r="C144" t="inlineStr">
        <is>
          <t>595</t>
        </is>
      </c>
      <c r="D144" t="inlineStr">
        <is>
          <t>11</t>
        </is>
      </c>
      <c r="E144" t="inlineStr">
        <is>
          <t>22</t>
        </is>
      </c>
      <c r="F144" t="inlineStr">
        <is>
          <t>S</t>
        </is>
      </c>
      <c r="G144" t="inlineStr">
        <is>
          <t>Average</t>
        </is>
      </c>
      <c r="H144" t="n">
        <v>135</v>
      </c>
      <c r="I144">
        <f>B144&amp;"~"&amp;F144&amp;"~"&amp;G144</f>
        <v/>
      </c>
      <c r="J144" t="inlineStr">
        <is>
          <t>MVS Sec.11 p.22</t>
        </is>
      </c>
    </row>
    <row r="145">
      <c r="B145" t="inlineStr">
        <is>
          <t>Shell Hotels: Limited Service Buildings</t>
        </is>
      </c>
      <c r="C145" t="inlineStr">
        <is>
          <t>779</t>
        </is>
      </c>
      <c r="D145" t="inlineStr">
        <is>
          <t>11</t>
        </is>
      </c>
      <c r="E145" t="inlineStr">
        <is>
          <t>23</t>
        </is>
      </c>
      <c r="F145" t="inlineStr">
        <is>
          <t>A</t>
        </is>
      </c>
      <c r="G145" t="inlineStr">
        <is>
          <t>Excellent</t>
        </is>
      </c>
      <c r="H145" t="n">
        <v>162</v>
      </c>
      <c r="I145">
        <f>B145&amp;"~"&amp;F145&amp;"~"&amp;G145</f>
        <v/>
      </c>
      <c r="J145" t="inlineStr">
        <is>
          <t>MVS Sec.11 p.23</t>
        </is>
      </c>
    </row>
    <row r="146">
      <c r="B146" t="inlineStr">
        <is>
          <t>Shell Hotels: Limited Service Buildings</t>
        </is>
      </c>
      <c r="C146" t="inlineStr">
        <is>
          <t>779</t>
        </is>
      </c>
      <c r="D146" t="inlineStr">
        <is>
          <t>11</t>
        </is>
      </c>
      <c r="E146" t="inlineStr">
        <is>
          <t>23</t>
        </is>
      </c>
      <c r="F146" t="inlineStr">
        <is>
          <t>A</t>
        </is>
      </c>
      <c r="G146" t="inlineStr">
        <is>
          <t>Good</t>
        </is>
      </c>
      <c r="H146" t="n">
        <v>141</v>
      </c>
      <c r="I146">
        <f>B146&amp;"~"&amp;F146&amp;"~"&amp;G146</f>
        <v/>
      </c>
      <c r="J146" t="inlineStr">
        <is>
          <t>MVS Sec.11 p.23</t>
        </is>
      </c>
    </row>
    <row r="147">
      <c r="B147" t="inlineStr">
        <is>
          <t>Shell Hotels: Limited Service Buildings</t>
        </is>
      </c>
      <c r="C147" t="inlineStr">
        <is>
          <t>779</t>
        </is>
      </c>
      <c r="D147" t="inlineStr">
        <is>
          <t>11</t>
        </is>
      </c>
      <c r="E147" t="inlineStr">
        <is>
          <t>23</t>
        </is>
      </c>
      <c r="F147" t="inlineStr">
        <is>
          <t>A</t>
        </is>
      </c>
      <c r="G147" t="inlineStr">
        <is>
          <t>Average</t>
        </is>
      </c>
      <c r="H147" t="n">
        <v>123</v>
      </c>
      <c r="I147">
        <f>B147&amp;"~"&amp;F147&amp;"~"&amp;G147</f>
        <v/>
      </c>
      <c r="J147" t="inlineStr">
        <is>
          <t>MVS Sec.11 p.23</t>
        </is>
      </c>
    </row>
    <row r="148">
      <c r="B148" t="inlineStr">
        <is>
          <t>Shell Hotels: Limited Service Buildings</t>
        </is>
      </c>
      <c r="C148" t="inlineStr">
        <is>
          <t>779</t>
        </is>
      </c>
      <c r="D148" t="inlineStr">
        <is>
          <t>11</t>
        </is>
      </c>
      <c r="E148" t="inlineStr">
        <is>
          <t>23</t>
        </is>
      </c>
      <c r="F148" t="inlineStr">
        <is>
          <t>A</t>
        </is>
      </c>
      <c r="G148" t="inlineStr">
        <is>
          <t>Low Cost</t>
        </is>
      </c>
      <c r="H148" t="n">
        <v>107</v>
      </c>
      <c r="I148">
        <f>B148&amp;"~"&amp;F148&amp;"~"&amp;G148</f>
        <v/>
      </c>
      <c r="J148" t="inlineStr">
        <is>
          <t>MVS Sec.11 p.23</t>
        </is>
      </c>
    </row>
    <row r="149">
      <c r="B149" t="inlineStr">
        <is>
          <t>Shell Hotels: Limited Service Buildings</t>
        </is>
      </c>
      <c r="C149" t="inlineStr">
        <is>
          <t>779</t>
        </is>
      </c>
      <c r="D149" t="inlineStr">
        <is>
          <t>11</t>
        </is>
      </c>
      <c r="E149" t="inlineStr">
        <is>
          <t>23</t>
        </is>
      </c>
      <c r="F149" t="inlineStr">
        <is>
          <t>B</t>
        </is>
      </c>
      <c r="G149" t="inlineStr">
        <is>
          <t>Excellent</t>
        </is>
      </c>
      <c r="H149" t="n">
        <v>144</v>
      </c>
      <c r="I149">
        <f>B149&amp;"~"&amp;F149&amp;"~"&amp;G149</f>
        <v/>
      </c>
      <c r="J149" t="inlineStr">
        <is>
          <t>MVS Sec.11 p.23</t>
        </is>
      </c>
    </row>
    <row r="150">
      <c r="B150" t="inlineStr">
        <is>
          <t>Shell Hotels: Limited Service Buildings</t>
        </is>
      </c>
      <c r="C150" t="inlineStr">
        <is>
          <t>779</t>
        </is>
      </c>
      <c r="D150" t="inlineStr">
        <is>
          <t>11</t>
        </is>
      </c>
      <c r="E150" t="inlineStr">
        <is>
          <t>23</t>
        </is>
      </c>
      <c r="F150" t="inlineStr">
        <is>
          <t>B</t>
        </is>
      </c>
      <c r="G150" t="inlineStr">
        <is>
          <t>Good</t>
        </is>
      </c>
      <c r="H150" t="n">
        <v>124</v>
      </c>
      <c r="I150">
        <f>B150&amp;"~"&amp;F150&amp;"~"&amp;G150</f>
        <v/>
      </c>
      <c r="J150" t="inlineStr">
        <is>
          <t>MVS Sec.11 p.23</t>
        </is>
      </c>
    </row>
    <row r="151">
      <c r="B151" t="inlineStr">
        <is>
          <t>Shell Hotels: Limited Service Buildings</t>
        </is>
      </c>
      <c r="C151" t="inlineStr">
        <is>
          <t>779</t>
        </is>
      </c>
      <c r="D151" t="inlineStr">
        <is>
          <t>11</t>
        </is>
      </c>
      <c r="E151" t="inlineStr">
        <is>
          <t>23</t>
        </is>
      </c>
      <c r="F151" t="inlineStr">
        <is>
          <t>B</t>
        </is>
      </c>
      <c r="G151" t="inlineStr">
        <is>
          <t>Average</t>
        </is>
      </c>
      <c r="H151" t="n">
        <v>108</v>
      </c>
      <c r="I151">
        <f>B151&amp;"~"&amp;F151&amp;"~"&amp;G151</f>
        <v/>
      </c>
      <c r="J151" t="inlineStr">
        <is>
          <t>MVS Sec.11 p.23</t>
        </is>
      </c>
    </row>
    <row r="152">
      <c r="B152" t="inlineStr">
        <is>
          <t>Shell Hotels: Limited Service Buildings</t>
        </is>
      </c>
      <c r="C152" t="inlineStr">
        <is>
          <t>779</t>
        </is>
      </c>
      <c r="D152" t="inlineStr">
        <is>
          <t>11</t>
        </is>
      </c>
      <c r="E152" t="inlineStr">
        <is>
          <t>23</t>
        </is>
      </c>
      <c r="F152" t="inlineStr">
        <is>
          <t>B</t>
        </is>
      </c>
      <c r="G152" t="inlineStr">
        <is>
          <t>Low Cost</t>
        </is>
      </c>
      <c r="H152" t="n">
        <v>94</v>
      </c>
      <c r="I152">
        <f>B152&amp;"~"&amp;F152&amp;"~"&amp;G152</f>
        <v/>
      </c>
      <c r="J152" t="inlineStr">
        <is>
          <t>MVS Sec.11 p.23</t>
        </is>
      </c>
    </row>
    <row r="153">
      <c r="B153" t="inlineStr">
        <is>
          <t>Shell Hotels: Limited Service Buildings</t>
        </is>
      </c>
      <c r="C153" t="inlineStr">
        <is>
          <t>779</t>
        </is>
      </c>
      <c r="D153" t="inlineStr">
        <is>
          <t>11</t>
        </is>
      </c>
      <c r="E153" t="inlineStr">
        <is>
          <t>24</t>
        </is>
      </c>
      <c r="F153" t="inlineStr">
        <is>
          <t>C</t>
        </is>
      </c>
      <c r="G153" t="inlineStr">
        <is>
          <t>Excellent</t>
        </is>
      </c>
      <c r="H153" t="n">
        <v>138</v>
      </c>
      <c r="I153">
        <f>B153&amp;"~"&amp;F153&amp;"~"&amp;G153</f>
        <v/>
      </c>
      <c r="J153" t="inlineStr">
        <is>
          <t>MVS Sec.11 p.24</t>
        </is>
      </c>
    </row>
    <row r="154">
      <c r="B154" t="inlineStr">
        <is>
          <t>Shell Hotels: Limited Service Buildings</t>
        </is>
      </c>
      <c r="C154" t="inlineStr">
        <is>
          <t>779</t>
        </is>
      </c>
      <c r="D154" t="inlineStr">
        <is>
          <t>11</t>
        </is>
      </c>
      <c r="E154" t="inlineStr">
        <is>
          <t>24</t>
        </is>
      </c>
      <c r="F154" t="inlineStr">
        <is>
          <t>C</t>
        </is>
      </c>
      <c r="G154" t="inlineStr">
        <is>
          <t>Good</t>
        </is>
      </c>
      <c r="H154" t="n">
        <v>114</v>
      </c>
      <c r="I154">
        <f>B154&amp;"~"&amp;F154&amp;"~"&amp;G154</f>
        <v/>
      </c>
      <c r="J154" t="inlineStr">
        <is>
          <t>MVS Sec.11 p.24</t>
        </is>
      </c>
    </row>
    <row r="155">
      <c r="B155" t="inlineStr">
        <is>
          <t>Shell Hotels: Limited Service Buildings</t>
        </is>
      </c>
      <c r="C155" t="inlineStr">
        <is>
          <t>779</t>
        </is>
      </c>
      <c r="D155" t="inlineStr">
        <is>
          <t>11</t>
        </is>
      </c>
      <c r="E155" t="inlineStr">
        <is>
          <t>24</t>
        </is>
      </c>
      <c r="F155" t="inlineStr">
        <is>
          <t>C</t>
        </is>
      </c>
      <c r="G155" t="inlineStr">
        <is>
          <t>Average</t>
        </is>
      </c>
      <c r="H155" t="n">
        <v>93.5</v>
      </c>
      <c r="I155">
        <f>B155&amp;"~"&amp;F155&amp;"~"&amp;G155</f>
        <v/>
      </c>
      <c r="J155" t="inlineStr">
        <is>
          <t>MVS Sec.11 p.24</t>
        </is>
      </c>
    </row>
    <row r="156">
      <c r="B156" t="inlineStr">
        <is>
          <t>Shell Hotels: Limited Service Buildings</t>
        </is>
      </c>
      <c r="C156" t="inlineStr">
        <is>
          <t>779</t>
        </is>
      </c>
      <c r="D156" t="inlineStr">
        <is>
          <t>11</t>
        </is>
      </c>
      <c r="E156" t="inlineStr">
        <is>
          <t>24</t>
        </is>
      </c>
      <c r="F156" t="inlineStr">
        <is>
          <t>C</t>
        </is>
      </c>
      <c r="G156" t="inlineStr">
        <is>
          <t>Low Cost</t>
        </is>
      </c>
      <c r="H156" t="n">
        <v>77.5</v>
      </c>
      <c r="I156">
        <f>B156&amp;"~"&amp;F156&amp;"~"&amp;G156</f>
        <v/>
      </c>
      <c r="J156" t="inlineStr">
        <is>
          <t>MVS Sec.11 p.24</t>
        </is>
      </c>
    </row>
    <row r="157">
      <c r="B157" t="inlineStr">
        <is>
          <t>Shell Hotels: Limited Service Buildings</t>
        </is>
      </c>
      <c r="C157" t="inlineStr">
        <is>
          <t>779</t>
        </is>
      </c>
      <c r="D157" t="inlineStr">
        <is>
          <t>11</t>
        </is>
      </c>
      <c r="E157" t="inlineStr">
        <is>
          <t>24</t>
        </is>
      </c>
      <c r="F157" t="inlineStr">
        <is>
          <t>D</t>
        </is>
      </c>
      <c r="G157" t="inlineStr">
        <is>
          <t>Good</t>
        </is>
      </c>
      <c r="H157" t="n">
        <v>105</v>
      </c>
      <c r="I157">
        <f>B157&amp;"~"&amp;F157&amp;"~"&amp;G157</f>
        <v/>
      </c>
      <c r="J157" t="inlineStr">
        <is>
          <t>MVS Sec.11 p.24</t>
        </is>
      </c>
    </row>
    <row r="158">
      <c r="B158" t="inlineStr">
        <is>
          <t>Shell Hotels: Limited Service Buildings</t>
        </is>
      </c>
      <c r="C158" t="inlineStr">
        <is>
          <t>779</t>
        </is>
      </c>
      <c r="D158" t="inlineStr">
        <is>
          <t>11</t>
        </is>
      </c>
      <c r="E158" t="inlineStr">
        <is>
          <t>24</t>
        </is>
      </c>
      <c r="F158" t="inlineStr">
        <is>
          <t>D</t>
        </is>
      </c>
      <c r="G158" t="inlineStr">
        <is>
          <t>Average</t>
        </is>
      </c>
      <c r="H158" t="n">
        <v>86.5</v>
      </c>
      <c r="I158">
        <f>B158&amp;"~"&amp;F158&amp;"~"&amp;G158</f>
        <v/>
      </c>
      <c r="J158" t="inlineStr">
        <is>
          <t>MVS Sec.11 p.24</t>
        </is>
      </c>
    </row>
    <row r="159">
      <c r="B159" t="inlineStr">
        <is>
          <t>Shell Hotels: Limited Service Buildings</t>
        </is>
      </c>
      <c r="C159" t="inlineStr">
        <is>
          <t>779</t>
        </is>
      </c>
      <c r="D159" t="inlineStr">
        <is>
          <t>11</t>
        </is>
      </c>
      <c r="E159" t="inlineStr">
        <is>
          <t>24</t>
        </is>
      </c>
      <c r="F159" t="inlineStr">
        <is>
          <t>D</t>
        </is>
      </c>
      <c r="G159" t="inlineStr">
        <is>
          <t>Low Cost</t>
        </is>
      </c>
      <c r="H159" t="n">
        <v>71</v>
      </c>
      <c r="I159">
        <f>B159&amp;"~"&amp;F159&amp;"~"&amp;G159</f>
        <v/>
      </c>
      <c r="J159" t="inlineStr">
        <is>
          <t>MVS Sec.11 p.24</t>
        </is>
      </c>
    </row>
    <row r="160">
      <c r="B160" t="inlineStr">
        <is>
          <t>Shell Hotels: Limited Service Buildings</t>
        </is>
      </c>
      <c r="C160" t="inlineStr">
        <is>
          <t>779</t>
        </is>
      </c>
      <c r="D160" t="inlineStr">
        <is>
          <t>11</t>
        </is>
      </c>
      <c r="E160" t="inlineStr">
        <is>
          <t>24</t>
        </is>
      </c>
      <c r="F160" t="inlineStr">
        <is>
          <t>S</t>
        </is>
      </c>
      <c r="G160" t="inlineStr">
        <is>
          <t>Average</t>
        </is>
      </c>
      <c r="H160" t="n">
        <v>84.5</v>
      </c>
      <c r="I160">
        <f>B160&amp;"~"&amp;F160&amp;"~"&amp;G160</f>
        <v/>
      </c>
      <c r="J160" t="inlineStr">
        <is>
          <t>MVS Sec.11 p.24</t>
        </is>
      </c>
    </row>
    <row r="161">
      <c r="B161" t="inlineStr">
        <is>
          <t>Hotels, Full Service</t>
        </is>
      </c>
      <c r="C161" t="inlineStr">
        <is>
          <t>594</t>
        </is>
      </c>
      <c r="D161" t="inlineStr">
        <is>
          <t>11</t>
        </is>
      </c>
      <c r="E161" t="inlineStr">
        <is>
          <t>25</t>
        </is>
      </c>
      <c r="F161" t="inlineStr">
        <is>
          <t>A</t>
        </is>
      </c>
      <c r="G161" t="inlineStr">
        <is>
          <t>Excellent</t>
        </is>
      </c>
      <c r="H161" t="n">
        <v>380</v>
      </c>
      <c r="I161">
        <f>B161&amp;"~"&amp;F161&amp;"~"&amp;G161</f>
        <v/>
      </c>
      <c r="J161" t="inlineStr">
        <is>
          <t>MVS Sec.11 p.25</t>
        </is>
      </c>
    </row>
    <row r="162">
      <c r="B162" t="inlineStr">
        <is>
          <t>Hotels, Full Service</t>
        </is>
      </c>
      <c r="C162" t="inlineStr">
        <is>
          <t>594</t>
        </is>
      </c>
      <c r="D162" t="inlineStr">
        <is>
          <t>11</t>
        </is>
      </c>
      <c r="E162" t="inlineStr">
        <is>
          <t>25</t>
        </is>
      </c>
      <c r="F162" t="inlineStr">
        <is>
          <t>A</t>
        </is>
      </c>
      <c r="G162" t="inlineStr">
        <is>
          <t>Good</t>
        </is>
      </c>
      <c r="H162" t="n">
        <v>310</v>
      </c>
      <c r="I162">
        <f>B162&amp;"~"&amp;F162&amp;"~"&amp;G162</f>
        <v/>
      </c>
      <c r="J162" t="inlineStr">
        <is>
          <t>MVS Sec.11 p.25</t>
        </is>
      </c>
    </row>
    <row r="163">
      <c r="B163" t="inlineStr">
        <is>
          <t>Hotels, Full Service</t>
        </is>
      </c>
      <c r="C163" t="inlineStr">
        <is>
          <t>594</t>
        </is>
      </c>
      <c r="D163" t="inlineStr">
        <is>
          <t>11</t>
        </is>
      </c>
      <c r="E163" t="inlineStr">
        <is>
          <t>25</t>
        </is>
      </c>
      <c r="F163" t="inlineStr">
        <is>
          <t>A</t>
        </is>
      </c>
      <c r="G163" t="inlineStr">
        <is>
          <t>Average</t>
        </is>
      </c>
      <c r="H163" t="n">
        <v>244</v>
      </c>
      <c r="I163">
        <f>B163&amp;"~"&amp;F163&amp;"~"&amp;G163</f>
        <v/>
      </c>
      <c r="J163" t="inlineStr">
        <is>
          <t>MVS Sec.11 p.25</t>
        </is>
      </c>
    </row>
    <row r="164">
      <c r="B164" t="inlineStr">
        <is>
          <t>Hotels, Full Service</t>
        </is>
      </c>
      <c r="C164" t="inlineStr">
        <is>
          <t>594</t>
        </is>
      </c>
      <c r="D164" t="inlineStr">
        <is>
          <t>11</t>
        </is>
      </c>
      <c r="E164" t="inlineStr">
        <is>
          <t>25</t>
        </is>
      </c>
      <c r="F164" t="inlineStr">
        <is>
          <t>A</t>
        </is>
      </c>
      <c r="G164" t="inlineStr">
        <is>
          <t>Low Cost</t>
        </is>
      </c>
      <c r="H164" t="n">
        <v>194</v>
      </c>
      <c r="I164">
        <f>B164&amp;"~"&amp;F164&amp;"~"&amp;G164</f>
        <v/>
      </c>
      <c r="J164" t="inlineStr">
        <is>
          <t>MVS Sec.11 p.25</t>
        </is>
      </c>
    </row>
    <row r="165">
      <c r="B165" t="inlineStr">
        <is>
          <t>Hotels, Full Service</t>
        </is>
      </c>
      <c r="C165" t="inlineStr">
        <is>
          <t>594</t>
        </is>
      </c>
      <c r="D165" t="inlineStr">
        <is>
          <t>11</t>
        </is>
      </c>
      <c r="E165" t="inlineStr">
        <is>
          <t>25</t>
        </is>
      </c>
      <c r="F165" t="inlineStr">
        <is>
          <t>B</t>
        </is>
      </c>
      <c r="G165" t="inlineStr">
        <is>
          <t>Excellent</t>
        </is>
      </c>
      <c r="H165" t="n">
        <v>343</v>
      </c>
      <c r="I165">
        <f>B165&amp;"~"&amp;F165&amp;"~"&amp;G165</f>
        <v/>
      </c>
      <c r="J165" t="inlineStr">
        <is>
          <t>MVS Sec.11 p.25</t>
        </is>
      </c>
    </row>
    <row r="166">
      <c r="B166" t="inlineStr">
        <is>
          <t>Hotels, Full Service</t>
        </is>
      </c>
      <c r="C166" t="inlineStr">
        <is>
          <t>594</t>
        </is>
      </c>
      <c r="D166" t="inlineStr">
        <is>
          <t>11</t>
        </is>
      </c>
      <c r="E166" t="inlineStr">
        <is>
          <t>25</t>
        </is>
      </c>
      <c r="F166" t="inlineStr">
        <is>
          <t>B</t>
        </is>
      </c>
      <c r="G166" t="inlineStr">
        <is>
          <t>Good</t>
        </is>
      </c>
      <c r="H166" t="n">
        <v>280</v>
      </c>
      <c r="I166">
        <f>B166&amp;"~"&amp;F166&amp;"~"&amp;G166</f>
        <v/>
      </c>
      <c r="J166" t="inlineStr">
        <is>
          <t>MVS Sec.11 p.25</t>
        </is>
      </c>
    </row>
    <row r="167">
      <c r="B167" t="inlineStr">
        <is>
          <t>Hotels, Full Service</t>
        </is>
      </c>
      <c r="C167" t="inlineStr">
        <is>
          <t>594</t>
        </is>
      </c>
      <c r="D167" t="inlineStr">
        <is>
          <t>11</t>
        </is>
      </c>
      <c r="E167" t="inlineStr">
        <is>
          <t>25</t>
        </is>
      </c>
      <c r="F167" t="inlineStr">
        <is>
          <t>B</t>
        </is>
      </c>
      <c r="G167" t="inlineStr">
        <is>
          <t>Average</t>
        </is>
      </c>
      <c r="H167" t="n">
        <v>219</v>
      </c>
      <c r="I167">
        <f>B167&amp;"~"&amp;F167&amp;"~"&amp;G167</f>
        <v/>
      </c>
      <c r="J167" t="inlineStr">
        <is>
          <t>MVS Sec.11 p.25</t>
        </is>
      </c>
    </row>
    <row r="168">
      <c r="B168" t="inlineStr">
        <is>
          <t>Hotels, Full Service</t>
        </is>
      </c>
      <c r="C168" t="inlineStr">
        <is>
          <t>594</t>
        </is>
      </c>
      <c r="D168" t="inlineStr">
        <is>
          <t>11</t>
        </is>
      </c>
      <c r="E168" t="inlineStr">
        <is>
          <t>25</t>
        </is>
      </c>
      <c r="F168" t="inlineStr">
        <is>
          <t>B</t>
        </is>
      </c>
      <c r="G168" t="inlineStr">
        <is>
          <t>Low Cost</t>
        </is>
      </c>
      <c r="H168" t="n">
        <v>173</v>
      </c>
      <c r="I168">
        <f>B168&amp;"~"&amp;F168&amp;"~"&amp;G168</f>
        <v/>
      </c>
      <c r="J168" t="inlineStr">
        <is>
          <t>MVS Sec.11 p.25</t>
        </is>
      </c>
    </row>
    <row r="169">
      <c r="B169" t="inlineStr">
        <is>
          <t>Hotels, Full Service</t>
        </is>
      </c>
      <c r="C169" t="inlineStr">
        <is>
          <t>594</t>
        </is>
      </c>
      <c r="D169" t="inlineStr">
        <is>
          <t>11</t>
        </is>
      </c>
      <c r="E169" t="inlineStr">
        <is>
          <t>25</t>
        </is>
      </c>
      <c r="F169" t="inlineStr">
        <is>
          <t>C</t>
        </is>
      </c>
      <c r="G169" t="inlineStr">
        <is>
          <t>Excellent</t>
        </is>
      </c>
      <c r="H169" t="n">
        <v>281</v>
      </c>
      <c r="I169">
        <f>B169&amp;"~"&amp;F169&amp;"~"&amp;G169</f>
        <v/>
      </c>
      <c r="J169" t="inlineStr">
        <is>
          <t>MVS Sec.11 p.25</t>
        </is>
      </c>
    </row>
    <row r="170">
      <c r="B170" t="inlineStr">
        <is>
          <t>Hotels, Full Service</t>
        </is>
      </c>
      <c r="C170" t="inlineStr">
        <is>
          <t>594</t>
        </is>
      </c>
      <c r="D170" t="inlineStr">
        <is>
          <t>11</t>
        </is>
      </c>
      <c r="E170" t="inlineStr">
        <is>
          <t>25</t>
        </is>
      </c>
      <c r="F170" t="inlineStr">
        <is>
          <t>C</t>
        </is>
      </c>
      <c r="G170" t="inlineStr">
        <is>
          <t>Good</t>
        </is>
      </c>
      <c r="H170" t="n">
        <v>228</v>
      </c>
      <c r="I170">
        <f>B170&amp;"~"&amp;F170&amp;"~"&amp;G170</f>
        <v/>
      </c>
      <c r="J170" t="inlineStr">
        <is>
          <t>MVS Sec.11 p.25</t>
        </is>
      </c>
    </row>
    <row r="171">
      <c r="B171" t="inlineStr">
        <is>
          <t>Hotels, Full Service</t>
        </is>
      </c>
      <c r="C171" t="inlineStr">
        <is>
          <t>594</t>
        </is>
      </c>
      <c r="D171" t="inlineStr">
        <is>
          <t>11</t>
        </is>
      </c>
      <c r="E171" t="inlineStr">
        <is>
          <t>25</t>
        </is>
      </c>
      <c r="F171" t="inlineStr">
        <is>
          <t>C</t>
        </is>
      </c>
      <c r="G171" t="inlineStr">
        <is>
          <t>Average</t>
        </is>
      </c>
      <c r="H171" t="n">
        <v>191</v>
      </c>
      <c r="I171">
        <f>B171&amp;"~"&amp;F171&amp;"~"&amp;G171</f>
        <v/>
      </c>
      <c r="J171" t="inlineStr">
        <is>
          <t>MVS Sec.11 p.25</t>
        </is>
      </c>
    </row>
    <row r="172">
      <c r="B172" t="inlineStr">
        <is>
          <t>Hotels, Full Service</t>
        </is>
      </c>
      <c r="C172" t="inlineStr">
        <is>
          <t>594</t>
        </is>
      </c>
      <c r="D172" t="inlineStr">
        <is>
          <t>11</t>
        </is>
      </c>
      <c r="E172" t="inlineStr">
        <is>
          <t>25</t>
        </is>
      </c>
      <c r="F172" t="inlineStr">
        <is>
          <t>C</t>
        </is>
      </c>
      <c r="G172" t="inlineStr">
        <is>
          <t>Low Cost</t>
        </is>
      </c>
      <c r="H172" t="n">
        <v>154</v>
      </c>
      <c r="I172">
        <f>B172&amp;"~"&amp;F172&amp;"~"&amp;G172</f>
        <v/>
      </c>
      <c r="J172" t="inlineStr">
        <is>
          <t>MVS Sec.11 p.25</t>
        </is>
      </c>
    </row>
    <row r="173">
      <c r="B173" t="inlineStr">
        <is>
          <t>Hotels, Full Service</t>
        </is>
      </c>
      <c r="C173" t="inlineStr">
        <is>
          <t>594</t>
        </is>
      </c>
      <c r="D173" t="inlineStr">
        <is>
          <t>11</t>
        </is>
      </c>
      <c r="E173" t="inlineStr">
        <is>
          <t>25</t>
        </is>
      </c>
      <c r="F173" t="inlineStr">
        <is>
          <t>D</t>
        </is>
      </c>
      <c r="G173" t="inlineStr">
        <is>
          <t>Excellent</t>
        </is>
      </c>
      <c r="H173" t="n">
        <v>268</v>
      </c>
      <c r="I173">
        <f>B173&amp;"~"&amp;F173&amp;"~"&amp;G173</f>
        <v/>
      </c>
      <c r="J173" t="inlineStr">
        <is>
          <t>MVS Sec.11 p.25</t>
        </is>
      </c>
    </row>
    <row r="174">
      <c r="B174" t="inlineStr">
        <is>
          <t>Hotels, Full Service</t>
        </is>
      </c>
      <c r="C174" t="inlineStr">
        <is>
          <t>594</t>
        </is>
      </c>
      <c r="D174" t="inlineStr">
        <is>
          <t>11</t>
        </is>
      </c>
      <c r="E174" t="inlineStr">
        <is>
          <t>25</t>
        </is>
      </c>
      <c r="F174" t="inlineStr">
        <is>
          <t>D</t>
        </is>
      </c>
      <c r="G174" t="inlineStr">
        <is>
          <t>Good</t>
        </is>
      </c>
      <c r="H174" t="n">
        <v>216</v>
      </c>
      <c r="I174">
        <f>B174&amp;"~"&amp;F174&amp;"~"&amp;G174</f>
        <v/>
      </c>
      <c r="J174" t="inlineStr">
        <is>
          <t>MVS Sec.11 p.25</t>
        </is>
      </c>
    </row>
    <row r="175">
      <c r="B175" t="inlineStr">
        <is>
          <t>Hotels, Full Service</t>
        </is>
      </c>
      <c r="C175" t="inlineStr">
        <is>
          <t>594</t>
        </is>
      </c>
      <c r="D175" t="inlineStr">
        <is>
          <t>11</t>
        </is>
      </c>
      <c r="E175" t="inlineStr">
        <is>
          <t>25</t>
        </is>
      </c>
      <c r="F175" t="inlineStr">
        <is>
          <t>D</t>
        </is>
      </c>
      <c r="G175" t="inlineStr">
        <is>
          <t>Average</t>
        </is>
      </c>
      <c r="H175" t="n">
        <v>180</v>
      </c>
      <c r="I175">
        <f>B175&amp;"~"&amp;F175&amp;"~"&amp;G175</f>
        <v/>
      </c>
      <c r="J175" t="inlineStr">
        <is>
          <t>MVS Sec.11 p.25</t>
        </is>
      </c>
    </row>
    <row r="176">
      <c r="B176" t="inlineStr">
        <is>
          <t>Hotels, Full Service</t>
        </is>
      </c>
      <c r="C176" t="inlineStr">
        <is>
          <t>594</t>
        </is>
      </c>
      <c r="D176" t="inlineStr">
        <is>
          <t>11</t>
        </is>
      </c>
      <c r="E176" t="inlineStr">
        <is>
          <t>25</t>
        </is>
      </c>
      <c r="F176" t="inlineStr">
        <is>
          <t>D</t>
        </is>
      </c>
      <c r="G176" t="inlineStr">
        <is>
          <t>Low Cost</t>
        </is>
      </c>
      <c r="H176" t="n">
        <v>144</v>
      </c>
      <c r="I176">
        <f>B176&amp;"~"&amp;F176&amp;"~"&amp;G176</f>
        <v/>
      </c>
      <c r="J176" t="inlineStr">
        <is>
          <t>MVS Sec.11 p.25</t>
        </is>
      </c>
    </row>
    <row r="177">
      <c r="B177" t="inlineStr">
        <is>
          <t>Shell Hotels: Full Service Buildings</t>
        </is>
      </c>
      <c r="C177" t="inlineStr">
        <is>
          <t>778</t>
        </is>
      </c>
      <c r="D177" t="inlineStr">
        <is>
          <t>11</t>
        </is>
      </c>
      <c r="E177" t="inlineStr">
        <is>
          <t>26</t>
        </is>
      </c>
      <c r="F177" t="inlineStr">
        <is>
          <t>A</t>
        </is>
      </c>
      <c r="G177" t="inlineStr">
        <is>
          <t>Excellent</t>
        </is>
      </c>
      <c r="H177" t="n">
        <v>210</v>
      </c>
      <c r="I177">
        <f>B177&amp;"~"&amp;F177&amp;"~"&amp;G177</f>
        <v/>
      </c>
      <c r="J177" t="inlineStr">
        <is>
          <t>MVS Sec.11 p.26</t>
        </is>
      </c>
    </row>
    <row r="178">
      <c r="B178" t="inlineStr">
        <is>
          <t>Shell Hotels: Full Service Buildings</t>
        </is>
      </c>
      <c r="C178" t="inlineStr">
        <is>
          <t>778</t>
        </is>
      </c>
      <c r="D178" t="inlineStr">
        <is>
          <t>11</t>
        </is>
      </c>
      <c r="E178" t="inlineStr">
        <is>
          <t>26</t>
        </is>
      </c>
      <c r="F178" t="inlineStr">
        <is>
          <t>A</t>
        </is>
      </c>
      <c r="G178" t="inlineStr">
        <is>
          <t>Good</t>
        </is>
      </c>
      <c r="H178" t="n">
        <v>168</v>
      </c>
      <c r="I178">
        <f>B178&amp;"~"&amp;F178&amp;"~"&amp;G178</f>
        <v/>
      </c>
      <c r="J178" t="inlineStr">
        <is>
          <t>MVS Sec.11 p.26</t>
        </is>
      </c>
    </row>
    <row r="179">
      <c r="B179" t="inlineStr">
        <is>
          <t>Shell Hotels: Full Service Buildings</t>
        </is>
      </c>
      <c r="C179" t="inlineStr">
        <is>
          <t>778</t>
        </is>
      </c>
      <c r="D179" t="inlineStr">
        <is>
          <t>11</t>
        </is>
      </c>
      <c r="E179" t="inlineStr">
        <is>
          <t>26</t>
        </is>
      </c>
      <c r="F179" t="inlineStr">
        <is>
          <t>A</t>
        </is>
      </c>
      <c r="G179" t="inlineStr">
        <is>
          <t>Average</t>
        </is>
      </c>
      <c r="H179" t="n">
        <v>135</v>
      </c>
      <c r="I179">
        <f>B179&amp;"~"&amp;F179&amp;"~"&amp;G179</f>
        <v/>
      </c>
      <c r="J179" t="inlineStr">
        <is>
          <t>MVS Sec.11 p.26</t>
        </is>
      </c>
    </row>
    <row r="180">
      <c r="B180" t="inlineStr">
        <is>
          <t>Shell Hotels: Full Service Buildings</t>
        </is>
      </c>
      <c r="C180" t="inlineStr">
        <is>
          <t>778</t>
        </is>
      </c>
      <c r="D180" t="inlineStr">
        <is>
          <t>11</t>
        </is>
      </c>
      <c r="E180" t="inlineStr">
        <is>
          <t>26</t>
        </is>
      </c>
      <c r="F180" t="inlineStr">
        <is>
          <t>A</t>
        </is>
      </c>
      <c r="G180" t="inlineStr">
        <is>
          <t>Low Cost</t>
        </is>
      </c>
      <c r="H180" t="n">
        <v>108</v>
      </c>
      <c r="I180">
        <f>B180&amp;"~"&amp;F180&amp;"~"&amp;G180</f>
        <v/>
      </c>
      <c r="J180" t="inlineStr">
        <is>
          <t>MVS Sec.11 p.26</t>
        </is>
      </c>
    </row>
    <row r="181">
      <c r="B181" t="inlineStr">
        <is>
          <t>Shell Hotels: Full Service Buildings</t>
        </is>
      </c>
      <c r="C181" t="inlineStr">
        <is>
          <t>778</t>
        </is>
      </c>
      <c r="D181" t="inlineStr">
        <is>
          <t>11</t>
        </is>
      </c>
      <c r="E181" t="inlineStr">
        <is>
          <t>26</t>
        </is>
      </c>
      <c r="F181" t="inlineStr">
        <is>
          <t>B</t>
        </is>
      </c>
      <c r="G181" t="inlineStr">
        <is>
          <t>Excellent</t>
        </is>
      </c>
      <c r="H181" t="n">
        <v>186</v>
      </c>
      <c r="I181">
        <f>B181&amp;"~"&amp;F181&amp;"~"&amp;G181</f>
        <v/>
      </c>
      <c r="J181" t="inlineStr">
        <is>
          <t>MVS Sec.11 p.26</t>
        </is>
      </c>
    </row>
    <row r="182">
      <c r="B182" t="inlineStr">
        <is>
          <t>Shell Hotels: Full Service Buildings</t>
        </is>
      </c>
      <c r="C182" t="inlineStr">
        <is>
          <t>778</t>
        </is>
      </c>
      <c r="D182" t="inlineStr">
        <is>
          <t>11</t>
        </is>
      </c>
      <c r="E182" t="inlineStr">
        <is>
          <t>26</t>
        </is>
      </c>
      <c r="F182" t="inlineStr">
        <is>
          <t>B</t>
        </is>
      </c>
      <c r="G182" t="inlineStr">
        <is>
          <t>Good</t>
        </is>
      </c>
      <c r="H182" t="n">
        <v>148</v>
      </c>
      <c r="I182">
        <f>B182&amp;"~"&amp;F182&amp;"~"&amp;G182</f>
        <v/>
      </c>
      <c r="J182" t="inlineStr">
        <is>
          <t>MVS Sec.11 p.26</t>
        </is>
      </c>
    </row>
    <row r="183">
      <c r="B183" t="inlineStr">
        <is>
          <t>Shell Hotels: Full Service Buildings</t>
        </is>
      </c>
      <c r="C183" t="inlineStr">
        <is>
          <t>778</t>
        </is>
      </c>
      <c r="D183" t="inlineStr">
        <is>
          <t>11</t>
        </is>
      </c>
      <c r="E183" t="inlineStr">
        <is>
          <t>26</t>
        </is>
      </c>
      <c r="F183" t="inlineStr">
        <is>
          <t>B</t>
        </is>
      </c>
      <c r="G183" t="inlineStr">
        <is>
          <t>Average</t>
        </is>
      </c>
      <c r="H183" t="n">
        <v>118</v>
      </c>
      <c r="I183">
        <f>B183&amp;"~"&amp;F183&amp;"~"&amp;G183</f>
        <v/>
      </c>
      <c r="J183" t="inlineStr">
        <is>
          <t>MVS Sec.11 p.26</t>
        </is>
      </c>
    </row>
    <row r="184">
      <c r="B184" t="inlineStr">
        <is>
          <t>Shell Hotels: Full Service Buildings</t>
        </is>
      </c>
      <c r="C184" t="inlineStr">
        <is>
          <t>778</t>
        </is>
      </c>
      <c r="D184" t="inlineStr">
        <is>
          <t>11</t>
        </is>
      </c>
      <c r="E184" t="inlineStr">
        <is>
          <t>26</t>
        </is>
      </c>
      <c r="F184" t="inlineStr">
        <is>
          <t>B</t>
        </is>
      </c>
      <c r="G184" t="inlineStr">
        <is>
          <t>Low Cost</t>
        </is>
      </c>
      <c r="H184" t="n">
        <v>94.5</v>
      </c>
      <c r="I184">
        <f>B184&amp;"~"&amp;F184&amp;"~"&amp;G184</f>
        <v/>
      </c>
      <c r="J184" t="inlineStr">
        <is>
          <t>MVS Sec.11 p.26</t>
        </is>
      </c>
    </row>
    <row r="185">
      <c r="B185" t="inlineStr">
        <is>
          <t>Shell Hotels: Full Service Buildings</t>
        </is>
      </c>
      <c r="C185" t="inlineStr">
        <is>
          <t>778</t>
        </is>
      </c>
      <c r="D185" t="inlineStr">
        <is>
          <t>11</t>
        </is>
      </c>
      <c r="E185" t="inlineStr">
        <is>
          <t>27</t>
        </is>
      </c>
      <c r="F185" t="inlineStr">
        <is>
          <t>C</t>
        </is>
      </c>
      <c r="G185" t="inlineStr">
        <is>
          <t>Excellent</t>
        </is>
      </c>
      <c r="H185" t="n">
        <v>151</v>
      </c>
      <c r="I185">
        <f>B185&amp;"~"&amp;F185&amp;"~"&amp;G185</f>
        <v/>
      </c>
      <c r="J185" t="inlineStr">
        <is>
          <t>MVS Sec.11 p.27</t>
        </is>
      </c>
    </row>
    <row r="186">
      <c r="B186" t="inlineStr">
        <is>
          <t>Shell Hotels: Full Service Buildings</t>
        </is>
      </c>
      <c r="C186" t="inlineStr">
        <is>
          <t>778</t>
        </is>
      </c>
      <c r="D186" t="inlineStr">
        <is>
          <t>11</t>
        </is>
      </c>
      <c r="E186" t="inlineStr">
        <is>
          <t>27</t>
        </is>
      </c>
      <c r="F186" t="inlineStr">
        <is>
          <t>C</t>
        </is>
      </c>
      <c r="G186" t="inlineStr">
        <is>
          <t>Good</t>
        </is>
      </c>
      <c r="H186" t="n">
        <v>126</v>
      </c>
      <c r="I186">
        <f>B186&amp;"~"&amp;F186&amp;"~"&amp;G186</f>
        <v/>
      </c>
      <c r="J186" t="inlineStr">
        <is>
          <t>MVS Sec.11 p.27</t>
        </is>
      </c>
    </row>
    <row r="187">
      <c r="B187" t="inlineStr">
        <is>
          <t>Shell Hotels: Full Service Buildings</t>
        </is>
      </c>
      <c r="C187" t="inlineStr">
        <is>
          <t>778</t>
        </is>
      </c>
      <c r="D187" t="inlineStr">
        <is>
          <t>11</t>
        </is>
      </c>
      <c r="E187" t="inlineStr">
        <is>
          <t>27</t>
        </is>
      </c>
      <c r="F187" t="inlineStr">
        <is>
          <t>C</t>
        </is>
      </c>
      <c r="G187" t="inlineStr">
        <is>
          <t>Average</t>
        </is>
      </c>
      <c r="H187" t="n">
        <v>106</v>
      </c>
      <c r="I187">
        <f>B187&amp;"~"&amp;F187&amp;"~"&amp;G187</f>
        <v/>
      </c>
      <c r="J187" t="inlineStr">
        <is>
          <t>MVS Sec.11 p.27</t>
        </is>
      </c>
    </row>
    <row r="188">
      <c r="B188" t="inlineStr">
        <is>
          <t>Shell Hotels: Full Service Buildings</t>
        </is>
      </c>
      <c r="C188" t="inlineStr">
        <is>
          <t>778</t>
        </is>
      </c>
      <c r="D188" t="inlineStr">
        <is>
          <t>11</t>
        </is>
      </c>
      <c r="E188" t="inlineStr">
        <is>
          <t>27</t>
        </is>
      </c>
      <c r="F188" t="inlineStr">
        <is>
          <t>C</t>
        </is>
      </c>
      <c r="G188" t="inlineStr">
        <is>
          <t>Low Cost</t>
        </is>
      </c>
      <c r="H188" t="n">
        <v>89</v>
      </c>
      <c r="I188">
        <f>B188&amp;"~"&amp;F188&amp;"~"&amp;G188</f>
        <v/>
      </c>
      <c r="J188" t="inlineStr">
        <is>
          <t>MVS Sec.11 p.27</t>
        </is>
      </c>
    </row>
    <row r="189">
      <c r="B189" t="inlineStr">
        <is>
          <t>Shell Hotels: Full Service Buildings</t>
        </is>
      </c>
      <c r="C189" t="inlineStr">
        <is>
          <t>778</t>
        </is>
      </c>
      <c r="D189" t="inlineStr">
        <is>
          <t>11</t>
        </is>
      </c>
      <c r="E189" t="inlineStr">
        <is>
          <t>27</t>
        </is>
      </c>
      <c r="F189" t="inlineStr">
        <is>
          <t>D</t>
        </is>
      </c>
      <c r="G189" t="inlineStr">
        <is>
          <t>Excellent</t>
        </is>
      </c>
      <c r="H189" t="n">
        <v>139</v>
      </c>
      <c r="I189">
        <f>B189&amp;"~"&amp;F189&amp;"~"&amp;G189</f>
        <v/>
      </c>
      <c r="J189" t="inlineStr">
        <is>
          <t>MVS Sec.11 p.27</t>
        </is>
      </c>
    </row>
    <row r="190">
      <c r="B190" t="inlineStr">
        <is>
          <t>Shell Hotels: Full Service Buildings</t>
        </is>
      </c>
      <c r="C190" t="inlineStr">
        <is>
          <t>778</t>
        </is>
      </c>
      <c r="D190" t="inlineStr">
        <is>
          <t>11</t>
        </is>
      </c>
      <c r="E190" t="inlineStr">
        <is>
          <t>27</t>
        </is>
      </c>
      <c r="F190" t="inlineStr">
        <is>
          <t>D</t>
        </is>
      </c>
      <c r="G190" t="inlineStr">
        <is>
          <t>Good</t>
        </is>
      </c>
      <c r="H190" t="n">
        <v>115</v>
      </c>
      <c r="I190">
        <f>B190&amp;"~"&amp;F190&amp;"~"&amp;G190</f>
        <v/>
      </c>
      <c r="J190" t="inlineStr">
        <is>
          <t>MVS Sec.11 p.27</t>
        </is>
      </c>
    </row>
    <row r="191">
      <c r="B191" t="inlineStr">
        <is>
          <t>Shell Hotels: Full Service Buildings</t>
        </is>
      </c>
      <c r="C191" t="inlineStr">
        <is>
          <t>778</t>
        </is>
      </c>
      <c r="D191" t="inlineStr">
        <is>
          <t>11</t>
        </is>
      </c>
      <c r="E191" t="inlineStr">
        <is>
          <t>27</t>
        </is>
      </c>
      <c r="F191" t="inlineStr">
        <is>
          <t>D</t>
        </is>
      </c>
      <c r="G191" t="inlineStr">
        <is>
          <t>Average</t>
        </is>
      </c>
      <c r="H191" t="n">
        <v>95.5</v>
      </c>
      <c r="I191">
        <f>B191&amp;"~"&amp;F191&amp;"~"&amp;G191</f>
        <v/>
      </c>
      <c r="J191" t="inlineStr">
        <is>
          <t>MVS Sec.11 p.27</t>
        </is>
      </c>
    </row>
    <row r="192">
      <c r="B192" t="inlineStr">
        <is>
          <t>Shell Hotels: Full Service Buildings</t>
        </is>
      </c>
      <c r="C192" t="inlineStr">
        <is>
          <t>778</t>
        </is>
      </c>
      <c r="D192" t="inlineStr">
        <is>
          <t>11</t>
        </is>
      </c>
      <c r="E192" t="inlineStr">
        <is>
          <t>27</t>
        </is>
      </c>
      <c r="F192" t="inlineStr">
        <is>
          <t>D</t>
        </is>
      </c>
      <c r="G192" t="inlineStr">
        <is>
          <t>Low Cost</t>
        </is>
      </c>
      <c r="H192" t="n">
        <v>79.5</v>
      </c>
      <c r="I192">
        <f>B192&amp;"~"&amp;F192&amp;"~"&amp;G192</f>
        <v/>
      </c>
      <c r="J192" t="inlineStr">
        <is>
          <t>MVS Sec.11 p.27</t>
        </is>
      </c>
    </row>
    <row r="193">
      <c r="B193" t="inlineStr">
        <is>
          <t>Rooming Houses</t>
        </is>
      </c>
      <c r="C193" t="inlineStr">
        <is>
          <t>551</t>
        </is>
      </c>
      <c r="D193" t="inlineStr">
        <is>
          <t>11</t>
        </is>
      </c>
      <c r="E193" t="inlineStr">
        <is>
          <t>28</t>
        </is>
      </c>
      <c r="F193" t="inlineStr">
        <is>
          <t>C</t>
        </is>
      </c>
      <c r="G193" t="inlineStr">
        <is>
          <t>Good</t>
        </is>
      </c>
      <c r="H193" t="n">
        <v>163</v>
      </c>
      <c r="I193">
        <f>B193&amp;"~"&amp;F193&amp;"~"&amp;G193</f>
        <v/>
      </c>
      <c r="J193" t="inlineStr">
        <is>
          <t>MVS Sec.11 p.28</t>
        </is>
      </c>
    </row>
    <row r="194">
      <c r="B194" t="inlineStr">
        <is>
          <t>Rooming Houses</t>
        </is>
      </c>
      <c r="C194" t="inlineStr">
        <is>
          <t>551</t>
        </is>
      </c>
      <c r="D194" t="inlineStr">
        <is>
          <t>11</t>
        </is>
      </c>
      <c r="E194" t="inlineStr">
        <is>
          <t>28</t>
        </is>
      </c>
      <c r="F194" t="inlineStr">
        <is>
          <t>C</t>
        </is>
      </c>
      <c r="G194" t="inlineStr">
        <is>
          <t>Average</t>
        </is>
      </c>
      <c r="H194" t="n">
        <v>125</v>
      </c>
      <c r="I194">
        <f>B194&amp;"~"&amp;F194&amp;"~"&amp;G194</f>
        <v/>
      </c>
      <c r="J194" t="inlineStr">
        <is>
          <t>MVS Sec.11 p.28</t>
        </is>
      </c>
    </row>
    <row r="195">
      <c r="B195" t="inlineStr">
        <is>
          <t>Rooming Houses</t>
        </is>
      </c>
      <c r="C195" t="inlineStr">
        <is>
          <t>551</t>
        </is>
      </c>
      <c r="D195" t="inlineStr">
        <is>
          <t>11</t>
        </is>
      </c>
      <c r="E195" t="inlineStr">
        <is>
          <t>28</t>
        </is>
      </c>
      <c r="F195" t="inlineStr">
        <is>
          <t>C</t>
        </is>
      </c>
      <c r="G195" t="inlineStr">
        <is>
          <t>Fair</t>
        </is>
      </c>
      <c r="H195" t="n">
        <v>105</v>
      </c>
      <c r="I195">
        <f>B195&amp;"~"&amp;F195&amp;"~"&amp;G195</f>
        <v/>
      </c>
      <c r="J195" t="inlineStr">
        <is>
          <t>MVS Sec.11 p.28</t>
        </is>
      </c>
    </row>
    <row r="196">
      <c r="B196" t="inlineStr">
        <is>
          <t>Rooming Houses</t>
        </is>
      </c>
      <c r="C196" t="inlineStr">
        <is>
          <t>551</t>
        </is>
      </c>
      <c r="D196" t="inlineStr">
        <is>
          <t>11</t>
        </is>
      </c>
      <c r="E196" t="inlineStr">
        <is>
          <t>28</t>
        </is>
      </c>
      <c r="F196" t="inlineStr">
        <is>
          <t>D</t>
        </is>
      </c>
      <c r="G196" t="inlineStr">
        <is>
          <t>Good</t>
        </is>
      </c>
      <c r="H196" t="n">
        <v>154</v>
      </c>
      <c r="I196">
        <f>B196&amp;"~"&amp;F196&amp;"~"&amp;G196</f>
        <v/>
      </c>
      <c r="J196" t="inlineStr">
        <is>
          <t>MVS Sec.11 p.28</t>
        </is>
      </c>
    </row>
    <row r="197">
      <c r="B197" t="inlineStr">
        <is>
          <t>Rooming Houses</t>
        </is>
      </c>
      <c r="C197" t="inlineStr">
        <is>
          <t>551</t>
        </is>
      </c>
      <c r="D197" t="inlineStr">
        <is>
          <t>11</t>
        </is>
      </c>
      <c r="E197" t="inlineStr">
        <is>
          <t>28</t>
        </is>
      </c>
      <c r="F197" t="inlineStr">
        <is>
          <t>D</t>
        </is>
      </c>
      <c r="G197" t="inlineStr">
        <is>
          <t>Average</t>
        </is>
      </c>
      <c r="H197" t="n">
        <v>117</v>
      </c>
      <c r="I197">
        <f>B197&amp;"~"&amp;F197&amp;"~"&amp;G197</f>
        <v/>
      </c>
      <c r="J197" t="inlineStr">
        <is>
          <t>MVS Sec.11 p.28</t>
        </is>
      </c>
    </row>
    <row r="198">
      <c r="B198" t="inlineStr">
        <is>
          <t>Rooming Houses</t>
        </is>
      </c>
      <c r="C198" t="inlineStr">
        <is>
          <t>551</t>
        </is>
      </c>
      <c r="D198" t="inlineStr">
        <is>
          <t>11</t>
        </is>
      </c>
      <c r="E198" t="inlineStr">
        <is>
          <t>28</t>
        </is>
      </c>
      <c r="F198" t="inlineStr">
        <is>
          <t>D</t>
        </is>
      </c>
      <c r="G198" t="inlineStr">
        <is>
          <t>Fair</t>
        </is>
      </c>
      <c r="H198" t="n">
        <v>98</v>
      </c>
      <c r="I198">
        <f>B198&amp;"~"&amp;F198&amp;"~"&amp;G198</f>
        <v/>
      </c>
      <c r="J198" t="inlineStr">
        <is>
          <t>MVS Sec.11 p.28</t>
        </is>
      </c>
    </row>
    <row r="199">
      <c r="B199" t="inlineStr">
        <is>
          <t>Rooming Houses</t>
        </is>
      </c>
      <c r="C199" t="inlineStr">
        <is>
          <t>551</t>
        </is>
      </c>
      <c r="D199" t="inlineStr">
        <is>
          <t>11</t>
        </is>
      </c>
      <c r="E199" t="inlineStr">
        <is>
          <t>28</t>
        </is>
      </c>
      <c r="F199" t="inlineStr">
        <is>
          <t>D</t>
        </is>
      </c>
      <c r="G199" t="inlineStr">
        <is>
          <t>Low Cost</t>
        </is>
      </c>
      <c r="H199" t="n">
        <v>86</v>
      </c>
      <c r="I199">
        <f>B199&amp;"~"&amp;F199&amp;"~"&amp;G199</f>
        <v/>
      </c>
      <c r="J199" t="inlineStr">
        <is>
          <t>MVS Sec.11 p.28</t>
        </is>
      </c>
    </row>
    <row r="200">
      <c r="B200" t="inlineStr">
        <is>
          <t>Rectories</t>
        </is>
      </c>
      <c r="C200" t="inlineStr">
        <is>
          <t>348</t>
        </is>
      </c>
      <c r="D200" t="inlineStr">
        <is>
          <t>11</t>
        </is>
      </c>
      <c r="E200" t="inlineStr">
        <is>
          <t>28</t>
        </is>
      </c>
      <c r="F200" t="inlineStr">
        <is>
          <t>C</t>
        </is>
      </c>
      <c r="G200" t="inlineStr">
        <is>
          <t>Excellent</t>
        </is>
      </c>
      <c r="H200" t="n">
        <v>265</v>
      </c>
      <c r="I200">
        <f>B200&amp;"~"&amp;F200&amp;"~"&amp;G200</f>
        <v/>
      </c>
      <c r="J200" t="inlineStr">
        <is>
          <t>MVS Sec.11 p.28</t>
        </is>
      </c>
    </row>
    <row r="201">
      <c r="B201" t="inlineStr">
        <is>
          <t>Rectories</t>
        </is>
      </c>
      <c r="C201" t="inlineStr">
        <is>
          <t>348</t>
        </is>
      </c>
      <c r="D201" t="inlineStr">
        <is>
          <t>11</t>
        </is>
      </c>
      <c r="E201" t="inlineStr">
        <is>
          <t>28</t>
        </is>
      </c>
      <c r="F201" t="inlineStr">
        <is>
          <t>C</t>
        </is>
      </c>
      <c r="G201" t="inlineStr">
        <is>
          <t>Good</t>
        </is>
      </c>
      <c r="H201" t="n">
        <v>200</v>
      </c>
      <c r="I201">
        <f>B201&amp;"~"&amp;F201&amp;"~"&amp;G201</f>
        <v/>
      </c>
      <c r="J201" t="inlineStr">
        <is>
          <t>MVS Sec.11 p.28</t>
        </is>
      </c>
    </row>
    <row r="202">
      <c r="B202" t="inlineStr">
        <is>
          <t>Rectories</t>
        </is>
      </c>
      <c r="C202" t="inlineStr">
        <is>
          <t>348</t>
        </is>
      </c>
      <c r="D202" t="inlineStr">
        <is>
          <t>11</t>
        </is>
      </c>
      <c r="E202" t="inlineStr">
        <is>
          <t>28</t>
        </is>
      </c>
      <c r="F202" t="inlineStr">
        <is>
          <t>C</t>
        </is>
      </c>
      <c r="G202" t="inlineStr">
        <is>
          <t>Average</t>
        </is>
      </c>
      <c r="H202" t="n">
        <v>152</v>
      </c>
      <c r="I202">
        <f>B202&amp;"~"&amp;F202&amp;"~"&amp;G202</f>
        <v/>
      </c>
      <c r="J202" t="inlineStr">
        <is>
          <t>MVS Sec.11 p.28</t>
        </is>
      </c>
    </row>
    <row r="203">
      <c r="B203" t="inlineStr">
        <is>
          <t>Rectories</t>
        </is>
      </c>
      <c r="C203" t="inlineStr">
        <is>
          <t>348</t>
        </is>
      </c>
      <c r="D203" t="inlineStr">
        <is>
          <t>11</t>
        </is>
      </c>
      <c r="E203" t="inlineStr">
        <is>
          <t>28</t>
        </is>
      </c>
      <c r="F203" t="inlineStr">
        <is>
          <t>C</t>
        </is>
      </c>
      <c r="G203" t="inlineStr">
        <is>
          <t>Low Cost</t>
        </is>
      </c>
      <c r="H203" t="n">
        <v>112</v>
      </c>
      <c r="I203">
        <f>B203&amp;"~"&amp;F203&amp;"~"&amp;G203</f>
        <v/>
      </c>
      <c r="J203" t="inlineStr">
        <is>
          <t>MVS Sec.11 p.28</t>
        </is>
      </c>
    </row>
    <row r="204">
      <c r="B204" t="inlineStr">
        <is>
          <t>Rectories</t>
        </is>
      </c>
      <c r="C204" t="inlineStr">
        <is>
          <t>348</t>
        </is>
      </c>
      <c r="D204" t="inlineStr">
        <is>
          <t>11</t>
        </is>
      </c>
      <c r="E204" t="inlineStr">
        <is>
          <t>28</t>
        </is>
      </c>
      <c r="F204" t="inlineStr">
        <is>
          <t>D</t>
        </is>
      </c>
      <c r="G204" t="inlineStr">
        <is>
          <t>Excellent</t>
        </is>
      </c>
      <c r="H204" t="n">
        <v>258</v>
      </c>
      <c r="I204">
        <f>B204&amp;"~"&amp;F204&amp;"~"&amp;G204</f>
        <v/>
      </c>
      <c r="J204" t="inlineStr">
        <is>
          <t>MVS Sec.11 p.28</t>
        </is>
      </c>
    </row>
    <row r="205">
      <c r="B205" t="inlineStr">
        <is>
          <t>Rectories</t>
        </is>
      </c>
      <c r="C205" t="inlineStr">
        <is>
          <t>348</t>
        </is>
      </c>
      <c r="D205" t="inlineStr">
        <is>
          <t>11</t>
        </is>
      </c>
      <c r="E205" t="inlineStr">
        <is>
          <t>28</t>
        </is>
      </c>
      <c r="F205" t="inlineStr">
        <is>
          <t>D</t>
        </is>
      </c>
      <c r="G205" t="inlineStr">
        <is>
          <t>Good</t>
        </is>
      </c>
      <c r="H205" t="n">
        <v>192</v>
      </c>
      <c r="I205">
        <f>B205&amp;"~"&amp;F205&amp;"~"&amp;G205</f>
        <v/>
      </c>
      <c r="J205" t="inlineStr">
        <is>
          <t>MVS Sec.11 p.28</t>
        </is>
      </c>
    </row>
    <row r="206">
      <c r="B206" t="inlineStr">
        <is>
          <t>Rectories</t>
        </is>
      </c>
      <c r="C206" t="inlineStr">
        <is>
          <t>348</t>
        </is>
      </c>
      <c r="D206" t="inlineStr">
        <is>
          <t>11</t>
        </is>
      </c>
      <c r="E206" t="inlineStr">
        <is>
          <t>28</t>
        </is>
      </c>
      <c r="F206" t="inlineStr">
        <is>
          <t>D</t>
        </is>
      </c>
      <c r="G206" t="inlineStr">
        <is>
          <t>Average</t>
        </is>
      </c>
      <c r="H206" t="n">
        <v>145</v>
      </c>
      <c r="I206">
        <f>B206&amp;"~"&amp;F206&amp;"~"&amp;G206</f>
        <v/>
      </c>
      <c r="J206" t="inlineStr">
        <is>
          <t>MVS Sec.11 p.28</t>
        </is>
      </c>
    </row>
    <row r="207">
      <c r="B207" t="inlineStr">
        <is>
          <t>Rectories</t>
        </is>
      </c>
      <c r="C207" t="inlineStr">
        <is>
          <t>348</t>
        </is>
      </c>
      <c r="D207" t="inlineStr">
        <is>
          <t>11</t>
        </is>
      </c>
      <c r="E207" t="inlineStr">
        <is>
          <t>28</t>
        </is>
      </c>
      <c r="F207" t="inlineStr">
        <is>
          <t>D</t>
        </is>
      </c>
      <c r="G207" t="inlineStr">
        <is>
          <t>Low Cost</t>
        </is>
      </c>
      <c r="H207" t="n">
        <v>106</v>
      </c>
      <c r="I207">
        <f>B207&amp;"~"&amp;F207&amp;"~"&amp;G207</f>
        <v/>
      </c>
      <c r="J207" t="inlineStr">
        <is>
          <t>MVS Sec.11 p.28</t>
        </is>
      </c>
    </row>
    <row r="208">
      <c r="B208" t="inlineStr">
        <is>
          <t>Fraternity Housing</t>
        </is>
      </c>
      <c r="C208" t="inlineStr">
        <is>
          <t>324</t>
        </is>
      </c>
      <c r="D208" t="inlineStr">
        <is>
          <t>11</t>
        </is>
      </c>
      <c r="E208" t="inlineStr">
        <is>
          <t>28</t>
        </is>
      </c>
      <c r="F208" t="inlineStr">
        <is>
          <t>C</t>
        </is>
      </c>
      <c r="G208" t="inlineStr">
        <is>
          <t>Excellent</t>
        </is>
      </c>
      <c r="H208" t="n">
        <v>256</v>
      </c>
      <c r="I208">
        <f>B208&amp;"~"&amp;F208&amp;"~"&amp;G208</f>
        <v/>
      </c>
      <c r="J208" t="inlineStr">
        <is>
          <t>MVS Sec.11 p.28</t>
        </is>
      </c>
    </row>
    <row r="209">
      <c r="B209" t="inlineStr">
        <is>
          <t>Fraternity Housing</t>
        </is>
      </c>
      <c r="C209" t="inlineStr">
        <is>
          <t>324</t>
        </is>
      </c>
      <c r="D209" t="inlineStr">
        <is>
          <t>11</t>
        </is>
      </c>
      <c r="E209" t="inlineStr">
        <is>
          <t>28</t>
        </is>
      </c>
      <c r="F209" t="inlineStr">
        <is>
          <t>C</t>
        </is>
      </c>
      <c r="G209" t="inlineStr">
        <is>
          <t>Good</t>
        </is>
      </c>
      <c r="H209" t="n">
        <v>202</v>
      </c>
      <c r="I209">
        <f>B209&amp;"~"&amp;F209&amp;"~"&amp;G209</f>
        <v/>
      </c>
      <c r="J209" t="inlineStr">
        <is>
          <t>MVS Sec.11 p.28</t>
        </is>
      </c>
    </row>
    <row r="210">
      <c r="B210" t="inlineStr">
        <is>
          <t>Fraternity Housing</t>
        </is>
      </c>
      <c r="C210" t="inlineStr">
        <is>
          <t>324</t>
        </is>
      </c>
      <c r="D210" t="inlineStr">
        <is>
          <t>11</t>
        </is>
      </c>
      <c r="E210" t="inlineStr">
        <is>
          <t>28</t>
        </is>
      </c>
      <c r="F210" t="inlineStr">
        <is>
          <t>C</t>
        </is>
      </c>
      <c r="G210" t="inlineStr">
        <is>
          <t>Average</t>
        </is>
      </c>
      <c r="H210" t="n">
        <v>153</v>
      </c>
      <c r="I210">
        <f>B210&amp;"~"&amp;F210&amp;"~"&amp;G210</f>
        <v/>
      </c>
      <c r="J210" t="inlineStr">
        <is>
          <t>MVS Sec.11 p.28</t>
        </is>
      </c>
    </row>
    <row r="211">
      <c r="B211" t="inlineStr">
        <is>
          <t>Fraternity Housing</t>
        </is>
      </c>
      <c r="C211" t="inlineStr">
        <is>
          <t>324</t>
        </is>
      </c>
      <c r="D211" t="inlineStr">
        <is>
          <t>11</t>
        </is>
      </c>
      <c r="E211" t="inlineStr">
        <is>
          <t>28</t>
        </is>
      </c>
      <c r="F211" t="inlineStr">
        <is>
          <t>D</t>
        </is>
      </c>
      <c r="G211" t="inlineStr">
        <is>
          <t>Excellent</t>
        </is>
      </c>
      <c r="H211" t="n">
        <v>249</v>
      </c>
      <c r="I211">
        <f>B211&amp;"~"&amp;F211&amp;"~"&amp;G211</f>
        <v/>
      </c>
      <c r="J211" t="inlineStr">
        <is>
          <t>MVS Sec.11 p.28</t>
        </is>
      </c>
    </row>
    <row r="212">
      <c r="B212" t="inlineStr">
        <is>
          <t>Fraternity Housing</t>
        </is>
      </c>
      <c r="C212" t="inlineStr">
        <is>
          <t>324</t>
        </is>
      </c>
      <c r="D212" t="inlineStr">
        <is>
          <t>11</t>
        </is>
      </c>
      <c r="E212" t="inlineStr">
        <is>
          <t>28</t>
        </is>
      </c>
      <c r="F212" t="inlineStr">
        <is>
          <t>D</t>
        </is>
      </c>
      <c r="G212" t="inlineStr">
        <is>
          <t>Good</t>
        </is>
      </c>
      <c r="H212" t="n">
        <v>194</v>
      </c>
      <c r="I212">
        <f>B212&amp;"~"&amp;F212&amp;"~"&amp;G212</f>
        <v/>
      </c>
      <c r="J212" t="inlineStr">
        <is>
          <t>MVS Sec.11 p.28</t>
        </is>
      </c>
    </row>
    <row r="213">
      <c r="B213" t="inlineStr">
        <is>
          <t>Fraternity Housing</t>
        </is>
      </c>
      <c r="C213" t="inlineStr">
        <is>
          <t>324</t>
        </is>
      </c>
      <c r="D213" t="inlineStr">
        <is>
          <t>11</t>
        </is>
      </c>
      <c r="E213" t="inlineStr">
        <is>
          <t>28</t>
        </is>
      </c>
      <c r="F213" t="inlineStr">
        <is>
          <t>D</t>
        </is>
      </c>
      <c r="G213" t="inlineStr">
        <is>
          <t>Average</t>
        </is>
      </c>
      <c r="H213" t="n">
        <v>147</v>
      </c>
      <c r="I213">
        <f>B213&amp;"~"&amp;F213&amp;"~"&amp;G213</f>
        <v/>
      </c>
      <c r="J213" t="inlineStr">
        <is>
          <t>MVS Sec.11 p.28</t>
        </is>
      </c>
    </row>
    <row r="214">
      <c r="B214" t="inlineStr">
        <is>
          <t>Group Care Homes</t>
        </is>
      </c>
      <c r="C214" t="inlineStr">
        <is>
          <t>424</t>
        </is>
      </c>
      <c r="D214" t="inlineStr">
        <is>
          <t>11</t>
        </is>
      </c>
      <c r="E214" t="inlineStr">
        <is>
          <t>29</t>
        </is>
      </c>
      <c r="F214" t="inlineStr">
        <is>
          <t>C</t>
        </is>
      </c>
      <c r="G214" t="inlineStr">
        <is>
          <t>Excellent</t>
        </is>
      </c>
      <c r="H214" t="n">
        <v>301</v>
      </c>
      <c r="I214">
        <f>B214&amp;"~"&amp;F214&amp;"~"&amp;G214</f>
        <v/>
      </c>
      <c r="J214" t="inlineStr">
        <is>
          <t>MVS Sec.11 p.29</t>
        </is>
      </c>
    </row>
    <row r="215">
      <c r="B215" t="inlineStr">
        <is>
          <t>Group Care Homes</t>
        </is>
      </c>
      <c r="C215" t="inlineStr">
        <is>
          <t>424</t>
        </is>
      </c>
      <c r="D215" t="inlineStr">
        <is>
          <t>11</t>
        </is>
      </c>
      <c r="E215" t="inlineStr">
        <is>
          <t>29</t>
        </is>
      </c>
      <c r="F215" t="inlineStr">
        <is>
          <t>C</t>
        </is>
      </c>
      <c r="G215" t="inlineStr">
        <is>
          <t>Very Good</t>
        </is>
      </c>
      <c r="H215" t="n">
        <v>241</v>
      </c>
      <c r="I215">
        <f>B215&amp;"~"&amp;F215&amp;"~"&amp;G215</f>
        <v/>
      </c>
      <c r="J215" t="inlineStr">
        <is>
          <t>MVS Sec.11 p.29</t>
        </is>
      </c>
    </row>
    <row r="216">
      <c r="B216" t="inlineStr">
        <is>
          <t>Group Care Homes</t>
        </is>
      </c>
      <c r="C216" t="inlineStr">
        <is>
          <t>424</t>
        </is>
      </c>
      <c r="D216" t="inlineStr">
        <is>
          <t>11</t>
        </is>
      </c>
      <c r="E216" t="inlineStr">
        <is>
          <t>29</t>
        </is>
      </c>
      <c r="F216" t="inlineStr">
        <is>
          <t>C</t>
        </is>
      </c>
      <c r="G216" t="inlineStr">
        <is>
          <t>Good</t>
        </is>
      </c>
      <c r="H216" t="n">
        <v>191</v>
      </c>
      <c r="I216">
        <f>B216&amp;"~"&amp;F216&amp;"~"&amp;G216</f>
        <v/>
      </c>
      <c r="J216" t="inlineStr">
        <is>
          <t>MVS Sec.11 p.29</t>
        </is>
      </c>
    </row>
    <row r="217">
      <c r="B217" t="inlineStr">
        <is>
          <t>Group Care Homes</t>
        </is>
      </c>
      <c r="C217" t="inlineStr">
        <is>
          <t>424</t>
        </is>
      </c>
      <c r="D217" t="inlineStr">
        <is>
          <t>11</t>
        </is>
      </c>
      <c r="E217" t="inlineStr">
        <is>
          <t>29</t>
        </is>
      </c>
      <c r="F217" t="inlineStr">
        <is>
          <t>C</t>
        </is>
      </c>
      <c r="G217" t="inlineStr">
        <is>
          <t>Average</t>
        </is>
      </c>
      <c r="H217" t="n">
        <v>151</v>
      </c>
      <c r="I217">
        <f>B217&amp;"~"&amp;F217&amp;"~"&amp;G217</f>
        <v/>
      </c>
      <c r="J217" t="inlineStr">
        <is>
          <t>MVS Sec.11 p.29</t>
        </is>
      </c>
    </row>
    <row r="218">
      <c r="B218" t="inlineStr">
        <is>
          <t>Group Care Homes</t>
        </is>
      </c>
      <c r="C218" t="inlineStr">
        <is>
          <t>424</t>
        </is>
      </c>
      <c r="D218" t="inlineStr">
        <is>
          <t>11</t>
        </is>
      </c>
      <c r="E218" t="inlineStr">
        <is>
          <t>29</t>
        </is>
      </c>
      <c r="F218" t="inlineStr">
        <is>
          <t>C</t>
        </is>
      </c>
      <c r="G218" t="inlineStr">
        <is>
          <t>Low Cost</t>
        </is>
      </c>
      <c r="H218" t="n">
        <v>117</v>
      </c>
      <c r="I218">
        <f>B218&amp;"~"&amp;F218&amp;"~"&amp;G218</f>
        <v/>
      </c>
      <c r="J218" t="inlineStr">
        <is>
          <t>MVS Sec.11 p.29</t>
        </is>
      </c>
    </row>
    <row r="219">
      <c r="B219" t="inlineStr">
        <is>
          <t>Group Care Homes</t>
        </is>
      </c>
      <c r="C219" t="inlineStr">
        <is>
          <t>424</t>
        </is>
      </c>
      <c r="D219" t="inlineStr">
        <is>
          <t>11</t>
        </is>
      </c>
      <c r="E219" t="inlineStr">
        <is>
          <t>29</t>
        </is>
      </c>
      <c r="F219" t="inlineStr">
        <is>
          <t>D</t>
        </is>
      </c>
      <c r="G219" t="inlineStr">
        <is>
          <t>Excellent</t>
        </is>
      </c>
      <c r="H219" t="n">
        <v>291</v>
      </c>
      <c r="I219">
        <f>B219&amp;"~"&amp;F219&amp;"~"&amp;G219</f>
        <v/>
      </c>
      <c r="J219" t="inlineStr">
        <is>
          <t>MVS Sec.11 p.29</t>
        </is>
      </c>
    </row>
    <row r="220">
      <c r="B220" t="inlineStr">
        <is>
          <t>Group Care Homes</t>
        </is>
      </c>
      <c r="C220" t="inlineStr">
        <is>
          <t>424</t>
        </is>
      </c>
      <c r="D220" t="inlineStr">
        <is>
          <t>11</t>
        </is>
      </c>
      <c r="E220" t="inlineStr">
        <is>
          <t>29</t>
        </is>
      </c>
      <c r="F220" t="inlineStr">
        <is>
          <t>D</t>
        </is>
      </c>
      <c r="G220" t="inlineStr">
        <is>
          <t>Very Good</t>
        </is>
      </c>
      <c r="H220" t="n">
        <v>232</v>
      </c>
      <c r="I220">
        <f>B220&amp;"~"&amp;F220&amp;"~"&amp;G220</f>
        <v/>
      </c>
      <c r="J220" t="inlineStr">
        <is>
          <t>MVS Sec.11 p.29</t>
        </is>
      </c>
    </row>
    <row r="221">
      <c r="B221" t="inlineStr">
        <is>
          <t>Group Care Homes</t>
        </is>
      </c>
      <c r="C221" t="inlineStr">
        <is>
          <t>424</t>
        </is>
      </c>
      <c r="D221" t="inlineStr">
        <is>
          <t>11</t>
        </is>
      </c>
      <c r="E221" t="inlineStr">
        <is>
          <t>29</t>
        </is>
      </c>
      <c r="F221" t="inlineStr">
        <is>
          <t>D</t>
        </is>
      </c>
      <c r="G221" t="inlineStr">
        <is>
          <t>Good</t>
        </is>
      </c>
      <c r="H221" t="n">
        <v>182</v>
      </c>
      <c r="I221">
        <f>B221&amp;"~"&amp;F221&amp;"~"&amp;G221</f>
        <v/>
      </c>
      <c r="J221" t="inlineStr">
        <is>
          <t>MVS Sec.11 p.29</t>
        </is>
      </c>
    </row>
    <row r="222">
      <c r="B222" t="inlineStr">
        <is>
          <t>Group Care Homes</t>
        </is>
      </c>
      <c r="C222" t="inlineStr">
        <is>
          <t>424</t>
        </is>
      </c>
      <c r="D222" t="inlineStr">
        <is>
          <t>11</t>
        </is>
      </c>
      <c r="E222" t="inlineStr">
        <is>
          <t>29</t>
        </is>
      </c>
      <c r="F222" t="inlineStr">
        <is>
          <t>D</t>
        </is>
      </c>
      <c r="G222" t="inlineStr">
        <is>
          <t>Average</t>
        </is>
      </c>
      <c r="H222" t="n">
        <v>143</v>
      </c>
      <c r="I222">
        <f>B222&amp;"~"&amp;F222&amp;"~"&amp;G222</f>
        <v/>
      </c>
      <c r="J222" t="inlineStr">
        <is>
          <t>MVS Sec.11 p.29</t>
        </is>
      </c>
    </row>
    <row r="223">
      <c r="B223" t="inlineStr">
        <is>
          <t>Group Care Homes</t>
        </is>
      </c>
      <c r="C223" t="inlineStr">
        <is>
          <t>424</t>
        </is>
      </c>
      <c r="D223" t="inlineStr">
        <is>
          <t>11</t>
        </is>
      </c>
      <c r="E223" t="inlineStr">
        <is>
          <t>29</t>
        </is>
      </c>
      <c r="F223" t="inlineStr">
        <is>
          <t>D</t>
        </is>
      </c>
      <c r="G223" t="inlineStr">
        <is>
          <t>Low Cost</t>
        </is>
      </c>
      <c r="H223" t="n">
        <v>110</v>
      </c>
      <c r="I223">
        <f>B223&amp;"~"&amp;F223&amp;"~"&amp;G223</f>
        <v/>
      </c>
      <c r="J223" t="inlineStr">
        <is>
          <t>MVS Sec.11 p.29</t>
        </is>
      </c>
    </row>
    <row r="224">
      <c r="B224" t="inlineStr">
        <is>
          <t>Recreational (Pool) Enclosures</t>
        </is>
      </c>
      <c r="C224" t="inlineStr">
        <is>
          <t>552</t>
        </is>
      </c>
      <c r="D224" t="inlineStr">
        <is>
          <t>11</t>
        </is>
      </c>
      <c r="E224" t="inlineStr">
        <is>
          <t>29</t>
        </is>
      </c>
      <c r="F224" t="inlineStr">
        <is>
          <t>C</t>
        </is>
      </c>
      <c r="G224" t="inlineStr">
        <is>
          <t>Good</t>
        </is>
      </c>
      <c r="H224" t="n">
        <v>114</v>
      </c>
      <c r="I224">
        <f>B224&amp;"~"&amp;F224&amp;"~"&amp;G224</f>
        <v/>
      </c>
      <c r="J224" t="inlineStr">
        <is>
          <t>MVS Sec.11 p.29</t>
        </is>
      </c>
    </row>
    <row r="225">
      <c r="B225" t="inlineStr">
        <is>
          <t>Recreational (Pool) Enclosures</t>
        </is>
      </c>
      <c r="C225" t="inlineStr">
        <is>
          <t>552</t>
        </is>
      </c>
      <c r="D225" t="inlineStr">
        <is>
          <t>11</t>
        </is>
      </c>
      <c r="E225" t="inlineStr">
        <is>
          <t>29</t>
        </is>
      </c>
      <c r="F225" t="inlineStr">
        <is>
          <t>C</t>
        </is>
      </c>
      <c r="G225" t="inlineStr">
        <is>
          <t>Average</t>
        </is>
      </c>
      <c r="H225" t="n">
        <v>76.5</v>
      </c>
      <c r="I225">
        <f>B225&amp;"~"&amp;F225&amp;"~"&amp;G225</f>
        <v/>
      </c>
      <c r="J225" t="inlineStr">
        <is>
          <t>MVS Sec.11 p.29</t>
        </is>
      </c>
    </row>
    <row r="226">
      <c r="B226" t="inlineStr">
        <is>
          <t>Recreational (Pool) Enclosures</t>
        </is>
      </c>
      <c r="C226" t="inlineStr">
        <is>
          <t>552</t>
        </is>
      </c>
      <c r="D226" t="inlineStr">
        <is>
          <t>11</t>
        </is>
      </c>
      <c r="E226" t="inlineStr">
        <is>
          <t>29</t>
        </is>
      </c>
      <c r="F226" t="inlineStr">
        <is>
          <t>C</t>
        </is>
      </c>
      <c r="G226" t="inlineStr">
        <is>
          <t>Low Cost</t>
        </is>
      </c>
      <c r="H226" t="n">
        <v>48.75</v>
      </c>
      <c r="I226">
        <f>B226&amp;"~"&amp;F226&amp;"~"&amp;G226</f>
        <v/>
      </c>
      <c r="J226" t="inlineStr">
        <is>
          <t>MVS Sec.11 p.29</t>
        </is>
      </c>
    </row>
    <row r="227">
      <c r="B227" t="inlineStr">
        <is>
          <t>Recreational (Pool) Enclosures</t>
        </is>
      </c>
      <c r="C227" t="inlineStr">
        <is>
          <t>552</t>
        </is>
      </c>
      <c r="D227" t="inlineStr">
        <is>
          <t>11</t>
        </is>
      </c>
      <c r="E227" t="inlineStr">
        <is>
          <t>29</t>
        </is>
      </c>
      <c r="F227" t="inlineStr">
        <is>
          <t>D</t>
        </is>
      </c>
      <c r="G227" t="inlineStr">
        <is>
          <t>Good</t>
        </is>
      </c>
      <c r="H227" t="n">
        <v>106</v>
      </c>
      <c r="I227">
        <f>B227&amp;"~"&amp;F227&amp;"~"&amp;G227</f>
        <v/>
      </c>
      <c r="J227" t="inlineStr">
        <is>
          <t>MVS Sec.11 p.29</t>
        </is>
      </c>
    </row>
    <row r="228">
      <c r="B228" t="inlineStr">
        <is>
          <t>Recreational (Pool) Enclosures</t>
        </is>
      </c>
      <c r="C228" t="inlineStr">
        <is>
          <t>552</t>
        </is>
      </c>
      <c r="D228" t="inlineStr">
        <is>
          <t>11</t>
        </is>
      </c>
      <c r="E228" t="inlineStr">
        <is>
          <t>29</t>
        </is>
      </c>
      <c r="F228" t="inlineStr">
        <is>
          <t>D</t>
        </is>
      </c>
      <c r="G228" t="inlineStr">
        <is>
          <t>Average</t>
        </is>
      </c>
      <c r="H228" t="n">
        <v>69.5</v>
      </c>
      <c r="I228">
        <f>B228&amp;"~"&amp;F228&amp;"~"&amp;G228</f>
        <v/>
      </c>
      <c r="J228" t="inlineStr">
        <is>
          <t>MVS Sec.11 p.29</t>
        </is>
      </c>
    </row>
    <row r="229">
      <c r="B229" t="inlineStr">
        <is>
          <t>Recreational (Pool) Enclosures</t>
        </is>
      </c>
      <c r="C229" t="inlineStr">
        <is>
          <t>552</t>
        </is>
      </c>
      <c r="D229" t="inlineStr">
        <is>
          <t>11</t>
        </is>
      </c>
      <c r="E229" t="inlineStr">
        <is>
          <t>29</t>
        </is>
      </c>
      <c r="F229" t="inlineStr">
        <is>
          <t>D</t>
        </is>
      </c>
      <c r="G229" t="inlineStr">
        <is>
          <t>Low Cost</t>
        </is>
      </c>
      <c r="H229" t="n">
        <v>43.25</v>
      </c>
      <c r="I229">
        <f>B229&amp;"~"&amp;F229&amp;"~"&amp;G229</f>
        <v/>
      </c>
      <c r="J229" t="inlineStr">
        <is>
          <t>MVS Sec.11 p.29</t>
        </is>
      </c>
    </row>
    <row r="230">
      <c r="B230" t="inlineStr">
        <is>
          <t>Recreational (Pool) Enclosures</t>
        </is>
      </c>
      <c r="C230" t="inlineStr">
        <is>
          <t>552</t>
        </is>
      </c>
      <c r="D230" t="inlineStr">
        <is>
          <t>11</t>
        </is>
      </c>
      <c r="E230" t="inlineStr">
        <is>
          <t>29</t>
        </is>
      </c>
      <c r="F230" t="inlineStr">
        <is>
          <t>DPOLE</t>
        </is>
      </c>
      <c r="G230" t="inlineStr">
        <is>
          <t>Low Cost</t>
        </is>
      </c>
      <c r="H230" t="n">
        <v>37.75</v>
      </c>
      <c r="I230">
        <f>B230&amp;"~"&amp;F230&amp;"~"&amp;G230</f>
        <v/>
      </c>
      <c r="J230" t="inlineStr">
        <is>
          <t>MVS Sec.11 p.29</t>
        </is>
      </c>
    </row>
    <row r="231">
      <c r="B231" t="inlineStr">
        <is>
          <t>Recreational (Pool) Enclosures</t>
        </is>
      </c>
      <c r="C231" t="inlineStr">
        <is>
          <t>552</t>
        </is>
      </c>
      <c r="D231" t="inlineStr">
        <is>
          <t>11</t>
        </is>
      </c>
      <c r="E231" t="inlineStr">
        <is>
          <t>29</t>
        </is>
      </c>
      <c r="F231" t="inlineStr">
        <is>
          <t>S</t>
        </is>
      </c>
      <c r="G231" t="inlineStr">
        <is>
          <t>Good</t>
        </is>
      </c>
      <c r="H231" t="n">
        <v>102</v>
      </c>
      <c r="I231">
        <f>B231&amp;"~"&amp;F231&amp;"~"&amp;G231</f>
        <v/>
      </c>
      <c r="J231" t="inlineStr">
        <is>
          <t>MVS Sec.11 p.29</t>
        </is>
      </c>
    </row>
    <row r="232">
      <c r="B232" t="inlineStr">
        <is>
          <t>Recreational (Pool) Enclosures</t>
        </is>
      </c>
      <c r="C232" t="inlineStr">
        <is>
          <t>552</t>
        </is>
      </c>
      <c r="D232" t="inlineStr">
        <is>
          <t>11</t>
        </is>
      </c>
      <c r="E232" t="inlineStr">
        <is>
          <t>29</t>
        </is>
      </c>
      <c r="F232" t="inlineStr">
        <is>
          <t>S</t>
        </is>
      </c>
      <c r="G232" t="inlineStr">
        <is>
          <t>Average</t>
        </is>
      </c>
      <c r="H232" t="n">
        <v>64.5</v>
      </c>
      <c r="I232">
        <f>B232&amp;"~"&amp;F232&amp;"~"&amp;G232</f>
        <v/>
      </c>
      <c r="J232" t="inlineStr">
        <is>
          <t>MVS Sec.11 p.29</t>
        </is>
      </c>
    </row>
    <row r="233">
      <c r="B233" t="inlineStr">
        <is>
          <t>Recreational (Pool) Enclosures</t>
        </is>
      </c>
      <c r="C233" t="inlineStr">
        <is>
          <t>552</t>
        </is>
      </c>
      <c r="D233" t="inlineStr">
        <is>
          <t>11</t>
        </is>
      </c>
      <c r="E233" t="inlineStr">
        <is>
          <t>29</t>
        </is>
      </c>
      <c r="F233" t="inlineStr">
        <is>
          <t>S</t>
        </is>
      </c>
      <c r="G233" t="inlineStr">
        <is>
          <t>Low Cost</t>
        </is>
      </c>
      <c r="H233" t="n">
        <v>38.25</v>
      </c>
      <c r="I233">
        <f>B233&amp;"~"&amp;F233&amp;"~"&amp;G233</f>
        <v/>
      </c>
      <c r="J233" t="inlineStr">
        <is>
          <t>MVS Sec.11 p.29</t>
        </is>
      </c>
    </row>
    <row r="234">
      <c r="B234" t="inlineStr">
        <is>
          <t>Recreational (Pool) Enclosures</t>
        </is>
      </c>
      <c r="C234" t="inlineStr">
        <is>
          <t>552</t>
        </is>
      </c>
      <c r="D234" t="inlineStr">
        <is>
          <t>11</t>
        </is>
      </c>
      <c r="E234" t="inlineStr">
        <is>
          <t>29</t>
        </is>
      </c>
      <c r="F234" t="inlineStr">
        <is>
          <t>S</t>
        </is>
      </c>
      <c r="G234" t="inlineStr">
        <is>
          <t>Cheap</t>
        </is>
      </c>
      <c r="H234" t="n">
        <v>23.85</v>
      </c>
      <c r="I234">
        <f>B234&amp;"~"&amp;F234&amp;"~"&amp;G234</f>
        <v/>
      </c>
      <c r="J234" t="inlineStr">
        <is>
          <t>MVS Sec.11 p.29</t>
        </is>
      </c>
    </row>
    <row r="235">
      <c r="B235" t="inlineStr">
        <is>
          <t>Clubhouses</t>
        </is>
      </c>
      <c r="C235" t="inlineStr">
        <is>
          <t>311</t>
        </is>
      </c>
      <c r="D235" t="inlineStr">
        <is>
          <t>11</t>
        </is>
      </c>
      <c r="E235" t="inlineStr">
        <is>
          <t>30</t>
        </is>
      </c>
      <c r="F235" t="inlineStr">
        <is>
          <t>C</t>
        </is>
      </c>
      <c r="G235" t="inlineStr">
        <is>
          <t>Excellent</t>
        </is>
      </c>
      <c r="H235" t="n">
        <v>272</v>
      </c>
      <c r="I235">
        <f>B235&amp;"~"&amp;F235&amp;"~"&amp;G235</f>
        <v/>
      </c>
      <c r="J235" t="inlineStr">
        <is>
          <t>MVS Sec.11 p.30</t>
        </is>
      </c>
    </row>
    <row r="236">
      <c r="B236" t="inlineStr">
        <is>
          <t>Clubhouses</t>
        </is>
      </c>
      <c r="C236" t="inlineStr">
        <is>
          <t>311</t>
        </is>
      </c>
      <c r="D236" t="inlineStr">
        <is>
          <t>11</t>
        </is>
      </c>
      <c r="E236" t="inlineStr">
        <is>
          <t>30</t>
        </is>
      </c>
      <c r="F236" t="inlineStr">
        <is>
          <t>C</t>
        </is>
      </c>
      <c r="G236" t="inlineStr">
        <is>
          <t>Good</t>
        </is>
      </c>
      <c r="H236" t="n">
        <v>199</v>
      </c>
      <c r="I236">
        <f>B236&amp;"~"&amp;F236&amp;"~"&amp;G236</f>
        <v/>
      </c>
      <c r="J236" t="inlineStr">
        <is>
          <t>MVS Sec.11 p.30</t>
        </is>
      </c>
    </row>
    <row r="237">
      <c r="B237" t="inlineStr">
        <is>
          <t>Clubhouses</t>
        </is>
      </c>
      <c r="C237" t="inlineStr">
        <is>
          <t>311</t>
        </is>
      </c>
      <c r="D237" t="inlineStr">
        <is>
          <t>11</t>
        </is>
      </c>
      <c r="E237" t="inlineStr">
        <is>
          <t>30</t>
        </is>
      </c>
      <c r="F237" t="inlineStr">
        <is>
          <t>C</t>
        </is>
      </c>
      <c r="G237" t="inlineStr">
        <is>
          <t>Average</t>
        </is>
      </c>
      <c r="H237" t="n">
        <v>143</v>
      </c>
      <c r="I237">
        <f>B237&amp;"~"&amp;F237&amp;"~"&amp;G237</f>
        <v/>
      </c>
      <c r="J237" t="inlineStr">
        <is>
          <t>MVS Sec.11 p.30</t>
        </is>
      </c>
    </row>
    <row r="238">
      <c r="B238" t="inlineStr">
        <is>
          <t>Clubhouses</t>
        </is>
      </c>
      <c r="C238" t="inlineStr">
        <is>
          <t>311</t>
        </is>
      </c>
      <c r="D238" t="inlineStr">
        <is>
          <t>11</t>
        </is>
      </c>
      <c r="E238" t="inlineStr">
        <is>
          <t>30</t>
        </is>
      </c>
      <c r="F238" t="inlineStr">
        <is>
          <t>C</t>
        </is>
      </c>
      <c r="G238" t="inlineStr">
        <is>
          <t>Low Cost</t>
        </is>
      </c>
      <c r="H238" t="n">
        <v>101</v>
      </c>
      <c r="I238">
        <f>B238&amp;"~"&amp;F238&amp;"~"&amp;G238</f>
        <v/>
      </c>
      <c r="J238" t="inlineStr">
        <is>
          <t>MVS Sec.11 p.30</t>
        </is>
      </c>
    </row>
    <row r="239">
      <c r="B239" t="inlineStr">
        <is>
          <t>Clubhouses</t>
        </is>
      </c>
      <c r="C239" t="inlineStr">
        <is>
          <t>311</t>
        </is>
      </c>
      <c r="D239" t="inlineStr">
        <is>
          <t>11</t>
        </is>
      </c>
      <c r="E239" t="inlineStr">
        <is>
          <t>30</t>
        </is>
      </c>
      <c r="F239" t="inlineStr">
        <is>
          <t>D</t>
        </is>
      </c>
      <c r="G239" t="inlineStr">
        <is>
          <t>Excellent</t>
        </is>
      </c>
      <c r="H239" t="n">
        <v>264</v>
      </c>
      <c r="I239">
        <f>B239&amp;"~"&amp;F239&amp;"~"&amp;G239</f>
        <v/>
      </c>
      <c r="J239" t="inlineStr">
        <is>
          <t>MVS Sec.11 p.30</t>
        </is>
      </c>
    </row>
    <row r="240">
      <c r="B240" t="inlineStr">
        <is>
          <t>Clubhouses</t>
        </is>
      </c>
      <c r="C240" t="inlineStr">
        <is>
          <t>311</t>
        </is>
      </c>
      <c r="D240" t="inlineStr">
        <is>
          <t>11</t>
        </is>
      </c>
      <c r="E240" t="inlineStr">
        <is>
          <t>30</t>
        </is>
      </c>
      <c r="F240" t="inlineStr">
        <is>
          <t>D</t>
        </is>
      </c>
      <c r="G240" t="inlineStr">
        <is>
          <t>Good</t>
        </is>
      </c>
      <c r="H240" t="n">
        <v>191</v>
      </c>
      <c r="I240">
        <f>B240&amp;"~"&amp;F240&amp;"~"&amp;G240</f>
        <v/>
      </c>
      <c r="J240" t="inlineStr">
        <is>
          <t>MVS Sec.11 p.30</t>
        </is>
      </c>
    </row>
    <row r="241">
      <c r="B241" t="inlineStr">
        <is>
          <t>Clubhouses</t>
        </is>
      </c>
      <c r="C241" t="inlineStr">
        <is>
          <t>311</t>
        </is>
      </c>
      <c r="D241" t="inlineStr">
        <is>
          <t>11</t>
        </is>
      </c>
      <c r="E241" t="inlineStr">
        <is>
          <t>30</t>
        </is>
      </c>
      <c r="F241" t="inlineStr">
        <is>
          <t>D</t>
        </is>
      </c>
      <c r="G241" t="inlineStr">
        <is>
          <t>Average</t>
        </is>
      </c>
      <c r="H241" t="n">
        <v>135</v>
      </c>
      <c r="I241">
        <f>B241&amp;"~"&amp;F241&amp;"~"&amp;G241</f>
        <v/>
      </c>
      <c r="J241" t="inlineStr">
        <is>
          <t>MVS Sec.11 p.30</t>
        </is>
      </c>
    </row>
    <row r="242">
      <c r="B242" t="inlineStr">
        <is>
          <t>Clubhouses</t>
        </is>
      </c>
      <c r="C242" t="inlineStr">
        <is>
          <t>311</t>
        </is>
      </c>
      <c r="D242" t="inlineStr">
        <is>
          <t>11</t>
        </is>
      </c>
      <c r="E242" t="inlineStr">
        <is>
          <t>30</t>
        </is>
      </c>
      <c r="F242" t="inlineStr">
        <is>
          <t>D</t>
        </is>
      </c>
      <c r="G242" t="inlineStr">
        <is>
          <t>Low Cost</t>
        </is>
      </c>
      <c r="H242" t="n">
        <v>93.5</v>
      </c>
      <c r="I242">
        <f>B242&amp;"~"&amp;F242&amp;"~"&amp;G242</f>
        <v/>
      </c>
      <c r="J242" t="inlineStr">
        <is>
          <t>MVS Sec.11 p.30</t>
        </is>
      </c>
    </row>
    <row r="243">
      <c r="B243" t="inlineStr">
        <is>
          <t>Clubhouses</t>
        </is>
      </c>
      <c r="C243" t="inlineStr">
        <is>
          <t>311</t>
        </is>
      </c>
      <c r="D243" t="inlineStr">
        <is>
          <t>11</t>
        </is>
      </c>
      <c r="E243" t="inlineStr">
        <is>
          <t>30</t>
        </is>
      </c>
      <c r="F243" t="inlineStr">
        <is>
          <t>DPOLE</t>
        </is>
      </c>
      <c r="G243" t="inlineStr">
        <is>
          <t>Low Cost</t>
        </is>
      </c>
      <c r="H243" t="n">
        <v>84.5</v>
      </c>
      <c r="I243">
        <f>B243&amp;"~"&amp;F243&amp;"~"&amp;G243</f>
        <v/>
      </c>
      <c r="J243" t="inlineStr">
        <is>
          <t>MVS Sec.11 p.30</t>
        </is>
      </c>
    </row>
    <row r="244">
      <c r="B244" t="inlineStr">
        <is>
          <t>Clubhouses</t>
        </is>
      </c>
      <c r="C244" t="inlineStr">
        <is>
          <t>311</t>
        </is>
      </c>
      <c r="D244" t="inlineStr">
        <is>
          <t>11</t>
        </is>
      </c>
      <c r="E244" t="inlineStr">
        <is>
          <t>30</t>
        </is>
      </c>
      <c r="F244" t="inlineStr">
        <is>
          <t>S</t>
        </is>
      </c>
      <c r="G244" t="inlineStr">
        <is>
          <t>Excellent</t>
        </is>
      </c>
      <c r="H244" t="n">
        <v>236</v>
      </c>
      <c r="I244">
        <f>B244&amp;"~"&amp;F244&amp;"~"&amp;G244</f>
        <v/>
      </c>
      <c r="J244" t="inlineStr">
        <is>
          <t>MVS Sec.11 p.30</t>
        </is>
      </c>
    </row>
    <row r="245">
      <c r="B245" t="inlineStr">
        <is>
          <t>Clubhouses</t>
        </is>
      </c>
      <c r="C245" t="inlineStr">
        <is>
          <t>311</t>
        </is>
      </c>
      <c r="D245" t="inlineStr">
        <is>
          <t>11</t>
        </is>
      </c>
      <c r="E245" t="inlineStr">
        <is>
          <t>30</t>
        </is>
      </c>
      <c r="F245" t="inlineStr">
        <is>
          <t>S</t>
        </is>
      </c>
      <c r="G245" t="inlineStr">
        <is>
          <t>Good</t>
        </is>
      </c>
      <c r="H245" t="n">
        <v>172</v>
      </c>
      <c r="I245">
        <f>B245&amp;"~"&amp;F245&amp;"~"&amp;G245</f>
        <v/>
      </c>
      <c r="J245" t="inlineStr">
        <is>
          <t>MVS Sec.11 p.30</t>
        </is>
      </c>
    </row>
    <row r="246">
      <c r="B246" t="inlineStr">
        <is>
          <t>Clubhouses</t>
        </is>
      </c>
      <c r="C246" t="inlineStr">
        <is>
          <t>311</t>
        </is>
      </c>
      <c r="D246" t="inlineStr">
        <is>
          <t>11</t>
        </is>
      </c>
      <c r="E246" t="inlineStr">
        <is>
          <t>30</t>
        </is>
      </c>
      <c r="F246" t="inlineStr">
        <is>
          <t>S</t>
        </is>
      </c>
      <c r="G246" t="inlineStr">
        <is>
          <t>Average</t>
        </is>
      </c>
      <c r="H246" t="n">
        <v>122</v>
      </c>
      <c r="I246">
        <f>B246&amp;"~"&amp;F246&amp;"~"&amp;G246</f>
        <v/>
      </c>
      <c r="J246" t="inlineStr">
        <is>
          <t>MVS Sec.11 p.30</t>
        </is>
      </c>
    </row>
    <row r="247">
      <c r="B247" t="inlineStr">
        <is>
          <t>Clubhouses</t>
        </is>
      </c>
      <c r="C247" t="inlineStr">
        <is>
          <t>311</t>
        </is>
      </c>
      <c r="D247" t="inlineStr">
        <is>
          <t>11</t>
        </is>
      </c>
      <c r="E247" t="inlineStr">
        <is>
          <t>30</t>
        </is>
      </c>
      <c r="F247" t="inlineStr">
        <is>
          <t>S</t>
        </is>
      </c>
      <c r="G247" t="inlineStr">
        <is>
          <t>Low Cost</t>
        </is>
      </c>
      <c r="H247" t="n">
        <v>85.5</v>
      </c>
      <c r="I247">
        <f>B247&amp;"~"&amp;F247&amp;"~"&amp;G247</f>
        <v/>
      </c>
      <c r="J247" t="inlineStr">
        <is>
          <t>MVS Sec.11 p.30</t>
        </is>
      </c>
    </row>
    <row r="248">
      <c r="B248" t="inlineStr">
        <is>
          <t>Senior (Clubhouse) Centers</t>
        </is>
      </c>
      <c r="C248" t="inlineStr">
        <is>
          <t>985</t>
        </is>
      </c>
      <c r="D248" t="inlineStr">
        <is>
          <t>11</t>
        </is>
      </c>
      <c r="E248" t="inlineStr">
        <is>
          <t>30</t>
        </is>
      </c>
      <c r="F248" t="inlineStr">
        <is>
          <t>C</t>
        </is>
      </c>
      <c r="G248" t="inlineStr">
        <is>
          <t>Excellent</t>
        </is>
      </c>
      <c r="H248" t="n">
        <v>361</v>
      </c>
      <c r="I248">
        <f>B248&amp;"~"&amp;F248&amp;"~"&amp;G248</f>
        <v/>
      </c>
      <c r="J248" t="inlineStr">
        <is>
          <t>MVS Sec.11 p.30</t>
        </is>
      </c>
    </row>
    <row r="249">
      <c r="B249" t="inlineStr">
        <is>
          <t>Senior (Clubhouse) Centers</t>
        </is>
      </c>
      <c r="C249" t="inlineStr">
        <is>
          <t>985</t>
        </is>
      </c>
      <c r="D249" t="inlineStr">
        <is>
          <t>11</t>
        </is>
      </c>
      <c r="E249" t="inlineStr">
        <is>
          <t>30</t>
        </is>
      </c>
      <c r="F249" t="inlineStr">
        <is>
          <t>C</t>
        </is>
      </c>
      <c r="G249" t="inlineStr">
        <is>
          <t>Good</t>
        </is>
      </c>
      <c r="H249" t="n">
        <v>275</v>
      </c>
      <c r="I249">
        <f>B249&amp;"~"&amp;F249&amp;"~"&amp;G249</f>
        <v/>
      </c>
      <c r="J249" t="inlineStr">
        <is>
          <t>MVS Sec.11 p.30</t>
        </is>
      </c>
    </row>
    <row r="250">
      <c r="B250" t="inlineStr">
        <is>
          <t>Senior (Clubhouse) Centers</t>
        </is>
      </c>
      <c r="C250" t="inlineStr">
        <is>
          <t>985</t>
        </is>
      </c>
      <c r="D250" t="inlineStr">
        <is>
          <t>11</t>
        </is>
      </c>
      <c r="E250" t="inlineStr">
        <is>
          <t>30</t>
        </is>
      </c>
      <c r="F250" t="inlineStr">
        <is>
          <t>C</t>
        </is>
      </c>
      <c r="G250" t="inlineStr">
        <is>
          <t>Average</t>
        </is>
      </c>
      <c r="H250" t="n">
        <v>210</v>
      </c>
      <c r="I250">
        <f>B250&amp;"~"&amp;F250&amp;"~"&amp;G250</f>
        <v/>
      </c>
      <c r="J250" t="inlineStr">
        <is>
          <t>MVS Sec.11 p.30</t>
        </is>
      </c>
    </row>
    <row r="251">
      <c r="B251" t="inlineStr">
        <is>
          <t>Senior (Clubhouse) Centers</t>
        </is>
      </c>
      <c r="C251" t="inlineStr">
        <is>
          <t>985</t>
        </is>
      </c>
      <c r="D251" t="inlineStr">
        <is>
          <t>11</t>
        </is>
      </c>
      <c r="E251" t="inlineStr">
        <is>
          <t>30</t>
        </is>
      </c>
      <c r="F251" t="inlineStr">
        <is>
          <t>C</t>
        </is>
      </c>
      <c r="G251" t="inlineStr">
        <is>
          <t>Low Cost</t>
        </is>
      </c>
      <c r="H251" t="n">
        <v>157</v>
      </c>
      <c r="I251">
        <f>B251&amp;"~"&amp;F251&amp;"~"&amp;G251</f>
        <v/>
      </c>
      <c r="J251" t="inlineStr">
        <is>
          <t>MVS Sec.11 p.30</t>
        </is>
      </c>
    </row>
    <row r="252">
      <c r="B252" t="inlineStr">
        <is>
          <t>Senior (Clubhouse) Centers</t>
        </is>
      </c>
      <c r="C252" t="inlineStr">
        <is>
          <t>985</t>
        </is>
      </c>
      <c r="D252" t="inlineStr">
        <is>
          <t>11</t>
        </is>
      </c>
      <c r="E252" t="inlineStr">
        <is>
          <t>30</t>
        </is>
      </c>
      <c r="F252" t="inlineStr">
        <is>
          <t>D</t>
        </is>
      </c>
      <c r="G252" t="inlineStr">
        <is>
          <t>Excellent</t>
        </is>
      </c>
      <c r="H252" t="n">
        <v>350</v>
      </c>
      <c r="I252">
        <f>B252&amp;"~"&amp;F252&amp;"~"&amp;G252</f>
        <v/>
      </c>
      <c r="J252" t="inlineStr">
        <is>
          <t>MVS Sec.11 p.30</t>
        </is>
      </c>
    </row>
    <row r="253">
      <c r="B253" t="inlineStr">
        <is>
          <t>Senior (Clubhouse) Centers</t>
        </is>
      </c>
      <c r="C253" t="inlineStr">
        <is>
          <t>985</t>
        </is>
      </c>
      <c r="D253" t="inlineStr">
        <is>
          <t>11</t>
        </is>
      </c>
      <c r="E253" t="inlineStr">
        <is>
          <t>30</t>
        </is>
      </c>
      <c r="F253" t="inlineStr">
        <is>
          <t>D</t>
        </is>
      </c>
      <c r="G253" t="inlineStr">
        <is>
          <t>Good</t>
        </is>
      </c>
      <c r="H253" t="n">
        <v>264</v>
      </c>
      <c r="I253">
        <f>B253&amp;"~"&amp;F253&amp;"~"&amp;G253</f>
        <v/>
      </c>
      <c r="J253" t="inlineStr">
        <is>
          <t>MVS Sec.11 p.30</t>
        </is>
      </c>
    </row>
    <row r="254">
      <c r="B254" t="inlineStr">
        <is>
          <t>Senior (Clubhouse) Centers</t>
        </is>
      </c>
      <c r="C254" t="inlineStr">
        <is>
          <t>985</t>
        </is>
      </c>
      <c r="D254" t="inlineStr">
        <is>
          <t>11</t>
        </is>
      </c>
      <c r="E254" t="inlineStr">
        <is>
          <t>30</t>
        </is>
      </c>
      <c r="F254" t="inlineStr">
        <is>
          <t>D</t>
        </is>
      </c>
      <c r="G254" t="inlineStr">
        <is>
          <t>Average</t>
        </is>
      </c>
      <c r="H254" t="n">
        <v>200</v>
      </c>
      <c r="I254">
        <f>B254&amp;"~"&amp;F254&amp;"~"&amp;G254</f>
        <v/>
      </c>
      <c r="J254" t="inlineStr">
        <is>
          <t>MVS Sec.11 p.30</t>
        </is>
      </c>
    </row>
    <row r="255">
      <c r="B255" t="inlineStr">
        <is>
          <t>Senior (Clubhouse) Centers</t>
        </is>
      </c>
      <c r="C255" t="inlineStr">
        <is>
          <t>985</t>
        </is>
      </c>
      <c r="D255" t="inlineStr">
        <is>
          <t>11</t>
        </is>
      </c>
      <c r="E255" t="inlineStr">
        <is>
          <t>30</t>
        </is>
      </c>
      <c r="F255" t="inlineStr">
        <is>
          <t>D</t>
        </is>
      </c>
      <c r="G255" t="inlineStr">
        <is>
          <t>Low Cost</t>
        </is>
      </c>
      <c r="H255" t="n">
        <v>148</v>
      </c>
      <c r="I255">
        <f>B255&amp;"~"&amp;F255&amp;"~"&amp;G255</f>
        <v/>
      </c>
      <c r="J255" t="inlineStr">
        <is>
          <t>MVS Sec.11 p.30</t>
        </is>
      </c>
    </row>
    <row r="256">
      <c r="B256" t="inlineStr">
        <is>
          <t>Senior (Clubhouse) Centers</t>
        </is>
      </c>
      <c r="C256" t="inlineStr">
        <is>
          <t>985</t>
        </is>
      </c>
      <c r="D256" t="inlineStr">
        <is>
          <t>11</t>
        </is>
      </c>
      <c r="E256" t="inlineStr">
        <is>
          <t>30</t>
        </is>
      </c>
      <c r="F256" t="inlineStr">
        <is>
          <t>S</t>
        </is>
      </c>
      <c r="G256" t="inlineStr">
        <is>
          <t>Low Cost</t>
        </is>
      </c>
      <c r="H256" t="n">
        <v>136</v>
      </c>
      <c r="I256">
        <f>B256&amp;"~"&amp;F256&amp;"~"&amp;G256</f>
        <v/>
      </c>
      <c r="J256" t="inlineStr">
        <is>
          <t>MVS Sec.11 p.30</t>
        </is>
      </c>
    </row>
    <row r="257">
      <c r="B257" t="inlineStr">
        <is>
          <t>Country Clubs</t>
        </is>
      </c>
      <c r="C257" t="inlineStr">
        <is>
          <t>314</t>
        </is>
      </c>
      <c r="D257" t="inlineStr">
        <is>
          <t>11</t>
        </is>
      </c>
      <c r="E257" t="inlineStr">
        <is>
          <t>31</t>
        </is>
      </c>
      <c r="F257" t="inlineStr">
        <is>
          <t>C</t>
        </is>
      </c>
      <c r="G257" t="inlineStr">
        <is>
          <t>Excellent</t>
        </is>
      </c>
      <c r="H257" t="n">
        <v>341</v>
      </c>
      <c r="I257">
        <f>B257&amp;"~"&amp;F257&amp;"~"&amp;G257</f>
        <v/>
      </c>
      <c r="J257" t="inlineStr">
        <is>
          <t>MVS Sec.11 p.31</t>
        </is>
      </c>
    </row>
    <row r="258">
      <c r="B258" t="inlineStr">
        <is>
          <t>Country Clubs</t>
        </is>
      </c>
      <c r="C258" t="inlineStr">
        <is>
          <t>314</t>
        </is>
      </c>
      <c r="D258" t="inlineStr">
        <is>
          <t>11</t>
        </is>
      </c>
      <c r="E258" t="inlineStr">
        <is>
          <t>31</t>
        </is>
      </c>
      <c r="F258" t="inlineStr">
        <is>
          <t>C</t>
        </is>
      </c>
      <c r="G258" t="inlineStr">
        <is>
          <t>Good</t>
        </is>
      </c>
      <c r="H258" t="n">
        <v>259</v>
      </c>
      <c r="I258">
        <f>B258&amp;"~"&amp;F258&amp;"~"&amp;G258</f>
        <v/>
      </c>
      <c r="J258" t="inlineStr">
        <is>
          <t>MVS Sec.11 p.31</t>
        </is>
      </c>
    </row>
    <row r="259">
      <c r="B259" t="inlineStr">
        <is>
          <t>Country Clubs</t>
        </is>
      </c>
      <c r="C259" t="inlineStr">
        <is>
          <t>314</t>
        </is>
      </c>
      <c r="D259" t="inlineStr">
        <is>
          <t>11</t>
        </is>
      </c>
      <c r="E259" t="inlineStr">
        <is>
          <t>31</t>
        </is>
      </c>
      <c r="F259" t="inlineStr">
        <is>
          <t>C</t>
        </is>
      </c>
      <c r="G259" t="inlineStr">
        <is>
          <t>Average</t>
        </is>
      </c>
      <c r="H259" t="n">
        <v>198</v>
      </c>
      <c r="I259">
        <f>B259&amp;"~"&amp;F259&amp;"~"&amp;G259</f>
        <v/>
      </c>
      <c r="J259" t="inlineStr">
        <is>
          <t>MVS Sec.11 p.31</t>
        </is>
      </c>
    </row>
    <row r="260">
      <c r="B260" t="inlineStr">
        <is>
          <t>Country Clubs</t>
        </is>
      </c>
      <c r="C260" t="inlineStr">
        <is>
          <t>314</t>
        </is>
      </c>
      <c r="D260" t="inlineStr">
        <is>
          <t>11</t>
        </is>
      </c>
      <c r="E260" t="inlineStr">
        <is>
          <t>31</t>
        </is>
      </c>
      <c r="F260" t="inlineStr">
        <is>
          <t>C</t>
        </is>
      </c>
      <c r="G260" t="inlineStr">
        <is>
          <t>Low Cost</t>
        </is>
      </c>
      <c r="H260" t="n">
        <v>148</v>
      </c>
      <c r="I260">
        <f>B260&amp;"~"&amp;F260&amp;"~"&amp;G260</f>
        <v/>
      </c>
      <c r="J260" t="inlineStr">
        <is>
          <t>MVS Sec.11 p.31</t>
        </is>
      </c>
    </row>
    <row r="261">
      <c r="B261" t="inlineStr">
        <is>
          <t>Country Clubs</t>
        </is>
      </c>
      <c r="C261" t="inlineStr">
        <is>
          <t>314</t>
        </is>
      </c>
      <c r="D261" t="inlineStr">
        <is>
          <t>11</t>
        </is>
      </c>
      <c r="E261" t="inlineStr">
        <is>
          <t>31</t>
        </is>
      </c>
      <c r="F261" t="inlineStr">
        <is>
          <t>D</t>
        </is>
      </c>
      <c r="G261" t="inlineStr">
        <is>
          <t>Excellent</t>
        </is>
      </c>
      <c r="H261" t="n">
        <v>334</v>
      </c>
      <c r="I261">
        <f>B261&amp;"~"&amp;F261&amp;"~"&amp;G261</f>
        <v/>
      </c>
      <c r="J261" t="inlineStr">
        <is>
          <t>MVS Sec.11 p.31</t>
        </is>
      </c>
    </row>
    <row r="262">
      <c r="B262" t="inlineStr">
        <is>
          <t>Country Clubs</t>
        </is>
      </c>
      <c r="C262" t="inlineStr">
        <is>
          <t>314</t>
        </is>
      </c>
      <c r="D262" t="inlineStr">
        <is>
          <t>11</t>
        </is>
      </c>
      <c r="E262" t="inlineStr">
        <is>
          <t>31</t>
        </is>
      </c>
      <c r="F262" t="inlineStr">
        <is>
          <t>D</t>
        </is>
      </c>
      <c r="G262" t="inlineStr">
        <is>
          <t>Good</t>
        </is>
      </c>
      <c r="H262" t="n">
        <v>250</v>
      </c>
      <c r="I262">
        <f>B262&amp;"~"&amp;F262&amp;"~"&amp;G262</f>
        <v/>
      </c>
      <c r="J262" t="inlineStr">
        <is>
          <t>MVS Sec.11 p.31</t>
        </is>
      </c>
    </row>
    <row r="263">
      <c r="B263" t="inlineStr">
        <is>
          <t>Country Clubs</t>
        </is>
      </c>
      <c r="C263" t="inlineStr">
        <is>
          <t>314</t>
        </is>
      </c>
      <c r="D263" t="inlineStr">
        <is>
          <t>11</t>
        </is>
      </c>
      <c r="E263" t="inlineStr">
        <is>
          <t>31</t>
        </is>
      </c>
      <c r="F263" t="inlineStr">
        <is>
          <t>D</t>
        </is>
      </c>
      <c r="G263" t="inlineStr">
        <is>
          <t>Average</t>
        </is>
      </c>
      <c r="H263" t="n">
        <v>189</v>
      </c>
      <c r="I263">
        <f>B263&amp;"~"&amp;F263&amp;"~"&amp;G263</f>
        <v/>
      </c>
      <c r="J263" t="inlineStr">
        <is>
          <t>MVS Sec.11 p.31</t>
        </is>
      </c>
    </row>
    <row r="264">
      <c r="B264" t="inlineStr">
        <is>
          <t>Country Clubs</t>
        </is>
      </c>
      <c r="C264" t="inlineStr">
        <is>
          <t>314</t>
        </is>
      </c>
      <c r="D264" t="inlineStr">
        <is>
          <t>11</t>
        </is>
      </c>
      <c r="E264" t="inlineStr">
        <is>
          <t>31</t>
        </is>
      </c>
      <c r="F264" t="inlineStr">
        <is>
          <t>D</t>
        </is>
      </c>
      <c r="G264" t="inlineStr">
        <is>
          <t>Low Cost</t>
        </is>
      </c>
      <c r="H264" t="n">
        <v>139</v>
      </c>
      <c r="I264">
        <f>B264&amp;"~"&amp;F264&amp;"~"&amp;G264</f>
        <v/>
      </c>
      <c r="J264" t="inlineStr">
        <is>
          <t>MVS Sec.11 p.31</t>
        </is>
      </c>
    </row>
    <row r="265">
      <c r="B265" t="inlineStr">
        <is>
          <t>Country Clubs</t>
        </is>
      </c>
      <c r="C265" t="inlineStr">
        <is>
          <t>314</t>
        </is>
      </c>
      <c r="D265" t="inlineStr">
        <is>
          <t>11</t>
        </is>
      </c>
      <c r="E265" t="inlineStr">
        <is>
          <t>31</t>
        </is>
      </c>
      <c r="F265" t="inlineStr">
        <is>
          <t>S</t>
        </is>
      </c>
      <c r="G265" t="inlineStr">
        <is>
          <t>Average</t>
        </is>
      </c>
      <c r="H265" t="n">
        <v>178</v>
      </c>
      <c r="I265">
        <f>B265&amp;"~"&amp;F265&amp;"~"&amp;G265</f>
        <v/>
      </c>
      <c r="J265" t="inlineStr">
        <is>
          <t>MVS Sec.11 p.31</t>
        </is>
      </c>
    </row>
    <row r="266">
      <c r="B266" t="inlineStr">
        <is>
          <t>Country Clubs</t>
        </is>
      </c>
      <c r="C266" t="inlineStr">
        <is>
          <t>314</t>
        </is>
      </c>
      <c r="D266" t="inlineStr">
        <is>
          <t>11</t>
        </is>
      </c>
      <c r="E266" t="inlineStr">
        <is>
          <t>31</t>
        </is>
      </c>
      <c r="F266" t="inlineStr">
        <is>
          <t>S</t>
        </is>
      </c>
      <c r="G266" t="inlineStr">
        <is>
          <t>Low Cost</t>
        </is>
      </c>
      <c r="H266" t="n">
        <v>130</v>
      </c>
      <c r="I266">
        <f>B266&amp;"~"&amp;F266&amp;"~"&amp;G266</f>
        <v/>
      </c>
      <c r="J266" t="inlineStr">
        <is>
          <t>MVS Sec.11 p.31</t>
        </is>
      </c>
    </row>
    <row r="267">
      <c r="B267" t="inlineStr">
        <is>
          <t>Health Clubs (Spas)</t>
        </is>
      </c>
      <c r="C267" t="inlineStr">
        <is>
          <t>418</t>
        </is>
      </c>
      <c r="D267" t="inlineStr">
        <is>
          <t>11</t>
        </is>
      </c>
      <c r="E267" t="inlineStr">
        <is>
          <t>31</t>
        </is>
      </c>
      <c r="F267" t="inlineStr">
        <is>
          <t>C</t>
        </is>
      </c>
      <c r="G267" t="inlineStr">
        <is>
          <t>Good</t>
        </is>
      </c>
      <c r="H267" t="n">
        <v>236</v>
      </c>
      <c r="I267">
        <f>B267&amp;"~"&amp;F267&amp;"~"&amp;G267</f>
        <v/>
      </c>
      <c r="J267" t="inlineStr">
        <is>
          <t>MVS Sec.11 p.31</t>
        </is>
      </c>
    </row>
    <row r="268">
      <c r="B268" t="inlineStr">
        <is>
          <t>Health Clubs (Spas)</t>
        </is>
      </c>
      <c r="C268" t="inlineStr">
        <is>
          <t>418</t>
        </is>
      </c>
      <c r="D268" t="inlineStr">
        <is>
          <t>11</t>
        </is>
      </c>
      <c r="E268" t="inlineStr">
        <is>
          <t>31</t>
        </is>
      </c>
      <c r="F268" t="inlineStr">
        <is>
          <t>C</t>
        </is>
      </c>
      <c r="G268" t="inlineStr">
        <is>
          <t>Average</t>
        </is>
      </c>
      <c r="H268" t="n">
        <v>172</v>
      </c>
      <c r="I268">
        <f>B268&amp;"~"&amp;F268&amp;"~"&amp;G268</f>
        <v/>
      </c>
      <c r="J268" t="inlineStr">
        <is>
          <t>MVS Sec.11 p.31</t>
        </is>
      </c>
    </row>
    <row r="269">
      <c r="B269" t="inlineStr">
        <is>
          <t>Health Clubs (Spas)</t>
        </is>
      </c>
      <c r="C269" t="inlineStr">
        <is>
          <t>418</t>
        </is>
      </c>
      <c r="D269" t="inlineStr">
        <is>
          <t>11</t>
        </is>
      </c>
      <c r="E269" t="inlineStr">
        <is>
          <t>31</t>
        </is>
      </c>
      <c r="F269" t="inlineStr">
        <is>
          <t>C</t>
        </is>
      </c>
      <c r="G269" t="inlineStr">
        <is>
          <t>Low Cost</t>
        </is>
      </c>
      <c r="H269" t="n">
        <v>127</v>
      </c>
      <c r="I269">
        <f>B269&amp;"~"&amp;F269&amp;"~"&amp;G269</f>
        <v/>
      </c>
      <c r="J269" t="inlineStr">
        <is>
          <t>MVS Sec.11 p.31</t>
        </is>
      </c>
    </row>
    <row r="270">
      <c r="B270" t="inlineStr">
        <is>
          <t>Health Clubs (Spas)</t>
        </is>
      </c>
      <c r="C270" t="inlineStr">
        <is>
          <t>418</t>
        </is>
      </c>
      <c r="D270" t="inlineStr">
        <is>
          <t>11</t>
        </is>
      </c>
      <c r="E270" t="inlineStr">
        <is>
          <t>31</t>
        </is>
      </c>
      <c r="F270" t="inlineStr">
        <is>
          <t>D</t>
        </is>
      </c>
      <c r="G270" t="inlineStr">
        <is>
          <t>Good</t>
        </is>
      </c>
      <c r="H270" t="n">
        <v>227</v>
      </c>
      <c r="I270">
        <f>B270&amp;"~"&amp;F270&amp;"~"&amp;G270</f>
        <v/>
      </c>
      <c r="J270" t="inlineStr">
        <is>
          <t>MVS Sec.11 p.31</t>
        </is>
      </c>
    </row>
    <row r="271">
      <c r="B271" t="inlineStr">
        <is>
          <t>Health Clubs (Spas)</t>
        </is>
      </c>
      <c r="C271" t="inlineStr">
        <is>
          <t>418</t>
        </is>
      </c>
      <c r="D271" t="inlineStr">
        <is>
          <t>11</t>
        </is>
      </c>
      <c r="E271" t="inlineStr">
        <is>
          <t>31</t>
        </is>
      </c>
      <c r="F271" t="inlineStr">
        <is>
          <t>D</t>
        </is>
      </c>
      <c r="G271" t="inlineStr">
        <is>
          <t>Average</t>
        </is>
      </c>
      <c r="H271" t="n">
        <v>164</v>
      </c>
      <c r="I271">
        <f>B271&amp;"~"&amp;F271&amp;"~"&amp;G271</f>
        <v/>
      </c>
      <c r="J271" t="inlineStr">
        <is>
          <t>MVS Sec.11 p.31</t>
        </is>
      </c>
    </row>
    <row r="272">
      <c r="B272" t="inlineStr">
        <is>
          <t>Health Clubs (Spas)</t>
        </is>
      </c>
      <c r="C272" t="inlineStr">
        <is>
          <t>418</t>
        </is>
      </c>
      <c r="D272" t="inlineStr">
        <is>
          <t>11</t>
        </is>
      </c>
      <c r="E272" t="inlineStr">
        <is>
          <t>31</t>
        </is>
      </c>
      <c r="F272" t="inlineStr">
        <is>
          <t>D</t>
        </is>
      </c>
      <c r="G272" t="inlineStr">
        <is>
          <t>Low Cost</t>
        </is>
      </c>
      <c r="H272" t="n">
        <v>119</v>
      </c>
      <c r="I272">
        <f>B272&amp;"~"&amp;F272&amp;"~"&amp;G272</f>
        <v/>
      </c>
      <c r="J272" t="inlineStr">
        <is>
          <t>MVS Sec.11 p.31</t>
        </is>
      </c>
    </row>
    <row r="273">
      <c r="B273" t="inlineStr">
        <is>
          <t>Health Clubs (Spas)</t>
        </is>
      </c>
      <c r="C273" t="inlineStr">
        <is>
          <t>418</t>
        </is>
      </c>
      <c r="D273" t="inlineStr">
        <is>
          <t>11</t>
        </is>
      </c>
      <c r="E273" t="inlineStr">
        <is>
          <t>31</t>
        </is>
      </c>
      <c r="F273" t="inlineStr">
        <is>
          <t>S</t>
        </is>
      </c>
      <c r="G273" t="inlineStr">
        <is>
          <t>Average</t>
        </is>
      </c>
      <c r="H273" t="n">
        <v>157</v>
      </c>
      <c r="I273">
        <f>B273&amp;"~"&amp;F273&amp;"~"&amp;G273</f>
        <v/>
      </c>
      <c r="J273" t="inlineStr">
        <is>
          <t>MVS Sec.11 p.31</t>
        </is>
      </c>
    </row>
    <row r="274">
      <c r="B274" t="inlineStr">
        <is>
          <t>Health Clubs (Spas)</t>
        </is>
      </c>
      <c r="C274" t="inlineStr">
        <is>
          <t>418</t>
        </is>
      </c>
      <c r="D274" t="inlineStr">
        <is>
          <t>11</t>
        </is>
      </c>
      <c r="E274" t="inlineStr">
        <is>
          <t>31</t>
        </is>
      </c>
      <c r="F274" t="inlineStr">
        <is>
          <t>S</t>
        </is>
      </c>
      <c r="G274" t="inlineStr">
        <is>
          <t>Low Cost</t>
        </is>
      </c>
      <c r="H274" t="n">
        <v>113</v>
      </c>
      <c r="I274">
        <f>B274&amp;"~"&amp;F274&amp;"~"&amp;G274</f>
        <v/>
      </c>
      <c r="J274" t="inlineStr">
        <is>
          <t>MVS Sec.11 p.31</t>
        </is>
      </c>
    </row>
    <row r="275">
      <c r="B275" t="inlineStr">
        <is>
          <t>Mortuaries / Funeral Homes</t>
        </is>
      </c>
      <c r="C275" t="inlineStr">
        <is>
          <t>342</t>
        </is>
      </c>
      <c r="D275" t="inlineStr">
        <is>
          <t>11</t>
        </is>
      </c>
      <c r="E275" t="inlineStr">
        <is>
          <t>32</t>
        </is>
      </c>
      <c r="F275" t="inlineStr">
        <is>
          <t>A-B</t>
        </is>
      </c>
      <c r="G275" t="inlineStr">
        <is>
          <t>Good</t>
        </is>
      </c>
      <c r="H275" t="n">
        <v>324</v>
      </c>
      <c r="I275">
        <f>B275&amp;"~"&amp;F275&amp;"~"&amp;G275</f>
        <v/>
      </c>
      <c r="J275" t="inlineStr">
        <is>
          <t>MVS Sec.11 p.32</t>
        </is>
      </c>
    </row>
    <row r="276">
      <c r="B276" t="inlineStr">
        <is>
          <t>Mortuaries / Funeral Homes</t>
        </is>
      </c>
      <c r="C276" t="inlineStr">
        <is>
          <t>342</t>
        </is>
      </c>
      <c r="D276" t="inlineStr">
        <is>
          <t>11</t>
        </is>
      </c>
      <c r="E276" t="inlineStr">
        <is>
          <t>32</t>
        </is>
      </c>
      <c r="F276" t="inlineStr">
        <is>
          <t>A-B</t>
        </is>
      </c>
      <c r="G276" t="inlineStr">
        <is>
          <t>Average</t>
        </is>
      </c>
      <c r="H276" t="n">
        <v>258</v>
      </c>
      <c r="I276">
        <f>B276&amp;"~"&amp;F276&amp;"~"&amp;G276</f>
        <v/>
      </c>
      <c r="J276" t="inlineStr">
        <is>
          <t>MVS Sec.11 p.32</t>
        </is>
      </c>
    </row>
    <row r="277">
      <c r="B277" t="inlineStr">
        <is>
          <t>Mortuaries / Funeral Homes</t>
        </is>
      </c>
      <c r="C277" t="inlineStr">
        <is>
          <t>342</t>
        </is>
      </c>
      <c r="D277" t="inlineStr">
        <is>
          <t>11</t>
        </is>
      </c>
      <c r="E277" t="inlineStr">
        <is>
          <t>32</t>
        </is>
      </c>
      <c r="F277" t="inlineStr">
        <is>
          <t>C</t>
        </is>
      </c>
      <c r="G277" t="inlineStr">
        <is>
          <t>Excellent</t>
        </is>
      </c>
      <c r="H277" t="n">
        <v>291</v>
      </c>
      <c r="I277">
        <f>B277&amp;"~"&amp;F277&amp;"~"&amp;G277</f>
        <v/>
      </c>
      <c r="J277" t="inlineStr">
        <is>
          <t>MVS Sec.11 p.32</t>
        </is>
      </c>
    </row>
    <row r="278">
      <c r="B278" t="inlineStr">
        <is>
          <t>Mortuaries / Funeral Homes</t>
        </is>
      </c>
      <c r="C278" t="inlineStr">
        <is>
          <t>342</t>
        </is>
      </c>
      <c r="D278" t="inlineStr">
        <is>
          <t>11</t>
        </is>
      </c>
      <c r="E278" t="inlineStr">
        <is>
          <t>32</t>
        </is>
      </c>
      <c r="F278" t="inlineStr">
        <is>
          <t>C</t>
        </is>
      </c>
      <c r="G278" t="inlineStr">
        <is>
          <t>Good</t>
        </is>
      </c>
      <c r="H278" t="n">
        <v>214</v>
      </c>
      <c r="I278">
        <f>B278&amp;"~"&amp;F278&amp;"~"&amp;G278</f>
        <v/>
      </c>
      <c r="J278" t="inlineStr">
        <is>
          <t>MVS Sec.11 p.32</t>
        </is>
      </c>
    </row>
    <row r="279">
      <c r="B279" t="inlineStr">
        <is>
          <t>Mortuaries / Funeral Homes</t>
        </is>
      </c>
      <c r="C279" t="inlineStr">
        <is>
          <t>342</t>
        </is>
      </c>
      <c r="D279" t="inlineStr">
        <is>
          <t>11</t>
        </is>
      </c>
      <c r="E279" t="inlineStr">
        <is>
          <t>32</t>
        </is>
      </c>
      <c r="F279" t="inlineStr">
        <is>
          <t>C</t>
        </is>
      </c>
      <c r="G279" t="inlineStr">
        <is>
          <t>Average</t>
        </is>
      </c>
      <c r="H279" t="n">
        <v>159</v>
      </c>
      <c r="I279">
        <f>B279&amp;"~"&amp;F279&amp;"~"&amp;G279</f>
        <v/>
      </c>
      <c r="J279" t="inlineStr">
        <is>
          <t>MVS Sec.11 p.32</t>
        </is>
      </c>
    </row>
    <row r="280">
      <c r="B280" t="inlineStr">
        <is>
          <t>Mortuaries / Funeral Homes</t>
        </is>
      </c>
      <c r="C280" t="inlineStr">
        <is>
          <t>342</t>
        </is>
      </c>
      <c r="D280" t="inlineStr">
        <is>
          <t>11</t>
        </is>
      </c>
      <c r="E280" t="inlineStr">
        <is>
          <t>32</t>
        </is>
      </c>
      <c r="F280" t="inlineStr">
        <is>
          <t>C</t>
        </is>
      </c>
      <c r="G280" t="inlineStr">
        <is>
          <t>Low Cost</t>
        </is>
      </c>
      <c r="H280" t="n">
        <v>115</v>
      </c>
      <c r="I280">
        <f>B280&amp;"~"&amp;F280&amp;"~"&amp;G280</f>
        <v/>
      </c>
      <c r="J280" t="inlineStr">
        <is>
          <t>MVS Sec.11 p.32</t>
        </is>
      </c>
    </row>
    <row r="281">
      <c r="B281" t="inlineStr">
        <is>
          <t>Mortuaries / Funeral Homes</t>
        </is>
      </c>
      <c r="C281" t="inlineStr">
        <is>
          <t>342</t>
        </is>
      </c>
      <c r="D281" t="inlineStr">
        <is>
          <t>11</t>
        </is>
      </c>
      <c r="E281" t="inlineStr">
        <is>
          <t>32</t>
        </is>
      </c>
      <c r="F281" t="inlineStr">
        <is>
          <t>D</t>
        </is>
      </c>
      <c r="G281" t="inlineStr">
        <is>
          <t>Excellent</t>
        </is>
      </c>
      <c r="H281" t="n">
        <v>283</v>
      </c>
      <c r="I281">
        <f>B281&amp;"~"&amp;F281&amp;"~"&amp;G281</f>
        <v/>
      </c>
      <c r="J281" t="inlineStr">
        <is>
          <t>MVS Sec.11 p.32</t>
        </is>
      </c>
    </row>
    <row r="282">
      <c r="B282" t="inlineStr">
        <is>
          <t>Mortuaries / Funeral Homes</t>
        </is>
      </c>
      <c r="C282" t="inlineStr">
        <is>
          <t>342</t>
        </is>
      </c>
      <c r="D282" t="inlineStr">
        <is>
          <t>11</t>
        </is>
      </c>
      <c r="E282" t="inlineStr">
        <is>
          <t>32</t>
        </is>
      </c>
      <c r="F282" t="inlineStr">
        <is>
          <t>D</t>
        </is>
      </c>
      <c r="G282" t="inlineStr">
        <is>
          <t>Good</t>
        </is>
      </c>
      <c r="H282" t="n">
        <v>206</v>
      </c>
      <c r="I282">
        <f>B282&amp;"~"&amp;F282&amp;"~"&amp;G282</f>
        <v/>
      </c>
      <c r="J282" t="inlineStr">
        <is>
          <t>MVS Sec.11 p.32</t>
        </is>
      </c>
    </row>
    <row r="283">
      <c r="B283" t="inlineStr">
        <is>
          <t>Mortuaries / Funeral Homes</t>
        </is>
      </c>
      <c r="C283" t="inlineStr">
        <is>
          <t>342</t>
        </is>
      </c>
      <c r="D283" t="inlineStr">
        <is>
          <t>11</t>
        </is>
      </c>
      <c r="E283" t="inlineStr">
        <is>
          <t>32</t>
        </is>
      </c>
      <c r="F283" t="inlineStr">
        <is>
          <t>D</t>
        </is>
      </c>
      <c r="G283" t="inlineStr">
        <is>
          <t>Average</t>
        </is>
      </c>
      <c r="H283" t="n">
        <v>151</v>
      </c>
      <c r="I283">
        <f>B283&amp;"~"&amp;F283&amp;"~"&amp;G283</f>
        <v/>
      </c>
      <c r="J283" t="inlineStr">
        <is>
          <t>MVS Sec.11 p.32</t>
        </is>
      </c>
    </row>
    <row r="284">
      <c r="B284" t="inlineStr">
        <is>
          <t>Mortuaries / Funeral Homes</t>
        </is>
      </c>
      <c r="C284" t="inlineStr">
        <is>
          <t>342</t>
        </is>
      </c>
      <c r="D284" t="inlineStr">
        <is>
          <t>11</t>
        </is>
      </c>
      <c r="E284" t="inlineStr">
        <is>
          <t>32</t>
        </is>
      </c>
      <c r="F284" t="inlineStr">
        <is>
          <t>D</t>
        </is>
      </c>
      <c r="G284" t="inlineStr">
        <is>
          <t>Low Cost</t>
        </is>
      </c>
      <c r="H284" t="n">
        <v>108</v>
      </c>
      <c r="I284">
        <f>B284&amp;"~"&amp;F284&amp;"~"&amp;G284</f>
        <v/>
      </c>
      <c r="J284" t="inlineStr">
        <is>
          <t>MVS Sec.11 p.32</t>
        </is>
      </c>
    </row>
    <row r="285">
      <c r="B285" t="inlineStr">
        <is>
          <t>Mortuaries / Funeral Homes</t>
        </is>
      </c>
      <c r="C285" t="inlineStr">
        <is>
          <t>342</t>
        </is>
      </c>
      <c r="D285" t="inlineStr">
        <is>
          <t>11</t>
        </is>
      </c>
      <c r="E285" t="inlineStr">
        <is>
          <t>32</t>
        </is>
      </c>
      <c r="F285" t="inlineStr">
        <is>
          <t>DPOLE</t>
        </is>
      </c>
      <c r="G285" t="inlineStr">
        <is>
          <t>Low Cost</t>
        </is>
      </c>
      <c r="H285" t="n">
        <v>101</v>
      </c>
      <c r="I285">
        <f>B285&amp;"~"&amp;F285&amp;"~"&amp;G285</f>
        <v/>
      </c>
      <c r="J285" t="inlineStr">
        <is>
          <t>MVS Sec.11 p.32</t>
        </is>
      </c>
    </row>
    <row r="286">
      <c r="B286" t="inlineStr">
        <is>
          <t>Mortuaries / Funeral Homes</t>
        </is>
      </c>
      <c r="C286" t="inlineStr">
        <is>
          <t>342</t>
        </is>
      </c>
      <c r="D286" t="inlineStr">
        <is>
          <t>11</t>
        </is>
      </c>
      <c r="E286" t="inlineStr">
        <is>
          <t>32</t>
        </is>
      </c>
      <c r="F286" t="inlineStr">
        <is>
          <t>S</t>
        </is>
      </c>
      <c r="G286" t="inlineStr">
        <is>
          <t>Average</t>
        </is>
      </c>
      <c r="H286" t="n">
        <v>143</v>
      </c>
      <c r="I286">
        <f>B286&amp;"~"&amp;F286&amp;"~"&amp;G286</f>
        <v/>
      </c>
      <c r="J286" t="inlineStr">
        <is>
          <t>MVS Sec.11 p.32</t>
        </is>
      </c>
    </row>
    <row r="287">
      <c r="B287" t="inlineStr">
        <is>
          <t>Mortuaries / Funeral Homes</t>
        </is>
      </c>
      <c r="C287" t="inlineStr">
        <is>
          <t>342</t>
        </is>
      </c>
      <c r="D287" t="inlineStr">
        <is>
          <t>11</t>
        </is>
      </c>
      <c r="E287" t="inlineStr">
        <is>
          <t>32</t>
        </is>
      </c>
      <c r="F287" t="inlineStr">
        <is>
          <t>S</t>
        </is>
      </c>
      <c r="G287" t="inlineStr">
        <is>
          <t>Low Cost</t>
        </is>
      </c>
      <c r="H287" t="n">
        <v>101</v>
      </c>
      <c r="I287">
        <f>B287&amp;"~"&amp;F287&amp;"~"&amp;G287</f>
        <v/>
      </c>
      <c r="J287" t="inlineStr">
        <is>
          <t>MVS Sec.11 p.32</t>
        </is>
      </c>
    </row>
    <row r="288">
      <c r="B288" t="inlineStr">
        <is>
          <t>High-Rise Row (Town) Houses</t>
        </is>
      </c>
      <c r="C288" t="inlineStr">
        <is>
          <t>177</t>
        </is>
      </c>
      <c r="D288" t="inlineStr">
        <is>
          <t>11</t>
        </is>
      </c>
      <c r="E288" t="inlineStr">
        <is>
          <t>33</t>
        </is>
      </c>
      <c r="F288" t="inlineStr">
        <is>
          <t>C</t>
        </is>
      </c>
      <c r="G288" t="inlineStr">
        <is>
          <t>Excellent</t>
        </is>
      </c>
      <c r="H288" t="n">
        <v>222</v>
      </c>
      <c r="I288">
        <f>B288&amp;"~"&amp;F288&amp;"~"&amp;G288</f>
        <v/>
      </c>
      <c r="J288" t="inlineStr">
        <is>
          <t>MVS Sec.11 p.33</t>
        </is>
      </c>
    </row>
    <row r="289">
      <c r="B289" t="inlineStr">
        <is>
          <t>High-Rise Row (Town) Houses</t>
        </is>
      </c>
      <c r="C289" t="inlineStr">
        <is>
          <t>177</t>
        </is>
      </c>
      <c r="D289" t="inlineStr">
        <is>
          <t>11</t>
        </is>
      </c>
      <c r="E289" t="inlineStr">
        <is>
          <t>33</t>
        </is>
      </c>
      <c r="F289" t="inlineStr">
        <is>
          <t>C</t>
        </is>
      </c>
      <c r="G289" t="inlineStr">
        <is>
          <t>Good</t>
        </is>
      </c>
      <c r="H289" t="n">
        <v>166</v>
      </c>
      <c r="I289">
        <f>B289&amp;"~"&amp;F289&amp;"~"&amp;G289</f>
        <v/>
      </c>
      <c r="J289" t="inlineStr">
        <is>
          <t>MVS Sec.11 p.33</t>
        </is>
      </c>
    </row>
    <row r="290">
      <c r="B290" t="inlineStr">
        <is>
          <t>High-Rise Row (Town) Houses</t>
        </is>
      </c>
      <c r="C290" t="inlineStr">
        <is>
          <t>177</t>
        </is>
      </c>
      <c r="D290" t="inlineStr">
        <is>
          <t>11</t>
        </is>
      </c>
      <c r="E290" t="inlineStr">
        <is>
          <t>33</t>
        </is>
      </c>
      <c r="F290" t="inlineStr">
        <is>
          <t>C</t>
        </is>
      </c>
      <c r="G290" t="inlineStr">
        <is>
          <t>Average</t>
        </is>
      </c>
      <c r="H290" t="n">
        <v>128</v>
      </c>
      <c r="I290">
        <f>B290&amp;"~"&amp;F290&amp;"~"&amp;G290</f>
        <v/>
      </c>
      <c r="J290" t="inlineStr">
        <is>
          <t>MVS Sec.11 p.33</t>
        </is>
      </c>
    </row>
    <row r="291">
      <c r="B291" t="inlineStr">
        <is>
          <t>High-Rise Row (Town) Houses</t>
        </is>
      </c>
      <c r="C291" t="inlineStr">
        <is>
          <t>177</t>
        </is>
      </c>
      <c r="D291" t="inlineStr">
        <is>
          <t>11</t>
        </is>
      </c>
      <c r="E291" t="inlineStr">
        <is>
          <t>33</t>
        </is>
      </c>
      <c r="F291" t="inlineStr">
        <is>
          <t>CMILL</t>
        </is>
      </c>
      <c r="G291" t="inlineStr">
        <is>
          <t>Excellent</t>
        </is>
      </c>
      <c r="H291" t="n">
        <v>237</v>
      </c>
      <c r="I291">
        <f>B291&amp;"~"&amp;F291&amp;"~"&amp;G291</f>
        <v/>
      </c>
      <c r="J291" t="inlineStr">
        <is>
          <t>MVS Sec.11 p.33</t>
        </is>
      </c>
    </row>
    <row r="292">
      <c r="B292" t="inlineStr">
        <is>
          <t>High-Rise Row (Town) Houses</t>
        </is>
      </c>
      <c r="C292" t="inlineStr">
        <is>
          <t>177</t>
        </is>
      </c>
      <c r="D292" t="inlineStr">
        <is>
          <t>11</t>
        </is>
      </c>
      <c r="E292" t="inlineStr">
        <is>
          <t>33</t>
        </is>
      </c>
      <c r="F292" t="inlineStr">
        <is>
          <t>CMILL</t>
        </is>
      </c>
      <c r="G292" t="inlineStr">
        <is>
          <t>Good</t>
        </is>
      </c>
      <c r="H292" t="n">
        <v>190</v>
      </c>
      <c r="I292">
        <f>B292&amp;"~"&amp;F292&amp;"~"&amp;G292</f>
        <v/>
      </c>
      <c r="J292" t="inlineStr">
        <is>
          <t>MVS Sec.11 p.33</t>
        </is>
      </c>
    </row>
    <row r="293">
      <c r="B293" t="inlineStr">
        <is>
          <t>High-Rise Row (Town) Houses</t>
        </is>
      </c>
      <c r="C293" t="inlineStr">
        <is>
          <t>177</t>
        </is>
      </c>
      <c r="D293" t="inlineStr">
        <is>
          <t>11</t>
        </is>
      </c>
      <c r="E293" t="inlineStr">
        <is>
          <t>33</t>
        </is>
      </c>
      <c r="F293" t="inlineStr">
        <is>
          <t>CMILL</t>
        </is>
      </c>
      <c r="G293" t="inlineStr">
        <is>
          <t>Average</t>
        </is>
      </c>
      <c r="H293" t="n">
        <v>153</v>
      </c>
      <c r="I293">
        <f>B293&amp;"~"&amp;F293&amp;"~"&amp;G293</f>
        <v/>
      </c>
      <c r="J293" t="inlineStr">
        <is>
          <t>MVS Sec.11 p.33</t>
        </is>
      </c>
    </row>
    <row r="294">
      <c r="B294" t="inlineStr">
        <is>
          <t>High-Rise Row (Town) Houses</t>
        </is>
      </c>
      <c r="C294" t="inlineStr">
        <is>
          <t>177</t>
        </is>
      </c>
      <c r="D294" t="inlineStr">
        <is>
          <t>11</t>
        </is>
      </c>
      <c r="E294" t="inlineStr">
        <is>
          <t>33</t>
        </is>
      </c>
      <c r="F294" t="inlineStr">
        <is>
          <t>DMASVEN</t>
        </is>
      </c>
      <c r="G294" t="inlineStr">
        <is>
          <t>Excellent</t>
        </is>
      </c>
      <c r="H294" t="n">
        <v>218</v>
      </c>
      <c r="I294">
        <f>B294&amp;"~"&amp;F294&amp;"~"&amp;G294</f>
        <v/>
      </c>
      <c r="J294" t="inlineStr">
        <is>
          <t>MVS Sec.11 p.33</t>
        </is>
      </c>
    </row>
    <row r="295">
      <c r="B295" t="inlineStr">
        <is>
          <t>High-Rise Row (Town) Houses</t>
        </is>
      </c>
      <c r="C295" t="inlineStr">
        <is>
          <t>177</t>
        </is>
      </c>
      <c r="D295" t="inlineStr">
        <is>
          <t>11</t>
        </is>
      </c>
      <c r="E295" t="inlineStr">
        <is>
          <t>33</t>
        </is>
      </c>
      <c r="F295" t="inlineStr">
        <is>
          <t>DMASVEN</t>
        </is>
      </c>
      <c r="G295" t="inlineStr">
        <is>
          <t>Good</t>
        </is>
      </c>
      <c r="H295" t="n">
        <v>163</v>
      </c>
      <c r="I295">
        <f>B295&amp;"~"&amp;F295&amp;"~"&amp;G295</f>
        <v/>
      </c>
      <c r="J295" t="inlineStr">
        <is>
          <t>MVS Sec.11 p.33</t>
        </is>
      </c>
    </row>
    <row r="296">
      <c r="B296" t="inlineStr">
        <is>
          <t>High-Rise Row (Town) Houses</t>
        </is>
      </c>
      <c r="C296" t="inlineStr">
        <is>
          <t>177</t>
        </is>
      </c>
      <c r="D296" t="inlineStr">
        <is>
          <t>11</t>
        </is>
      </c>
      <c r="E296" t="inlineStr">
        <is>
          <t>33</t>
        </is>
      </c>
      <c r="F296" t="inlineStr">
        <is>
          <t>DMASVEN</t>
        </is>
      </c>
      <c r="G296" t="inlineStr">
        <is>
          <t>Average</t>
        </is>
      </c>
      <c r="H296" t="n">
        <v>125</v>
      </c>
      <c r="I296">
        <f>B296&amp;"~"&amp;F296&amp;"~"&amp;G296</f>
        <v/>
      </c>
      <c r="J296" t="inlineStr">
        <is>
          <t>MVS Sec.11 p.33</t>
        </is>
      </c>
    </row>
    <row r="297">
      <c r="B297" t="inlineStr">
        <is>
          <t>High-Rise Row (Town) Houses</t>
        </is>
      </c>
      <c r="C297" t="inlineStr">
        <is>
          <t>177</t>
        </is>
      </c>
      <c r="D297" t="inlineStr">
        <is>
          <t>11</t>
        </is>
      </c>
      <c r="E297" t="inlineStr">
        <is>
          <t>33</t>
        </is>
      </c>
      <c r="F297" t="inlineStr">
        <is>
          <t>D</t>
        </is>
      </c>
      <c r="G297" t="inlineStr">
        <is>
          <t>Excellent</t>
        </is>
      </c>
      <c r="H297" t="n">
        <v>209</v>
      </c>
      <c r="I297">
        <f>B297&amp;"~"&amp;F297&amp;"~"&amp;G297</f>
        <v/>
      </c>
      <c r="J297" t="inlineStr">
        <is>
          <t>MVS Sec.11 p.33</t>
        </is>
      </c>
    </row>
    <row r="298">
      <c r="B298" t="inlineStr">
        <is>
          <t>High-Rise Row (Town) Houses</t>
        </is>
      </c>
      <c r="C298" t="inlineStr">
        <is>
          <t>177</t>
        </is>
      </c>
      <c r="D298" t="inlineStr">
        <is>
          <t>11</t>
        </is>
      </c>
      <c r="E298" t="inlineStr">
        <is>
          <t>33</t>
        </is>
      </c>
      <c r="F298" t="inlineStr">
        <is>
          <t>D</t>
        </is>
      </c>
      <c r="G298" t="inlineStr">
        <is>
          <t>Good</t>
        </is>
      </c>
      <c r="H298" t="n">
        <v>157</v>
      </c>
      <c r="I298">
        <f>B298&amp;"~"&amp;F298&amp;"~"&amp;G298</f>
        <v/>
      </c>
      <c r="J298" t="inlineStr">
        <is>
          <t>MVS Sec.11 p.33</t>
        </is>
      </c>
    </row>
    <row r="299">
      <c r="B299" t="inlineStr">
        <is>
          <t>High-Rise Row (Town) Houses</t>
        </is>
      </c>
      <c r="C299" t="inlineStr">
        <is>
          <t>177</t>
        </is>
      </c>
      <c r="D299" t="inlineStr">
        <is>
          <t>11</t>
        </is>
      </c>
      <c r="E299" t="inlineStr">
        <is>
          <t>33</t>
        </is>
      </c>
      <c r="F299" t="inlineStr">
        <is>
          <t>D</t>
        </is>
      </c>
      <c r="G299" t="inlineStr">
        <is>
          <t>Average</t>
        </is>
      </c>
      <c r="H299" t="n">
        <v>121</v>
      </c>
      <c r="I299">
        <f>B299&amp;"~"&amp;F299&amp;"~"&amp;G299</f>
        <v/>
      </c>
      <c r="J299" t="inlineStr">
        <is>
          <t>MVS Sec.11 p.33</t>
        </is>
      </c>
    </row>
    <row r="300">
      <c r="B300" t="inlineStr">
        <is>
          <t>Motels</t>
        </is>
      </c>
      <c r="C300" t="inlineStr">
        <is>
          <t>343</t>
        </is>
      </c>
      <c r="D300" t="inlineStr">
        <is>
          <t>12</t>
        </is>
      </c>
      <c r="E300" t="inlineStr">
        <is>
          <t>9</t>
        </is>
      </c>
      <c r="F300" t="inlineStr">
        <is>
          <t>C</t>
        </is>
      </c>
      <c r="G300" t="inlineStr">
        <is>
          <t>Excellent</t>
        </is>
      </c>
      <c r="H300" t="n">
        <v>237</v>
      </c>
      <c r="I300">
        <f>B300&amp;"~"&amp;F300&amp;"~"&amp;G300</f>
        <v/>
      </c>
      <c r="J300" t="inlineStr">
        <is>
          <t>MVS Sec.12 p.9</t>
        </is>
      </c>
    </row>
    <row r="301">
      <c r="B301" t="inlineStr">
        <is>
          <t>Motels</t>
        </is>
      </c>
      <c r="C301" t="inlineStr">
        <is>
          <t>343</t>
        </is>
      </c>
      <c r="D301" t="inlineStr">
        <is>
          <t>12</t>
        </is>
      </c>
      <c r="E301" t="inlineStr">
        <is>
          <t>9</t>
        </is>
      </c>
      <c r="F301" t="inlineStr">
        <is>
          <t>C</t>
        </is>
      </c>
      <c r="G301" t="inlineStr">
        <is>
          <t>Good</t>
        </is>
      </c>
      <c r="H301" t="n">
        <v>176</v>
      </c>
      <c r="I301">
        <f>B301&amp;"~"&amp;F301&amp;"~"&amp;G301</f>
        <v/>
      </c>
      <c r="J301" t="inlineStr">
        <is>
          <t>MVS Sec.12 p.9</t>
        </is>
      </c>
    </row>
    <row r="302">
      <c r="B302" t="inlineStr">
        <is>
          <t>Motels</t>
        </is>
      </c>
      <c r="C302" t="inlineStr">
        <is>
          <t>343</t>
        </is>
      </c>
      <c r="D302" t="inlineStr">
        <is>
          <t>12</t>
        </is>
      </c>
      <c r="E302" t="inlineStr">
        <is>
          <t>9</t>
        </is>
      </c>
      <c r="F302" t="inlineStr">
        <is>
          <t>C</t>
        </is>
      </c>
      <c r="G302" t="inlineStr">
        <is>
          <t>Average</t>
        </is>
      </c>
      <c r="H302" t="n">
        <v>128</v>
      </c>
      <c r="I302">
        <f>B302&amp;"~"&amp;F302&amp;"~"&amp;G302</f>
        <v/>
      </c>
      <c r="J302" t="inlineStr">
        <is>
          <t>MVS Sec.12 p.9</t>
        </is>
      </c>
    </row>
    <row r="303">
      <c r="B303" t="inlineStr">
        <is>
          <t>Motels</t>
        </is>
      </c>
      <c r="C303" t="inlineStr">
        <is>
          <t>343</t>
        </is>
      </c>
      <c r="D303" t="inlineStr">
        <is>
          <t>12</t>
        </is>
      </c>
      <c r="E303" t="inlineStr">
        <is>
          <t>9</t>
        </is>
      </c>
      <c r="F303" t="inlineStr">
        <is>
          <t>C</t>
        </is>
      </c>
      <c r="G303" t="inlineStr">
        <is>
          <t>Fair</t>
        </is>
      </c>
      <c r="H303" t="n">
        <v>112</v>
      </c>
      <c r="I303">
        <f>B303&amp;"~"&amp;F303&amp;"~"&amp;G303</f>
        <v/>
      </c>
      <c r="J303" t="inlineStr">
        <is>
          <t>MVS Sec.12 p.9</t>
        </is>
      </c>
    </row>
    <row r="304">
      <c r="B304" t="inlineStr">
        <is>
          <t>Motels</t>
        </is>
      </c>
      <c r="C304" t="inlineStr">
        <is>
          <t>343</t>
        </is>
      </c>
      <c r="D304" t="inlineStr">
        <is>
          <t>12</t>
        </is>
      </c>
      <c r="E304" t="inlineStr">
        <is>
          <t>9</t>
        </is>
      </c>
      <c r="F304" t="inlineStr">
        <is>
          <t>C</t>
        </is>
      </c>
      <c r="G304" t="inlineStr">
        <is>
          <t>Low Cost</t>
        </is>
      </c>
      <c r="H304" t="n">
        <v>95</v>
      </c>
      <c r="I304">
        <f>B304&amp;"~"&amp;F304&amp;"~"&amp;G304</f>
        <v/>
      </c>
      <c r="J304" t="inlineStr">
        <is>
          <t>MVS Sec.12 p.9</t>
        </is>
      </c>
    </row>
    <row r="305">
      <c r="B305" t="inlineStr">
        <is>
          <t>Motels</t>
        </is>
      </c>
      <c r="C305" t="inlineStr">
        <is>
          <t>343</t>
        </is>
      </c>
      <c r="D305" t="inlineStr">
        <is>
          <t>12</t>
        </is>
      </c>
      <c r="E305" t="inlineStr">
        <is>
          <t>9</t>
        </is>
      </c>
      <c r="F305" t="inlineStr">
        <is>
          <t>C</t>
        </is>
      </c>
      <c r="G305" t="inlineStr">
        <is>
          <t>Cheap</t>
        </is>
      </c>
      <c r="H305" t="n">
        <v>79</v>
      </c>
      <c r="I305">
        <f>B305&amp;"~"&amp;F305&amp;"~"&amp;G305</f>
        <v/>
      </c>
      <c r="J305" t="inlineStr">
        <is>
          <t>MVS Sec.12 p.9</t>
        </is>
      </c>
    </row>
    <row r="306">
      <c r="B306" t="inlineStr">
        <is>
          <t>Motels</t>
        </is>
      </c>
      <c r="C306" t="inlineStr">
        <is>
          <t>343</t>
        </is>
      </c>
      <c r="D306" t="inlineStr">
        <is>
          <t>12</t>
        </is>
      </c>
      <c r="E306" t="inlineStr">
        <is>
          <t>9</t>
        </is>
      </c>
      <c r="F306" t="inlineStr">
        <is>
          <t>D</t>
        </is>
      </c>
      <c r="G306" t="inlineStr">
        <is>
          <t>Excellent</t>
        </is>
      </c>
      <c r="H306" t="n">
        <v>233</v>
      </c>
      <c r="I306">
        <f>B306&amp;"~"&amp;F306&amp;"~"&amp;G306</f>
        <v/>
      </c>
      <c r="J306" t="inlineStr">
        <is>
          <t>MVS Sec.12 p.9</t>
        </is>
      </c>
    </row>
    <row r="307">
      <c r="B307" t="inlineStr">
        <is>
          <t>Motels</t>
        </is>
      </c>
      <c r="C307" t="inlineStr">
        <is>
          <t>343</t>
        </is>
      </c>
      <c r="D307" t="inlineStr">
        <is>
          <t>12</t>
        </is>
      </c>
      <c r="E307" t="inlineStr">
        <is>
          <t>9</t>
        </is>
      </c>
      <c r="F307" t="inlineStr">
        <is>
          <t>D</t>
        </is>
      </c>
      <c r="G307" t="inlineStr">
        <is>
          <t>Good</t>
        </is>
      </c>
      <c r="H307" t="n">
        <v>172</v>
      </c>
      <c r="I307">
        <f>B307&amp;"~"&amp;F307&amp;"~"&amp;G307</f>
        <v/>
      </c>
      <c r="J307" t="inlineStr">
        <is>
          <t>MVS Sec.12 p.9</t>
        </is>
      </c>
    </row>
    <row r="308">
      <c r="B308" t="inlineStr">
        <is>
          <t>Motels</t>
        </is>
      </c>
      <c r="C308" t="inlineStr">
        <is>
          <t>343</t>
        </is>
      </c>
      <c r="D308" t="inlineStr">
        <is>
          <t>12</t>
        </is>
      </c>
      <c r="E308" t="inlineStr">
        <is>
          <t>9</t>
        </is>
      </c>
      <c r="F308" t="inlineStr">
        <is>
          <t>D</t>
        </is>
      </c>
      <c r="G308" t="inlineStr">
        <is>
          <t>Average</t>
        </is>
      </c>
      <c r="H308" t="n">
        <v>125</v>
      </c>
      <c r="I308">
        <f>B308&amp;"~"&amp;F308&amp;"~"&amp;G308</f>
        <v/>
      </c>
      <c r="J308" t="inlineStr">
        <is>
          <t>MVS Sec.12 p.9</t>
        </is>
      </c>
    </row>
    <row r="309">
      <c r="B309" t="inlineStr">
        <is>
          <t>Motels</t>
        </is>
      </c>
      <c r="C309" t="inlineStr">
        <is>
          <t>343</t>
        </is>
      </c>
      <c r="D309" t="inlineStr">
        <is>
          <t>12</t>
        </is>
      </c>
      <c r="E309" t="inlineStr">
        <is>
          <t>9</t>
        </is>
      </c>
      <c r="F309" t="inlineStr">
        <is>
          <t>D</t>
        </is>
      </c>
      <c r="G309" t="inlineStr">
        <is>
          <t>Fair</t>
        </is>
      </c>
      <c r="H309" t="n">
        <v>109</v>
      </c>
      <c r="I309">
        <f>B309&amp;"~"&amp;F309&amp;"~"&amp;G309</f>
        <v/>
      </c>
      <c r="J309" t="inlineStr">
        <is>
          <t>MVS Sec.12 p.9</t>
        </is>
      </c>
    </row>
    <row r="310">
      <c r="B310" t="inlineStr">
        <is>
          <t>Motels</t>
        </is>
      </c>
      <c r="C310" t="inlineStr">
        <is>
          <t>343</t>
        </is>
      </c>
      <c r="D310" t="inlineStr">
        <is>
          <t>12</t>
        </is>
      </c>
      <c r="E310" t="inlineStr">
        <is>
          <t>9</t>
        </is>
      </c>
      <c r="F310" t="inlineStr">
        <is>
          <t>D</t>
        </is>
      </c>
      <c r="G310" t="inlineStr">
        <is>
          <t>Low Cost</t>
        </is>
      </c>
      <c r="H310" t="n">
        <v>92.5</v>
      </c>
      <c r="I310">
        <f>B310&amp;"~"&amp;F310&amp;"~"&amp;G310</f>
        <v/>
      </c>
      <c r="J310" t="inlineStr">
        <is>
          <t>MVS Sec.12 p.9</t>
        </is>
      </c>
    </row>
    <row r="311">
      <c r="B311" t="inlineStr">
        <is>
          <t>Motels</t>
        </is>
      </c>
      <c r="C311" t="inlineStr">
        <is>
          <t>343</t>
        </is>
      </c>
      <c r="D311" t="inlineStr">
        <is>
          <t>12</t>
        </is>
      </c>
      <c r="E311" t="inlineStr">
        <is>
          <t>9</t>
        </is>
      </c>
      <c r="F311" t="inlineStr">
        <is>
          <t>D</t>
        </is>
      </c>
      <c r="G311" t="inlineStr">
        <is>
          <t>Cheap</t>
        </is>
      </c>
      <c r="H311" t="n">
        <v>77</v>
      </c>
      <c r="I311">
        <f>B311&amp;"~"&amp;F311&amp;"~"&amp;G311</f>
        <v/>
      </c>
      <c r="J311" t="inlineStr">
        <is>
          <t>MVS Sec.12 p.9</t>
        </is>
      </c>
    </row>
    <row r="312">
      <c r="B312" t="inlineStr">
        <is>
          <t>Motels</t>
        </is>
      </c>
      <c r="C312" t="inlineStr">
        <is>
          <t>343</t>
        </is>
      </c>
      <c r="D312" t="inlineStr">
        <is>
          <t>12</t>
        </is>
      </c>
      <c r="E312" t="inlineStr">
        <is>
          <t>9</t>
        </is>
      </c>
      <c r="F312" t="inlineStr">
        <is>
          <t>S</t>
        </is>
      </c>
      <c r="G312" t="inlineStr">
        <is>
          <t>Average</t>
        </is>
      </c>
      <c r="H312" t="n">
        <v>122</v>
      </c>
      <c r="I312">
        <f>B312&amp;"~"&amp;F312&amp;"~"&amp;G312</f>
        <v/>
      </c>
      <c r="J312" t="inlineStr">
        <is>
          <t>MVS Sec.12 p.9</t>
        </is>
      </c>
    </row>
    <row r="313">
      <c r="B313" t="inlineStr">
        <is>
          <t>Shell Motels</t>
        </is>
      </c>
      <c r="C313" t="inlineStr">
        <is>
          <t>780</t>
        </is>
      </c>
      <c r="D313" t="inlineStr">
        <is>
          <t>12</t>
        </is>
      </c>
      <c r="E313" t="inlineStr">
        <is>
          <t>10</t>
        </is>
      </c>
      <c r="F313" t="inlineStr">
        <is>
          <t>C</t>
        </is>
      </c>
      <c r="G313" t="inlineStr">
        <is>
          <t>Excellent</t>
        </is>
      </c>
      <c r="H313" t="n">
        <v>115</v>
      </c>
      <c r="I313">
        <f>B313&amp;"~"&amp;F313&amp;"~"&amp;G313</f>
        <v/>
      </c>
      <c r="J313" t="inlineStr">
        <is>
          <t>MVS Sec.12 p.10</t>
        </is>
      </c>
    </row>
    <row r="314">
      <c r="B314" t="inlineStr">
        <is>
          <t>Shell Motels</t>
        </is>
      </c>
      <c r="C314" t="inlineStr">
        <is>
          <t>780</t>
        </is>
      </c>
      <c r="D314" t="inlineStr">
        <is>
          <t>12</t>
        </is>
      </c>
      <c r="E314" t="inlineStr">
        <is>
          <t>10</t>
        </is>
      </c>
      <c r="F314" t="inlineStr">
        <is>
          <t>C</t>
        </is>
      </c>
      <c r="G314" t="inlineStr">
        <is>
          <t>Good</t>
        </is>
      </c>
      <c r="H314" t="n">
        <v>89</v>
      </c>
      <c r="I314">
        <f>B314&amp;"~"&amp;F314&amp;"~"&amp;G314</f>
        <v/>
      </c>
      <c r="J314" t="inlineStr">
        <is>
          <t>MVS Sec.12 p.10</t>
        </is>
      </c>
    </row>
    <row r="315">
      <c r="B315" t="inlineStr">
        <is>
          <t>Shell Motels</t>
        </is>
      </c>
      <c r="C315" t="inlineStr">
        <is>
          <t>780</t>
        </is>
      </c>
      <c r="D315" t="inlineStr">
        <is>
          <t>12</t>
        </is>
      </c>
      <c r="E315" t="inlineStr">
        <is>
          <t>10</t>
        </is>
      </c>
      <c r="F315" t="inlineStr">
        <is>
          <t>C</t>
        </is>
      </c>
      <c r="G315" t="inlineStr">
        <is>
          <t>Average</t>
        </is>
      </c>
      <c r="H315" t="n">
        <v>69</v>
      </c>
      <c r="I315">
        <f>B315&amp;"~"&amp;F315&amp;"~"&amp;G315</f>
        <v/>
      </c>
      <c r="J315" t="inlineStr">
        <is>
          <t>MVS Sec.12 p.10</t>
        </is>
      </c>
    </row>
    <row r="316">
      <c r="B316" t="inlineStr">
        <is>
          <t>Shell Motels</t>
        </is>
      </c>
      <c r="C316" t="inlineStr">
        <is>
          <t>780</t>
        </is>
      </c>
      <c r="D316" t="inlineStr">
        <is>
          <t>12</t>
        </is>
      </c>
      <c r="E316" t="inlineStr">
        <is>
          <t>10</t>
        </is>
      </c>
      <c r="F316" t="inlineStr">
        <is>
          <t>C</t>
        </is>
      </c>
      <c r="G316" t="inlineStr">
        <is>
          <t>Fair</t>
        </is>
      </c>
      <c r="H316" t="n">
        <v>61</v>
      </c>
      <c r="I316">
        <f>B316&amp;"~"&amp;F316&amp;"~"&amp;G316</f>
        <v/>
      </c>
      <c r="J316" t="inlineStr">
        <is>
          <t>MVS Sec.12 p.10</t>
        </is>
      </c>
    </row>
    <row r="317">
      <c r="B317" t="inlineStr">
        <is>
          <t>Shell Motels</t>
        </is>
      </c>
      <c r="C317" t="inlineStr">
        <is>
          <t>780</t>
        </is>
      </c>
      <c r="D317" t="inlineStr">
        <is>
          <t>12</t>
        </is>
      </c>
      <c r="E317" t="inlineStr">
        <is>
          <t>10</t>
        </is>
      </c>
      <c r="F317" t="inlineStr">
        <is>
          <t>C</t>
        </is>
      </c>
      <c r="G317" t="inlineStr">
        <is>
          <t>Low Cost</t>
        </is>
      </c>
      <c r="H317" t="n">
        <v>53.5</v>
      </c>
      <c r="I317">
        <f>B317&amp;"~"&amp;F317&amp;"~"&amp;G317</f>
        <v/>
      </c>
      <c r="J317" t="inlineStr">
        <is>
          <t>MVS Sec.12 p.10</t>
        </is>
      </c>
    </row>
    <row r="318">
      <c r="B318" t="inlineStr">
        <is>
          <t>Shell Motels</t>
        </is>
      </c>
      <c r="C318" t="inlineStr">
        <is>
          <t>780</t>
        </is>
      </c>
      <c r="D318" t="inlineStr">
        <is>
          <t>12</t>
        </is>
      </c>
      <c r="E318" t="inlineStr">
        <is>
          <t>10</t>
        </is>
      </c>
      <c r="F318" t="inlineStr">
        <is>
          <t>C</t>
        </is>
      </c>
      <c r="G318" t="inlineStr">
        <is>
          <t>Cheap</t>
        </is>
      </c>
      <c r="H318" t="n">
        <v>45.25</v>
      </c>
      <c r="I318">
        <f>B318&amp;"~"&amp;F318&amp;"~"&amp;G318</f>
        <v/>
      </c>
      <c r="J318" t="inlineStr">
        <is>
          <t>MVS Sec.12 p.10</t>
        </is>
      </c>
    </row>
    <row r="319">
      <c r="B319" t="inlineStr">
        <is>
          <t>Shell Motels</t>
        </is>
      </c>
      <c r="C319" t="inlineStr">
        <is>
          <t>780</t>
        </is>
      </c>
      <c r="D319" t="inlineStr">
        <is>
          <t>12</t>
        </is>
      </c>
      <c r="E319" t="inlineStr">
        <is>
          <t>10</t>
        </is>
      </c>
      <c r="F319" t="inlineStr">
        <is>
          <t>D</t>
        </is>
      </c>
      <c r="G319" t="inlineStr">
        <is>
          <t>Excellent</t>
        </is>
      </c>
      <c r="H319" t="n">
        <v>110</v>
      </c>
      <c r="I319">
        <f>B319&amp;"~"&amp;F319&amp;"~"&amp;G319</f>
        <v/>
      </c>
      <c r="J319" t="inlineStr">
        <is>
          <t>MVS Sec.12 p.10</t>
        </is>
      </c>
    </row>
    <row r="320">
      <c r="B320" t="inlineStr">
        <is>
          <t>Shell Motels</t>
        </is>
      </c>
      <c r="C320" t="inlineStr">
        <is>
          <t>780</t>
        </is>
      </c>
      <c r="D320" t="inlineStr">
        <is>
          <t>12</t>
        </is>
      </c>
      <c r="E320" t="inlineStr">
        <is>
          <t>10</t>
        </is>
      </c>
      <c r="F320" t="inlineStr">
        <is>
          <t>D</t>
        </is>
      </c>
      <c r="G320" t="inlineStr">
        <is>
          <t>Good</t>
        </is>
      </c>
      <c r="H320" t="n">
        <v>85</v>
      </c>
      <c r="I320">
        <f>B320&amp;"~"&amp;F320&amp;"~"&amp;G320</f>
        <v/>
      </c>
      <c r="J320" t="inlineStr">
        <is>
          <t>MVS Sec.12 p.10</t>
        </is>
      </c>
    </row>
    <row r="321">
      <c r="B321" t="inlineStr">
        <is>
          <t>Shell Motels</t>
        </is>
      </c>
      <c r="C321" t="inlineStr">
        <is>
          <t>780</t>
        </is>
      </c>
      <c r="D321" t="inlineStr">
        <is>
          <t>12</t>
        </is>
      </c>
      <c r="E321" t="inlineStr">
        <is>
          <t>10</t>
        </is>
      </c>
      <c r="F321" t="inlineStr">
        <is>
          <t>D</t>
        </is>
      </c>
      <c r="G321" t="inlineStr">
        <is>
          <t>Average</t>
        </is>
      </c>
      <c r="H321" t="n">
        <v>65.5</v>
      </c>
      <c r="I321">
        <f>B321&amp;"~"&amp;F321&amp;"~"&amp;G321</f>
        <v/>
      </c>
      <c r="J321" t="inlineStr">
        <is>
          <t>MVS Sec.12 p.10</t>
        </is>
      </c>
    </row>
    <row r="322">
      <c r="B322" t="inlineStr">
        <is>
          <t>Shell Motels</t>
        </is>
      </c>
      <c r="C322" t="inlineStr">
        <is>
          <t>780</t>
        </is>
      </c>
      <c r="D322" t="inlineStr">
        <is>
          <t>12</t>
        </is>
      </c>
      <c r="E322" t="inlineStr">
        <is>
          <t>10</t>
        </is>
      </c>
      <c r="F322" t="inlineStr">
        <is>
          <t>D</t>
        </is>
      </c>
      <c r="G322" t="inlineStr">
        <is>
          <t>Fair</t>
        </is>
      </c>
      <c r="H322" t="n">
        <v>57.5</v>
      </c>
      <c r="I322">
        <f>B322&amp;"~"&amp;F322&amp;"~"&amp;G322</f>
        <v/>
      </c>
      <c r="J322" t="inlineStr">
        <is>
          <t>MVS Sec.12 p.10</t>
        </is>
      </c>
    </row>
    <row r="323">
      <c r="B323" t="inlineStr">
        <is>
          <t>Shell Motels</t>
        </is>
      </c>
      <c r="C323" t="inlineStr">
        <is>
          <t>780</t>
        </is>
      </c>
      <c r="D323" t="inlineStr">
        <is>
          <t>12</t>
        </is>
      </c>
      <c r="E323" t="inlineStr">
        <is>
          <t>10</t>
        </is>
      </c>
      <c r="F323" t="inlineStr">
        <is>
          <t>D</t>
        </is>
      </c>
      <c r="G323" t="inlineStr">
        <is>
          <t>Low Cost</t>
        </is>
      </c>
      <c r="H323" t="n">
        <v>50.5</v>
      </c>
      <c r="I323">
        <f>B323&amp;"~"&amp;F323&amp;"~"&amp;G323</f>
        <v/>
      </c>
      <c r="J323" t="inlineStr">
        <is>
          <t>MVS Sec.12 p.10</t>
        </is>
      </c>
    </row>
    <row r="324">
      <c r="B324" t="inlineStr">
        <is>
          <t>Shell Motels</t>
        </is>
      </c>
      <c r="C324" t="inlineStr">
        <is>
          <t>780</t>
        </is>
      </c>
      <c r="D324" t="inlineStr">
        <is>
          <t>12</t>
        </is>
      </c>
      <c r="E324" t="inlineStr">
        <is>
          <t>10</t>
        </is>
      </c>
      <c r="F324" t="inlineStr">
        <is>
          <t>D</t>
        </is>
      </c>
      <c r="G324" t="inlineStr">
        <is>
          <t>Cheap</t>
        </is>
      </c>
      <c r="H324" t="n">
        <v>42.75</v>
      </c>
      <c r="I324">
        <f>B324&amp;"~"&amp;F324&amp;"~"&amp;G324</f>
        <v/>
      </c>
      <c r="J324" t="inlineStr">
        <is>
          <t>MVS Sec.12 p.10</t>
        </is>
      </c>
    </row>
    <row r="325">
      <c r="B325" t="inlineStr">
        <is>
          <t>Shell Motels</t>
        </is>
      </c>
      <c r="C325" t="inlineStr">
        <is>
          <t>780</t>
        </is>
      </c>
      <c r="D325" t="inlineStr">
        <is>
          <t>12</t>
        </is>
      </c>
      <c r="E325" t="inlineStr">
        <is>
          <t>10</t>
        </is>
      </c>
      <c r="F325" t="inlineStr">
        <is>
          <t>S</t>
        </is>
      </c>
      <c r="G325" t="inlineStr">
        <is>
          <t>Average</t>
        </is>
      </c>
      <c r="H325" t="n">
        <v>63.5</v>
      </c>
      <c r="I325">
        <f>B325&amp;"~"&amp;F325&amp;"~"&amp;G325</f>
        <v/>
      </c>
      <c r="J325" t="inlineStr">
        <is>
          <t>MVS Sec.12 p.10</t>
        </is>
      </c>
    </row>
    <row r="326">
      <c r="B326" t="inlineStr">
        <is>
          <t>Extended-Stay Motels</t>
        </is>
      </c>
      <c r="C326" t="inlineStr">
        <is>
          <t>588</t>
        </is>
      </c>
      <c r="D326" t="inlineStr">
        <is>
          <t>12</t>
        </is>
      </c>
      <c r="E326" t="inlineStr">
        <is>
          <t>11</t>
        </is>
      </c>
      <c r="F326" t="inlineStr">
        <is>
          <t>C</t>
        </is>
      </c>
      <c r="G326" t="inlineStr">
        <is>
          <t>Excellent</t>
        </is>
      </c>
      <c r="H326" t="n">
        <v>189</v>
      </c>
      <c r="I326">
        <f>B326&amp;"~"&amp;F326&amp;"~"&amp;G326</f>
        <v/>
      </c>
      <c r="J326" t="inlineStr">
        <is>
          <t>MVS Sec.12 p.11</t>
        </is>
      </c>
    </row>
    <row r="327">
      <c r="B327" t="inlineStr">
        <is>
          <t>Extended-Stay Motels</t>
        </is>
      </c>
      <c r="C327" t="inlineStr">
        <is>
          <t>588</t>
        </is>
      </c>
      <c r="D327" t="inlineStr">
        <is>
          <t>12</t>
        </is>
      </c>
      <c r="E327" t="inlineStr">
        <is>
          <t>11</t>
        </is>
      </c>
      <c r="F327" t="inlineStr">
        <is>
          <t>C</t>
        </is>
      </c>
      <c r="G327" t="inlineStr">
        <is>
          <t>Good</t>
        </is>
      </c>
      <c r="H327" t="n">
        <v>152</v>
      </c>
      <c r="I327">
        <f>B327&amp;"~"&amp;F327&amp;"~"&amp;G327</f>
        <v/>
      </c>
      <c r="J327" t="inlineStr">
        <is>
          <t>MVS Sec.12 p.11</t>
        </is>
      </c>
    </row>
    <row r="328">
      <c r="B328" t="inlineStr">
        <is>
          <t>Extended-Stay Motels</t>
        </is>
      </c>
      <c r="C328" t="inlineStr">
        <is>
          <t>588</t>
        </is>
      </c>
      <c r="D328" t="inlineStr">
        <is>
          <t>12</t>
        </is>
      </c>
      <c r="E328" t="inlineStr">
        <is>
          <t>11</t>
        </is>
      </c>
      <c r="F328" t="inlineStr">
        <is>
          <t>C</t>
        </is>
      </c>
      <c r="G328" t="inlineStr">
        <is>
          <t>Average</t>
        </is>
      </c>
      <c r="H328" t="n">
        <v>121</v>
      </c>
      <c r="I328">
        <f>B328&amp;"~"&amp;F328&amp;"~"&amp;G328</f>
        <v/>
      </c>
      <c r="J328" t="inlineStr">
        <is>
          <t>MVS Sec.12 p.11</t>
        </is>
      </c>
    </row>
    <row r="329">
      <c r="B329" t="inlineStr">
        <is>
          <t>Extended-Stay Motels</t>
        </is>
      </c>
      <c r="C329" t="inlineStr">
        <is>
          <t>588</t>
        </is>
      </c>
      <c r="D329" t="inlineStr">
        <is>
          <t>12</t>
        </is>
      </c>
      <c r="E329" t="inlineStr">
        <is>
          <t>11</t>
        </is>
      </c>
      <c r="F329" t="inlineStr">
        <is>
          <t>C</t>
        </is>
      </c>
      <c r="G329" t="inlineStr">
        <is>
          <t>Fair</t>
        </is>
      </c>
      <c r="H329" t="n">
        <v>109</v>
      </c>
      <c r="I329">
        <f>B329&amp;"~"&amp;F329&amp;"~"&amp;G329</f>
        <v/>
      </c>
      <c r="J329" t="inlineStr">
        <is>
          <t>MVS Sec.12 p.11</t>
        </is>
      </c>
    </row>
    <row r="330">
      <c r="B330" t="inlineStr">
        <is>
          <t>Extended-Stay Motels</t>
        </is>
      </c>
      <c r="C330" t="inlineStr">
        <is>
          <t>588</t>
        </is>
      </c>
      <c r="D330" t="inlineStr">
        <is>
          <t>12</t>
        </is>
      </c>
      <c r="E330" t="inlineStr">
        <is>
          <t>11</t>
        </is>
      </c>
      <c r="F330" t="inlineStr">
        <is>
          <t>C</t>
        </is>
      </c>
      <c r="G330" t="inlineStr">
        <is>
          <t>Low Cost</t>
        </is>
      </c>
      <c r="H330" t="n">
        <v>98.5</v>
      </c>
      <c r="I330">
        <f>B330&amp;"~"&amp;F330&amp;"~"&amp;G330</f>
        <v/>
      </c>
      <c r="J330" t="inlineStr">
        <is>
          <t>MVS Sec.12 p.11</t>
        </is>
      </c>
    </row>
    <row r="331">
      <c r="B331" t="inlineStr">
        <is>
          <t>Extended-Stay Motels</t>
        </is>
      </c>
      <c r="C331" t="inlineStr">
        <is>
          <t>588</t>
        </is>
      </c>
      <c r="D331" t="inlineStr">
        <is>
          <t>12</t>
        </is>
      </c>
      <c r="E331" t="inlineStr">
        <is>
          <t>11</t>
        </is>
      </c>
      <c r="F331" t="inlineStr">
        <is>
          <t>D</t>
        </is>
      </c>
      <c r="G331" t="inlineStr">
        <is>
          <t>Excellent</t>
        </is>
      </c>
      <c r="H331" t="n">
        <v>184</v>
      </c>
      <c r="I331">
        <f>B331&amp;"~"&amp;F331&amp;"~"&amp;G331</f>
        <v/>
      </c>
      <c r="J331" t="inlineStr">
        <is>
          <t>MVS Sec.12 p.11</t>
        </is>
      </c>
    </row>
    <row r="332">
      <c r="B332" t="inlineStr">
        <is>
          <t>Extended-Stay Motels</t>
        </is>
      </c>
      <c r="C332" t="inlineStr">
        <is>
          <t>588</t>
        </is>
      </c>
      <c r="D332" t="inlineStr">
        <is>
          <t>12</t>
        </is>
      </c>
      <c r="E332" t="inlineStr">
        <is>
          <t>11</t>
        </is>
      </c>
      <c r="F332" t="inlineStr">
        <is>
          <t>D</t>
        </is>
      </c>
      <c r="G332" t="inlineStr">
        <is>
          <t>Good</t>
        </is>
      </c>
      <c r="H332" t="n">
        <v>148</v>
      </c>
      <c r="I332">
        <f>B332&amp;"~"&amp;F332&amp;"~"&amp;G332</f>
        <v/>
      </c>
      <c r="J332" t="inlineStr">
        <is>
          <t>MVS Sec.12 p.11</t>
        </is>
      </c>
    </row>
    <row r="333">
      <c r="B333" t="inlineStr">
        <is>
          <t>Extended-Stay Motels</t>
        </is>
      </c>
      <c r="C333" t="inlineStr">
        <is>
          <t>588</t>
        </is>
      </c>
      <c r="D333" t="inlineStr">
        <is>
          <t>12</t>
        </is>
      </c>
      <c r="E333" t="inlineStr">
        <is>
          <t>11</t>
        </is>
      </c>
      <c r="F333" t="inlineStr">
        <is>
          <t>D</t>
        </is>
      </c>
      <c r="G333" t="inlineStr">
        <is>
          <t>Average</t>
        </is>
      </c>
      <c r="H333" t="n">
        <v>117</v>
      </c>
      <c r="I333">
        <f>B333&amp;"~"&amp;F333&amp;"~"&amp;G333</f>
        <v/>
      </c>
      <c r="J333" t="inlineStr">
        <is>
          <t>MVS Sec.12 p.11</t>
        </is>
      </c>
    </row>
    <row r="334">
      <c r="B334" t="inlineStr">
        <is>
          <t>Extended-Stay Motels</t>
        </is>
      </c>
      <c r="C334" t="inlineStr">
        <is>
          <t>588</t>
        </is>
      </c>
      <c r="D334" t="inlineStr">
        <is>
          <t>12</t>
        </is>
      </c>
      <c r="E334" t="inlineStr">
        <is>
          <t>11</t>
        </is>
      </c>
      <c r="F334" t="inlineStr">
        <is>
          <t>D</t>
        </is>
      </c>
      <c r="G334" t="inlineStr">
        <is>
          <t>Fair</t>
        </is>
      </c>
      <c r="H334" t="n">
        <v>106</v>
      </c>
      <c r="I334">
        <f>B334&amp;"~"&amp;F334&amp;"~"&amp;G334</f>
        <v/>
      </c>
      <c r="J334" t="inlineStr">
        <is>
          <t>MVS Sec.12 p.11</t>
        </is>
      </c>
    </row>
    <row r="335">
      <c r="B335" t="inlineStr">
        <is>
          <t>Extended-Stay Motels</t>
        </is>
      </c>
      <c r="C335" t="inlineStr">
        <is>
          <t>588</t>
        </is>
      </c>
      <c r="D335" t="inlineStr">
        <is>
          <t>12</t>
        </is>
      </c>
      <c r="E335" t="inlineStr">
        <is>
          <t>11</t>
        </is>
      </c>
      <c r="F335" t="inlineStr">
        <is>
          <t>D</t>
        </is>
      </c>
      <c r="G335" t="inlineStr">
        <is>
          <t>Low Cost</t>
        </is>
      </c>
      <c r="H335" t="n">
        <v>96</v>
      </c>
      <c r="I335">
        <f>B335&amp;"~"&amp;F335&amp;"~"&amp;G335</f>
        <v/>
      </c>
      <c r="J335" t="inlineStr">
        <is>
          <t>MVS Sec.12 p.11</t>
        </is>
      </c>
    </row>
    <row r="336">
      <c r="B336" t="inlineStr">
        <is>
          <t>Shell Extended Stay - Motels</t>
        </is>
      </c>
      <c r="C336" t="inlineStr">
        <is>
          <t>781</t>
        </is>
      </c>
      <c r="D336" t="inlineStr">
        <is>
          <t>12</t>
        </is>
      </c>
      <c r="E336" t="inlineStr">
        <is>
          <t>12</t>
        </is>
      </c>
      <c r="F336" t="inlineStr">
        <is>
          <t>C</t>
        </is>
      </c>
      <c r="G336" t="inlineStr">
        <is>
          <t>Excellent</t>
        </is>
      </c>
      <c r="H336" t="n">
        <v>107</v>
      </c>
      <c r="I336">
        <f>B336&amp;"~"&amp;F336&amp;"~"&amp;G336</f>
        <v/>
      </c>
      <c r="J336" t="inlineStr">
        <is>
          <t>MVS Sec.12 p.12</t>
        </is>
      </c>
    </row>
    <row r="337">
      <c r="B337" t="inlineStr">
        <is>
          <t>Shell Extended Stay - Motels</t>
        </is>
      </c>
      <c r="C337" t="inlineStr">
        <is>
          <t>781</t>
        </is>
      </c>
      <c r="D337" t="inlineStr">
        <is>
          <t>12</t>
        </is>
      </c>
      <c r="E337" t="inlineStr">
        <is>
          <t>12</t>
        </is>
      </c>
      <c r="F337" t="inlineStr">
        <is>
          <t>C</t>
        </is>
      </c>
      <c r="G337" t="inlineStr">
        <is>
          <t>Good</t>
        </is>
      </c>
      <c r="H337" t="n">
        <v>88.5</v>
      </c>
      <c r="I337">
        <f>B337&amp;"~"&amp;F337&amp;"~"&amp;G337</f>
        <v/>
      </c>
      <c r="J337" t="inlineStr">
        <is>
          <t>MVS Sec.12 p.12</t>
        </is>
      </c>
    </row>
    <row r="338">
      <c r="B338" t="inlineStr">
        <is>
          <t>Shell Extended Stay - Motels</t>
        </is>
      </c>
      <c r="C338" t="inlineStr">
        <is>
          <t>781</t>
        </is>
      </c>
      <c r="D338" t="inlineStr">
        <is>
          <t>12</t>
        </is>
      </c>
      <c r="E338" t="inlineStr">
        <is>
          <t>12</t>
        </is>
      </c>
      <c r="F338" t="inlineStr">
        <is>
          <t>C</t>
        </is>
      </c>
      <c r="G338" t="inlineStr">
        <is>
          <t>Average</t>
        </is>
      </c>
      <c r="H338" t="n">
        <v>73</v>
      </c>
      <c r="I338">
        <f>B338&amp;"~"&amp;F338&amp;"~"&amp;G338</f>
        <v/>
      </c>
      <c r="J338" t="inlineStr">
        <is>
          <t>MVS Sec.12 p.12</t>
        </is>
      </c>
    </row>
    <row r="339">
      <c r="B339" t="inlineStr">
        <is>
          <t>Shell Extended Stay - Motels</t>
        </is>
      </c>
      <c r="C339" t="inlineStr">
        <is>
          <t>781</t>
        </is>
      </c>
      <c r="D339" t="inlineStr">
        <is>
          <t>12</t>
        </is>
      </c>
      <c r="E339" t="inlineStr">
        <is>
          <t>12</t>
        </is>
      </c>
      <c r="F339" t="inlineStr">
        <is>
          <t>C</t>
        </is>
      </c>
      <c r="G339" t="inlineStr">
        <is>
          <t>Fair</t>
        </is>
      </c>
      <c r="H339" t="n">
        <v>66.5</v>
      </c>
      <c r="I339">
        <f>B339&amp;"~"&amp;F339&amp;"~"&amp;G339</f>
        <v/>
      </c>
      <c r="J339" t="inlineStr">
        <is>
          <t>MVS Sec.12 p.12</t>
        </is>
      </c>
    </row>
    <row r="340">
      <c r="B340" t="inlineStr">
        <is>
          <t>Shell Extended Stay - Motels</t>
        </is>
      </c>
      <c r="C340" t="inlineStr">
        <is>
          <t>781</t>
        </is>
      </c>
      <c r="D340" t="inlineStr">
        <is>
          <t>12</t>
        </is>
      </c>
      <c r="E340" t="inlineStr">
        <is>
          <t>12</t>
        </is>
      </c>
      <c r="F340" t="inlineStr">
        <is>
          <t>C</t>
        </is>
      </c>
      <c r="G340" t="inlineStr">
        <is>
          <t>Low Cost</t>
        </is>
      </c>
      <c r="H340" t="n">
        <v>60.5</v>
      </c>
      <c r="I340">
        <f>B340&amp;"~"&amp;F340&amp;"~"&amp;G340</f>
        <v/>
      </c>
      <c r="J340" t="inlineStr">
        <is>
          <t>MVS Sec.12 p.12</t>
        </is>
      </c>
    </row>
    <row r="341">
      <c r="B341" t="inlineStr">
        <is>
          <t>Shell Extended Stay - Motels</t>
        </is>
      </c>
      <c r="C341" t="inlineStr">
        <is>
          <t>781</t>
        </is>
      </c>
      <c r="D341" t="inlineStr">
        <is>
          <t>12</t>
        </is>
      </c>
      <c r="E341" t="inlineStr">
        <is>
          <t>12</t>
        </is>
      </c>
      <c r="F341" t="inlineStr">
        <is>
          <t>D</t>
        </is>
      </c>
      <c r="G341" t="inlineStr">
        <is>
          <t>Excellent</t>
        </is>
      </c>
      <c r="H341" t="n">
        <v>101</v>
      </c>
      <c r="I341">
        <f>B341&amp;"~"&amp;F341&amp;"~"&amp;G341</f>
        <v/>
      </c>
      <c r="J341" t="inlineStr">
        <is>
          <t>MVS Sec.12 p.12</t>
        </is>
      </c>
    </row>
    <row r="342">
      <c r="B342" t="inlineStr">
        <is>
          <t>Shell Extended Stay - Motels</t>
        </is>
      </c>
      <c r="C342" t="inlineStr">
        <is>
          <t>781</t>
        </is>
      </c>
      <c r="D342" t="inlineStr">
        <is>
          <t>12</t>
        </is>
      </c>
      <c r="E342" t="inlineStr">
        <is>
          <t>12</t>
        </is>
      </c>
      <c r="F342" t="inlineStr">
        <is>
          <t>D</t>
        </is>
      </c>
      <c r="G342" t="inlineStr">
        <is>
          <t>Good</t>
        </is>
      </c>
      <c r="H342" t="n">
        <v>83.5</v>
      </c>
      <c r="I342">
        <f>B342&amp;"~"&amp;F342&amp;"~"&amp;G342</f>
        <v/>
      </c>
      <c r="J342" t="inlineStr">
        <is>
          <t>MVS Sec.12 p.12</t>
        </is>
      </c>
    </row>
    <row r="343">
      <c r="B343" t="inlineStr">
        <is>
          <t>Shell Extended Stay - Motels</t>
        </is>
      </c>
      <c r="C343" t="inlineStr">
        <is>
          <t>781</t>
        </is>
      </c>
      <c r="D343" t="inlineStr">
        <is>
          <t>12</t>
        </is>
      </c>
      <c r="E343" t="inlineStr">
        <is>
          <t>12</t>
        </is>
      </c>
      <c r="F343" t="inlineStr">
        <is>
          <t>D</t>
        </is>
      </c>
      <c r="G343" t="inlineStr">
        <is>
          <t>Average</t>
        </is>
      </c>
      <c r="H343" t="n">
        <v>69.5</v>
      </c>
      <c r="I343">
        <f>B343&amp;"~"&amp;F343&amp;"~"&amp;G343</f>
        <v/>
      </c>
      <c r="J343" t="inlineStr">
        <is>
          <t>MVS Sec.12 p.12</t>
        </is>
      </c>
    </row>
    <row r="344">
      <c r="B344" t="inlineStr">
        <is>
          <t>Shell Extended Stay - Motels</t>
        </is>
      </c>
      <c r="C344" t="inlineStr">
        <is>
          <t>781</t>
        </is>
      </c>
      <c r="D344" t="inlineStr">
        <is>
          <t>12</t>
        </is>
      </c>
      <c r="E344" t="inlineStr">
        <is>
          <t>12</t>
        </is>
      </c>
      <c r="F344" t="inlineStr">
        <is>
          <t>D</t>
        </is>
      </c>
      <c r="G344" t="inlineStr">
        <is>
          <t>Fair</t>
        </is>
      </c>
      <c r="H344" t="n">
        <v>63</v>
      </c>
      <c r="I344">
        <f>B344&amp;"~"&amp;F344&amp;"~"&amp;G344</f>
        <v/>
      </c>
      <c r="J344" t="inlineStr">
        <is>
          <t>MVS Sec.12 p.12</t>
        </is>
      </c>
    </row>
    <row r="345">
      <c r="B345" t="inlineStr">
        <is>
          <t>Shell Extended Stay - Motels</t>
        </is>
      </c>
      <c r="C345" t="inlineStr">
        <is>
          <t>781</t>
        </is>
      </c>
      <c r="D345" t="inlineStr">
        <is>
          <t>12</t>
        </is>
      </c>
      <c r="E345" t="inlineStr">
        <is>
          <t>12</t>
        </is>
      </c>
      <c r="F345" t="inlineStr">
        <is>
          <t>D</t>
        </is>
      </c>
      <c r="G345" t="inlineStr">
        <is>
          <t>Low Cost</t>
        </is>
      </c>
      <c r="H345" t="n">
        <v>57.5</v>
      </c>
      <c r="I345">
        <f>B345&amp;"~"&amp;F345&amp;"~"&amp;G345</f>
        <v/>
      </c>
      <c r="J345" t="inlineStr">
        <is>
          <t>MVS Sec.12 p.12</t>
        </is>
      </c>
    </row>
    <row r="346">
      <c r="B346" t="inlineStr">
        <is>
          <t>Office-Apartments</t>
        </is>
      </c>
      <c r="C346" t="inlineStr">
        <is>
          <t>544</t>
        </is>
      </c>
      <c r="D346" t="inlineStr">
        <is>
          <t>12</t>
        </is>
      </c>
      <c r="E346" t="inlineStr">
        <is>
          <t>13</t>
        </is>
      </c>
      <c r="F346" t="inlineStr">
        <is>
          <t>C</t>
        </is>
      </c>
      <c r="G346" t="inlineStr">
        <is>
          <t>Excellent</t>
        </is>
      </c>
      <c r="H346" t="n">
        <v>258</v>
      </c>
      <c r="I346">
        <f>B346&amp;"~"&amp;F346&amp;"~"&amp;G346</f>
        <v/>
      </c>
      <c r="J346" t="inlineStr">
        <is>
          <t>MVS Sec.12 p.13</t>
        </is>
      </c>
    </row>
    <row r="347">
      <c r="B347" t="inlineStr">
        <is>
          <t>Office-Apartments</t>
        </is>
      </c>
      <c r="C347" t="inlineStr">
        <is>
          <t>544</t>
        </is>
      </c>
      <c r="D347" t="inlineStr">
        <is>
          <t>12</t>
        </is>
      </c>
      <c r="E347" t="inlineStr">
        <is>
          <t>13</t>
        </is>
      </c>
      <c r="F347" t="inlineStr">
        <is>
          <t>C</t>
        </is>
      </c>
      <c r="G347" t="inlineStr">
        <is>
          <t>Good</t>
        </is>
      </c>
      <c r="H347" t="n">
        <v>186</v>
      </c>
      <c r="I347">
        <f>B347&amp;"~"&amp;F347&amp;"~"&amp;G347</f>
        <v/>
      </c>
      <c r="J347" t="inlineStr">
        <is>
          <t>MVS Sec.12 p.13</t>
        </is>
      </c>
    </row>
    <row r="348">
      <c r="B348" t="inlineStr">
        <is>
          <t>Office-Apartments</t>
        </is>
      </c>
      <c r="C348" t="inlineStr">
        <is>
          <t>544</t>
        </is>
      </c>
      <c r="D348" t="inlineStr">
        <is>
          <t>12</t>
        </is>
      </c>
      <c r="E348" t="inlineStr">
        <is>
          <t>13</t>
        </is>
      </c>
      <c r="F348" t="inlineStr">
        <is>
          <t>C</t>
        </is>
      </c>
      <c r="G348" t="inlineStr">
        <is>
          <t>Average</t>
        </is>
      </c>
      <c r="H348" t="n">
        <v>133</v>
      </c>
      <c r="I348">
        <f>B348&amp;"~"&amp;F348&amp;"~"&amp;G348</f>
        <v/>
      </c>
      <c r="J348" t="inlineStr">
        <is>
          <t>MVS Sec.12 p.13</t>
        </is>
      </c>
    </row>
    <row r="349">
      <c r="B349" t="inlineStr">
        <is>
          <t>Office-Apartments</t>
        </is>
      </c>
      <c r="C349" t="inlineStr">
        <is>
          <t>544</t>
        </is>
      </c>
      <c r="D349" t="inlineStr">
        <is>
          <t>12</t>
        </is>
      </c>
      <c r="E349" t="inlineStr">
        <is>
          <t>13</t>
        </is>
      </c>
      <c r="F349" t="inlineStr">
        <is>
          <t>C</t>
        </is>
      </c>
      <c r="G349" t="inlineStr">
        <is>
          <t>Low Cost</t>
        </is>
      </c>
      <c r="H349" t="n">
        <v>94</v>
      </c>
      <c r="I349">
        <f>B349&amp;"~"&amp;F349&amp;"~"&amp;G349</f>
        <v/>
      </c>
      <c r="J349" t="inlineStr">
        <is>
          <t>MVS Sec.12 p.13</t>
        </is>
      </c>
    </row>
    <row r="350">
      <c r="B350" t="inlineStr">
        <is>
          <t>Office-Apartments</t>
        </is>
      </c>
      <c r="C350" t="inlineStr">
        <is>
          <t>544</t>
        </is>
      </c>
      <c r="D350" t="inlineStr">
        <is>
          <t>12</t>
        </is>
      </c>
      <c r="E350" t="inlineStr">
        <is>
          <t>13</t>
        </is>
      </c>
      <c r="F350" t="inlineStr">
        <is>
          <t>C</t>
        </is>
      </c>
      <c r="G350" t="inlineStr">
        <is>
          <t>Cheap</t>
        </is>
      </c>
      <c r="H350" t="n">
        <v>78</v>
      </c>
      <c r="I350">
        <f>B350&amp;"~"&amp;F350&amp;"~"&amp;G350</f>
        <v/>
      </c>
      <c r="J350" t="inlineStr">
        <is>
          <t>MVS Sec.12 p.13</t>
        </is>
      </c>
    </row>
    <row r="351">
      <c r="B351" t="inlineStr">
        <is>
          <t>Office-Apartments</t>
        </is>
      </c>
      <c r="C351" t="inlineStr">
        <is>
          <t>544</t>
        </is>
      </c>
      <c r="D351" t="inlineStr">
        <is>
          <t>12</t>
        </is>
      </c>
      <c r="E351" t="inlineStr">
        <is>
          <t>13</t>
        </is>
      </c>
      <c r="F351" t="inlineStr">
        <is>
          <t>D</t>
        </is>
      </c>
      <c r="G351" t="inlineStr">
        <is>
          <t>Excellent</t>
        </is>
      </c>
      <c r="H351" t="n">
        <v>254</v>
      </c>
      <c r="I351">
        <f>B351&amp;"~"&amp;F351&amp;"~"&amp;G351</f>
        <v/>
      </c>
      <c r="J351" t="inlineStr">
        <is>
          <t>MVS Sec.12 p.13</t>
        </is>
      </c>
    </row>
    <row r="352">
      <c r="B352" t="inlineStr">
        <is>
          <t>Office-Apartments</t>
        </is>
      </c>
      <c r="C352" t="inlineStr">
        <is>
          <t>544</t>
        </is>
      </c>
      <c r="D352" t="inlineStr">
        <is>
          <t>12</t>
        </is>
      </c>
      <c r="E352" t="inlineStr">
        <is>
          <t>13</t>
        </is>
      </c>
      <c r="F352" t="inlineStr">
        <is>
          <t>D</t>
        </is>
      </c>
      <c r="G352" t="inlineStr">
        <is>
          <t>Good</t>
        </is>
      </c>
      <c r="H352" t="n">
        <v>182</v>
      </c>
      <c r="I352">
        <f>B352&amp;"~"&amp;F352&amp;"~"&amp;G352</f>
        <v/>
      </c>
      <c r="J352" t="inlineStr">
        <is>
          <t>MVS Sec.12 p.13</t>
        </is>
      </c>
    </row>
    <row r="353">
      <c r="B353" t="inlineStr">
        <is>
          <t>Office-Apartments</t>
        </is>
      </c>
      <c r="C353" t="inlineStr">
        <is>
          <t>544</t>
        </is>
      </c>
      <c r="D353" t="inlineStr">
        <is>
          <t>12</t>
        </is>
      </c>
      <c r="E353" t="inlineStr">
        <is>
          <t>13</t>
        </is>
      </c>
      <c r="F353" t="inlineStr">
        <is>
          <t>D</t>
        </is>
      </c>
      <c r="G353" t="inlineStr">
        <is>
          <t>Average</t>
        </is>
      </c>
      <c r="H353" t="n">
        <v>129</v>
      </c>
      <c r="I353">
        <f>B353&amp;"~"&amp;F353&amp;"~"&amp;G353</f>
        <v/>
      </c>
      <c r="J353" t="inlineStr">
        <is>
          <t>MVS Sec.12 p.13</t>
        </is>
      </c>
    </row>
    <row r="354">
      <c r="B354" t="inlineStr">
        <is>
          <t>Office-Apartments</t>
        </is>
      </c>
      <c r="C354" t="inlineStr">
        <is>
          <t>544</t>
        </is>
      </c>
      <c r="D354" t="inlineStr">
        <is>
          <t>12</t>
        </is>
      </c>
      <c r="E354" t="inlineStr">
        <is>
          <t>13</t>
        </is>
      </c>
      <c r="F354" t="inlineStr">
        <is>
          <t>D</t>
        </is>
      </c>
      <c r="G354" t="inlineStr">
        <is>
          <t>Low Cost</t>
        </is>
      </c>
      <c r="H354" t="n">
        <v>91.5</v>
      </c>
      <c r="I354">
        <f>B354&amp;"~"&amp;F354&amp;"~"&amp;G354</f>
        <v/>
      </c>
      <c r="J354" t="inlineStr">
        <is>
          <t>MVS Sec.12 p.13</t>
        </is>
      </c>
    </row>
    <row r="355">
      <c r="B355" t="inlineStr">
        <is>
          <t>Office-Apartments</t>
        </is>
      </c>
      <c r="C355" t="inlineStr">
        <is>
          <t>544</t>
        </is>
      </c>
      <c r="D355" t="inlineStr">
        <is>
          <t>12</t>
        </is>
      </c>
      <c r="E355" t="inlineStr">
        <is>
          <t>13</t>
        </is>
      </c>
      <c r="F355" t="inlineStr">
        <is>
          <t>D</t>
        </is>
      </c>
      <c r="G355" t="inlineStr">
        <is>
          <t>Cheap</t>
        </is>
      </c>
      <c r="H355" t="n">
        <v>75.5</v>
      </c>
      <c r="I355">
        <f>B355&amp;"~"&amp;F355&amp;"~"&amp;G355</f>
        <v/>
      </c>
      <c r="J355" t="inlineStr">
        <is>
          <t>MVS Sec.12 p.13</t>
        </is>
      </c>
    </row>
    <row r="356">
      <c r="B356" t="inlineStr">
        <is>
          <t>Office-Apartments</t>
        </is>
      </c>
      <c r="C356" t="inlineStr">
        <is>
          <t>544</t>
        </is>
      </c>
      <c r="D356" t="inlineStr">
        <is>
          <t>12</t>
        </is>
      </c>
      <c r="E356" t="inlineStr">
        <is>
          <t>13</t>
        </is>
      </c>
      <c r="F356" t="inlineStr">
        <is>
          <t>S</t>
        </is>
      </c>
      <c r="G356" t="inlineStr">
        <is>
          <t>Average</t>
        </is>
      </c>
      <c r="H356" t="n">
        <v>126</v>
      </c>
      <c r="I356">
        <f>B356&amp;"~"&amp;F356&amp;"~"&amp;G356</f>
        <v/>
      </c>
      <c r="J356" t="inlineStr">
        <is>
          <t>MVS Sec.12 p.13</t>
        </is>
      </c>
    </row>
    <row r="357">
      <c r="B357" t="inlineStr">
        <is>
          <t>Motel Guest Rooms</t>
        </is>
      </c>
      <c r="C357" t="inlineStr">
        <is>
          <t>540</t>
        </is>
      </c>
      <c r="D357" t="inlineStr">
        <is>
          <t>12</t>
        </is>
      </c>
      <c r="E357" t="inlineStr">
        <is>
          <t>13</t>
        </is>
      </c>
      <c r="F357" t="inlineStr">
        <is>
          <t>C</t>
        </is>
      </c>
      <c r="G357" t="inlineStr">
        <is>
          <t>Excellent</t>
        </is>
      </c>
      <c r="H357" t="n">
        <v>226</v>
      </c>
      <c r="I357">
        <f>B357&amp;"~"&amp;F357&amp;"~"&amp;G357</f>
        <v/>
      </c>
      <c r="J357" t="inlineStr">
        <is>
          <t>MVS Sec.12 p.13</t>
        </is>
      </c>
    </row>
    <row r="358">
      <c r="B358" t="inlineStr">
        <is>
          <t>Motel Guest Rooms</t>
        </is>
      </c>
      <c r="C358" t="inlineStr">
        <is>
          <t>540</t>
        </is>
      </c>
      <c r="D358" t="inlineStr">
        <is>
          <t>12</t>
        </is>
      </c>
      <c r="E358" t="inlineStr">
        <is>
          <t>13</t>
        </is>
      </c>
      <c r="F358" t="inlineStr">
        <is>
          <t>C</t>
        </is>
      </c>
      <c r="G358" t="inlineStr">
        <is>
          <t>Good</t>
        </is>
      </c>
      <c r="H358" t="n">
        <v>171</v>
      </c>
      <c r="I358">
        <f>B358&amp;"~"&amp;F358&amp;"~"&amp;G358</f>
        <v/>
      </c>
      <c r="J358" t="inlineStr">
        <is>
          <t>MVS Sec.12 p.13</t>
        </is>
      </c>
    </row>
    <row r="359">
      <c r="B359" t="inlineStr">
        <is>
          <t>Motel Guest Rooms</t>
        </is>
      </c>
      <c r="C359" t="inlineStr">
        <is>
          <t>540</t>
        </is>
      </c>
      <c r="D359" t="inlineStr">
        <is>
          <t>12</t>
        </is>
      </c>
      <c r="E359" t="inlineStr">
        <is>
          <t>13</t>
        </is>
      </c>
      <c r="F359" t="inlineStr">
        <is>
          <t>C</t>
        </is>
      </c>
      <c r="G359" t="inlineStr">
        <is>
          <t>Average</t>
        </is>
      </c>
      <c r="H359" t="n">
        <v>126</v>
      </c>
      <c r="I359">
        <f>B359&amp;"~"&amp;F359&amp;"~"&amp;G359</f>
        <v/>
      </c>
      <c r="J359" t="inlineStr">
        <is>
          <t>MVS Sec.12 p.13</t>
        </is>
      </c>
    </row>
    <row r="360">
      <c r="B360" t="inlineStr">
        <is>
          <t>Motel Guest Rooms</t>
        </is>
      </c>
      <c r="C360" t="inlineStr">
        <is>
          <t>540</t>
        </is>
      </c>
      <c r="D360" t="inlineStr">
        <is>
          <t>12</t>
        </is>
      </c>
      <c r="E360" t="inlineStr">
        <is>
          <t>13</t>
        </is>
      </c>
      <c r="F360" t="inlineStr">
        <is>
          <t>C</t>
        </is>
      </c>
      <c r="G360" t="inlineStr">
        <is>
          <t>Low Cost</t>
        </is>
      </c>
      <c r="H360" t="n">
        <v>95</v>
      </c>
      <c r="I360">
        <f>B360&amp;"~"&amp;F360&amp;"~"&amp;G360</f>
        <v/>
      </c>
      <c r="J360" t="inlineStr">
        <is>
          <t>MVS Sec.12 p.13</t>
        </is>
      </c>
    </row>
    <row r="361">
      <c r="B361" t="inlineStr">
        <is>
          <t>Motel Guest Rooms</t>
        </is>
      </c>
      <c r="C361" t="inlineStr">
        <is>
          <t>540</t>
        </is>
      </c>
      <c r="D361" t="inlineStr">
        <is>
          <t>12</t>
        </is>
      </c>
      <c r="E361" t="inlineStr">
        <is>
          <t>13</t>
        </is>
      </c>
      <c r="F361" t="inlineStr">
        <is>
          <t>C</t>
        </is>
      </c>
      <c r="G361" t="inlineStr">
        <is>
          <t>Cheap</t>
        </is>
      </c>
      <c r="H361" t="n">
        <v>79.5</v>
      </c>
      <c r="I361">
        <f>B361&amp;"~"&amp;F361&amp;"~"&amp;G361</f>
        <v/>
      </c>
      <c r="J361" t="inlineStr">
        <is>
          <t>MVS Sec.12 p.13</t>
        </is>
      </c>
    </row>
    <row r="362">
      <c r="B362" t="inlineStr">
        <is>
          <t>Motel Guest Rooms</t>
        </is>
      </c>
      <c r="C362" t="inlineStr">
        <is>
          <t>540</t>
        </is>
      </c>
      <c r="D362" t="inlineStr">
        <is>
          <t>12</t>
        </is>
      </c>
      <c r="E362" t="inlineStr">
        <is>
          <t>13</t>
        </is>
      </c>
      <c r="F362" t="inlineStr">
        <is>
          <t>D</t>
        </is>
      </c>
      <c r="G362" t="inlineStr">
        <is>
          <t>Excellent</t>
        </is>
      </c>
      <c r="H362" t="n">
        <v>222</v>
      </c>
      <c r="I362">
        <f>B362&amp;"~"&amp;F362&amp;"~"&amp;G362</f>
        <v/>
      </c>
      <c r="J362" t="inlineStr">
        <is>
          <t>MVS Sec.12 p.13</t>
        </is>
      </c>
    </row>
    <row r="363">
      <c r="B363" t="inlineStr">
        <is>
          <t>Motel Guest Rooms</t>
        </is>
      </c>
      <c r="C363" t="inlineStr">
        <is>
          <t>540</t>
        </is>
      </c>
      <c r="D363" t="inlineStr">
        <is>
          <t>12</t>
        </is>
      </c>
      <c r="E363" t="inlineStr">
        <is>
          <t>13</t>
        </is>
      </c>
      <c r="F363" t="inlineStr">
        <is>
          <t>D</t>
        </is>
      </c>
      <c r="G363" t="inlineStr">
        <is>
          <t>Good</t>
        </is>
      </c>
      <c r="H363" t="n">
        <v>167</v>
      </c>
      <c r="I363">
        <f>B363&amp;"~"&amp;F363&amp;"~"&amp;G363</f>
        <v/>
      </c>
      <c r="J363" t="inlineStr">
        <is>
          <t>MVS Sec.12 p.13</t>
        </is>
      </c>
    </row>
    <row r="364">
      <c r="B364" t="inlineStr">
        <is>
          <t>Motel Guest Rooms</t>
        </is>
      </c>
      <c r="C364" t="inlineStr">
        <is>
          <t>540</t>
        </is>
      </c>
      <c r="D364" t="inlineStr">
        <is>
          <t>12</t>
        </is>
      </c>
      <c r="E364" t="inlineStr">
        <is>
          <t>13</t>
        </is>
      </c>
      <c r="F364" t="inlineStr">
        <is>
          <t>D</t>
        </is>
      </c>
      <c r="G364" t="inlineStr">
        <is>
          <t>Average</t>
        </is>
      </c>
      <c r="H364" t="n">
        <v>123</v>
      </c>
      <c r="I364">
        <f>B364&amp;"~"&amp;F364&amp;"~"&amp;G364</f>
        <v/>
      </c>
      <c r="J364" t="inlineStr">
        <is>
          <t>MVS Sec.12 p.13</t>
        </is>
      </c>
    </row>
    <row r="365">
      <c r="B365" t="inlineStr">
        <is>
          <t>Motel Guest Rooms</t>
        </is>
      </c>
      <c r="C365" t="inlineStr">
        <is>
          <t>540</t>
        </is>
      </c>
      <c r="D365" t="inlineStr">
        <is>
          <t>12</t>
        </is>
      </c>
      <c r="E365" t="inlineStr">
        <is>
          <t>13</t>
        </is>
      </c>
      <c r="F365" t="inlineStr">
        <is>
          <t>D</t>
        </is>
      </c>
      <c r="G365" t="inlineStr">
        <is>
          <t>Low Cost</t>
        </is>
      </c>
      <c r="H365" t="n">
        <v>92.5</v>
      </c>
      <c r="I365">
        <f>B365&amp;"~"&amp;F365&amp;"~"&amp;G365</f>
        <v/>
      </c>
      <c r="J365" t="inlineStr">
        <is>
          <t>MVS Sec.12 p.13</t>
        </is>
      </c>
    </row>
    <row r="366">
      <c r="B366" t="inlineStr">
        <is>
          <t>Motel Guest Rooms</t>
        </is>
      </c>
      <c r="C366" t="inlineStr">
        <is>
          <t>540</t>
        </is>
      </c>
      <c r="D366" t="inlineStr">
        <is>
          <t>12</t>
        </is>
      </c>
      <c r="E366" t="inlineStr">
        <is>
          <t>13</t>
        </is>
      </c>
      <c r="F366" t="inlineStr">
        <is>
          <t>D</t>
        </is>
      </c>
      <c r="G366" t="inlineStr">
        <is>
          <t>Cheap</t>
        </is>
      </c>
      <c r="H366" t="n">
        <v>77</v>
      </c>
      <c r="I366">
        <f>B366&amp;"~"&amp;F366&amp;"~"&amp;G366</f>
        <v/>
      </c>
      <c r="J366" t="inlineStr">
        <is>
          <t>MVS Sec.12 p.13</t>
        </is>
      </c>
    </row>
    <row r="367">
      <c r="B367" t="inlineStr">
        <is>
          <t>Motel Guest Rooms</t>
        </is>
      </c>
      <c r="C367" t="inlineStr">
        <is>
          <t>540</t>
        </is>
      </c>
      <c r="D367" t="inlineStr">
        <is>
          <t>12</t>
        </is>
      </c>
      <c r="E367" t="inlineStr">
        <is>
          <t>13</t>
        </is>
      </c>
      <c r="F367" t="inlineStr">
        <is>
          <t>S</t>
        </is>
      </c>
      <c r="G367" t="inlineStr">
        <is>
          <t>Average</t>
        </is>
      </c>
      <c r="H367" t="n">
        <v>120</v>
      </c>
      <c r="I367">
        <f>B367&amp;"~"&amp;F367&amp;"~"&amp;G367</f>
        <v/>
      </c>
      <c r="J367" t="inlineStr">
        <is>
          <t>MVS Sec.12 p.13</t>
        </is>
      </c>
    </row>
    <row r="368">
      <c r="B368" t="inlineStr">
        <is>
          <t>Lodges</t>
        </is>
      </c>
      <c r="C368" t="inlineStr">
        <is>
          <t>537</t>
        </is>
      </c>
      <c r="D368" t="inlineStr">
        <is>
          <t>12</t>
        </is>
      </c>
      <c r="E368" t="inlineStr">
        <is>
          <t>14</t>
        </is>
      </c>
      <c r="F368" t="inlineStr">
        <is>
          <t>C</t>
        </is>
      </c>
      <c r="G368" t="inlineStr">
        <is>
          <t>Excellent</t>
        </is>
      </c>
      <c r="H368" t="n">
        <v>285</v>
      </c>
      <c r="I368">
        <f>B368&amp;"~"&amp;F368&amp;"~"&amp;G368</f>
        <v/>
      </c>
      <c r="J368" t="inlineStr">
        <is>
          <t>MVS Sec.12 p.14</t>
        </is>
      </c>
    </row>
    <row r="369">
      <c r="B369" t="inlineStr">
        <is>
          <t>Lodges</t>
        </is>
      </c>
      <c r="C369" t="inlineStr">
        <is>
          <t>537</t>
        </is>
      </c>
      <c r="D369" t="inlineStr">
        <is>
          <t>12</t>
        </is>
      </c>
      <c r="E369" t="inlineStr">
        <is>
          <t>14</t>
        </is>
      </c>
      <c r="F369" t="inlineStr">
        <is>
          <t>C</t>
        </is>
      </c>
      <c r="G369" t="inlineStr">
        <is>
          <t>Very Good</t>
        </is>
      </c>
      <c r="H369" t="n">
        <v>242</v>
      </c>
      <c r="I369">
        <f>B369&amp;"~"&amp;F369&amp;"~"&amp;G369</f>
        <v/>
      </c>
      <c r="J369" t="inlineStr">
        <is>
          <t>MVS Sec.12 p.14</t>
        </is>
      </c>
    </row>
    <row r="370">
      <c r="B370" t="inlineStr">
        <is>
          <t>Lodges</t>
        </is>
      </c>
      <c r="C370" t="inlineStr">
        <is>
          <t>537</t>
        </is>
      </c>
      <c r="D370" t="inlineStr">
        <is>
          <t>12</t>
        </is>
      </c>
      <c r="E370" t="inlineStr">
        <is>
          <t>14</t>
        </is>
      </c>
      <c r="F370" t="inlineStr">
        <is>
          <t>C</t>
        </is>
      </c>
      <c r="G370" t="inlineStr">
        <is>
          <t>Good</t>
        </is>
      </c>
      <c r="H370" t="n">
        <v>206</v>
      </c>
      <c r="I370">
        <f>B370&amp;"~"&amp;F370&amp;"~"&amp;G370</f>
        <v/>
      </c>
      <c r="J370" t="inlineStr">
        <is>
          <t>MVS Sec.12 p.14</t>
        </is>
      </c>
    </row>
    <row r="371">
      <c r="B371" t="inlineStr">
        <is>
          <t>Lodges</t>
        </is>
      </c>
      <c r="C371" t="inlineStr">
        <is>
          <t>537</t>
        </is>
      </c>
      <c r="D371" t="inlineStr">
        <is>
          <t>12</t>
        </is>
      </c>
      <c r="E371" t="inlineStr">
        <is>
          <t>14</t>
        </is>
      </c>
      <c r="F371" t="inlineStr">
        <is>
          <t>C</t>
        </is>
      </c>
      <c r="G371" t="inlineStr">
        <is>
          <t>Average</t>
        </is>
      </c>
      <c r="H371" t="n">
        <v>147</v>
      </c>
      <c r="I371">
        <f>B371&amp;"~"&amp;F371&amp;"~"&amp;G371</f>
        <v/>
      </c>
      <c r="J371" t="inlineStr">
        <is>
          <t>MVS Sec.12 p.14</t>
        </is>
      </c>
    </row>
    <row r="372">
      <c r="B372" t="inlineStr">
        <is>
          <t>Lodges</t>
        </is>
      </c>
      <c r="C372" t="inlineStr">
        <is>
          <t>537</t>
        </is>
      </c>
      <c r="D372" t="inlineStr">
        <is>
          <t>12</t>
        </is>
      </c>
      <c r="E372" t="inlineStr">
        <is>
          <t>14</t>
        </is>
      </c>
      <c r="F372" t="inlineStr">
        <is>
          <t>C</t>
        </is>
      </c>
      <c r="G372" t="inlineStr">
        <is>
          <t>Fair</t>
        </is>
      </c>
      <c r="H372" t="n">
        <v>125</v>
      </c>
      <c r="I372">
        <f>B372&amp;"~"&amp;F372&amp;"~"&amp;G372</f>
        <v/>
      </c>
      <c r="J372" t="inlineStr">
        <is>
          <t>MVS Sec.12 p.14</t>
        </is>
      </c>
    </row>
    <row r="373">
      <c r="B373" t="inlineStr">
        <is>
          <t>Lodges</t>
        </is>
      </c>
      <c r="C373" t="inlineStr">
        <is>
          <t>537</t>
        </is>
      </c>
      <c r="D373" t="inlineStr">
        <is>
          <t>12</t>
        </is>
      </c>
      <c r="E373" t="inlineStr">
        <is>
          <t>14</t>
        </is>
      </c>
      <c r="F373" t="inlineStr">
        <is>
          <t>C</t>
        </is>
      </c>
      <c r="G373" t="inlineStr">
        <is>
          <t>Low Cost</t>
        </is>
      </c>
      <c r="H373" t="n">
        <v>105</v>
      </c>
      <c r="I373">
        <f>B373&amp;"~"&amp;F373&amp;"~"&amp;G373</f>
        <v/>
      </c>
      <c r="J373" t="inlineStr">
        <is>
          <t>MVS Sec.12 p.14</t>
        </is>
      </c>
    </row>
    <row r="374">
      <c r="B374" t="inlineStr">
        <is>
          <t>Lodges</t>
        </is>
      </c>
      <c r="C374" t="inlineStr">
        <is>
          <t>537</t>
        </is>
      </c>
      <c r="D374" t="inlineStr">
        <is>
          <t>12</t>
        </is>
      </c>
      <c r="E374" t="inlineStr">
        <is>
          <t>14</t>
        </is>
      </c>
      <c r="F374" t="inlineStr">
        <is>
          <t>C</t>
        </is>
      </c>
      <c r="G374" t="inlineStr">
        <is>
          <t>Cheap</t>
        </is>
      </c>
      <c r="H374" t="n">
        <v>84</v>
      </c>
      <c r="I374">
        <f>B374&amp;"~"&amp;F374&amp;"~"&amp;G374</f>
        <v/>
      </c>
      <c r="J374" t="inlineStr">
        <is>
          <t>MVS Sec.12 p.14</t>
        </is>
      </c>
    </row>
    <row r="375">
      <c r="B375" t="inlineStr">
        <is>
          <t>Lodges</t>
        </is>
      </c>
      <c r="C375" t="inlineStr">
        <is>
          <t>537</t>
        </is>
      </c>
      <c r="D375" t="inlineStr">
        <is>
          <t>12</t>
        </is>
      </c>
      <c r="E375" t="inlineStr">
        <is>
          <t>14</t>
        </is>
      </c>
      <c r="F375" t="inlineStr">
        <is>
          <t>D</t>
        </is>
      </c>
      <c r="G375" t="inlineStr">
        <is>
          <t>Excellent</t>
        </is>
      </c>
      <c r="H375" t="n">
        <v>284</v>
      </c>
      <c r="I375">
        <f>B375&amp;"~"&amp;F375&amp;"~"&amp;G375</f>
        <v/>
      </c>
      <c r="J375" t="inlineStr">
        <is>
          <t>MVS Sec.12 p.14</t>
        </is>
      </c>
    </row>
    <row r="376">
      <c r="B376" t="inlineStr">
        <is>
          <t>Lodges</t>
        </is>
      </c>
      <c r="C376" t="inlineStr">
        <is>
          <t>537</t>
        </is>
      </c>
      <c r="D376" t="inlineStr">
        <is>
          <t>12</t>
        </is>
      </c>
      <c r="E376" t="inlineStr">
        <is>
          <t>14</t>
        </is>
      </c>
      <c r="F376" t="inlineStr">
        <is>
          <t>D</t>
        </is>
      </c>
      <c r="G376" t="inlineStr">
        <is>
          <t>Very Good</t>
        </is>
      </c>
      <c r="H376" t="n">
        <v>239</v>
      </c>
      <c r="I376">
        <f>B376&amp;"~"&amp;F376&amp;"~"&amp;G376</f>
        <v/>
      </c>
      <c r="J376" t="inlineStr">
        <is>
          <t>MVS Sec.12 p.14</t>
        </is>
      </c>
    </row>
    <row r="377">
      <c r="B377" t="inlineStr">
        <is>
          <t>Lodges</t>
        </is>
      </c>
      <c r="C377" t="inlineStr">
        <is>
          <t>537</t>
        </is>
      </c>
      <c r="D377" t="inlineStr">
        <is>
          <t>12</t>
        </is>
      </c>
      <c r="E377" t="inlineStr">
        <is>
          <t>14</t>
        </is>
      </c>
      <c r="F377" t="inlineStr">
        <is>
          <t>D</t>
        </is>
      </c>
      <c r="G377" t="inlineStr">
        <is>
          <t>Good</t>
        </is>
      </c>
      <c r="H377" t="n">
        <v>202</v>
      </c>
      <c r="I377">
        <f>B377&amp;"~"&amp;F377&amp;"~"&amp;G377</f>
        <v/>
      </c>
      <c r="J377" t="inlineStr">
        <is>
          <t>MVS Sec.12 p.14</t>
        </is>
      </c>
    </row>
    <row r="378">
      <c r="B378" t="inlineStr">
        <is>
          <t>Lodges</t>
        </is>
      </c>
      <c r="C378" t="inlineStr">
        <is>
          <t>537</t>
        </is>
      </c>
      <c r="D378" t="inlineStr">
        <is>
          <t>12</t>
        </is>
      </c>
      <c r="E378" t="inlineStr">
        <is>
          <t>14</t>
        </is>
      </c>
      <c r="F378" t="inlineStr">
        <is>
          <t>D</t>
        </is>
      </c>
      <c r="G378" t="inlineStr">
        <is>
          <t>Average</t>
        </is>
      </c>
      <c r="H378" t="n">
        <v>142</v>
      </c>
      <c r="I378">
        <f>B378&amp;"~"&amp;F378&amp;"~"&amp;G378</f>
        <v/>
      </c>
      <c r="J378" t="inlineStr">
        <is>
          <t>MVS Sec.12 p.14</t>
        </is>
      </c>
    </row>
    <row r="379">
      <c r="B379" t="inlineStr">
        <is>
          <t>Lodges</t>
        </is>
      </c>
      <c r="C379" t="inlineStr">
        <is>
          <t>537</t>
        </is>
      </c>
      <c r="D379" t="inlineStr">
        <is>
          <t>12</t>
        </is>
      </c>
      <c r="E379" t="inlineStr">
        <is>
          <t>14</t>
        </is>
      </c>
      <c r="F379" t="inlineStr">
        <is>
          <t>D</t>
        </is>
      </c>
      <c r="G379" t="inlineStr">
        <is>
          <t>Fair</t>
        </is>
      </c>
      <c r="H379" t="n">
        <v>120</v>
      </c>
      <c r="I379">
        <f>B379&amp;"~"&amp;F379&amp;"~"&amp;G379</f>
        <v/>
      </c>
      <c r="J379" t="inlineStr">
        <is>
          <t>MVS Sec.12 p.14</t>
        </is>
      </c>
    </row>
    <row r="380">
      <c r="B380" t="inlineStr">
        <is>
          <t>Lodges</t>
        </is>
      </c>
      <c r="C380" t="inlineStr">
        <is>
          <t>537</t>
        </is>
      </c>
      <c r="D380" t="inlineStr">
        <is>
          <t>12</t>
        </is>
      </c>
      <c r="E380" t="inlineStr">
        <is>
          <t>14</t>
        </is>
      </c>
      <c r="F380" t="inlineStr">
        <is>
          <t>D</t>
        </is>
      </c>
      <c r="G380" t="inlineStr">
        <is>
          <t>Low Cost</t>
        </is>
      </c>
      <c r="H380" t="n">
        <v>99.5</v>
      </c>
      <c r="I380">
        <f>B380&amp;"~"&amp;F380&amp;"~"&amp;G380</f>
        <v/>
      </c>
      <c r="J380" t="inlineStr">
        <is>
          <t>MVS Sec.12 p.14</t>
        </is>
      </c>
    </row>
    <row r="381">
      <c r="B381" t="inlineStr">
        <is>
          <t>Lodges</t>
        </is>
      </c>
      <c r="C381" t="inlineStr">
        <is>
          <t>537</t>
        </is>
      </c>
      <c r="D381" t="inlineStr">
        <is>
          <t>12</t>
        </is>
      </c>
      <c r="E381" t="inlineStr">
        <is>
          <t>14</t>
        </is>
      </c>
      <c r="F381" t="inlineStr">
        <is>
          <t>D</t>
        </is>
      </c>
      <c r="G381" t="inlineStr">
        <is>
          <t>Cheap</t>
        </is>
      </c>
      <c r="H381" t="n">
        <v>79</v>
      </c>
      <c r="I381">
        <f>B381&amp;"~"&amp;F381&amp;"~"&amp;G381</f>
        <v/>
      </c>
      <c r="J381" t="inlineStr">
        <is>
          <t>MVS Sec.12 p.14</t>
        </is>
      </c>
    </row>
    <row r="382">
      <c r="B382" t="inlineStr">
        <is>
          <t>Guest Cottages</t>
        </is>
      </c>
      <c r="C382" t="inlineStr">
        <is>
          <t>538</t>
        </is>
      </c>
      <c r="D382" t="inlineStr">
        <is>
          <t>12</t>
        </is>
      </c>
      <c r="E382" t="inlineStr">
        <is>
          <t>15</t>
        </is>
      </c>
      <c r="F382" t="inlineStr">
        <is>
          <t>C</t>
        </is>
      </c>
      <c r="G382" t="inlineStr">
        <is>
          <t>Excellent</t>
        </is>
      </c>
      <c r="H382" t="n">
        <v>263</v>
      </c>
      <c r="I382">
        <f>B382&amp;"~"&amp;F382&amp;"~"&amp;G382</f>
        <v/>
      </c>
      <c r="J382" t="inlineStr">
        <is>
          <t>MVS Sec.12 p.15</t>
        </is>
      </c>
    </row>
    <row r="383">
      <c r="B383" t="inlineStr">
        <is>
          <t>Guest Cottages</t>
        </is>
      </c>
      <c r="C383" t="inlineStr">
        <is>
          <t>538</t>
        </is>
      </c>
      <c r="D383" t="inlineStr">
        <is>
          <t>12</t>
        </is>
      </c>
      <c r="E383" t="inlineStr">
        <is>
          <t>15</t>
        </is>
      </c>
      <c r="F383" t="inlineStr">
        <is>
          <t>C</t>
        </is>
      </c>
      <c r="G383" t="inlineStr">
        <is>
          <t>Good</t>
        </is>
      </c>
      <c r="H383" t="n">
        <v>201</v>
      </c>
      <c r="I383">
        <f>B383&amp;"~"&amp;F383&amp;"~"&amp;G383</f>
        <v/>
      </c>
      <c r="J383" t="inlineStr">
        <is>
          <t>MVS Sec.12 p.15</t>
        </is>
      </c>
    </row>
    <row r="384">
      <c r="B384" t="inlineStr">
        <is>
          <t>Guest Cottages</t>
        </is>
      </c>
      <c r="C384" t="inlineStr">
        <is>
          <t>538</t>
        </is>
      </c>
      <c r="D384" t="inlineStr">
        <is>
          <t>12</t>
        </is>
      </c>
      <c r="E384" t="inlineStr">
        <is>
          <t>15</t>
        </is>
      </c>
      <c r="F384" t="inlineStr">
        <is>
          <t>C</t>
        </is>
      </c>
      <c r="G384" t="inlineStr">
        <is>
          <t>Average</t>
        </is>
      </c>
      <c r="H384" t="n">
        <v>150</v>
      </c>
      <c r="I384">
        <f>B384&amp;"~"&amp;F384&amp;"~"&amp;G384</f>
        <v/>
      </c>
      <c r="J384" t="inlineStr">
        <is>
          <t>MVS Sec.12 p.15</t>
        </is>
      </c>
    </row>
    <row r="385">
      <c r="B385" t="inlineStr">
        <is>
          <t>Guest Cottages</t>
        </is>
      </c>
      <c r="C385" t="inlineStr">
        <is>
          <t>538</t>
        </is>
      </c>
      <c r="D385" t="inlineStr">
        <is>
          <t>12</t>
        </is>
      </c>
      <c r="E385" t="inlineStr">
        <is>
          <t>15</t>
        </is>
      </c>
      <c r="F385" t="inlineStr">
        <is>
          <t>C</t>
        </is>
      </c>
      <c r="G385" t="inlineStr">
        <is>
          <t>Fair</t>
        </is>
      </c>
      <c r="H385" t="n">
        <v>131</v>
      </c>
      <c r="I385">
        <f>B385&amp;"~"&amp;F385&amp;"~"&amp;G385</f>
        <v/>
      </c>
      <c r="J385" t="inlineStr">
        <is>
          <t>MVS Sec.12 p.15</t>
        </is>
      </c>
    </row>
    <row r="386">
      <c r="B386" t="inlineStr">
        <is>
          <t>Guest Cottages</t>
        </is>
      </c>
      <c r="C386" t="inlineStr">
        <is>
          <t>538</t>
        </is>
      </c>
      <c r="D386" t="inlineStr">
        <is>
          <t>12</t>
        </is>
      </c>
      <c r="E386" t="inlineStr">
        <is>
          <t>15</t>
        </is>
      </c>
      <c r="F386" t="inlineStr">
        <is>
          <t>C</t>
        </is>
      </c>
      <c r="G386" t="inlineStr">
        <is>
          <t>Low Cost</t>
        </is>
      </c>
      <c r="H386" t="n">
        <v>112</v>
      </c>
      <c r="I386">
        <f>B386&amp;"~"&amp;F386&amp;"~"&amp;G386</f>
        <v/>
      </c>
      <c r="J386" t="inlineStr">
        <is>
          <t>MVS Sec.12 p.15</t>
        </is>
      </c>
    </row>
    <row r="387">
      <c r="B387" t="inlineStr">
        <is>
          <t>Guest Cottages</t>
        </is>
      </c>
      <c r="C387" t="inlineStr">
        <is>
          <t>538</t>
        </is>
      </c>
      <c r="D387" t="inlineStr">
        <is>
          <t>12</t>
        </is>
      </c>
      <c r="E387" t="inlineStr">
        <is>
          <t>15</t>
        </is>
      </c>
      <c r="F387" t="inlineStr">
        <is>
          <t>D</t>
        </is>
      </c>
      <c r="G387" t="inlineStr">
        <is>
          <t>Excellent</t>
        </is>
      </c>
      <c r="H387" t="n">
        <v>255</v>
      </c>
      <c r="I387">
        <f>B387&amp;"~"&amp;F387&amp;"~"&amp;G387</f>
        <v/>
      </c>
      <c r="J387" t="inlineStr">
        <is>
          <t>MVS Sec.12 p.15</t>
        </is>
      </c>
    </row>
    <row r="388">
      <c r="B388" t="inlineStr">
        <is>
          <t>Guest Cottages</t>
        </is>
      </c>
      <c r="C388" t="inlineStr">
        <is>
          <t>538</t>
        </is>
      </c>
      <c r="D388" t="inlineStr">
        <is>
          <t>12</t>
        </is>
      </c>
      <c r="E388" t="inlineStr">
        <is>
          <t>15</t>
        </is>
      </c>
      <c r="F388" t="inlineStr">
        <is>
          <t>D</t>
        </is>
      </c>
      <c r="G388" t="inlineStr">
        <is>
          <t>Good</t>
        </is>
      </c>
      <c r="H388" t="n">
        <v>194</v>
      </c>
      <c r="I388">
        <f>B388&amp;"~"&amp;F388&amp;"~"&amp;G388</f>
        <v/>
      </c>
      <c r="J388" t="inlineStr">
        <is>
          <t>MVS Sec.12 p.15</t>
        </is>
      </c>
    </row>
    <row r="389">
      <c r="B389" t="inlineStr">
        <is>
          <t>Guest Cottages</t>
        </is>
      </c>
      <c r="C389" t="inlineStr">
        <is>
          <t>538</t>
        </is>
      </c>
      <c r="D389" t="inlineStr">
        <is>
          <t>12</t>
        </is>
      </c>
      <c r="E389" t="inlineStr">
        <is>
          <t>15</t>
        </is>
      </c>
      <c r="F389" t="inlineStr">
        <is>
          <t>D</t>
        </is>
      </c>
      <c r="G389" t="inlineStr">
        <is>
          <t>Average</t>
        </is>
      </c>
      <c r="H389" t="n">
        <v>144</v>
      </c>
      <c r="I389">
        <f>B389&amp;"~"&amp;F389&amp;"~"&amp;G389</f>
        <v/>
      </c>
      <c r="J389" t="inlineStr">
        <is>
          <t>MVS Sec.12 p.15</t>
        </is>
      </c>
    </row>
    <row r="390">
      <c r="B390" t="inlineStr">
        <is>
          <t>Guest Cottages</t>
        </is>
      </c>
      <c r="C390" t="inlineStr">
        <is>
          <t>538</t>
        </is>
      </c>
      <c r="D390" t="inlineStr">
        <is>
          <t>12</t>
        </is>
      </c>
      <c r="E390" t="inlineStr">
        <is>
          <t>15</t>
        </is>
      </c>
      <c r="F390" t="inlineStr">
        <is>
          <t>D</t>
        </is>
      </c>
      <c r="G390" t="inlineStr">
        <is>
          <t>Fair</t>
        </is>
      </c>
      <c r="H390" t="n">
        <v>124</v>
      </c>
      <c r="I390">
        <f>B390&amp;"~"&amp;F390&amp;"~"&amp;G390</f>
        <v/>
      </c>
      <c r="J390" t="inlineStr">
        <is>
          <t>MVS Sec.12 p.15</t>
        </is>
      </c>
    </row>
    <row r="391">
      <c r="B391" t="inlineStr">
        <is>
          <t>Guest Cottages</t>
        </is>
      </c>
      <c r="C391" t="inlineStr">
        <is>
          <t>538</t>
        </is>
      </c>
      <c r="D391" t="inlineStr">
        <is>
          <t>12</t>
        </is>
      </c>
      <c r="E391" t="inlineStr">
        <is>
          <t>15</t>
        </is>
      </c>
      <c r="F391" t="inlineStr">
        <is>
          <t>D</t>
        </is>
      </c>
      <c r="G391" t="inlineStr">
        <is>
          <t>Low Cost</t>
        </is>
      </c>
      <c r="H391" t="n">
        <v>106</v>
      </c>
      <c r="I391">
        <f>B391&amp;"~"&amp;F391&amp;"~"&amp;G391</f>
        <v/>
      </c>
      <c r="J391" t="inlineStr">
        <is>
          <t>MVS Sec.12 p.15</t>
        </is>
      </c>
    </row>
    <row r="392">
      <c r="B392" t="inlineStr">
        <is>
          <t>Guest Cottages</t>
        </is>
      </c>
      <c r="C392" t="inlineStr">
        <is>
          <t>538</t>
        </is>
      </c>
      <c r="D392" t="inlineStr">
        <is>
          <t>12</t>
        </is>
      </c>
      <c r="E392" t="inlineStr">
        <is>
          <t>15</t>
        </is>
      </c>
      <c r="F392" t="inlineStr">
        <is>
          <t>WALL</t>
        </is>
      </c>
      <c r="G392" t="inlineStr">
        <is>
          <t>Cheap</t>
        </is>
      </c>
      <c r="H392" t="n">
        <v>67</v>
      </c>
      <c r="I392">
        <f>B392&amp;"~"&amp;F392&amp;"~"&amp;G392</f>
        <v/>
      </c>
      <c r="J392" t="inlineStr">
        <is>
          <t>MVS Sec.12 p.15</t>
        </is>
      </c>
    </row>
    <row r="393">
      <c r="B393" t="inlineStr">
        <is>
          <t>Bed and Breakfast Inns</t>
        </is>
      </c>
      <c r="C393" t="inlineStr">
        <is>
          <t>539</t>
        </is>
      </c>
      <c r="D393" t="inlineStr">
        <is>
          <t>12</t>
        </is>
      </c>
      <c r="E393" t="inlineStr">
        <is>
          <t>15</t>
        </is>
      </c>
      <c r="F393" t="inlineStr">
        <is>
          <t>C</t>
        </is>
      </c>
      <c r="G393" t="inlineStr">
        <is>
          <t>Excellent</t>
        </is>
      </c>
      <c r="H393" t="n">
        <v>251</v>
      </c>
      <c r="I393">
        <f>B393&amp;"~"&amp;F393&amp;"~"&amp;G393</f>
        <v/>
      </c>
      <c r="J393" t="inlineStr">
        <is>
          <t>MVS Sec.12 p.15</t>
        </is>
      </c>
    </row>
    <row r="394">
      <c r="B394" t="inlineStr">
        <is>
          <t>Bed and Breakfast Inns</t>
        </is>
      </c>
      <c r="C394" t="inlineStr">
        <is>
          <t>539</t>
        </is>
      </c>
      <c r="D394" t="inlineStr">
        <is>
          <t>12</t>
        </is>
      </c>
      <c r="E394" t="inlineStr">
        <is>
          <t>15</t>
        </is>
      </c>
      <c r="F394" t="inlineStr">
        <is>
          <t>C</t>
        </is>
      </c>
      <c r="G394" t="inlineStr">
        <is>
          <t>Good</t>
        </is>
      </c>
      <c r="H394" t="n">
        <v>189</v>
      </c>
      <c r="I394">
        <f>B394&amp;"~"&amp;F394&amp;"~"&amp;G394</f>
        <v/>
      </c>
      <c r="J394" t="inlineStr">
        <is>
          <t>MVS Sec.12 p.15</t>
        </is>
      </c>
    </row>
    <row r="395">
      <c r="B395" t="inlineStr">
        <is>
          <t>Bed and Breakfast Inns</t>
        </is>
      </c>
      <c r="C395" t="inlineStr">
        <is>
          <t>539</t>
        </is>
      </c>
      <c r="D395" t="inlineStr">
        <is>
          <t>12</t>
        </is>
      </c>
      <c r="E395" t="inlineStr">
        <is>
          <t>15</t>
        </is>
      </c>
      <c r="F395" t="inlineStr">
        <is>
          <t>C</t>
        </is>
      </c>
      <c r="G395" t="inlineStr">
        <is>
          <t>Average</t>
        </is>
      </c>
      <c r="H395" t="n">
        <v>139</v>
      </c>
      <c r="I395">
        <f>B395&amp;"~"&amp;F395&amp;"~"&amp;G395</f>
        <v/>
      </c>
      <c r="J395" t="inlineStr">
        <is>
          <t>MVS Sec.12 p.15</t>
        </is>
      </c>
    </row>
    <row r="396">
      <c r="B396" t="inlineStr">
        <is>
          <t>Bed and Breakfast Inns</t>
        </is>
      </c>
      <c r="C396" t="inlineStr">
        <is>
          <t>539</t>
        </is>
      </c>
      <c r="D396" t="inlineStr">
        <is>
          <t>12</t>
        </is>
      </c>
      <c r="E396" t="inlineStr">
        <is>
          <t>15</t>
        </is>
      </c>
      <c r="F396" t="inlineStr">
        <is>
          <t>C</t>
        </is>
      </c>
      <c r="G396" t="inlineStr">
        <is>
          <t>Low Cost</t>
        </is>
      </c>
      <c r="H396" t="n">
        <v>104</v>
      </c>
      <c r="I396">
        <f>B396&amp;"~"&amp;F396&amp;"~"&amp;G396</f>
        <v/>
      </c>
      <c r="J396" t="inlineStr">
        <is>
          <t>MVS Sec.12 p.15</t>
        </is>
      </c>
    </row>
    <row r="397">
      <c r="B397" t="inlineStr">
        <is>
          <t>Bed and Breakfast Inns</t>
        </is>
      </c>
      <c r="C397" t="inlineStr">
        <is>
          <t>539</t>
        </is>
      </c>
      <c r="D397" t="inlineStr">
        <is>
          <t>12</t>
        </is>
      </c>
      <c r="E397" t="inlineStr">
        <is>
          <t>15</t>
        </is>
      </c>
      <c r="F397" t="inlineStr">
        <is>
          <t>D</t>
        </is>
      </c>
      <c r="G397" t="inlineStr">
        <is>
          <t>Excellent</t>
        </is>
      </c>
      <c r="H397" t="n">
        <v>246</v>
      </c>
      <c r="I397">
        <f>B397&amp;"~"&amp;F397&amp;"~"&amp;G397</f>
        <v/>
      </c>
      <c r="J397" t="inlineStr">
        <is>
          <t>MVS Sec.12 p.15</t>
        </is>
      </c>
    </row>
    <row r="398">
      <c r="B398" t="inlineStr">
        <is>
          <t>Bed and Breakfast Inns</t>
        </is>
      </c>
      <c r="C398" t="inlineStr">
        <is>
          <t>539</t>
        </is>
      </c>
      <c r="D398" t="inlineStr">
        <is>
          <t>12</t>
        </is>
      </c>
      <c r="E398" t="inlineStr">
        <is>
          <t>15</t>
        </is>
      </c>
      <c r="F398" t="inlineStr">
        <is>
          <t>D</t>
        </is>
      </c>
      <c r="G398" t="inlineStr">
        <is>
          <t>Good</t>
        </is>
      </c>
      <c r="H398" t="n">
        <v>182</v>
      </c>
      <c r="I398">
        <f>B398&amp;"~"&amp;F398&amp;"~"&amp;G398</f>
        <v/>
      </c>
      <c r="J398" t="inlineStr">
        <is>
          <t>MVS Sec.12 p.15</t>
        </is>
      </c>
    </row>
    <row r="399">
      <c r="B399" t="inlineStr">
        <is>
          <t>Bed and Breakfast Inns</t>
        </is>
      </c>
      <c r="C399" t="inlineStr">
        <is>
          <t>539</t>
        </is>
      </c>
      <c r="D399" t="inlineStr">
        <is>
          <t>12</t>
        </is>
      </c>
      <c r="E399" t="inlineStr">
        <is>
          <t>15</t>
        </is>
      </c>
      <c r="F399" t="inlineStr">
        <is>
          <t>D</t>
        </is>
      </c>
      <c r="G399" t="inlineStr">
        <is>
          <t>Average</t>
        </is>
      </c>
      <c r="H399" t="n">
        <v>132</v>
      </c>
      <c r="I399">
        <f>B399&amp;"~"&amp;F399&amp;"~"&amp;G399</f>
        <v/>
      </c>
      <c r="J399" t="inlineStr">
        <is>
          <t>MVS Sec.12 p.15</t>
        </is>
      </c>
    </row>
    <row r="400">
      <c r="B400" t="inlineStr">
        <is>
          <t>Bed and Breakfast Inns</t>
        </is>
      </c>
      <c r="C400" t="inlineStr">
        <is>
          <t>539</t>
        </is>
      </c>
      <c r="D400" t="inlineStr">
        <is>
          <t>12</t>
        </is>
      </c>
      <c r="E400" t="inlineStr">
        <is>
          <t>15</t>
        </is>
      </c>
      <c r="F400" t="inlineStr">
        <is>
          <t>WALL</t>
        </is>
      </c>
      <c r="G400" t="inlineStr">
        <is>
          <t>Low Cost</t>
        </is>
      </c>
      <c r="H400" t="n">
        <v>97.5</v>
      </c>
      <c r="I400">
        <f>B400&amp;"~"&amp;F400&amp;"~"&amp;G400</f>
        <v/>
      </c>
      <c r="J400" t="inlineStr">
        <is>
          <t>MVS Sec.12 p.15</t>
        </is>
      </c>
    </row>
    <row r="401">
      <c r="B401" t="inlineStr">
        <is>
          <t>Multiple Residences</t>
        </is>
      </c>
      <c r="C401" t="inlineStr">
        <is>
          <t>352</t>
        </is>
      </c>
      <c r="D401" t="inlineStr">
        <is>
          <t>12</t>
        </is>
      </c>
      <c r="E401" t="inlineStr">
        <is>
          <t>16</t>
        </is>
      </c>
      <c r="F401" t="inlineStr">
        <is>
          <t>C</t>
        </is>
      </c>
      <c r="G401" t="inlineStr">
        <is>
          <t>Excellent</t>
        </is>
      </c>
      <c r="H401" t="n">
        <v>198</v>
      </c>
      <c r="I401">
        <f>B401&amp;"~"&amp;F401&amp;"~"&amp;G401</f>
        <v/>
      </c>
      <c r="J401" t="inlineStr">
        <is>
          <t>MVS Sec.12 p.16</t>
        </is>
      </c>
    </row>
    <row r="402">
      <c r="B402" t="inlineStr">
        <is>
          <t>Multiple Residences</t>
        </is>
      </c>
      <c r="C402" t="inlineStr">
        <is>
          <t>352</t>
        </is>
      </c>
      <c r="D402" t="inlineStr">
        <is>
          <t>12</t>
        </is>
      </c>
      <c r="E402" t="inlineStr">
        <is>
          <t>16</t>
        </is>
      </c>
      <c r="F402" t="inlineStr">
        <is>
          <t>C</t>
        </is>
      </c>
      <c r="G402" t="inlineStr">
        <is>
          <t>Good</t>
        </is>
      </c>
      <c r="H402" t="n">
        <v>147</v>
      </c>
      <c r="I402">
        <f>B402&amp;"~"&amp;F402&amp;"~"&amp;G402</f>
        <v/>
      </c>
      <c r="J402" t="inlineStr">
        <is>
          <t>MVS Sec.12 p.16</t>
        </is>
      </c>
    </row>
    <row r="403">
      <c r="B403" t="inlineStr">
        <is>
          <t>Multiple Residences</t>
        </is>
      </c>
      <c r="C403" t="inlineStr">
        <is>
          <t>352</t>
        </is>
      </c>
      <c r="D403" t="inlineStr">
        <is>
          <t>12</t>
        </is>
      </c>
      <c r="E403" t="inlineStr">
        <is>
          <t>16</t>
        </is>
      </c>
      <c r="F403" t="inlineStr">
        <is>
          <t>C</t>
        </is>
      </c>
      <c r="G403" t="inlineStr">
        <is>
          <t>Average</t>
        </is>
      </c>
      <c r="H403" t="n">
        <v>109</v>
      </c>
      <c r="I403">
        <f>B403&amp;"~"&amp;F403&amp;"~"&amp;G403</f>
        <v/>
      </c>
      <c r="J403" t="inlineStr">
        <is>
          <t>MVS Sec.12 p.16</t>
        </is>
      </c>
    </row>
    <row r="404">
      <c r="B404" t="inlineStr">
        <is>
          <t>Multiple Residences</t>
        </is>
      </c>
      <c r="C404" t="inlineStr">
        <is>
          <t>352</t>
        </is>
      </c>
      <c r="D404" t="inlineStr">
        <is>
          <t>12</t>
        </is>
      </c>
      <c r="E404" t="inlineStr">
        <is>
          <t>16</t>
        </is>
      </c>
      <c r="F404" t="inlineStr">
        <is>
          <t>C</t>
        </is>
      </c>
      <c r="G404" t="inlineStr">
        <is>
          <t>Fair</t>
        </is>
      </c>
      <c r="H404" t="n">
        <v>94.5</v>
      </c>
      <c r="I404">
        <f>B404&amp;"~"&amp;F404&amp;"~"&amp;G404</f>
        <v/>
      </c>
      <c r="J404" t="inlineStr">
        <is>
          <t>MVS Sec.12 p.16</t>
        </is>
      </c>
    </row>
    <row r="405">
      <c r="B405" t="inlineStr">
        <is>
          <t>Multiple Residences</t>
        </is>
      </c>
      <c r="C405" t="inlineStr">
        <is>
          <t>352</t>
        </is>
      </c>
      <c r="D405" t="inlineStr">
        <is>
          <t>12</t>
        </is>
      </c>
      <c r="E405" t="inlineStr">
        <is>
          <t>16</t>
        </is>
      </c>
      <c r="F405" t="inlineStr">
        <is>
          <t>C</t>
        </is>
      </c>
      <c r="G405" t="inlineStr">
        <is>
          <t>Low Cost</t>
        </is>
      </c>
      <c r="H405" t="n">
        <v>80.5</v>
      </c>
      <c r="I405">
        <f>B405&amp;"~"&amp;F405&amp;"~"&amp;G405</f>
        <v/>
      </c>
      <c r="J405" t="inlineStr">
        <is>
          <t>MVS Sec.12 p.16</t>
        </is>
      </c>
    </row>
    <row r="406">
      <c r="B406" t="inlineStr">
        <is>
          <t>Multiple Residences</t>
        </is>
      </c>
      <c r="C406" t="inlineStr">
        <is>
          <t>352</t>
        </is>
      </c>
      <c r="D406" t="inlineStr">
        <is>
          <t>12</t>
        </is>
      </c>
      <c r="E406" t="inlineStr">
        <is>
          <t>16</t>
        </is>
      </c>
      <c r="F406" t="inlineStr">
        <is>
          <t>DMASVEN</t>
        </is>
      </c>
      <c r="G406" t="inlineStr">
        <is>
          <t>Excellent</t>
        </is>
      </c>
      <c r="H406" t="n">
        <v>197</v>
      </c>
      <c r="I406">
        <f>B406&amp;"~"&amp;F406&amp;"~"&amp;G406</f>
        <v/>
      </c>
      <c r="J406" t="inlineStr">
        <is>
          <t>MVS Sec.12 p.16</t>
        </is>
      </c>
    </row>
    <row r="407">
      <c r="B407" t="inlineStr">
        <is>
          <t>Multiple Residences</t>
        </is>
      </c>
      <c r="C407" t="inlineStr">
        <is>
          <t>352</t>
        </is>
      </c>
      <c r="D407" t="inlineStr">
        <is>
          <t>12</t>
        </is>
      </c>
      <c r="E407" t="inlineStr">
        <is>
          <t>16</t>
        </is>
      </c>
      <c r="F407" t="inlineStr">
        <is>
          <t>DMASVEN</t>
        </is>
      </c>
      <c r="G407" t="inlineStr">
        <is>
          <t>Good</t>
        </is>
      </c>
      <c r="H407" t="n">
        <v>145</v>
      </c>
      <c r="I407">
        <f>B407&amp;"~"&amp;F407&amp;"~"&amp;G407</f>
        <v/>
      </c>
      <c r="J407" t="inlineStr">
        <is>
          <t>MVS Sec.12 p.16</t>
        </is>
      </c>
    </row>
    <row r="408">
      <c r="B408" t="inlineStr">
        <is>
          <t>Multiple Residences</t>
        </is>
      </c>
      <c r="C408" t="inlineStr">
        <is>
          <t>352</t>
        </is>
      </c>
      <c r="D408" t="inlineStr">
        <is>
          <t>12</t>
        </is>
      </c>
      <c r="E408" t="inlineStr">
        <is>
          <t>16</t>
        </is>
      </c>
      <c r="F408" t="inlineStr">
        <is>
          <t>DMASVEN</t>
        </is>
      </c>
      <c r="G408" t="inlineStr">
        <is>
          <t>Average</t>
        </is>
      </c>
      <c r="H408" t="n">
        <v>107</v>
      </c>
      <c r="I408">
        <f>B408&amp;"~"&amp;F408&amp;"~"&amp;G408</f>
        <v/>
      </c>
      <c r="J408" t="inlineStr">
        <is>
          <t>MVS Sec.12 p.16</t>
        </is>
      </c>
    </row>
    <row r="409">
      <c r="B409" t="inlineStr">
        <is>
          <t>Multiple Residences</t>
        </is>
      </c>
      <c r="C409" t="inlineStr">
        <is>
          <t>352</t>
        </is>
      </c>
      <c r="D409" t="inlineStr">
        <is>
          <t>12</t>
        </is>
      </c>
      <c r="E409" t="inlineStr">
        <is>
          <t>16</t>
        </is>
      </c>
      <c r="F409" t="inlineStr">
        <is>
          <t>DMASVEN</t>
        </is>
      </c>
      <c r="G409" t="inlineStr">
        <is>
          <t>Fair</t>
        </is>
      </c>
      <c r="H409" t="n">
        <v>93</v>
      </c>
      <c r="I409">
        <f>B409&amp;"~"&amp;F409&amp;"~"&amp;G409</f>
        <v/>
      </c>
      <c r="J409" t="inlineStr">
        <is>
          <t>MVS Sec.12 p.16</t>
        </is>
      </c>
    </row>
    <row r="410">
      <c r="B410" t="inlineStr">
        <is>
          <t>Multiple Residences</t>
        </is>
      </c>
      <c r="C410" t="inlineStr">
        <is>
          <t>352</t>
        </is>
      </c>
      <c r="D410" t="inlineStr">
        <is>
          <t>12</t>
        </is>
      </c>
      <c r="E410" t="inlineStr">
        <is>
          <t>16</t>
        </is>
      </c>
      <c r="F410" t="inlineStr">
        <is>
          <t>DMASVEN</t>
        </is>
      </c>
      <c r="G410" t="inlineStr">
        <is>
          <t>Low Cost</t>
        </is>
      </c>
      <c r="H410" t="n">
        <v>78.5</v>
      </c>
      <c r="I410">
        <f>B410&amp;"~"&amp;F410&amp;"~"&amp;G410</f>
        <v/>
      </c>
      <c r="J410" t="inlineStr">
        <is>
          <t>MVS Sec.12 p.16</t>
        </is>
      </c>
    </row>
    <row r="411">
      <c r="B411" t="inlineStr">
        <is>
          <t>Multiple Residences</t>
        </is>
      </c>
      <c r="C411" t="inlineStr">
        <is>
          <t>352</t>
        </is>
      </c>
      <c r="D411" t="inlineStr">
        <is>
          <t>12</t>
        </is>
      </c>
      <c r="E411" t="inlineStr">
        <is>
          <t>16</t>
        </is>
      </c>
      <c r="F411" t="inlineStr">
        <is>
          <t>D</t>
        </is>
      </c>
      <c r="G411" t="inlineStr">
        <is>
          <t>Excellent</t>
        </is>
      </c>
      <c r="H411" t="n">
        <v>193</v>
      </c>
      <c r="I411">
        <f>B411&amp;"~"&amp;F411&amp;"~"&amp;G411</f>
        <v/>
      </c>
      <c r="J411" t="inlineStr">
        <is>
          <t>MVS Sec.12 p.16</t>
        </is>
      </c>
    </row>
    <row r="412">
      <c r="B412" t="inlineStr">
        <is>
          <t>Multiple Residences</t>
        </is>
      </c>
      <c r="C412" t="inlineStr">
        <is>
          <t>352</t>
        </is>
      </c>
      <c r="D412" t="inlineStr">
        <is>
          <t>12</t>
        </is>
      </c>
      <c r="E412" t="inlineStr">
        <is>
          <t>16</t>
        </is>
      </c>
      <c r="F412" t="inlineStr">
        <is>
          <t>D</t>
        </is>
      </c>
      <c r="G412" t="inlineStr">
        <is>
          <t>Good</t>
        </is>
      </c>
      <c r="H412" t="n">
        <v>142</v>
      </c>
      <c r="I412">
        <f>B412&amp;"~"&amp;F412&amp;"~"&amp;G412</f>
        <v/>
      </c>
      <c r="J412" t="inlineStr">
        <is>
          <t>MVS Sec.12 p.16</t>
        </is>
      </c>
    </row>
    <row r="413">
      <c r="B413" t="inlineStr">
        <is>
          <t>Multiple Residences</t>
        </is>
      </c>
      <c r="C413" t="inlineStr">
        <is>
          <t>352</t>
        </is>
      </c>
      <c r="D413" t="inlineStr">
        <is>
          <t>12</t>
        </is>
      </c>
      <c r="E413" t="inlineStr">
        <is>
          <t>16</t>
        </is>
      </c>
      <c r="F413" t="inlineStr">
        <is>
          <t>D</t>
        </is>
      </c>
      <c r="G413" t="inlineStr">
        <is>
          <t>Average</t>
        </is>
      </c>
      <c r="H413" t="n">
        <v>104</v>
      </c>
      <c r="I413">
        <f>B413&amp;"~"&amp;F413&amp;"~"&amp;G413</f>
        <v/>
      </c>
      <c r="J413" t="inlineStr">
        <is>
          <t>MVS Sec.12 p.16</t>
        </is>
      </c>
    </row>
    <row r="414">
      <c r="B414" t="inlineStr">
        <is>
          <t>Multiple Residences</t>
        </is>
      </c>
      <c r="C414" t="inlineStr">
        <is>
          <t>352</t>
        </is>
      </c>
      <c r="D414" t="inlineStr">
        <is>
          <t>12</t>
        </is>
      </c>
      <c r="E414" t="inlineStr">
        <is>
          <t>16</t>
        </is>
      </c>
      <c r="F414" t="inlineStr">
        <is>
          <t>D</t>
        </is>
      </c>
      <c r="G414" t="inlineStr">
        <is>
          <t>Fair</t>
        </is>
      </c>
      <c r="H414" t="n">
        <v>90</v>
      </c>
      <c r="I414">
        <f>B414&amp;"~"&amp;F414&amp;"~"&amp;G414</f>
        <v/>
      </c>
      <c r="J414" t="inlineStr">
        <is>
          <t>MVS Sec.12 p.16</t>
        </is>
      </c>
    </row>
    <row r="415">
      <c r="B415" t="inlineStr">
        <is>
          <t>Multiple Residences</t>
        </is>
      </c>
      <c r="C415" t="inlineStr">
        <is>
          <t>352</t>
        </is>
      </c>
      <c r="D415" t="inlineStr">
        <is>
          <t>12</t>
        </is>
      </c>
      <c r="E415" t="inlineStr">
        <is>
          <t>16</t>
        </is>
      </c>
      <c r="F415" t="inlineStr">
        <is>
          <t>D</t>
        </is>
      </c>
      <c r="G415" t="inlineStr">
        <is>
          <t>Low Cost</t>
        </is>
      </c>
      <c r="H415" t="n">
        <v>76.5</v>
      </c>
      <c r="I415">
        <f>B415&amp;"~"&amp;F415&amp;"~"&amp;G415</f>
        <v/>
      </c>
      <c r="J415" t="inlineStr">
        <is>
          <t>MVS Sec.12 p.16</t>
        </is>
      </c>
    </row>
    <row r="416">
      <c r="B416" t="inlineStr">
        <is>
          <t>Multiple Residences</t>
        </is>
      </c>
      <c r="C416" t="inlineStr">
        <is>
          <t>352</t>
        </is>
      </c>
      <c r="D416" t="inlineStr">
        <is>
          <t>12</t>
        </is>
      </c>
      <c r="E416" t="inlineStr">
        <is>
          <t>16</t>
        </is>
      </c>
      <c r="F416" t="inlineStr">
        <is>
          <t>S</t>
        </is>
      </c>
      <c r="G416" t="inlineStr">
        <is>
          <t>Good</t>
        </is>
      </c>
      <c r="H416" t="n">
        <v>138</v>
      </c>
      <c r="I416">
        <f>B416&amp;"~"&amp;F416&amp;"~"&amp;G416</f>
        <v/>
      </c>
      <c r="J416" t="inlineStr">
        <is>
          <t>MVS Sec.12 p.16</t>
        </is>
      </c>
    </row>
    <row r="417">
      <c r="B417" t="inlineStr">
        <is>
          <t>Multiple Residences</t>
        </is>
      </c>
      <c r="C417" t="inlineStr">
        <is>
          <t>352</t>
        </is>
      </c>
      <c r="D417" t="inlineStr">
        <is>
          <t>12</t>
        </is>
      </c>
      <c r="E417" t="inlineStr">
        <is>
          <t>16</t>
        </is>
      </c>
      <c r="F417" t="inlineStr">
        <is>
          <t>S</t>
        </is>
      </c>
      <c r="G417" t="inlineStr">
        <is>
          <t>Average</t>
        </is>
      </c>
      <c r="H417" t="n">
        <v>102</v>
      </c>
      <c r="I417">
        <f>B417&amp;"~"&amp;F417&amp;"~"&amp;G417</f>
        <v/>
      </c>
      <c r="J417" t="inlineStr">
        <is>
          <t>MVS Sec.12 p.16</t>
        </is>
      </c>
    </row>
    <row r="418">
      <c r="B418" t="inlineStr">
        <is>
          <t>Shell Multiple Residence Buildings</t>
        </is>
      </c>
      <c r="C418" t="inlineStr">
        <is>
          <t>587</t>
        </is>
      </c>
      <c r="D418" t="inlineStr">
        <is>
          <t>12</t>
        </is>
      </c>
      <c r="E418" t="inlineStr">
        <is>
          <t>17</t>
        </is>
      </c>
      <c r="F418" t="inlineStr">
        <is>
          <t>C</t>
        </is>
      </c>
      <c r="G418" t="inlineStr">
        <is>
          <t>Excellent</t>
        </is>
      </c>
      <c r="H418" t="n">
        <v>90</v>
      </c>
      <c r="I418">
        <f>B418&amp;"~"&amp;F418&amp;"~"&amp;G418</f>
        <v/>
      </c>
      <c r="J418" t="inlineStr">
        <is>
          <t>MVS Sec.12 p.17</t>
        </is>
      </c>
    </row>
    <row r="419">
      <c r="B419" t="inlineStr">
        <is>
          <t>Shell Multiple Residence Buildings</t>
        </is>
      </c>
      <c r="C419" t="inlineStr">
        <is>
          <t>587</t>
        </is>
      </c>
      <c r="D419" t="inlineStr">
        <is>
          <t>12</t>
        </is>
      </c>
      <c r="E419" t="inlineStr">
        <is>
          <t>17</t>
        </is>
      </c>
      <c r="F419" t="inlineStr">
        <is>
          <t>C</t>
        </is>
      </c>
      <c r="G419" t="inlineStr">
        <is>
          <t>Good</t>
        </is>
      </c>
      <c r="H419" t="n">
        <v>69.5</v>
      </c>
      <c r="I419">
        <f>B419&amp;"~"&amp;F419&amp;"~"&amp;G419</f>
        <v/>
      </c>
      <c r="J419" t="inlineStr">
        <is>
          <t>MVS Sec.12 p.17</t>
        </is>
      </c>
    </row>
    <row r="420">
      <c r="B420" t="inlineStr">
        <is>
          <t>Shell Multiple Residence Buildings</t>
        </is>
      </c>
      <c r="C420" t="inlineStr">
        <is>
          <t>587</t>
        </is>
      </c>
      <c r="D420" t="inlineStr">
        <is>
          <t>12</t>
        </is>
      </c>
      <c r="E420" t="inlineStr">
        <is>
          <t>17</t>
        </is>
      </c>
      <c r="F420" t="inlineStr">
        <is>
          <t>C</t>
        </is>
      </c>
      <c r="G420" t="inlineStr">
        <is>
          <t>Average</t>
        </is>
      </c>
      <c r="H420" t="n">
        <v>54.5</v>
      </c>
      <c r="I420">
        <f>B420&amp;"~"&amp;F420&amp;"~"&amp;G420</f>
        <v/>
      </c>
      <c r="J420" t="inlineStr">
        <is>
          <t>MVS Sec.12 p.17</t>
        </is>
      </c>
    </row>
    <row r="421">
      <c r="B421" t="inlineStr">
        <is>
          <t>Shell Multiple Residence Buildings</t>
        </is>
      </c>
      <c r="C421" t="inlineStr">
        <is>
          <t>587</t>
        </is>
      </c>
      <c r="D421" t="inlineStr">
        <is>
          <t>12</t>
        </is>
      </c>
      <c r="E421" t="inlineStr">
        <is>
          <t>17</t>
        </is>
      </c>
      <c r="F421" t="inlineStr">
        <is>
          <t>C</t>
        </is>
      </c>
      <c r="G421" t="inlineStr">
        <is>
          <t>Fair</t>
        </is>
      </c>
      <c r="H421" t="n">
        <v>48.25</v>
      </c>
      <c r="I421">
        <f>B421&amp;"~"&amp;F421&amp;"~"&amp;G421</f>
        <v/>
      </c>
      <c r="J421" t="inlineStr">
        <is>
          <t>MVS Sec.12 p.17</t>
        </is>
      </c>
    </row>
    <row r="422">
      <c r="B422" t="inlineStr">
        <is>
          <t>Shell Multiple Residence Buildings</t>
        </is>
      </c>
      <c r="C422" t="inlineStr">
        <is>
          <t>587</t>
        </is>
      </c>
      <c r="D422" t="inlineStr">
        <is>
          <t>12</t>
        </is>
      </c>
      <c r="E422" t="inlineStr">
        <is>
          <t>17</t>
        </is>
      </c>
      <c r="F422" t="inlineStr">
        <is>
          <t>DMASVEN</t>
        </is>
      </c>
      <c r="G422" t="inlineStr">
        <is>
          <t>Excellent</t>
        </is>
      </c>
      <c r="H422" t="n">
        <v>85.5</v>
      </c>
      <c r="I422">
        <f>B422&amp;"~"&amp;F422&amp;"~"&amp;G422</f>
        <v/>
      </c>
      <c r="J422" t="inlineStr">
        <is>
          <t>MVS Sec.12 p.17</t>
        </is>
      </c>
    </row>
    <row r="423">
      <c r="B423" t="inlineStr">
        <is>
          <t>Shell Multiple Residence Buildings</t>
        </is>
      </c>
      <c r="C423" t="inlineStr">
        <is>
          <t>587</t>
        </is>
      </c>
      <c r="D423" t="inlineStr">
        <is>
          <t>12</t>
        </is>
      </c>
      <c r="E423" t="inlineStr">
        <is>
          <t>17</t>
        </is>
      </c>
      <c r="F423" t="inlineStr">
        <is>
          <t>DMASVEN</t>
        </is>
      </c>
      <c r="G423" t="inlineStr">
        <is>
          <t>Good</t>
        </is>
      </c>
      <c r="H423" t="n">
        <v>65.5</v>
      </c>
      <c r="I423">
        <f>B423&amp;"~"&amp;F423&amp;"~"&amp;G423</f>
        <v/>
      </c>
      <c r="J423" t="inlineStr">
        <is>
          <t>MVS Sec.12 p.17</t>
        </is>
      </c>
    </row>
    <row r="424">
      <c r="B424" t="inlineStr">
        <is>
          <t>Shell Multiple Residence Buildings</t>
        </is>
      </c>
      <c r="C424" t="inlineStr">
        <is>
          <t>587</t>
        </is>
      </c>
      <c r="D424" t="inlineStr">
        <is>
          <t>12</t>
        </is>
      </c>
      <c r="E424" t="inlineStr">
        <is>
          <t>17</t>
        </is>
      </c>
      <c r="F424" t="inlineStr">
        <is>
          <t>DMASVEN</t>
        </is>
      </c>
      <c r="G424" t="inlineStr">
        <is>
          <t>Average</t>
        </is>
      </c>
      <c r="H424" t="n">
        <v>51</v>
      </c>
      <c r="I424">
        <f>B424&amp;"~"&amp;F424&amp;"~"&amp;G424</f>
        <v/>
      </c>
      <c r="J424" t="inlineStr">
        <is>
          <t>MVS Sec.12 p.17</t>
        </is>
      </c>
    </row>
    <row r="425">
      <c r="B425" t="inlineStr">
        <is>
          <t>Shell Multiple Residence Buildings</t>
        </is>
      </c>
      <c r="C425" t="inlineStr">
        <is>
          <t>587</t>
        </is>
      </c>
      <c r="D425" t="inlineStr">
        <is>
          <t>12</t>
        </is>
      </c>
      <c r="E425" t="inlineStr">
        <is>
          <t>17</t>
        </is>
      </c>
      <c r="F425" t="inlineStr">
        <is>
          <t>DMASVEN</t>
        </is>
      </c>
      <c r="G425" t="inlineStr">
        <is>
          <t>Fair</t>
        </is>
      </c>
      <c r="H425" t="n">
        <v>45</v>
      </c>
      <c r="I425">
        <f>B425&amp;"~"&amp;F425&amp;"~"&amp;G425</f>
        <v/>
      </c>
      <c r="J425" t="inlineStr">
        <is>
          <t>MVS Sec.12 p.17</t>
        </is>
      </c>
    </row>
    <row r="426">
      <c r="B426" t="inlineStr">
        <is>
          <t>Shell Multiple Residence Buildings</t>
        </is>
      </c>
      <c r="C426" t="inlineStr">
        <is>
          <t>587</t>
        </is>
      </c>
      <c r="D426" t="inlineStr">
        <is>
          <t>12</t>
        </is>
      </c>
      <c r="E426" t="inlineStr">
        <is>
          <t>17</t>
        </is>
      </c>
      <c r="F426" t="inlineStr">
        <is>
          <t>D</t>
        </is>
      </c>
      <c r="G426" t="inlineStr">
        <is>
          <t>Excellent</t>
        </is>
      </c>
      <c r="H426" t="n">
        <v>83.5</v>
      </c>
      <c r="I426">
        <f>B426&amp;"~"&amp;F426&amp;"~"&amp;G426</f>
        <v/>
      </c>
      <c r="J426" t="inlineStr">
        <is>
          <t>MVS Sec.12 p.17</t>
        </is>
      </c>
    </row>
    <row r="427">
      <c r="B427" t="inlineStr">
        <is>
          <t>Shell Multiple Residence Buildings</t>
        </is>
      </c>
      <c r="C427" t="inlineStr">
        <is>
          <t>587</t>
        </is>
      </c>
      <c r="D427" t="inlineStr">
        <is>
          <t>12</t>
        </is>
      </c>
      <c r="E427" t="inlineStr">
        <is>
          <t>17</t>
        </is>
      </c>
      <c r="F427" t="inlineStr">
        <is>
          <t>D</t>
        </is>
      </c>
      <c r="G427" t="inlineStr">
        <is>
          <t>Good</t>
        </is>
      </c>
      <c r="H427" t="n">
        <v>64</v>
      </c>
      <c r="I427">
        <f>B427&amp;"~"&amp;F427&amp;"~"&amp;G427</f>
        <v/>
      </c>
      <c r="J427" t="inlineStr">
        <is>
          <t>MVS Sec.12 p.17</t>
        </is>
      </c>
    </row>
    <row r="428">
      <c r="B428" t="inlineStr">
        <is>
          <t>Shell Multiple Residence Buildings</t>
        </is>
      </c>
      <c r="C428" t="inlineStr">
        <is>
          <t>587</t>
        </is>
      </c>
      <c r="D428" t="inlineStr">
        <is>
          <t>12</t>
        </is>
      </c>
      <c r="E428" t="inlineStr">
        <is>
          <t>17</t>
        </is>
      </c>
      <c r="F428" t="inlineStr">
        <is>
          <t>D</t>
        </is>
      </c>
      <c r="G428" t="inlineStr">
        <is>
          <t>Average</t>
        </is>
      </c>
      <c r="H428" t="n">
        <v>49.25</v>
      </c>
      <c r="I428">
        <f>B428&amp;"~"&amp;F428&amp;"~"&amp;G428</f>
        <v/>
      </c>
      <c r="J428" t="inlineStr">
        <is>
          <t>MVS Sec.12 p.17</t>
        </is>
      </c>
    </row>
    <row r="429">
      <c r="B429" t="inlineStr">
        <is>
          <t>Shell Multiple Residence Buildings</t>
        </is>
      </c>
      <c r="C429" t="inlineStr">
        <is>
          <t>587</t>
        </is>
      </c>
      <c r="D429" t="inlineStr">
        <is>
          <t>12</t>
        </is>
      </c>
      <c r="E429" t="inlineStr">
        <is>
          <t>17</t>
        </is>
      </c>
      <c r="F429" t="inlineStr">
        <is>
          <t>D</t>
        </is>
      </c>
      <c r="G429" t="inlineStr">
        <is>
          <t>Fair</t>
        </is>
      </c>
      <c r="H429" t="n">
        <v>43.5</v>
      </c>
      <c r="I429">
        <f>B429&amp;"~"&amp;F429&amp;"~"&amp;G429</f>
        <v/>
      </c>
      <c r="J429" t="inlineStr">
        <is>
          <t>MVS Sec.12 p.17</t>
        </is>
      </c>
    </row>
    <row r="430">
      <c r="B430" t="inlineStr">
        <is>
          <t>Shell Multiple Residence Buildings</t>
        </is>
      </c>
      <c r="C430" t="inlineStr">
        <is>
          <t>587</t>
        </is>
      </c>
      <c r="D430" t="inlineStr">
        <is>
          <t>12</t>
        </is>
      </c>
      <c r="E430" t="inlineStr">
        <is>
          <t>17</t>
        </is>
      </c>
      <c r="F430" t="inlineStr">
        <is>
          <t>S</t>
        </is>
      </c>
      <c r="G430" t="inlineStr">
        <is>
          <t>Good</t>
        </is>
      </c>
      <c r="H430" t="n">
        <v>61.5</v>
      </c>
      <c r="I430">
        <f>B430&amp;"~"&amp;F430&amp;"~"&amp;G430</f>
        <v/>
      </c>
      <c r="J430" t="inlineStr">
        <is>
          <t>MVS Sec.12 p.17</t>
        </is>
      </c>
    </row>
    <row r="431">
      <c r="B431" t="inlineStr">
        <is>
          <t>Shell Multiple Residence Buildings</t>
        </is>
      </c>
      <c r="C431" t="inlineStr">
        <is>
          <t>587</t>
        </is>
      </c>
      <c r="D431" t="inlineStr">
        <is>
          <t>12</t>
        </is>
      </c>
      <c r="E431" t="inlineStr">
        <is>
          <t>17</t>
        </is>
      </c>
      <c r="F431" t="inlineStr">
        <is>
          <t>S</t>
        </is>
      </c>
      <c r="G431" t="inlineStr">
        <is>
          <t>Average</t>
        </is>
      </c>
      <c r="H431" t="n">
        <v>47.75</v>
      </c>
      <c r="I431">
        <f>B431&amp;"~"&amp;F431&amp;"~"&amp;G431</f>
        <v/>
      </c>
      <c r="J431" t="inlineStr">
        <is>
          <t>MVS Sec.12 p.17</t>
        </is>
      </c>
    </row>
    <row r="432">
      <c r="B432" t="inlineStr">
        <is>
          <t>Multiple Residences – Senior Citizen</t>
        </is>
      </c>
      <c r="C432" t="inlineStr">
        <is>
          <t>451</t>
        </is>
      </c>
      <c r="D432" t="inlineStr">
        <is>
          <t>12</t>
        </is>
      </c>
      <c r="E432" t="inlineStr">
        <is>
          <t>18</t>
        </is>
      </c>
      <c r="F432" t="inlineStr">
        <is>
          <t>C</t>
        </is>
      </c>
      <c r="G432" t="inlineStr">
        <is>
          <t>Excellent</t>
        </is>
      </c>
      <c r="H432" t="n">
        <v>187</v>
      </c>
      <c r="I432">
        <f>B432&amp;"~"&amp;F432&amp;"~"&amp;G432</f>
        <v/>
      </c>
      <c r="J432" t="inlineStr">
        <is>
          <t>MVS Sec.12 p.18</t>
        </is>
      </c>
    </row>
    <row r="433">
      <c r="B433" t="inlineStr">
        <is>
          <t>Multiple Residences – Senior Citizen</t>
        </is>
      </c>
      <c r="C433" t="inlineStr">
        <is>
          <t>451</t>
        </is>
      </c>
      <c r="D433" t="inlineStr">
        <is>
          <t>12</t>
        </is>
      </c>
      <c r="E433" t="inlineStr">
        <is>
          <t>18</t>
        </is>
      </c>
      <c r="F433" t="inlineStr">
        <is>
          <t>C</t>
        </is>
      </c>
      <c r="G433" t="inlineStr">
        <is>
          <t>Good</t>
        </is>
      </c>
      <c r="H433" t="n">
        <v>149</v>
      </c>
      <c r="I433">
        <f>B433&amp;"~"&amp;F433&amp;"~"&amp;G433</f>
        <v/>
      </c>
      <c r="J433" t="inlineStr">
        <is>
          <t>MVS Sec.12 p.18</t>
        </is>
      </c>
    </row>
    <row r="434">
      <c r="B434" t="inlineStr">
        <is>
          <t>Multiple Residences – Senior Citizen</t>
        </is>
      </c>
      <c r="C434" t="inlineStr">
        <is>
          <t>451</t>
        </is>
      </c>
      <c r="D434" t="inlineStr">
        <is>
          <t>12</t>
        </is>
      </c>
      <c r="E434" t="inlineStr">
        <is>
          <t>18</t>
        </is>
      </c>
      <c r="F434" t="inlineStr">
        <is>
          <t>C</t>
        </is>
      </c>
      <c r="G434" t="inlineStr">
        <is>
          <t>Average</t>
        </is>
      </c>
      <c r="H434" t="n">
        <v>119</v>
      </c>
      <c r="I434">
        <f>B434&amp;"~"&amp;F434&amp;"~"&amp;G434</f>
        <v/>
      </c>
      <c r="J434" t="inlineStr">
        <is>
          <t>MVS Sec.12 p.18</t>
        </is>
      </c>
    </row>
    <row r="435">
      <c r="B435" t="inlineStr">
        <is>
          <t>Multiple Residences – Senior Citizen</t>
        </is>
      </c>
      <c r="C435" t="inlineStr">
        <is>
          <t>451</t>
        </is>
      </c>
      <c r="D435" t="inlineStr">
        <is>
          <t>12</t>
        </is>
      </c>
      <c r="E435" t="inlineStr">
        <is>
          <t>18</t>
        </is>
      </c>
      <c r="F435" t="inlineStr">
        <is>
          <t>C</t>
        </is>
      </c>
      <c r="G435" t="inlineStr">
        <is>
          <t>Fair</t>
        </is>
      </c>
      <c r="H435" t="n">
        <v>103</v>
      </c>
      <c r="I435">
        <f>B435&amp;"~"&amp;F435&amp;"~"&amp;G435</f>
        <v/>
      </c>
      <c r="J435" t="inlineStr">
        <is>
          <t>MVS Sec.12 p.18</t>
        </is>
      </c>
    </row>
    <row r="436">
      <c r="B436" t="inlineStr">
        <is>
          <t>Multiple Residences – Senior Citizen</t>
        </is>
      </c>
      <c r="C436" t="inlineStr">
        <is>
          <t>451</t>
        </is>
      </c>
      <c r="D436" t="inlineStr">
        <is>
          <t>12</t>
        </is>
      </c>
      <c r="E436" t="inlineStr">
        <is>
          <t>18</t>
        </is>
      </c>
      <c r="F436" t="inlineStr">
        <is>
          <t>DMASVEN</t>
        </is>
      </c>
      <c r="G436" t="inlineStr">
        <is>
          <t>Excellent</t>
        </is>
      </c>
      <c r="H436" t="n">
        <v>186</v>
      </c>
      <c r="I436">
        <f>B436&amp;"~"&amp;F436&amp;"~"&amp;G436</f>
        <v/>
      </c>
      <c r="J436" t="inlineStr">
        <is>
          <t>MVS Sec.12 p.18</t>
        </is>
      </c>
    </row>
    <row r="437">
      <c r="B437" t="inlineStr">
        <is>
          <t>Multiple Residences – Senior Citizen</t>
        </is>
      </c>
      <c r="C437" t="inlineStr">
        <is>
          <t>451</t>
        </is>
      </c>
      <c r="D437" t="inlineStr">
        <is>
          <t>12</t>
        </is>
      </c>
      <c r="E437" t="inlineStr">
        <is>
          <t>18</t>
        </is>
      </c>
      <c r="F437" t="inlineStr">
        <is>
          <t>DMASVEN</t>
        </is>
      </c>
      <c r="G437" t="inlineStr">
        <is>
          <t>Good</t>
        </is>
      </c>
      <c r="H437" t="n">
        <v>147</v>
      </c>
      <c r="I437">
        <f>B437&amp;"~"&amp;F437&amp;"~"&amp;G437</f>
        <v/>
      </c>
      <c r="J437" t="inlineStr">
        <is>
          <t>MVS Sec.12 p.18</t>
        </is>
      </c>
    </row>
    <row r="438">
      <c r="B438" t="inlineStr">
        <is>
          <t>Multiple Residences – Senior Citizen</t>
        </is>
      </c>
      <c r="C438" t="inlineStr">
        <is>
          <t>451</t>
        </is>
      </c>
      <c r="D438" t="inlineStr">
        <is>
          <t>12</t>
        </is>
      </c>
      <c r="E438" t="inlineStr">
        <is>
          <t>18</t>
        </is>
      </c>
      <c r="F438" t="inlineStr">
        <is>
          <t>DMASVEN</t>
        </is>
      </c>
      <c r="G438" t="inlineStr">
        <is>
          <t>Average</t>
        </is>
      </c>
      <c r="H438" t="n">
        <v>117</v>
      </c>
      <c r="I438">
        <f>B438&amp;"~"&amp;F438&amp;"~"&amp;G438</f>
        <v/>
      </c>
      <c r="J438" t="inlineStr">
        <is>
          <t>MVS Sec.12 p.18</t>
        </is>
      </c>
    </row>
    <row r="439">
      <c r="B439" t="inlineStr">
        <is>
          <t>Multiple Residences – Senior Citizen</t>
        </is>
      </c>
      <c r="C439" t="inlineStr">
        <is>
          <t>451</t>
        </is>
      </c>
      <c r="D439" t="inlineStr">
        <is>
          <t>12</t>
        </is>
      </c>
      <c r="E439" t="inlineStr">
        <is>
          <t>18</t>
        </is>
      </c>
      <c r="F439" t="inlineStr">
        <is>
          <t>DMASVEN</t>
        </is>
      </c>
      <c r="G439" t="inlineStr">
        <is>
          <t>Fair</t>
        </is>
      </c>
      <c r="H439" t="n">
        <v>101</v>
      </c>
      <c r="I439">
        <f>B439&amp;"~"&amp;F439&amp;"~"&amp;G439</f>
        <v/>
      </c>
      <c r="J439" t="inlineStr">
        <is>
          <t>MVS Sec.12 p.18</t>
        </is>
      </c>
    </row>
    <row r="440">
      <c r="B440" t="inlineStr">
        <is>
          <t>Multiple Residences – Senior Citizen</t>
        </is>
      </c>
      <c r="C440" t="inlineStr">
        <is>
          <t>451</t>
        </is>
      </c>
      <c r="D440" t="inlineStr">
        <is>
          <t>12</t>
        </is>
      </c>
      <c r="E440" t="inlineStr">
        <is>
          <t>18</t>
        </is>
      </c>
      <c r="F440" t="inlineStr">
        <is>
          <t>D</t>
        </is>
      </c>
      <c r="G440" t="inlineStr">
        <is>
          <t>Excellent</t>
        </is>
      </c>
      <c r="H440" t="n">
        <v>181</v>
      </c>
      <c r="I440">
        <f>B440&amp;"~"&amp;F440&amp;"~"&amp;G440</f>
        <v/>
      </c>
      <c r="J440" t="inlineStr">
        <is>
          <t>MVS Sec.12 p.18</t>
        </is>
      </c>
    </row>
    <row r="441">
      <c r="B441" t="inlineStr">
        <is>
          <t>Multiple Residences – Senior Citizen</t>
        </is>
      </c>
      <c r="C441" t="inlineStr">
        <is>
          <t>451</t>
        </is>
      </c>
      <c r="D441" t="inlineStr">
        <is>
          <t>12</t>
        </is>
      </c>
      <c r="E441" t="inlineStr">
        <is>
          <t>18</t>
        </is>
      </c>
      <c r="F441" t="inlineStr">
        <is>
          <t>D</t>
        </is>
      </c>
      <c r="G441" t="inlineStr">
        <is>
          <t>Good</t>
        </is>
      </c>
      <c r="H441" t="n">
        <v>143</v>
      </c>
      <c r="I441">
        <f>B441&amp;"~"&amp;F441&amp;"~"&amp;G441</f>
        <v/>
      </c>
      <c r="J441" t="inlineStr">
        <is>
          <t>MVS Sec.12 p.18</t>
        </is>
      </c>
    </row>
    <row r="442">
      <c r="B442" t="inlineStr">
        <is>
          <t>Multiple Residences – Senior Citizen</t>
        </is>
      </c>
      <c r="C442" t="inlineStr">
        <is>
          <t>451</t>
        </is>
      </c>
      <c r="D442" t="inlineStr">
        <is>
          <t>12</t>
        </is>
      </c>
      <c r="E442" t="inlineStr">
        <is>
          <t>18</t>
        </is>
      </c>
      <c r="F442" t="inlineStr">
        <is>
          <t>D</t>
        </is>
      </c>
      <c r="G442" t="inlineStr">
        <is>
          <t>Average</t>
        </is>
      </c>
      <c r="H442" t="n">
        <v>114</v>
      </c>
      <c r="I442">
        <f>B442&amp;"~"&amp;F442&amp;"~"&amp;G442</f>
        <v/>
      </c>
      <c r="J442" t="inlineStr">
        <is>
          <t>MVS Sec.12 p.18</t>
        </is>
      </c>
    </row>
    <row r="443">
      <c r="B443" t="inlineStr">
        <is>
          <t>Multiple Residences – Senior Citizen</t>
        </is>
      </c>
      <c r="C443" t="inlineStr">
        <is>
          <t>451</t>
        </is>
      </c>
      <c r="D443" t="inlineStr">
        <is>
          <t>12</t>
        </is>
      </c>
      <c r="E443" t="inlineStr">
        <is>
          <t>18</t>
        </is>
      </c>
      <c r="F443" t="inlineStr">
        <is>
          <t>D</t>
        </is>
      </c>
      <c r="G443" t="inlineStr">
        <is>
          <t>Fair</t>
        </is>
      </c>
      <c r="H443" t="n">
        <v>98</v>
      </c>
      <c r="I443">
        <f>B443&amp;"~"&amp;F443&amp;"~"&amp;G443</f>
        <v/>
      </c>
      <c r="J443" t="inlineStr">
        <is>
          <t>MVS Sec.12 p.18</t>
        </is>
      </c>
    </row>
    <row r="444">
      <c r="B444" t="inlineStr">
        <is>
          <t>Multiple Residences – Senior Citizen</t>
        </is>
      </c>
      <c r="C444" t="inlineStr">
        <is>
          <t>451</t>
        </is>
      </c>
      <c r="D444" t="inlineStr">
        <is>
          <t>12</t>
        </is>
      </c>
      <c r="E444" t="inlineStr">
        <is>
          <t>18</t>
        </is>
      </c>
      <c r="F444" t="inlineStr">
        <is>
          <t>D</t>
        </is>
      </c>
      <c r="G444" t="inlineStr">
        <is>
          <t>Low Cost</t>
        </is>
      </c>
      <c r="H444" t="n">
        <v>86.5</v>
      </c>
      <c r="I444">
        <f>B444&amp;"~"&amp;F444&amp;"~"&amp;G444</f>
        <v/>
      </c>
      <c r="J444" t="inlineStr">
        <is>
          <t>MVS Sec.12 p.18</t>
        </is>
      </c>
    </row>
    <row r="445">
      <c r="B445" t="inlineStr">
        <is>
          <t>Multiple Residences – Senior Citizen</t>
        </is>
      </c>
      <c r="C445" t="inlineStr">
        <is>
          <t>451</t>
        </is>
      </c>
      <c r="D445" t="inlineStr">
        <is>
          <t>12</t>
        </is>
      </c>
      <c r="E445" t="inlineStr">
        <is>
          <t>18</t>
        </is>
      </c>
      <c r="F445" t="inlineStr">
        <is>
          <t>S</t>
        </is>
      </c>
      <c r="G445" t="inlineStr">
        <is>
          <t>Good</t>
        </is>
      </c>
      <c r="H445" t="n">
        <v>140</v>
      </c>
      <c r="I445">
        <f>B445&amp;"~"&amp;F445&amp;"~"&amp;G445</f>
        <v/>
      </c>
      <c r="J445" t="inlineStr">
        <is>
          <t>MVS Sec.12 p.18</t>
        </is>
      </c>
    </row>
    <row r="446">
      <c r="B446" t="inlineStr">
        <is>
          <t>Multiple Residences – Senior Citizen</t>
        </is>
      </c>
      <c r="C446" t="inlineStr">
        <is>
          <t>451</t>
        </is>
      </c>
      <c r="D446" t="inlineStr">
        <is>
          <t>12</t>
        </is>
      </c>
      <c r="E446" t="inlineStr">
        <is>
          <t>18</t>
        </is>
      </c>
      <c r="F446" t="inlineStr">
        <is>
          <t>S</t>
        </is>
      </c>
      <c r="G446" t="inlineStr">
        <is>
          <t>Average</t>
        </is>
      </c>
      <c r="H446" t="n">
        <v>112</v>
      </c>
      <c r="I446">
        <f>B446&amp;"~"&amp;F446&amp;"~"&amp;G446</f>
        <v/>
      </c>
      <c r="J446" t="inlineStr">
        <is>
          <t>MVS Sec.12 p.18</t>
        </is>
      </c>
    </row>
    <row r="447">
      <c r="B447" t="inlineStr">
        <is>
          <t>Shell Multiple Residences - Senior Citizen</t>
        </is>
      </c>
      <c r="C447" t="inlineStr">
        <is>
          <t>784</t>
        </is>
      </c>
      <c r="D447" t="inlineStr">
        <is>
          <t>12</t>
        </is>
      </c>
      <c r="E447" t="inlineStr">
        <is>
          <t>19</t>
        </is>
      </c>
      <c r="F447" t="inlineStr">
        <is>
          <t>C</t>
        </is>
      </c>
      <c r="G447" t="inlineStr">
        <is>
          <t>Excellent</t>
        </is>
      </c>
      <c r="H447" t="n">
        <v>102</v>
      </c>
      <c r="I447">
        <f>B447&amp;"~"&amp;F447&amp;"~"&amp;G447</f>
        <v/>
      </c>
      <c r="J447" t="inlineStr">
        <is>
          <t>MVS Sec.12 p.19</t>
        </is>
      </c>
    </row>
    <row r="448">
      <c r="B448" t="inlineStr">
        <is>
          <t>Shell Multiple Residences - Senior Citizen</t>
        </is>
      </c>
      <c r="C448" t="inlineStr">
        <is>
          <t>784</t>
        </is>
      </c>
      <c r="D448" t="inlineStr">
        <is>
          <t>12</t>
        </is>
      </c>
      <c r="E448" t="inlineStr">
        <is>
          <t>19</t>
        </is>
      </c>
      <c r="F448" t="inlineStr">
        <is>
          <t>C</t>
        </is>
      </c>
      <c r="G448" t="inlineStr">
        <is>
          <t>Good</t>
        </is>
      </c>
      <c r="H448" t="n">
        <v>82</v>
      </c>
      <c r="I448">
        <f>B448&amp;"~"&amp;F448&amp;"~"&amp;G448</f>
        <v/>
      </c>
      <c r="J448" t="inlineStr">
        <is>
          <t>MVS Sec.12 p.19</t>
        </is>
      </c>
    </row>
    <row r="449">
      <c r="B449" t="inlineStr">
        <is>
          <t>Shell Multiple Residences - Senior Citizen</t>
        </is>
      </c>
      <c r="C449" t="inlineStr">
        <is>
          <t>784</t>
        </is>
      </c>
      <c r="D449" t="inlineStr">
        <is>
          <t>12</t>
        </is>
      </c>
      <c r="E449" t="inlineStr">
        <is>
          <t>19</t>
        </is>
      </c>
      <c r="F449" t="inlineStr">
        <is>
          <t>C</t>
        </is>
      </c>
      <c r="G449" t="inlineStr">
        <is>
          <t>Average</t>
        </is>
      </c>
      <c r="H449" t="n">
        <v>66.5</v>
      </c>
      <c r="I449">
        <f>B449&amp;"~"&amp;F449&amp;"~"&amp;G449</f>
        <v/>
      </c>
      <c r="J449" t="inlineStr">
        <is>
          <t>MVS Sec.12 p.19</t>
        </is>
      </c>
    </row>
    <row r="450">
      <c r="B450" t="inlineStr">
        <is>
          <t>Shell Multiple Residences - Senior Citizen</t>
        </is>
      </c>
      <c r="C450" t="inlineStr">
        <is>
          <t>784</t>
        </is>
      </c>
      <c r="D450" t="inlineStr">
        <is>
          <t>12</t>
        </is>
      </c>
      <c r="E450" t="inlineStr">
        <is>
          <t>19</t>
        </is>
      </c>
      <c r="F450" t="inlineStr">
        <is>
          <t>C</t>
        </is>
      </c>
      <c r="G450" t="inlineStr">
        <is>
          <t>Fair</t>
        </is>
      </c>
      <c r="H450" t="n">
        <v>59.5</v>
      </c>
      <c r="I450">
        <f>B450&amp;"~"&amp;F450&amp;"~"&amp;G450</f>
        <v/>
      </c>
      <c r="J450" t="inlineStr">
        <is>
          <t>MVS Sec.12 p.19</t>
        </is>
      </c>
    </row>
    <row r="451">
      <c r="B451" t="inlineStr">
        <is>
          <t>Shell Multiple Residences - Senior Citizen</t>
        </is>
      </c>
      <c r="C451" t="inlineStr">
        <is>
          <t>784</t>
        </is>
      </c>
      <c r="D451" t="inlineStr">
        <is>
          <t>12</t>
        </is>
      </c>
      <c r="E451" t="inlineStr">
        <is>
          <t>19</t>
        </is>
      </c>
      <c r="F451" t="inlineStr">
        <is>
          <t>DMASVEN</t>
        </is>
      </c>
      <c r="G451" t="inlineStr">
        <is>
          <t>Excellent</t>
        </is>
      </c>
      <c r="H451" t="n">
        <v>97</v>
      </c>
      <c r="I451">
        <f>B451&amp;"~"&amp;F451&amp;"~"&amp;G451</f>
        <v/>
      </c>
      <c r="J451" t="inlineStr">
        <is>
          <t>MVS Sec.12 p.19</t>
        </is>
      </c>
    </row>
    <row r="452">
      <c r="B452" t="inlineStr">
        <is>
          <t>Shell Multiple Residences - Senior Citizen</t>
        </is>
      </c>
      <c r="C452" t="inlineStr">
        <is>
          <t>784</t>
        </is>
      </c>
      <c r="D452" t="inlineStr">
        <is>
          <t>12</t>
        </is>
      </c>
      <c r="E452" t="inlineStr">
        <is>
          <t>19</t>
        </is>
      </c>
      <c r="F452" t="inlineStr">
        <is>
          <t>DMASVEN</t>
        </is>
      </c>
      <c r="G452" t="inlineStr">
        <is>
          <t>Good</t>
        </is>
      </c>
      <c r="H452" t="n">
        <v>78.5</v>
      </c>
      <c r="I452">
        <f>B452&amp;"~"&amp;F452&amp;"~"&amp;G452</f>
        <v/>
      </c>
      <c r="J452" t="inlineStr">
        <is>
          <t>MVS Sec.12 p.19</t>
        </is>
      </c>
    </row>
    <row r="453">
      <c r="B453" t="inlineStr">
        <is>
          <t>Shell Multiple Residences - Senior Citizen</t>
        </is>
      </c>
      <c r="C453" t="inlineStr">
        <is>
          <t>784</t>
        </is>
      </c>
      <c r="D453" t="inlineStr">
        <is>
          <t>12</t>
        </is>
      </c>
      <c r="E453" t="inlineStr">
        <is>
          <t>19</t>
        </is>
      </c>
      <c r="F453" t="inlineStr">
        <is>
          <t>DMASVEN</t>
        </is>
      </c>
      <c r="G453" t="inlineStr">
        <is>
          <t>Average</t>
        </is>
      </c>
      <c r="H453" t="n">
        <v>63</v>
      </c>
      <c r="I453">
        <f>B453&amp;"~"&amp;F453&amp;"~"&amp;G453</f>
        <v/>
      </c>
      <c r="J453" t="inlineStr">
        <is>
          <t>MVS Sec.12 p.19</t>
        </is>
      </c>
    </row>
    <row r="454">
      <c r="B454" t="inlineStr">
        <is>
          <t>Shell Multiple Residences - Senior Citizen</t>
        </is>
      </c>
      <c r="C454" t="inlineStr">
        <is>
          <t>784</t>
        </is>
      </c>
      <c r="D454" t="inlineStr">
        <is>
          <t>12</t>
        </is>
      </c>
      <c r="E454" t="inlineStr">
        <is>
          <t>19</t>
        </is>
      </c>
      <c r="F454" t="inlineStr">
        <is>
          <t>DMASVEN</t>
        </is>
      </c>
      <c r="G454" t="inlineStr">
        <is>
          <t>Fair</t>
        </is>
      </c>
      <c r="H454" t="n">
        <v>56.5</v>
      </c>
      <c r="I454">
        <f>B454&amp;"~"&amp;F454&amp;"~"&amp;G454</f>
        <v/>
      </c>
      <c r="J454" t="inlineStr">
        <is>
          <t>MVS Sec.12 p.19</t>
        </is>
      </c>
    </row>
    <row r="455">
      <c r="B455" t="inlineStr">
        <is>
          <t>Shell Multiple Residences - Senior Citizen</t>
        </is>
      </c>
      <c r="C455" t="inlineStr">
        <is>
          <t>784</t>
        </is>
      </c>
      <c r="D455" t="inlineStr">
        <is>
          <t>12</t>
        </is>
      </c>
      <c r="E455" t="inlineStr">
        <is>
          <t>19</t>
        </is>
      </c>
      <c r="F455" t="inlineStr">
        <is>
          <t>D</t>
        </is>
      </c>
      <c r="G455" t="inlineStr">
        <is>
          <t>Excellent</t>
        </is>
      </c>
      <c r="H455" t="n">
        <v>94.5</v>
      </c>
      <c r="I455">
        <f>B455&amp;"~"&amp;F455&amp;"~"&amp;G455</f>
        <v/>
      </c>
      <c r="J455" t="inlineStr">
        <is>
          <t>MVS Sec.12 p.19</t>
        </is>
      </c>
    </row>
    <row r="456">
      <c r="B456" t="inlineStr">
        <is>
          <t>Shell Multiple Residences - Senior Citizen</t>
        </is>
      </c>
      <c r="C456" t="inlineStr">
        <is>
          <t>784</t>
        </is>
      </c>
      <c r="D456" t="inlineStr">
        <is>
          <t>12</t>
        </is>
      </c>
      <c r="E456" t="inlineStr">
        <is>
          <t>19</t>
        </is>
      </c>
      <c r="F456" t="inlineStr">
        <is>
          <t>D</t>
        </is>
      </c>
      <c r="G456" t="inlineStr">
        <is>
          <t>Good</t>
        </is>
      </c>
      <c r="H456" t="n">
        <v>76</v>
      </c>
      <c r="I456">
        <f>B456&amp;"~"&amp;F456&amp;"~"&amp;G456</f>
        <v/>
      </c>
      <c r="J456" t="inlineStr">
        <is>
          <t>MVS Sec.12 p.19</t>
        </is>
      </c>
    </row>
    <row r="457">
      <c r="B457" t="inlineStr">
        <is>
          <t>Shell Multiple Residences - Senior Citizen</t>
        </is>
      </c>
      <c r="C457" t="inlineStr">
        <is>
          <t>784</t>
        </is>
      </c>
      <c r="D457" t="inlineStr">
        <is>
          <t>12</t>
        </is>
      </c>
      <c r="E457" t="inlineStr">
        <is>
          <t>19</t>
        </is>
      </c>
      <c r="F457" t="inlineStr">
        <is>
          <t>D</t>
        </is>
      </c>
      <c r="G457" t="inlineStr">
        <is>
          <t>Average</t>
        </is>
      </c>
      <c r="H457" t="n">
        <v>61</v>
      </c>
      <c r="I457">
        <f>B457&amp;"~"&amp;F457&amp;"~"&amp;G457</f>
        <v/>
      </c>
      <c r="J457" t="inlineStr">
        <is>
          <t>MVS Sec.12 p.19</t>
        </is>
      </c>
    </row>
    <row r="458">
      <c r="B458" t="inlineStr">
        <is>
          <t>Shell Multiple Residences - Senior Citizen</t>
        </is>
      </c>
      <c r="C458" t="inlineStr">
        <is>
          <t>784</t>
        </is>
      </c>
      <c r="D458" t="inlineStr">
        <is>
          <t>12</t>
        </is>
      </c>
      <c r="E458" t="inlineStr">
        <is>
          <t>19</t>
        </is>
      </c>
      <c r="F458" t="inlineStr">
        <is>
          <t>D</t>
        </is>
      </c>
      <c r="G458" t="inlineStr">
        <is>
          <t>Fair</t>
        </is>
      </c>
      <c r="H458" t="n">
        <v>55</v>
      </c>
      <c r="I458">
        <f>B458&amp;"~"&amp;F458&amp;"~"&amp;G458</f>
        <v/>
      </c>
      <c r="J458" t="inlineStr">
        <is>
          <t>MVS Sec.12 p.19</t>
        </is>
      </c>
    </row>
    <row r="459">
      <c r="B459" t="inlineStr">
        <is>
          <t>Shell Multiple Residences - Senior Citizen</t>
        </is>
      </c>
      <c r="C459" t="inlineStr">
        <is>
          <t>784</t>
        </is>
      </c>
      <c r="D459" t="inlineStr">
        <is>
          <t>12</t>
        </is>
      </c>
      <c r="E459" t="inlineStr">
        <is>
          <t>19</t>
        </is>
      </c>
      <c r="F459" t="inlineStr">
        <is>
          <t>D</t>
        </is>
      </c>
      <c r="G459" t="inlineStr">
        <is>
          <t>Low Cost</t>
        </is>
      </c>
      <c r="H459" t="n">
        <v>49.25</v>
      </c>
      <c r="I459">
        <f>B459&amp;"~"&amp;F459&amp;"~"&amp;G459</f>
        <v/>
      </c>
      <c r="J459" t="inlineStr">
        <is>
          <t>MVS Sec.12 p.19</t>
        </is>
      </c>
    </row>
    <row r="460">
      <c r="B460" t="inlineStr">
        <is>
          <t>Shell Multiple Residences - Senior Citizen</t>
        </is>
      </c>
      <c r="C460" t="inlineStr">
        <is>
          <t>784</t>
        </is>
      </c>
      <c r="D460" t="inlineStr">
        <is>
          <t>12</t>
        </is>
      </c>
      <c r="E460" t="inlineStr">
        <is>
          <t>19</t>
        </is>
      </c>
      <c r="F460" t="inlineStr">
        <is>
          <t>S</t>
        </is>
      </c>
      <c r="G460" t="inlineStr">
        <is>
          <t>Good</t>
        </is>
      </c>
      <c r="H460" t="n">
        <v>73.5</v>
      </c>
      <c r="I460">
        <f>B460&amp;"~"&amp;F460&amp;"~"&amp;G460</f>
        <v/>
      </c>
      <c r="J460" t="inlineStr">
        <is>
          <t>MVS Sec.12 p.19</t>
        </is>
      </c>
    </row>
    <row r="461">
      <c r="B461" t="inlineStr">
        <is>
          <t>Shell Multiple Residences - Senior Citizen</t>
        </is>
      </c>
      <c r="C461" t="inlineStr">
        <is>
          <t>784</t>
        </is>
      </c>
      <c r="D461" t="inlineStr">
        <is>
          <t>12</t>
        </is>
      </c>
      <c r="E461" t="inlineStr">
        <is>
          <t>19</t>
        </is>
      </c>
      <c r="F461" t="inlineStr">
        <is>
          <t>S</t>
        </is>
      </c>
      <c r="G461" t="inlineStr">
        <is>
          <t>Average</t>
        </is>
      </c>
      <c r="H461" t="n">
        <v>59.5</v>
      </c>
      <c r="I461">
        <f>B461&amp;"~"&amp;F461&amp;"~"&amp;G461</f>
        <v/>
      </c>
      <c r="J461" t="inlineStr">
        <is>
          <t>MVS Sec.12 p.19</t>
        </is>
      </c>
    </row>
    <row r="462">
      <c r="B462" t="inlineStr">
        <is>
          <t>Multiple Residences – Elderly Assisted Living</t>
        </is>
      </c>
      <c r="C462" t="inlineStr">
        <is>
          <t>589</t>
        </is>
      </c>
      <c r="D462" t="inlineStr">
        <is>
          <t>12</t>
        </is>
      </c>
      <c r="E462" t="inlineStr">
        <is>
          <t>20</t>
        </is>
      </c>
      <c r="F462" t="inlineStr">
        <is>
          <t>C</t>
        </is>
      </c>
      <c r="G462" t="inlineStr">
        <is>
          <t>Excellent</t>
        </is>
      </c>
      <c r="H462" t="n">
        <v>202</v>
      </c>
      <c r="I462">
        <f>B462&amp;"~"&amp;F462&amp;"~"&amp;G462</f>
        <v/>
      </c>
      <c r="J462" t="inlineStr">
        <is>
          <t>MVS Sec.12 p.20</t>
        </is>
      </c>
    </row>
    <row r="463">
      <c r="B463" t="inlineStr">
        <is>
          <t>Multiple Residences – Elderly Assisted Living</t>
        </is>
      </c>
      <c r="C463" t="inlineStr">
        <is>
          <t>589</t>
        </is>
      </c>
      <c r="D463" t="inlineStr">
        <is>
          <t>12</t>
        </is>
      </c>
      <c r="E463" t="inlineStr">
        <is>
          <t>20</t>
        </is>
      </c>
      <c r="F463" t="inlineStr">
        <is>
          <t>C</t>
        </is>
      </c>
      <c r="G463" t="inlineStr">
        <is>
          <t>Good</t>
        </is>
      </c>
      <c r="H463" t="n">
        <v>165</v>
      </c>
      <c r="I463">
        <f>B463&amp;"~"&amp;F463&amp;"~"&amp;G463</f>
        <v/>
      </c>
      <c r="J463" t="inlineStr">
        <is>
          <t>MVS Sec.12 p.20</t>
        </is>
      </c>
    </row>
    <row r="464">
      <c r="B464" t="inlineStr">
        <is>
          <t>Multiple Residences – Elderly Assisted Living</t>
        </is>
      </c>
      <c r="C464" t="inlineStr">
        <is>
          <t>589</t>
        </is>
      </c>
      <c r="D464" t="inlineStr">
        <is>
          <t>12</t>
        </is>
      </c>
      <c r="E464" t="inlineStr">
        <is>
          <t>20</t>
        </is>
      </c>
      <c r="F464" t="inlineStr">
        <is>
          <t>C</t>
        </is>
      </c>
      <c r="G464" t="inlineStr">
        <is>
          <t>Average</t>
        </is>
      </c>
      <c r="H464" t="n">
        <v>135</v>
      </c>
      <c r="I464">
        <f>B464&amp;"~"&amp;F464&amp;"~"&amp;G464</f>
        <v/>
      </c>
      <c r="J464" t="inlineStr">
        <is>
          <t>MVS Sec.12 p.20</t>
        </is>
      </c>
    </row>
    <row r="465">
      <c r="B465" t="inlineStr">
        <is>
          <t>Multiple Residences – Elderly Assisted Living</t>
        </is>
      </c>
      <c r="C465" t="inlineStr">
        <is>
          <t>589</t>
        </is>
      </c>
      <c r="D465" t="inlineStr">
        <is>
          <t>12</t>
        </is>
      </c>
      <c r="E465" t="inlineStr">
        <is>
          <t>20</t>
        </is>
      </c>
      <c r="F465" t="inlineStr">
        <is>
          <t>C</t>
        </is>
      </c>
      <c r="G465" t="inlineStr">
        <is>
          <t>Fair</t>
        </is>
      </c>
      <c r="H465" t="n">
        <v>119</v>
      </c>
      <c r="I465">
        <f>B465&amp;"~"&amp;F465&amp;"~"&amp;G465</f>
        <v/>
      </c>
      <c r="J465" t="inlineStr">
        <is>
          <t>MVS Sec.12 p.20</t>
        </is>
      </c>
    </row>
    <row r="466">
      <c r="B466" t="inlineStr">
        <is>
          <t>Multiple Residences – Elderly Assisted Living</t>
        </is>
      </c>
      <c r="C466" t="inlineStr">
        <is>
          <t>589</t>
        </is>
      </c>
      <c r="D466" t="inlineStr">
        <is>
          <t>12</t>
        </is>
      </c>
      <c r="E466" t="inlineStr">
        <is>
          <t>20</t>
        </is>
      </c>
      <c r="F466" t="inlineStr">
        <is>
          <t>DMASVEN</t>
        </is>
      </c>
      <c r="G466" t="inlineStr">
        <is>
          <t>Excellent</t>
        </is>
      </c>
      <c r="H466" t="n">
        <v>201</v>
      </c>
      <c r="I466">
        <f>B466&amp;"~"&amp;F466&amp;"~"&amp;G466</f>
        <v/>
      </c>
      <c r="J466" t="inlineStr">
        <is>
          <t>MVS Sec.12 p.20</t>
        </is>
      </c>
    </row>
    <row r="467">
      <c r="B467" t="inlineStr">
        <is>
          <t>Multiple Residences – Elderly Assisted Living</t>
        </is>
      </c>
      <c r="C467" t="inlineStr">
        <is>
          <t>589</t>
        </is>
      </c>
      <c r="D467" t="inlineStr">
        <is>
          <t>12</t>
        </is>
      </c>
      <c r="E467" t="inlineStr">
        <is>
          <t>20</t>
        </is>
      </c>
      <c r="F467" t="inlineStr">
        <is>
          <t>DMASVEN</t>
        </is>
      </c>
      <c r="G467" t="inlineStr">
        <is>
          <t>Good</t>
        </is>
      </c>
      <c r="H467" t="n">
        <v>163</v>
      </c>
      <c r="I467">
        <f>B467&amp;"~"&amp;F467&amp;"~"&amp;G467</f>
        <v/>
      </c>
      <c r="J467" t="inlineStr">
        <is>
          <t>MVS Sec.12 p.20</t>
        </is>
      </c>
    </row>
    <row r="468">
      <c r="B468" t="inlineStr">
        <is>
          <t>Multiple Residences – Elderly Assisted Living</t>
        </is>
      </c>
      <c r="C468" t="inlineStr">
        <is>
          <t>589</t>
        </is>
      </c>
      <c r="D468" t="inlineStr">
        <is>
          <t>12</t>
        </is>
      </c>
      <c r="E468" t="inlineStr">
        <is>
          <t>20</t>
        </is>
      </c>
      <c r="F468" t="inlineStr">
        <is>
          <t>DMASVEN</t>
        </is>
      </c>
      <c r="G468" t="inlineStr">
        <is>
          <t>Average</t>
        </is>
      </c>
      <c r="H468" t="n">
        <v>134</v>
      </c>
      <c r="I468">
        <f>B468&amp;"~"&amp;F468&amp;"~"&amp;G468</f>
        <v/>
      </c>
      <c r="J468" t="inlineStr">
        <is>
          <t>MVS Sec.12 p.20</t>
        </is>
      </c>
    </row>
    <row r="469">
      <c r="B469" t="inlineStr">
        <is>
          <t>Multiple Residences – Elderly Assisted Living</t>
        </is>
      </c>
      <c r="C469" t="inlineStr">
        <is>
          <t>589</t>
        </is>
      </c>
      <c r="D469" t="inlineStr">
        <is>
          <t>12</t>
        </is>
      </c>
      <c r="E469" t="inlineStr">
        <is>
          <t>20</t>
        </is>
      </c>
      <c r="F469" t="inlineStr">
        <is>
          <t>DMASVEN</t>
        </is>
      </c>
      <c r="G469" t="inlineStr">
        <is>
          <t>Fair</t>
        </is>
      </c>
      <c r="H469" t="n">
        <v>118</v>
      </c>
      <c r="I469">
        <f>B469&amp;"~"&amp;F469&amp;"~"&amp;G469</f>
        <v/>
      </c>
      <c r="J469" t="inlineStr">
        <is>
          <t>MVS Sec.12 p.20</t>
        </is>
      </c>
    </row>
    <row r="470">
      <c r="B470" t="inlineStr">
        <is>
          <t>Multiple Residences – Elderly Assisted Living</t>
        </is>
      </c>
      <c r="C470" t="inlineStr">
        <is>
          <t>589</t>
        </is>
      </c>
      <c r="D470" t="inlineStr">
        <is>
          <t>12</t>
        </is>
      </c>
      <c r="E470" t="inlineStr">
        <is>
          <t>20</t>
        </is>
      </c>
      <c r="F470" t="inlineStr">
        <is>
          <t>D</t>
        </is>
      </c>
      <c r="G470" t="inlineStr">
        <is>
          <t>Excellent</t>
        </is>
      </c>
      <c r="H470" t="n">
        <v>195</v>
      </c>
      <c r="I470">
        <f>B470&amp;"~"&amp;F470&amp;"~"&amp;G470</f>
        <v/>
      </c>
      <c r="J470" t="inlineStr">
        <is>
          <t>MVS Sec.12 p.20</t>
        </is>
      </c>
    </row>
    <row r="471">
      <c r="B471" t="inlineStr">
        <is>
          <t>Multiple Residences – Elderly Assisted Living</t>
        </is>
      </c>
      <c r="C471" t="inlineStr">
        <is>
          <t>589</t>
        </is>
      </c>
      <c r="D471" t="inlineStr">
        <is>
          <t>12</t>
        </is>
      </c>
      <c r="E471" t="inlineStr">
        <is>
          <t>20</t>
        </is>
      </c>
      <c r="F471" t="inlineStr">
        <is>
          <t>D</t>
        </is>
      </c>
      <c r="G471" t="inlineStr">
        <is>
          <t>Good</t>
        </is>
      </c>
      <c r="H471" t="n">
        <v>159</v>
      </c>
      <c r="I471">
        <f>B471&amp;"~"&amp;F471&amp;"~"&amp;G471</f>
        <v/>
      </c>
      <c r="J471" t="inlineStr">
        <is>
          <t>MVS Sec.12 p.20</t>
        </is>
      </c>
    </row>
    <row r="472">
      <c r="B472" t="inlineStr">
        <is>
          <t>Multiple Residences – Elderly Assisted Living</t>
        </is>
      </c>
      <c r="C472" t="inlineStr">
        <is>
          <t>589</t>
        </is>
      </c>
      <c r="D472" t="inlineStr">
        <is>
          <t>12</t>
        </is>
      </c>
      <c r="E472" t="inlineStr">
        <is>
          <t>20</t>
        </is>
      </c>
      <c r="F472" t="inlineStr">
        <is>
          <t>D</t>
        </is>
      </c>
      <c r="G472" t="inlineStr">
        <is>
          <t>Average</t>
        </is>
      </c>
      <c r="H472" t="n">
        <v>130</v>
      </c>
      <c r="I472">
        <f>B472&amp;"~"&amp;F472&amp;"~"&amp;G472</f>
        <v/>
      </c>
      <c r="J472" t="inlineStr">
        <is>
          <t>MVS Sec.12 p.20</t>
        </is>
      </c>
    </row>
    <row r="473">
      <c r="B473" t="inlineStr">
        <is>
          <t>Multiple Residences – Elderly Assisted Living</t>
        </is>
      </c>
      <c r="C473" t="inlineStr">
        <is>
          <t>589</t>
        </is>
      </c>
      <c r="D473" t="inlineStr">
        <is>
          <t>12</t>
        </is>
      </c>
      <c r="E473" t="inlineStr">
        <is>
          <t>20</t>
        </is>
      </c>
      <c r="F473" t="inlineStr">
        <is>
          <t>D</t>
        </is>
      </c>
      <c r="G473" t="inlineStr">
        <is>
          <t>Fair</t>
        </is>
      </c>
      <c r="H473" t="n">
        <v>115</v>
      </c>
      <c r="I473">
        <f>B473&amp;"~"&amp;F473&amp;"~"&amp;G473</f>
        <v/>
      </c>
      <c r="J473" t="inlineStr">
        <is>
          <t>MVS Sec.12 p.20</t>
        </is>
      </c>
    </row>
    <row r="474">
      <c r="B474" t="inlineStr">
        <is>
          <t>Multiple Residences – Elderly Assisted Living</t>
        </is>
      </c>
      <c r="C474" t="inlineStr">
        <is>
          <t>589</t>
        </is>
      </c>
      <c r="D474" t="inlineStr">
        <is>
          <t>12</t>
        </is>
      </c>
      <c r="E474" t="inlineStr">
        <is>
          <t>20</t>
        </is>
      </c>
      <c r="F474" t="inlineStr">
        <is>
          <t>D</t>
        </is>
      </c>
      <c r="G474" t="inlineStr">
        <is>
          <t>Low Cost</t>
        </is>
      </c>
      <c r="H474" t="n">
        <v>104</v>
      </c>
      <c r="I474">
        <f>B474&amp;"~"&amp;F474&amp;"~"&amp;G474</f>
        <v/>
      </c>
      <c r="J474" t="inlineStr">
        <is>
          <t>MVS Sec.12 p.20</t>
        </is>
      </c>
    </row>
    <row r="475">
      <c r="B475" t="inlineStr">
        <is>
          <t>Multiple Residences – Elderly Assisted Living</t>
        </is>
      </c>
      <c r="C475" t="inlineStr">
        <is>
          <t>589</t>
        </is>
      </c>
      <c r="D475" t="inlineStr">
        <is>
          <t>12</t>
        </is>
      </c>
      <c r="E475" t="inlineStr">
        <is>
          <t>20</t>
        </is>
      </c>
      <c r="F475" t="inlineStr">
        <is>
          <t>S</t>
        </is>
      </c>
      <c r="G475" t="inlineStr">
        <is>
          <t>Good</t>
        </is>
      </c>
      <c r="H475" t="n">
        <v>155</v>
      </c>
      <c r="I475">
        <f>B475&amp;"~"&amp;F475&amp;"~"&amp;G475</f>
        <v/>
      </c>
      <c r="J475" t="inlineStr">
        <is>
          <t>MVS Sec.12 p.20</t>
        </is>
      </c>
    </row>
    <row r="476">
      <c r="B476" t="inlineStr">
        <is>
          <t>Multiple Residences – Elderly Assisted Living</t>
        </is>
      </c>
      <c r="C476" t="inlineStr">
        <is>
          <t>589</t>
        </is>
      </c>
      <c r="D476" t="inlineStr">
        <is>
          <t>12</t>
        </is>
      </c>
      <c r="E476" t="inlineStr">
        <is>
          <t>20</t>
        </is>
      </c>
      <c r="F476" t="inlineStr">
        <is>
          <t>S</t>
        </is>
      </c>
      <c r="G476" t="inlineStr">
        <is>
          <t>Average</t>
        </is>
      </c>
      <c r="H476" t="n">
        <v>127</v>
      </c>
      <c r="I476">
        <f>B476&amp;"~"&amp;F476&amp;"~"&amp;G476</f>
        <v/>
      </c>
      <c r="J476" t="inlineStr">
        <is>
          <t>MVS Sec.12 p.20</t>
        </is>
      </c>
    </row>
    <row r="477">
      <c r="B477" t="inlineStr">
        <is>
          <t>Shell Multiple Residences - Elderly Assisted Living</t>
        </is>
      </c>
      <c r="C477" t="inlineStr">
        <is>
          <t>782</t>
        </is>
      </c>
      <c r="D477" t="inlineStr">
        <is>
          <t>12</t>
        </is>
      </c>
      <c r="E477" t="inlineStr">
        <is>
          <t>21</t>
        </is>
      </c>
      <c r="F477" t="inlineStr">
        <is>
          <t>C</t>
        </is>
      </c>
      <c r="G477" t="inlineStr">
        <is>
          <t>Excellent</t>
        </is>
      </c>
      <c r="H477" t="n">
        <v>86.5</v>
      </c>
      <c r="I477">
        <f>B477&amp;"~"&amp;F477&amp;"~"&amp;G477</f>
        <v/>
      </c>
      <c r="J477" t="inlineStr">
        <is>
          <t>MVS Sec.12 p.21</t>
        </is>
      </c>
    </row>
    <row r="478">
      <c r="B478" t="inlineStr">
        <is>
          <t>Shell Multiple Residences - Elderly Assisted Living</t>
        </is>
      </c>
      <c r="C478" t="inlineStr">
        <is>
          <t>782</t>
        </is>
      </c>
      <c r="D478" t="inlineStr">
        <is>
          <t>12</t>
        </is>
      </c>
      <c r="E478" t="inlineStr">
        <is>
          <t>21</t>
        </is>
      </c>
      <c r="F478" t="inlineStr">
        <is>
          <t>C</t>
        </is>
      </c>
      <c r="G478" t="inlineStr">
        <is>
          <t>Good</t>
        </is>
      </c>
      <c r="H478" t="n">
        <v>74</v>
      </c>
      <c r="I478">
        <f>B478&amp;"~"&amp;F478&amp;"~"&amp;G478</f>
        <v/>
      </c>
      <c r="J478" t="inlineStr">
        <is>
          <t>MVS Sec.12 p.21</t>
        </is>
      </c>
    </row>
    <row r="479">
      <c r="B479" t="inlineStr">
        <is>
          <t>Shell Multiple Residences - Elderly Assisted Living</t>
        </is>
      </c>
      <c r="C479" t="inlineStr">
        <is>
          <t>782</t>
        </is>
      </c>
      <c r="D479" t="inlineStr">
        <is>
          <t>12</t>
        </is>
      </c>
      <c r="E479" t="inlineStr">
        <is>
          <t>21</t>
        </is>
      </c>
      <c r="F479" t="inlineStr">
        <is>
          <t>C</t>
        </is>
      </c>
      <c r="G479" t="inlineStr">
        <is>
          <t>Average</t>
        </is>
      </c>
      <c r="H479" t="n">
        <v>63</v>
      </c>
      <c r="I479">
        <f>B479&amp;"~"&amp;F479&amp;"~"&amp;G479</f>
        <v/>
      </c>
      <c r="J479" t="inlineStr">
        <is>
          <t>MVS Sec.12 p.21</t>
        </is>
      </c>
    </row>
    <row r="480">
      <c r="B480" t="inlineStr">
        <is>
          <t>Shell Multiple Residences - Elderly Assisted Living</t>
        </is>
      </c>
      <c r="C480" t="inlineStr">
        <is>
          <t>782</t>
        </is>
      </c>
      <c r="D480" t="inlineStr">
        <is>
          <t>12</t>
        </is>
      </c>
      <c r="E480" t="inlineStr">
        <is>
          <t>21</t>
        </is>
      </c>
      <c r="F480" t="inlineStr">
        <is>
          <t>C</t>
        </is>
      </c>
      <c r="G480" t="inlineStr">
        <is>
          <t>Fair</t>
        </is>
      </c>
      <c r="H480" t="n">
        <v>58</v>
      </c>
      <c r="I480">
        <f>B480&amp;"~"&amp;F480&amp;"~"&amp;G480</f>
        <v/>
      </c>
      <c r="J480" t="inlineStr">
        <is>
          <t>MVS Sec.12 p.21</t>
        </is>
      </c>
    </row>
    <row r="481">
      <c r="B481" t="inlineStr">
        <is>
          <t>Shell Multiple Residences - Elderly Assisted Living</t>
        </is>
      </c>
      <c r="C481" t="inlineStr">
        <is>
          <t>782</t>
        </is>
      </c>
      <c r="D481" t="inlineStr">
        <is>
          <t>12</t>
        </is>
      </c>
      <c r="E481" t="inlineStr">
        <is>
          <t>21</t>
        </is>
      </c>
      <c r="F481" t="inlineStr">
        <is>
          <t>DMASVEN</t>
        </is>
      </c>
      <c r="G481" t="inlineStr">
        <is>
          <t>Excellent</t>
        </is>
      </c>
      <c r="H481" t="n">
        <v>81</v>
      </c>
      <c r="I481">
        <f>B481&amp;"~"&amp;F481&amp;"~"&amp;G481</f>
        <v/>
      </c>
      <c r="J481" t="inlineStr">
        <is>
          <t>MVS Sec.12 p.21</t>
        </is>
      </c>
    </row>
    <row r="482">
      <c r="B482" t="inlineStr">
        <is>
          <t>Shell Multiple Residences - Elderly Assisted Living</t>
        </is>
      </c>
      <c r="C482" t="inlineStr">
        <is>
          <t>782</t>
        </is>
      </c>
      <c r="D482" t="inlineStr">
        <is>
          <t>12</t>
        </is>
      </c>
      <c r="E482" t="inlineStr">
        <is>
          <t>21</t>
        </is>
      </c>
      <c r="F482" t="inlineStr">
        <is>
          <t>DMASVEN</t>
        </is>
      </c>
      <c r="G482" t="inlineStr">
        <is>
          <t>Good</t>
        </is>
      </c>
      <c r="H482" t="n">
        <v>69.5</v>
      </c>
      <c r="I482">
        <f>B482&amp;"~"&amp;F482&amp;"~"&amp;G482</f>
        <v/>
      </c>
      <c r="J482" t="inlineStr">
        <is>
          <t>MVS Sec.12 p.21</t>
        </is>
      </c>
    </row>
    <row r="483">
      <c r="B483" t="inlineStr">
        <is>
          <t>Shell Multiple Residences - Elderly Assisted Living</t>
        </is>
      </c>
      <c r="C483" t="inlineStr">
        <is>
          <t>782</t>
        </is>
      </c>
      <c r="D483" t="inlineStr">
        <is>
          <t>12</t>
        </is>
      </c>
      <c r="E483" t="inlineStr">
        <is>
          <t>21</t>
        </is>
      </c>
      <c r="F483" t="inlineStr">
        <is>
          <t>DMASVEN</t>
        </is>
      </c>
      <c r="G483" t="inlineStr">
        <is>
          <t>Average</t>
        </is>
      </c>
      <c r="H483" t="n">
        <v>59</v>
      </c>
      <c r="I483">
        <f>B483&amp;"~"&amp;F483&amp;"~"&amp;G483</f>
        <v/>
      </c>
      <c r="J483" t="inlineStr">
        <is>
          <t>MVS Sec.12 p.21</t>
        </is>
      </c>
    </row>
    <row r="484">
      <c r="B484" t="inlineStr">
        <is>
          <t>Shell Multiple Residences - Elderly Assisted Living</t>
        </is>
      </c>
      <c r="C484" t="inlineStr">
        <is>
          <t>782</t>
        </is>
      </c>
      <c r="D484" t="inlineStr">
        <is>
          <t>12</t>
        </is>
      </c>
      <c r="E484" t="inlineStr">
        <is>
          <t>21</t>
        </is>
      </c>
      <c r="F484" t="inlineStr">
        <is>
          <t>DMASVEN</t>
        </is>
      </c>
      <c r="G484" t="inlineStr">
        <is>
          <t>Fair</t>
        </is>
      </c>
      <c r="H484" t="n">
        <v>55</v>
      </c>
      <c r="I484">
        <f>B484&amp;"~"&amp;F484&amp;"~"&amp;G484</f>
        <v/>
      </c>
      <c r="J484" t="inlineStr">
        <is>
          <t>MVS Sec.12 p.21</t>
        </is>
      </c>
    </row>
    <row r="485">
      <c r="B485" t="inlineStr">
        <is>
          <t>Shell Multiple Residences - Elderly Assisted Living</t>
        </is>
      </c>
      <c r="C485" t="inlineStr">
        <is>
          <t>782</t>
        </is>
      </c>
      <c r="D485" t="inlineStr">
        <is>
          <t>12</t>
        </is>
      </c>
      <c r="E485" t="inlineStr">
        <is>
          <t>21</t>
        </is>
      </c>
      <c r="F485" t="inlineStr">
        <is>
          <t>D</t>
        </is>
      </c>
      <c r="G485" t="inlineStr">
        <is>
          <t>Excellent</t>
        </is>
      </c>
      <c r="H485" t="n">
        <v>78.5</v>
      </c>
      <c r="I485">
        <f>B485&amp;"~"&amp;F485&amp;"~"&amp;G485</f>
        <v/>
      </c>
      <c r="J485" t="inlineStr">
        <is>
          <t>MVS Sec.12 p.21</t>
        </is>
      </c>
    </row>
    <row r="486">
      <c r="B486" t="inlineStr">
        <is>
          <t>Shell Multiple Residences - Elderly Assisted Living</t>
        </is>
      </c>
      <c r="C486" t="inlineStr">
        <is>
          <t>782</t>
        </is>
      </c>
      <c r="D486" t="inlineStr">
        <is>
          <t>12</t>
        </is>
      </c>
      <c r="E486" t="inlineStr">
        <is>
          <t>21</t>
        </is>
      </c>
      <c r="F486" t="inlineStr">
        <is>
          <t>D</t>
        </is>
      </c>
      <c r="G486" t="inlineStr">
        <is>
          <t>Good</t>
        </is>
      </c>
      <c r="H486" t="n">
        <v>67.5</v>
      </c>
      <c r="I486">
        <f>B486&amp;"~"&amp;F486&amp;"~"&amp;G486</f>
        <v/>
      </c>
      <c r="J486" t="inlineStr">
        <is>
          <t>MVS Sec.12 p.21</t>
        </is>
      </c>
    </row>
    <row r="487">
      <c r="B487" t="inlineStr">
        <is>
          <t>Shell Multiple Residences - Elderly Assisted Living</t>
        </is>
      </c>
      <c r="C487" t="inlineStr">
        <is>
          <t>782</t>
        </is>
      </c>
      <c r="D487" t="inlineStr">
        <is>
          <t>12</t>
        </is>
      </c>
      <c r="E487" t="inlineStr">
        <is>
          <t>21</t>
        </is>
      </c>
      <c r="F487" t="inlineStr">
        <is>
          <t>D</t>
        </is>
      </c>
      <c r="G487" t="inlineStr">
        <is>
          <t>Average</t>
        </is>
      </c>
      <c r="H487" t="n">
        <v>57.5</v>
      </c>
      <c r="I487">
        <f>B487&amp;"~"&amp;F487&amp;"~"&amp;G487</f>
        <v/>
      </c>
      <c r="J487" t="inlineStr">
        <is>
          <t>MVS Sec.12 p.21</t>
        </is>
      </c>
    </row>
    <row r="488">
      <c r="B488" t="inlineStr">
        <is>
          <t>Shell Multiple Residences - Elderly Assisted Living</t>
        </is>
      </c>
      <c r="C488" t="inlineStr">
        <is>
          <t>782</t>
        </is>
      </c>
      <c r="D488" t="inlineStr">
        <is>
          <t>12</t>
        </is>
      </c>
      <c r="E488" t="inlineStr">
        <is>
          <t>21</t>
        </is>
      </c>
      <c r="F488" t="inlineStr">
        <is>
          <t>D</t>
        </is>
      </c>
      <c r="G488" t="inlineStr">
        <is>
          <t>Fair</t>
        </is>
      </c>
      <c r="H488" t="n">
        <v>53.5</v>
      </c>
      <c r="I488">
        <f>B488&amp;"~"&amp;F488&amp;"~"&amp;G488</f>
        <v/>
      </c>
      <c r="J488" t="inlineStr">
        <is>
          <t>MVS Sec.12 p.21</t>
        </is>
      </c>
    </row>
    <row r="489">
      <c r="B489" t="inlineStr">
        <is>
          <t>Shell Multiple Residences - Elderly Assisted Living</t>
        </is>
      </c>
      <c r="C489" t="inlineStr">
        <is>
          <t>782</t>
        </is>
      </c>
      <c r="D489" t="inlineStr">
        <is>
          <t>12</t>
        </is>
      </c>
      <c r="E489" t="inlineStr">
        <is>
          <t>21</t>
        </is>
      </c>
      <c r="F489" t="inlineStr">
        <is>
          <t>D</t>
        </is>
      </c>
      <c r="G489" t="inlineStr">
        <is>
          <t>Low Cost</t>
        </is>
      </c>
      <c r="H489" t="n">
        <v>49.25</v>
      </c>
      <c r="I489">
        <f>B489&amp;"~"&amp;F489&amp;"~"&amp;G489</f>
        <v/>
      </c>
      <c r="J489" t="inlineStr">
        <is>
          <t>MVS Sec.12 p.21</t>
        </is>
      </c>
    </row>
    <row r="490">
      <c r="B490" t="inlineStr">
        <is>
          <t>Shell Multiple Residences - Elderly Assisted Living</t>
        </is>
      </c>
      <c r="C490" t="inlineStr">
        <is>
          <t>782</t>
        </is>
      </c>
      <c r="D490" t="inlineStr">
        <is>
          <t>12</t>
        </is>
      </c>
      <c r="E490" t="inlineStr">
        <is>
          <t>21</t>
        </is>
      </c>
      <c r="F490" t="inlineStr">
        <is>
          <t>S</t>
        </is>
      </c>
      <c r="G490" t="inlineStr">
        <is>
          <t>Good</t>
        </is>
      </c>
      <c r="H490" t="n">
        <v>65</v>
      </c>
      <c r="I490">
        <f>B490&amp;"~"&amp;F490&amp;"~"&amp;G490</f>
        <v/>
      </c>
      <c r="J490" t="inlineStr">
        <is>
          <t>MVS Sec.12 p.21</t>
        </is>
      </c>
    </row>
    <row r="491">
      <c r="B491" t="inlineStr">
        <is>
          <t>Shell Multiple Residences - Elderly Assisted Living</t>
        </is>
      </c>
      <c r="C491" t="inlineStr">
        <is>
          <t>782</t>
        </is>
      </c>
      <c r="D491" t="inlineStr">
        <is>
          <t>12</t>
        </is>
      </c>
      <c r="E491" t="inlineStr">
        <is>
          <t>21</t>
        </is>
      </c>
      <c r="F491" t="inlineStr">
        <is>
          <t>S</t>
        </is>
      </c>
      <c r="G491" t="inlineStr">
        <is>
          <t>Average</t>
        </is>
      </c>
      <c r="H491" t="n">
        <v>55.5</v>
      </c>
      <c r="I491">
        <f>B491&amp;"~"&amp;F491&amp;"~"&amp;G491</f>
        <v/>
      </c>
      <c r="J491" t="inlineStr">
        <is>
          <t>MVS Sec.12 p.21</t>
        </is>
      </c>
    </row>
    <row r="492">
      <c r="B492" t="inlineStr">
        <is>
          <t>Multiple Residences – Retirement Community Complex</t>
        </is>
      </c>
      <c r="C492" t="inlineStr">
        <is>
          <t>710</t>
        </is>
      </c>
      <c r="D492" t="inlineStr">
        <is>
          <t>12</t>
        </is>
      </c>
      <c r="E492" t="inlineStr">
        <is>
          <t>22</t>
        </is>
      </c>
      <c r="F492" t="inlineStr">
        <is>
          <t>C</t>
        </is>
      </c>
      <c r="G492" t="inlineStr">
        <is>
          <t>Good</t>
        </is>
      </c>
      <c r="H492" t="n">
        <v>234</v>
      </c>
      <c r="I492">
        <f>B492&amp;"~"&amp;F492&amp;"~"&amp;G492</f>
        <v/>
      </c>
      <c r="J492" t="inlineStr">
        <is>
          <t>MVS Sec.12 p.22</t>
        </is>
      </c>
    </row>
    <row r="493">
      <c r="B493" t="inlineStr">
        <is>
          <t>Multiple Residences – Retirement Community Complex</t>
        </is>
      </c>
      <c r="C493" t="inlineStr">
        <is>
          <t>710</t>
        </is>
      </c>
      <c r="D493" t="inlineStr">
        <is>
          <t>12</t>
        </is>
      </c>
      <c r="E493" t="inlineStr">
        <is>
          <t>22</t>
        </is>
      </c>
      <c r="F493" t="inlineStr">
        <is>
          <t>C</t>
        </is>
      </c>
      <c r="G493" t="inlineStr">
        <is>
          <t>Average</t>
        </is>
      </c>
      <c r="H493" t="n">
        <v>188</v>
      </c>
      <c r="I493">
        <f>B493&amp;"~"&amp;F493&amp;"~"&amp;G493</f>
        <v/>
      </c>
      <c r="J493" t="inlineStr">
        <is>
          <t>MVS Sec.12 p.22</t>
        </is>
      </c>
    </row>
    <row r="494">
      <c r="B494" t="inlineStr">
        <is>
          <t>Multiple Residences – Retirement Community Complex</t>
        </is>
      </c>
      <c r="C494" t="inlineStr">
        <is>
          <t>710</t>
        </is>
      </c>
      <c r="D494" t="inlineStr">
        <is>
          <t>12</t>
        </is>
      </c>
      <c r="E494" t="inlineStr">
        <is>
          <t>22</t>
        </is>
      </c>
      <c r="F494" t="inlineStr">
        <is>
          <t>C</t>
        </is>
      </c>
      <c r="G494" t="inlineStr">
        <is>
          <t>Fair</t>
        </is>
      </c>
      <c r="H494" t="n">
        <v>168</v>
      </c>
      <c r="I494">
        <f>B494&amp;"~"&amp;F494&amp;"~"&amp;G494</f>
        <v/>
      </c>
      <c r="J494" t="inlineStr">
        <is>
          <t>MVS Sec.12 p.22</t>
        </is>
      </c>
    </row>
    <row r="495">
      <c r="B495" t="inlineStr">
        <is>
          <t>Multiple Residences – Retirement Community Complex</t>
        </is>
      </c>
      <c r="C495" t="inlineStr">
        <is>
          <t>710</t>
        </is>
      </c>
      <c r="D495" t="inlineStr">
        <is>
          <t>12</t>
        </is>
      </c>
      <c r="E495" t="inlineStr">
        <is>
          <t>22</t>
        </is>
      </c>
      <c r="F495" t="inlineStr">
        <is>
          <t>C</t>
        </is>
      </c>
      <c r="G495" t="inlineStr">
        <is>
          <t>Low Cost</t>
        </is>
      </c>
      <c r="H495" t="n">
        <v>147</v>
      </c>
      <c r="I495">
        <f>B495&amp;"~"&amp;F495&amp;"~"&amp;G495</f>
        <v/>
      </c>
      <c r="J495" t="inlineStr">
        <is>
          <t>MVS Sec.12 p.22</t>
        </is>
      </c>
    </row>
    <row r="496">
      <c r="B496" t="inlineStr">
        <is>
          <t>Multiple Residences – Retirement Community Complex</t>
        </is>
      </c>
      <c r="C496" t="inlineStr">
        <is>
          <t>710</t>
        </is>
      </c>
      <c r="D496" t="inlineStr">
        <is>
          <t>12</t>
        </is>
      </c>
      <c r="E496" t="inlineStr">
        <is>
          <t>22</t>
        </is>
      </c>
      <c r="F496" t="inlineStr">
        <is>
          <t>DMASVEN</t>
        </is>
      </c>
      <c r="G496" t="inlineStr">
        <is>
          <t>Good</t>
        </is>
      </c>
      <c r="H496" t="n">
        <v>233</v>
      </c>
      <c r="I496">
        <f>B496&amp;"~"&amp;F496&amp;"~"&amp;G496</f>
        <v/>
      </c>
      <c r="J496" t="inlineStr">
        <is>
          <t>MVS Sec.12 p.22</t>
        </is>
      </c>
    </row>
    <row r="497">
      <c r="B497" t="inlineStr">
        <is>
          <t>Multiple Residences – Retirement Community Complex</t>
        </is>
      </c>
      <c r="C497" t="inlineStr">
        <is>
          <t>710</t>
        </is>
      </c>
      <c r="D497" t="inlineStr">
        <is>
          <t>12</t>
        </is>
      </c>
      <c r="E497" t="inlineStr">
        <is>
          <t>22</t>
        </is>
      </c>
      <c r="F497" t="inlineStr">
        <is>
          <t>DMASVEN</t>
        </is>
      </c>
      <c r="G497" t="inlineStr">
        <is>
          <t>Average</t>
        </is>
      </c>
      <c r="H497" t="n">
        <v>186</v>
      </c>
      <c r="I497">
        <f>B497&amp;"~"&amp;F497&amp;"~"&amp;G497</f>
        <v/>
      </c>
      <c r="J497" t="inlineStr">
        <is>
          <t>MVS Sec.12 p.22</t>
        </is>
      </c>
    </row>
    <row r="498">
      <c r="B498" t="inlineStr">
        <is>
          <t>Multiple Residences – Retirement Community Complex</t>
        </is>
      </c>
      <c r="C498" t="inlineStr">
        <is>
          <t>710</t>
        </is>
      </c>
      <c r="D498" t="inlineStr">
        <is>
          <t>12</t>
        </is>
      </c>
      <c r="E498" t="inlineStr">
        <is>
          <t>22</t>
        </is>
      </c>
      <c r="F498" t="inlineStr">
        <is>
          <t>DMASVEN</t>
        </is>
      </c>
      <c r="G498" t="inlineStr">
        <is>
          <t>Fair</t>
        </is>
      </c>
      <c r="H498" t="n">
        <v>167</v>
      </c>
      <c r="I498">
        <f>B498&amp;"~"&amp;F498&amp;"~"&amp;G498</f>
        <v/>
      </c>
      <c r="J498" t="inlineStr">
        <is>
          <t>MVS Sec.12 p.22</t>
        </is>
      </c>
    </row>
    <row r="499">
      <c r="B499" t="inlineStr">
        <is>
          <t>Multiple Residences – Retirement Community Complex</t>
        </is>
      </c>
      <c r="C499" t="inlineStr">
        <is>
          <t>710</t>
        </is>
      </c>
      <c r="D499" t="inlineStr">
        <is>
          <t>12</t>
        </is>
      </c>
      <c r="E499" t="inlineStr">
        <is>
          <t>22</t>
        </is>
      </c>
      <c r="F499" t="inlineStr">
        <is>
          <t>DMASVEN</t>
        </is>
      </c>
      <c r="G499" t="inlineStr">
        <is>
          <t>Low Cost</t>
        </is>
      </c>
      <c r="H499" t="n">
        <v>146</v>
      </c>
      <c r="I499">
        <f>B499&amp;"~"&amp;F499&amp;"~"&amp;G499</f>
        <v/>
      </c>
      <c r="J499" t="inlineStr">
        <is>
          <t>MVS Sec.12 p.22</t>
        </is>
      </c>
    </row>
    <row r="500">
      <c r="B500" t="inlineStr">
        <is>
          <t>Multiple Residences – Retirement Community Complex</t>
        </is>
      </c>
      <c r="C500" t="inlineStr">
        <is>
          <t>710</t>
        </is>
      </c>
      <c r="D500" t="inlineStr">
        <is>
          <t>12</t>
        </is>
      </c>
      <c r="E500" t="inlineStr">
        <is>
          <t>22</t>
        </is>
      </c>
      <c r="F500" t="inlineStr">
        <is>
          <t>D</t>
        </is>
      </c>
      <c r="G500" t="inlineStr">
        <is>
          <t>Good</t>
        </is>
      </c>
      <c r="H500" t="n">
        <v>228</v>
      </c>
      <c r="I500">
        <f>B500&amp;"~"&amp;F500&amp;"~"&amp;G500</f>
        <v/>
      </c>
      <c r="J500" t="inlineStr">
        <is>
          <t>MVS Sec.12 p.22</t>
        </is>
      </c>
    </row>
    <row r="501">
      <c r="B501" t="inlineStr">
        <is>
          <t>Multiple Residences – Retirement Community Complex</t>
        </is>
      </c>
      <c r="C501" t="inlineStr">
        <is>
          <t>710</t>
        </is>
      </c>
      <c r="D501" t="inlineStr">
        <is>
          <t>12</t>
        </is>
      </c>
      <c r="E501" t="inlineStr">
        <is>
          <t>22</t>
        </is>
      </c>
      <c r="F501" t="inlineStr">
        <is>
          <t>D</t>
        </is>
      </c>
      <c r="G501" t="inlineStr">
        <is>
          <t>Average</t>
        </is>
      </c>
      <c r="H501" t="n">
        <v>182</v>
      </c>
      <c r="I501">
        <f>B501&amp;"~"&amp;F501&amp;"~"&amp;G501</f>
        <v/>
      </c>
      <c r="J501" t="inlineStr">
        <is>
          <t>MVS Sec.12 p.22</t>
        </is>
      </c>
    </row>
    <row r="502">
      <c r="B502" t="inlineStr">
        <is>
          <t>Multiple Residences – Retirement Community Complex</t>
        </is>
      </c>
      <c r="C502" t="inlineStr">
        <is>
          <t>710</t>
        </is>
      </c>
      <c r="D502" t="inlineStr">
        <is>
          <t>12</t>
        </is>
      </c>
      <c r="E502" t="inlineStr">
        <is>
          <t>22</t>
        </is>
      </c>
      <c r="F502" t="inlineStr">
        <is>
          <t>D</t>
        </is>
      </c>
      <c r="G502" t="inlineStr">
        <is>
          <t>Fair</t>
        </is>
      </c>
      <c r="H502" t="n">
        <v>162</v>
      </c>
      <c r="I502">
        <f>B502&amp;"~"&amp;F502&amp;"~"&amp;G502</f>
        <v/>
      </c>
      <c r="J502" t="inlineStr">
        <is>
          <t>MVS Sec.12 p.22</t>
        </is>
      </c>
    </row>
    <row r="503">
      <c r="B503" t="inlineStr">
        <is>
          <t>Multiple Residences – Retirement Community Complex</t>
        </is>
      </c>
      <c r="C503" t="inlineStr">
        <is>
          <t>710</t>
        </is>
      </c>
      <c r="D503" t="inlineStr">
        <is>
          <t>12</t>
        </is>
      </c>
      <c r="E503" t="inlineStr">
        <is>
          <t>22</t>
        </is>
      </c>
      <c r="F503" t="inlineStr">
        <is>
          <t>D</t>
        </is>
      </c>
      <c r="G503" t="inlineStr">
        <is>
          <t>Low Cost</t>
        </is>
      </c>
      <c r="H503" t="n">
        <v>142</v>
      </c>
      <c r="I503">
        <f>B503&amp;"~"&amp;F503&amp;"~"&amp;G503</f>
        <v/>
      </c>
      <c r="J503" t="inlineStr">
        <is>
          <t>MVS Sec.12 p.22</t>
        </is>
      </c>
    </row>
    <row r="504">
      <c r="B504" t="inlineStr">
        <is>
          <t>Multiple Residences – Retirement Community Complex</t>
        </is>
      </c>
      <c r="C504" t="inlineStr">
        <is>
          <t>710</t>
        </is>
      </c>
      <c r="D504" t="inlineStr">
        <is>
          <t>12</t>
        </is>
      </c>
      <c r="E504" t="inlineStr">
        <is>
          <t>22</t>
        </is>
      </c>
      <c r="F504" t="inlineStr">
        <is>
          <t>S</t>
        </is>
      </c>
      <c r="G504" t="inlineStr">
        <is>
          <t>Average</t>
        </is>
      </c>
      <c r="H504" t="n">
        <v>177</v>
      </c>
      <c r="I504">
        <f>B504&amp;"~"&amp;F504&amp;"~"&amp;G504</f>
        <v/>
      </c>
      <c r="J504" t="inlineStr">
        <is>
          <t>MVS Sec.12 p.22</t>
        </is>
      </c>
    </row>
    <row r="505">
      <c r="B505" t="inlineStr">
        <is>
          <t>Multiple Residences – Retirement Community Complex</t>
        </is>
      </c>
      <c r="C505" t="inlineStr">
        <is>
          <t>710</t>
        </is>
      </c>
      <c r="D505" t="inlineStr">
        <is>
          <t>12</t>
        </is>
      </c>
      <c r="E505" t="inlineStr">
        <is>
          <t>22</t>
        </is>
      </c>
      <c r="F505" t="inlineStr">
        <is>
          <t>S</t>
        </is>
      </c>
      <c r="G505" t="inlineStr">
        <is>
          <t>Fair</t>
        </is>
      </c>
      <c r="H505" t="n">
        <v>158</v>
      </c>
      <c r="I505">
        <f>B505&amp;"~"&amp;F505&amp;"~"&amp;G505</f>
        <v/>
      </c>
      <c r="J505" t="inlineStr">
        <is>
          <t>MVS Sec.12 p.22</t>
        </is>
      </c>
    </row>
    <row r="506">
      <c r="B506" t="inlineStr">
        <is>
          <t>Shell Multiple Residences - Retirement Community Complex</t>
        </is>
      </c>
      <c r="C506" t="inlineStr">
        <is>
          <t>783</t>
        </is>
      </c>
      <c r="D506" t="inlineStr">
        <is>
          <t>12</t>
        </is>
      </c>
      <c r="E506" t="inlineStr">
        <is>
          <t>23</t>
        </is>
      </c>
      <c r="F506" t="inlineStr">
        <is>
          <t>C</t>
        </is>
      </c>
      <c r="G506" t="inlineStr">
        <is>
          <t>Good</t>
        </is>
      </c>
      <c r="H506" t="n">
        <v>120</v>
      </c>
      <c r="I506">
        <f>B506&amp;"~"&amp;F506&amp;"~"&amp;G506</f>
        <v/>
      </c>
      <c r="J506" t="inlineStr">
        <is>
          <t>MVS Sec.12 p.23</t>
        </is>
      </c>
    </row>
    <row r="507">
      <c r="B507" t="inlineStr">
        <is>
          <t>Shell Multiple Residences - Retirement Community Complex</t>
        </is>
      </c>
      <c r="C507" t="inlineStr">
        <is>
          <t>783</t>
        </is>
      </c>
      <c r="D507" t="inlineStr">
        <is>
          <t>12</t>
        </is>
      </c>
      <c r="E507" t="inlineStr">
        <is>
          <t>23</t>
        </is>
      </c>
      <c r="F507" t="inlineStr">
        <is>
          <t>C</t>
        </is>
      </c>
      <c r="G507" t="inlineStr">
        <is>
          <t>Average</t>
        </is>
      </c>
      <c r="H507" t="n">
        <v>100</v>
      </c>
      <c r="I507">
        <f>B507&amp;"~"&amp;F507&amp;"~"&amp;G507</f>
        <v/>
      </c>
      <c r="J507" t="inlineStr">
        <is>
          <t>MVS Sec.12 p.23</t>
        </is>
      </c>
    </row>
    <row r="508">
      <c r="B508" t="inlineStr">
        <is>
          <t>Shell Multiple Residences - Retirement Community Complex</t>
        </is>
      </c>
      <c r="C508" t="inlineStr">
        <is>
          <t>783</t>
        </is>
      </c>
      <c r="D508" t="inlineStr">
        <is>
          <t>12</t>
        </is>
      </c>
      <c r="E508" t="inlineStr">
        <is>
          <t>23</t>
        </is>
      </c>
      <c r="F508" t="inlineStr">
        <is>
          <t>C</t>
        </is>
      </c>
      <c r="G508" t="inlineStr">
        <is>
          <t>Fair</t>
        </is>
      </c>
      <c r="H508" t="n">
        <v>91.5</v>
      </c>
      <c r="I508">
        <f>B508&amp;"~"&amp;F508&amp;"~"&amp;G508</f>
        <v/>
      </c>
      <c r="J508" t="inlineStr">
        <is>
          <t>MVS Sec.12 p.23</t>
        </is>
      </c>
    </row>
    <row r="509">
      <c r="B509" t="inlineStr">
        <is>
          <t>Shell Multiple Residences - Retirement Community Complex</t>
        </is>
      </c>
      <c r="C509" t="inlineStr">
        <is>
          <t>783</t>
        </is>
      </c>
      <c r="D509" t="inlineStr">
        <is>
          <t>12</t>
        </is>
      </c>
      <c r="E509" t="inlineStr">
        <is>
          <t>23</t>
        </is>
      </c>
      <c r="F509" t="inlineStr">
        <is>
          <t>C</t>
        </is>
      </c>
      <c r="G509" t="inlineStr">
        <is>
          <t>Low Cost</t>
        </is>
      </c>
      <c r="H509" t="n">
        <v>83.5</v>
      </c>
      <c r="I509">
        <f>B509&amp;"~"&amp;F509&amp;"~"&amp;G509</f>
        <v/>
      </c>
      <c r="J509" t="inlineStr">
        <is>
          <t>MVS Sec.12 p.23</t>
        </is>
      </c>
    </row>
    <row r="510">
      <c r="B510" t="inlineStr">
        <is>
          <t>Shell Multiple Residences - Retirement Community Complex</t>
        </is>
      </c>
      <c r="C510" t="inlineStr">
        <is>
          <t>783</t>
        </is>
      </c>
      <c r="D510" t="inlineStr">
        <is>
          <t>12</t>
        </is>
      </c>
      <c r="E510" t="inlineStr">
        <is>
          <t>23</t>
        </is>
      </c>
      <c r="F510" t="inlineStr">
        <is>
          <t>DMASVEN</t>
        </is>
      </c>
      <c r="G510" t="inlineStr">
        <is>
          <t>Good</t>
        </is>
      </c>
      <c r="H510" t="n">
        <v>116</v>
      </c>
      <c r="I510">
        <f>B510&amp;"~"&amp;F510&amp;"~"&amp;G510</f>
        <v/>
      </c>
      <c r="J510" t="inlineStr">
        <is>
          <t>MVS Sec.12 p.23</t>
        </is>
      </c>
    </row>
    <row r="511">
      <c r="B511" t="inlineStr">
        <is>
          <t>Shell Multiple Residences - Retirement Community Complex</t>
        </is>
      </c>
      <c r="C511" t="inlineStr">
        <is>
          <t>783</t>
        </is>
      </c>
      <c r="D511" t="inlineStr">
        <is>
          <t>12</t>
        </is>
      </c>
      <c r="E511" t="inlineStr">
        <is>
          <t>23</t>
        </is>
      </c>
      <c r="F511" t="inlineStr">
        <is>
          <t>DMASVEN</t>
        </is>
      </c>
      <c r="G511" t="inlineStr">
        <is>
          <t>Average</t>
        </is>
      </c>
      <c r="H511" t="n">
        <v>96.5</v>
      </c>
      <c r="I511">
        <f>B511&amp;"~"&amp;F511&amp;"~"&amp;G511</f>
        <v/>
      </c>
      <c r="J511" t="inlineStr">
        <is>
          <t>MVS Sec.12 p.23</t>
        </is>
      </c>
    </row>
    <row r="512">
      <c r="B512" t="inlineStr">
        <is>
          <t>Shell Multiple Residences - Retirement Community Complex</t>
        </is>
      </c>
      <c r="C512" t="inlineStr">
        <is>
          <t>783</t>
        </is>
      </c>
      <c r="D512" t="inlineStr">
        <is>
          <t>12</t>
        </is>
      </c>
      <c r="E512" t="inlineStr">
        <is>
          <t>23</t>
        </is>
      </c>
      <c r="F512" t="inlineStr">
        <is>
          <t>DMASVEN</t>
        </is>
      </c>
      <c r="G512" t="inlineStr">
        <is>
          <t>Fair</t>
        </is>
      </c>
      <c r="H512" t="n">
        <v>88</v>
      </c>
      <c r="I512">
        <f>B512&amp;"~"&amp;F512&amp;"~"&amp;G512</f>
        <v/>
      </c>
      <c r="J512" t="inlineStr">
        <is>
          <t>MVS Sec.12 p.23</t>
        </is>
      </c>
    </row>
    <row r="513">
      <c r="B513" t="inlineStr">
        <is>
          <t>Shell Multiple Residences - Retirement Community Complex</t>
        </is>
      </c>
      <c r="C513" t="inlineStr">
        <is>
          <t>783</t>
        </is>
      </c>
      <c r="D513" t="inlineStr">
        <is>
          <t>12</t>
        </is>
      </c>
      <c r="E513" t="inlineStr">
        <is>
          <t>23</t>
        </is>
      </c>
      <c r="F513" t="inlineStr">
        <is>
          <t>DMASVEN</t>
        </is>
      </c>
      <c r="G513" t="inlineStr">
        <is>
          <t>Low Cost</t>
        </is>
      </c>
      <c r="H513" t="n">
        <v>80</v>
      </c>
      <c r="I513">
        <f>B513&amp;"~"&amp;F513&amp;"~"&amp;G513</f>
        <v/>
      </c>
      <c r="J513" t="inlineStr">
        <is>
          <t>MVS Sec.12 p.23</t>
        </is>
      </c>
    </row>
    <row r="514">
      <c r="B514" t="inlineStr">
        <is>
          <t>Shell Multiple Residences - Retirement Community Complex</t>
        </is>
      </c>
      <c r="C514" t="inlineStr">
        <is>
          <t>783</t>
        </is>
      </c>
      <c r="D514" t="inlineStr">
        <is>
          <t>12</t>
        </is>
      </c>
      <c r="E514" t="inlineStr">
        <is>
          <t>23</t>
        </is>
      </c>
      <c r="F514" t="inlineStr">
        <is>
          <t>D</t>
        </is>
      </c>
      <c r="G514" t="inlineStr">
        <is>
          <t>Good</t>
        </is>
      </c>
      <c r="H514" t="n">
        <v>114</v>
      </c>
      <c r="I514">
        <f>B514&amp;"~"&amp;F514&amp;"~"&amp;G514</f>
        <v/>
      </c>
      <c r="J514" t="inlineStr">
        <is>
          <t>MVS Sec.12 p.23</t>
        </is>
      </c>
    </row>
    <row r="515">
      <c r="B515" t="inlineStr">
        <is>
          <t>Shell Multiple Residences - Retirement Community Complex</t>
        </is>
      </c>
      <c r="C515" t="inlineStr">
        <is>
          <t>783</t>
        </is>
      </c>
      <c r="D515" t="inlineStr">
        <is>
          <t>12</t>
        </is>
      </c>
      <c r="E515" t="inlineStr">
        <is>
          <t>23</t>
        </is>
      </c>
      <c r="F515" t="inlineStr">
        <is>
          <t>D</t>
        </is>
      </c>
      <c r="G515" t="inlineStr">
        <is>
          <t>Average</t>
        </is>
      </c>
      <c r="H515" t="n">
        <v>94</v>
      </c>
      <c r="I515">
        <f>B515&amp;"~"&amp;F515&amp;"~"&amp;G515</f>
        <v/>
      </c>
      <c r="J515" t="inlineStr">
        <is>
          <t>MVS Sec.12 p.23</t>
        </is>
      </c>
    </row>
    <row r="516">
      <c r="B516" t="inlineStr">
        <is>
          <t>Shell Multiple Residences - Retirement Community Complex</t>
        </is>
      </c>
      <c r="C516" t="inlineStr">
        <is>
          <t>783</t>
        </is>
      </c>
      <c r="D516" t="inlineStr">
        <is>
          <t>12</t>
        </is>
      </c>
      <c r="E516" t="inlineStr">
        <is>
          <t>23</t>
        </is>
      </c>
      <c r="F516" t="inlineStr">
        <is>
          <t>D</t>
        </is>
      </c>
      <c r="G516" t="inlineStr">
        <is>
          <t>Fair</t>
        </is>
      </c>
      <c r="H516" t="n">
        <v>85.5</v>
      </c>
      <c r="I516">
        <f>B516&amp;"~"&amp;F516&amp;"~"&amp;G516</f>
        <v/>
      </c>
      <c r="J516" t="inlineStr">
        <is>
          <t>MVS Sec.12 p.23</t>
        </is>
      </c>
    </row>
    <row r="517">
      <c r="B517" t="inlineStr">
        <is>
          <t>Shell Multiple Residences - Retirement Community Complex</t>
        </is>
      </c>
      <c r="C517" t="inlineStr">
        <is>
          <t>783</t>
        </is>
      </c>
      <c r="D517" t="inlineStr">
        <is>
          <t>12</t>
        </is>
      </c>
      <c r="E517" t="inlineStr">
        <is>
          <t>23</t>
        </is>
      </c>
      <c r="F517" t="inlineStr">
        <is>
          <t>D</t>
        </is>
      </c>
      <c r="G517" t="inlineStr">
        <is>
          <t>Low Cost</t>
        </is>
      </c>
      <c r="H517" t="n">
        <v>78</v>
      </c>
      <c r="I517">
        <f>B517&amp;"~"&amp;F517&amp;"~"&amp;G517</f>
        <v/>
      </c>
      <c r="J517" t="inlineStr">
        <is>
          <t>MVS Sec.12 p.23</t>
        </is>
      </c>
    </row>
    <row r="518">
      <c r="B518" t="inlineStr">
        <is>
          <t>Shell Multiple Residences - Retirement Community Complex</t>
        </is>
      </c>
      <c r="C518" t="inlineStr">
        <is>
          <t>783</t>
        </is>
      </c>
      <c r="D518" t="inlineStr">
        <is>
          <t>12</t>
        </is>
      </c>
      <c r="E518" t="inlineStr">
        <is>
          <t>23</t>
        </is>
      </c>
      <c r="F518" t="inlineStr">
        <is>
          <t>S</t>
        </is>
      </c>
      <c r="G518" t="inlineStr">
        <is>
          <t>Average</t>
        </is>
      </c>
      <c r="H518" t="n">
        <v>91</v>
      </c>
      <c r="I518">
        <f>B518&amp;"~"&amp;F518&amp;"~"&amp;G518</f>
        <v/>
      </c>
      <c r="J518" t="inlineStr">
        <is>
          <t>MVS Sec.12 p.23</t>
        </is>
      </c>
    </row>
    <row r="519">
      <c r="B519" t="inlineStr">
        <is>
          <t>Shell Multiple Residences - Retirement Community Complex</t>
        </is>
      </c>
      <c r="C519" t="inlineStr">
        <is>
          <t>783</t>
        </is>
      </c>
      <c r="D519" t="inlineStr">
        <is>
          <t>12</t>
        </is>
      </c>
      <c r="E519" t="inlineStr">
        <is>
          <t>23</t>
        </is>
      </c>
      <c r="F519" t="inlineStr">
        <is>
          <t>S</t>
        </is>
      </c>
      <c r="G519" t="inlineStr">
        <is>
          <t>Fair</t>
        </is>
      </c>
      <c r="H519" t="n">
        <v>83</v>
      </c>
      <c r="I519">
        <f>B519&amp;"~"&amp;F519&amp;"~"&amp;G519</f>
        <v/>
      </c>
      <c r="J519" t="inlineStr">
        <is>
          <t>MVS Sec.12 p.23</t>
        </is>
      </c>
    </row>
    <row r="520">
      <c r="B520" t="inlineStr">
        <is>
          <t>Single-Family Residences</t>
        </is>
      </c>
      <c r="C520" t="inlineStr">
        <is>
          <t>351</t>
        </is>
      </c>
      <c r="D520" t="inlineStr">
        <is>
          <t>12</t>
        </is>
      </c>
      <c r="E520" t="inlineStr">
        <is>
          <t>25</t>
        </is>
      </c>
      <c r="F520" t="inlineStr">
        <is>
          <t>C</t>
        </is>
      </c>
      <c r="G520" t="inlineStr">
        <is>
          <t>Excellent</t>
        </is>
      </c>
      <c r="H520" t="n">
        <v>266</v>
      </c>
      <c r="I520">
        <f>B520&amp;"~"&amp;F520&amp;"~"&amp;G520</f>
        <v/>
      </c>
      <c r="J520" t="inlineStr">
        <is>
          <t>MVS Sec.12 p.25</t>
        </is>
      </c>
    </row>
    <row r="521">
      <c r="B521" t="inlineStr">
        <is>
          <t>Single-Family Residences</t>
        </is>
      </c>
      <c r="C521" t="inlineStr">
        <is>
          <t>351</t>
        </is>
      </c>
      <c r="D521" t="inlineStr">
        <is>
          <t>12</t>
        </is>
      </c>
      <c r="E521" t="inlineStr">
        <is>
          <t>25</t>
        </is>
      </c>
      <c r="F521" t="inlineStr">
        <is>
          <t>C</t>
        </is>
      </c>
      <c r="G521" t="inlineStr">
        <is>
          <t>Very Good</t>
        </is>
      </c>
      <c r="H521" t="n">
        <v>220</v>
      </c>
      <c r="I521">
        <f>B521&amp;"~"&amp;F521&amp;"~"&amp;G521</f>
        <v/>
      </c>
      <c r="J521" t="inlineStr">
        <is>
          <t>MVS Sec.12 p.25</t>
        </is>
      </c>
    </row>
    <row r="522">
      <c r="B522" t="inlineStr">
        <is>
          <t>Single-Family Residences</t>
        </is>
      </c>
      <c r="C522" t="inlineStr">
        <is>
          <t>351</t>
        </is>
      </c>
      <c r="D522" t="inlineStr">
        <is>
          <t>12</t>
        </is>
      </c>
      <c r="E522" t="inlineStr">
        <is>
          <t>25</t>
        </is>
      </c>
      <c r="F522" t="inlineStr">
        <is>
          <t>C</t>
        </is>
      </c>
      <c r="G522" t="inlineStr">
        <is>
          <t>Good</t>
        </is>
      </c>
      <c r="H522" t="n">
        <v>185</v>
      </c>
      <c r="I522">
        <f>B522&amp;"~"&amp;F522&amp;"~"&amp;G522</f>
        <v/>
      </c>
      <c r="J522" t="inlineStr">
        <is>
          <t>MVS Sec.12 p.25</t>
        </is>
      </c>
    </row>
    <row r="523">
      <c r="B523" t="inlineStr">
        <is>
          <t>Single-Family Residences</t>
        </is>
      </c>
      <c r="C523" t="inlineStr">
        <is>
          <t>351</t>
        </is>
      </c>
      <c r="D523" t="inlineStr">
        <is>
          <t>12</t>
        </is>
      </c>
      <c r="E523" t="inlineStr">
        <is>
          <t>25</t>
        </is>
      </c>
      <c r="F523" t="inlineStr">
        <is>
          <t>C</t>
        </is>
      </c>
      <c r="G523" t="inlineStr">
        <is>
          <t>Average</t>
        </is>
      </c>
      <c r="H523" t="n">
        <v>132</v>
      </c>
      <c r="I523">
        <f>B523&amp;"~"&amp;F523&amp;"~"&amp;G523</f>
        <v/>
      </c>
      <c r="J523" t="inlineStr">
        <is>
          <t>MVS Sec.12 p.25</t>
        </is>
      </c>
    </row>
    <row r="524">
      <c r="B524" t="inlineStr">
        <is>
          <t>Single-Family Residences</t>
        </is>
      </c>
      <c r="C524" t="inlineStr">
        <is>
          <t>351</t>
        </is>
      </c>
      <c r="D524" t="inlineStr">
        <is>
          <t>12</t>
        </is>
      </c>
      <c r="E524" t="inlineStr">
        <is>
          <t>25</t>
        </is>
      </c>
      <c r="F524" t="inlineStr">
        <is>
          <t>C</t>
        </is>
      </c>
      <c r="G524" t="inlineStr">
        <is>
          <t>Fair</t>
        </is>
      </c>
      <c r="H524" t="n">
        <v>113</v>
      </c>
      <c r="I524">
        <f>B524&amp;"~"&amp;F524&amp;"~"&amp;G524</f>
        <v/>
      </c>
      <c r="J524" t="inlineStr">
        <is>
          <t>MVS Sec.12 p.25</t>
        </is>
      </c>
    </row>
    <row r="525">
      <c r="B525" t="inlineStr">
        <is>
          <t>Single-Family Residences</t>
        </is>
      </c>
      <c r="C525" t="inlineStr">
        <is>
          <t>351</t>
        </is>
      </c>
      <c r="D525" t="inlineStr">
        <is>
          <t>12</t>
        </is>
      </c>
      <c r="E525" t="inlineStr">
        <is>
          <t>25</t>
        </is>
      </c>
      <c r="F525" t="inlineStr">
        <is>
          <t>C</t>
        </is>
      </c>
      <c r="G525" t="inlineStr">
        <is>
          <t>Low Cost</t>
        </is>
      </c>
      <c r="H525" t="n">
        <v>94.5</v>
      </c>
      <c r="I525">
        <f>B525&amp;"~"&amp;F525&amp;"~"&amp;G525</f>
        <v/>
      </c>
      <c r="J525" t="inlineStr">
        <is>
          <t>MVS Sec.12 p.25</t>
        </is>
      </c>
    </row>
    <row r="526">
      <c r="B526" t="inlineStr">
        <is>
          <t>Single-Family Residences</t>
        </is>
      </c>
      <c r="C526" t="inlineStr">
        <is>
          <t>351</t>
        </is>
      </c>
      <c r="D526" t="inlineStr">
        <is>
          <t>12</t>
        </is>
      </c>
      <c r="E526" t="inlineStr">
        <is>
          <t>25</t>
        </is>
      </c>
      <c r="F526" t="inlineStr">
        <is>
          <t>C</t>
        </is>
      </c>
      <c r="G526" t="inlineStr">
        <is>
          <t>Cheap</t>
        </is>
      </c>
      <c r="H526" t="n">
        <v>79.5</v>
      </c>
      <c r="I526">
        <f>B526&amp;"~"&amp;F526&amp;"~"&amp;G526</f>
        <v/>
      </c>
      <c r="J526" t="inlineStr">
        <is>
          <t>MVS Sec.12 p.25</t>
        </is>
      </c>
    </row>
    <row r="527">
      <c r="B527" t="inlineStr">
        <is>
          <t>Single-Family Residences</t>
        </is>
      </c>
      <c r="C527" t="inlineStr">
        <is>
          <t>351</t>
        </is>
      </c>
      <c r="D527" t="inlineStr">
        <is>
          <t>12</t>
        </is>
      </c>
      <c r="E527" t="inlineStr">
        <is>
          <t>25</t>
        </is>
      </c>
      <c r="F527" t="inlineStr">
        <is>
          <t>DMASVEN</t>
        </is>
      </c>
      <c r="G527" t="inlineStr">
        <is>
          <t>Excellent</t>
        </is>
      </c>
      <c r="H527" t="n">
        <v>263</v>
      </c>
      <c r="I527">
        <f>B527&amp;"~"&amp;F527&amp;"~"&amp;G527</f>
        <v/>
      </c>
      <c r="J527" t="inlineStr">
        <is>
          <t>MVS Sec.12 p.25</t>
        </is>
      </c>
    </row>
    <row r="528">
      <c r="B528" t="inlineStr">
        <is>
          <t>Single-Family Residences</t>
        </is>
      </c>
      <c r="C528" t="inlineStr">
        <is>
          <t>351</t>
        </is>
      </c>
      <c r="D528" t="inlineStr">
        <is>
          <t>12</t>
        </is>
      </c>
      <c r="E528" t="inlineStr">
        <is>
          <t>25</t>
        </is>
      </c>
      <c r="F528" t="inlineStr">
        <is>
          <t>DMASVEN</t>
        </is>
      </c>
      <c r="G528" t="inlineStr">
        <is>
          <t>Very Good</t>
        </is>
      </c>
      <c r="H528" t="n">
        <v>218</v>
      </c>
      <c r="I528">
        <f>B528&amp;"~"&amp;F528&amp;"~"&amp;G528</f>
        <v/>
      </c>
      <c r="J528" t="inlineStr">
        <is>
          <t>MVS Sec.12 p.25</t>
        </is>
      </c>
    </row>
    <row r="529">
      <c r="B529" t="inlineStr">
        <is>
          <t>Single-Family Residences</t>
        </is>
      </c>
      <c r="C529" t="inlineStr">
        <is>
          <t>351</t>
        </is>
      </c>
      <c r="D529" t="inlineStr">
        <is>
          <t>12</t>
        </is>
      </c>
      <c r="E529" t="inlineStr">
        <is>
          <t>25</t>
        </is>
      </c>
      <c r="F529" t="inlineStr">
        <is>
          <t>DMASVEN</t>
        </is>
      </c>
      <c r="G529" t="inlineStr">
        <is>
          <t>Good</t>
        </is>
      </c>
      <c r="H529" t="n">
        <v>184</v>
      </c>
      <c r="I529">
        <f>B529&amp;"~"&amp;F529&amp;"~"&amp;G529</f>
        <v/>
      </c>
      <c r="J529" t="inlineStr">
        <is>
          <t>MVS Sec.12 p.25</t>
        </is>
      </c>
    </row>
    <row r="530">
      <c r="B530" t="inlineStr">
        <is>
          <t>Single-Family Residences</t>
        </is>
      </c>
      <c r="C530" t="inlineStr">
        <is>
          <t>351</t>
        </is>
      </c>
      <c r="D530" t="inlineStr">
        <is>
          <t>12</t>
        </is>
      </c>
      <c r="E530" t="inlineStr">
        <is>
          <t>25</t>
        </is>
      </c>
      <c r="F530" t="inlineStr">
        <is>
          <t>DMASVEN</t>
        </is>
      </c>
      <c r="G530" t="inlineStr">
        <is>
          <t>Average</t>
        </is>
      </c>
      <c r="H530" t="n">
        <v>132</v>
      </c>
      <c r="I530">
        <f>B530&amp;"~"&amp;F530&amp;"~"&amp;G530</f>
        <v/>
      </c>
      <c r="J530" t="inlineStr">
        <is>
          <t>MVS Sec.12 p.25</t>
        </is>
      </c>
    </row>
    <row r="531">
      <c r="B531" t="inlineStr">
        <is>
          <t>Single-Family Residences</t>
        </is>
      </c>
      <c r="C531" t="inlineStr">
        <is>
          <t>351</t>
        </is>
      </c>
      <c r="D531" t="inlineStr">
        <is>
          <t>12</t>
        </is>
      </c>
      <c r="E531" t="inlineStr">
        <is>
          <t>25</t>
        </is>
      </c>
      <c r="F531" t="inlineStr">
        <is>
          <t>DMASVEN</t>
        </is>
      </c>
      <c r="G531" t="inlineStr">
        <is>
          <t>Fair</t>
        </is>
      </c>
      <c r="H531" t="n">
        <v>113</v>
      </c>
      <c r="I531">
        <f>B531&amp;"~"&amp;F531&amp;"~"&amp;G531</f>
        <v/>
      </c>
      <c r="J531" t="inlineStr">
        <is>
          <t>MVS Sec.12 p.25</t>
        </is>
      </c>
    </row>
    <row r="532">
      <c r="B532" t="inlineStr">
        <is>
          <t>Single-Family Residences</t>
        </is>
      </c>
      <c r="C532" t="inlineStr">
        <is>
          <t>351</t>
        </is>
      </c>
      <c r="D532" t="inlineStr">
        <is>
          <t>12</t>
        </is>
      </c>
      <c r="E532" t="inlineStr">
        <is>
          <t>25</t>
        </is>
      </c>
      <c r="F532" t="inlineStr">
        <is>
          <t>DMASVEN</t>
        </is>
      </c>
      <c r="G532" t="inlineStr">
        <is>
          <t>Low Cost</t>
        </is>
      </c>
      <c r="H532" t="n">
        <v>95</v>
      </c>
      <c r="I532">
        <f>B532&amp;"~"&amp;F532&amp;"~"&amp;G532</f>
        <v/>
      </c>
      <c r="J532" t="inlineStr">
        <is>
          <t>MVS Sec.12 p.25</t>
        </is>
      </c>
    </row>
    <row r="533">
      <c r="B533" t="inlineStr">
        <is>
          <t>Single-Family Residences</t>
        </is>
      </c>
      <c r="C533" t="inlineStr">
        <is>
          <t>351</t>
        </is>
      </c>
      <c r="D533" t="inlineStr">
        <is>
          <t>12</t>
        </is>
      </c>
      <c r="E533" t="inlineStr">
        <is>
          <t>25</t>
        </is>
      </c>
      <c r="F533" t="inlineStr">
        <is>
          <t>D</t>
        </is>
      </c>
      <c r="G533" t="inlineStr">
        <is>
          <t>Excellent</t>
        </is>
      </c>
      <c r="H533" t="n">
        <v>243</v>
      </c>
      <c r="I533">
        <f>B533&amp;"~"&amp;F533&amp;"~"&amp;G533</f>
        <v/>
      </c>
      <c r="J533" t="inlineStr">
        <is>
          <t>MVS Sec.12 p.25</t>
        </is>
      </c>
    </row>
    <row r="534">
      <c r="B534" t="inlineStr">
        <is>
          <t>Single-Family Residences</t>
        </is>
      </c>
      <c r="C534" t="inlineStr">
        <is>
          <t>351</t>
        </is>
      </c>
      <c r="D534" t="inlineStr">
        <is>
          <t>12</t>
        </is>
      </c>
      <c r="E534" t="inlineStr">
        <is>
          <t>25</t>
        </is>
      </c>
      <c r="F534" t="inlineStr">
        <is>
          <t>D</t>
        </is>
      </c>
      <c r="G534" t="inlineStr">
        <is>
          <t>Very Good</t>
        </is>
      </c>
      <c r="H534" t="n">
        <v>202</v>
      </c>
      <c r="I534">
        <f>B534&amp;"~"&amp;F534&amp;"~"&amp;G534</f>
        <v/>
      </c>
      <c r="J534" t="inlineStr">
        <is>
          <t>MVS Sec.12 p.25</t>
        </is>
      </c>
    </row>
    <row r="535">
      <c r="B535" t="inlineStr">
        <is>
          <t>Single-Family Residences</t>
        </is>
      </c>
      <c r="C535" t="inlineStr">
        <is>
          <t>351</t>
        </is>
      </c>
      <c r="D535" t="inlineStr">
        <is>
          <t>12</t>
        </is>
      </c>
      <c r="E535" t="inlineStr">
        <is>
          <t>25</t>
        </is>
      </c>
      <c r="F535" t="inlineStr">
        <is>
          <t>D</t>
        </is>
      </c>
      <c r="G535" t="inlineStr">
        <is>
          <t>Good</t>
        </is>
      </c>
      <c r="H535" t="n">
        <v>172</v>
      </c>
      <c r="I535">
        <f>B535&amp;"~"&amp;F535&amp;"~"&amp;G535</f>
        <v/>
      </c>
      <c r="J535" t="inlineStr">
        <is>
          <t>MVS Sec.12 p.25</t>
        </is>
      </c>
    </row>
    <row r="536">
      <c r="B536" t="inlineStr">
        <is>
          <t>Single-Family Residences</t>
        </is>
      </c>
      <c r="C536" t="inlineStr">
        <is>
          <t>351</t>
        </is>
      </c>
      <c r="D536" t="inlineStr">
        <is>
          <t>12</t>
        </is>
      </c>
      <c r="E536" t="inlineStr">
        <is>
          <t>25</t>
        </is>
      </c>
      <c r="F536" t="inlineStr">
        <is>
          <t>D</t>
        </is>
      </c>
      <c r="G536" t="inlineStr">
        <is>
          <t>Average</t>
        </is>
      </c>
      <c r="H536" t="n">
        <v>124</v>
      </c>
      <c r="I536">
        <f>B536&amp;"~"&amp;F536&amp;"~"&amp;G536</f>
        <v/>
      </c>
      <c r="J536" t="inlineStr">
        <is>
          <t>MVS Sec.12 p.25</t>
        </is>
      </c>
    </row>
    <row r="537">
      <c r="B537" t="inlineStr">
        <is>
          <t>Single-Family Residences</t>
        </is>
      </c>
      <c r="C537" t="inlineStr">
        <is>
          <t>351</t>
        </is>
      </c>
      <c r="D537" t="inlineStr">
        <is>
          <t>12</t>
        </is>
      </c>
      <c r="E537" t="inlineStr">
        <is>
          <t>25</t>
        </is>
      </c>
      <c r="F537" t="inlineStr">
        <is>
          <t>D</t>
        </is>
      </c>
      <c r="G537" t="inlineStr">
        <is>
          <t>Fair</t>
        </is>
      </c>
      <c r="H537" t="n">
        <v>106</v>
      </c>
      <c r="I537">
        <f>B537&amp;"~"&amp;F537&amp;"~"&amp;G537</f>
        <v/>
      </c>
      <c r="J537" t="inlineStr">
        <is>
          <t>MVS Sec.12 p.25</t>
        </is>
      </c>
    </row>
    <row r="538">
      <c r="B538" t="inlineStr">
        <is>
          <t>Single-Family Residences</t>
        </is>
      </c>
      <c r="C538" t="inlineStr">
        <is>
          <t>351</t>
        </is>
      </c>
      <c r="D538" t="inlineStr">
        <is>
          <t>12</t>
        </is>
      </c>
      <c r="E538" t="inlineStr">
        <is>
          <t>25</t>
        </is>
      </c>
      <c r="F538" t="inlineStr">
        <is>
          <t>D</t>
        </is>
      </c>
      <c r="G538" t="inlineStr">
        <is>
          <t>Low Cost</t>
        </is>
      </c>
      <c r="H538" t="n">
        <v>89.5</v>
      </c>
      <c r="I538">
        <f>B538&amp;"~"&amp;F538&amp;"~"&amp;G538</f>
        <v/>
      </c>
      <c r="J538" t="inlineStr">
        <is>
          <t>MVS Sec.12 p.25</t>
        </is>
      </c>
    </row>
    <row r="539">
      <c r="B539" t="inlineStr">
        <is>
          <t>Single-Family Residences</t>
        </is>
      </c>
      <c r="C539" t="inlineStr">
        <is>
          <t>351</t>
        </is>
      </c>
      <c r="D539" t="inlineStr">
        <is>
          <t>12</t>
        </is>
      </c>
      <c r="E539" t="inlineStr">
        <is>
          <t>25</t>
        </is>
      </c>
      <c r="F539" t="inlineStr">
        <is>
          <t>D</t>
        </is>
      </c>
      <c r="G539" t="inlineStr">
        <is>
          <t>Cheap</t>
        </is>
      </c>
      <c r="H539" t="n">
        <v>75.5</v>
      </c>
      <c r="I539">
        <f>B539&amp;"~"&amp;F539&amp;"~"&amp;G539</f>
        <v/>
      </c>
      <c r="J539" t="inlineStr">
        <is>
          <t>MVS Sec.12 p.25</t>
        </is>
      </c>
    </row>
    <row r="540">
      <c r="B540" t="inlineStr">
        <is>
          <t>Single-Family Residences</t>
        </is>
      </c>
      <c r="C540" t="inlineStr">
        <is>
          <t>351</t>
        </is>
      </c>
      <c r="D540" t="inlineStr">
        <is>
          <t>12</t>
        </is>
      </c>
      <c r="E540" t="inlineStr">
        <is>
          <t>25</t>
        </is>
      </c>
      <c r="F540" t="inlineStr">
        <is>
          <t>S</t>
        </is>
      </c>
      <c r="G540" t="inlineStr">
        <is>
          <t>Average</t>
        </is>
      </c>
      <c r="H540" t="n">
        <v>123</v>
      </c>
      <c r="I540">
        <f>B540&amp;"~"&amp;F540&amp;"~"&amp;G540</f>
        <v/>
      </c>
      <c r="J540" t="inlineStr">
        <is>
          <t>MVS Sec.12 p.25</t>
        </is>
      </c>
    </row>
    <row r="541">
      <c r="B541" t="inlineStr">
        <is>
          <t>Guest Houses</t>
        </is>
      </c>
      <c r="C541" t="inlineStr"/>
      <c r="D541" t="inlineStr">
        <is>
          <t>12</t>
        </is>
      </c>
      <c r="E541" t="inlineStr">
        <is>
          <t>29</t>
        </is>
      </c>
      <c r="F541" t="inlineStr">
        <is>
          <t>C</t>
        </is>
      </c>
      <c r="G541" t="inlineStr">
        <is>
          <t>Excellent</t>
        </is>
      </c>
      <c r="H541" t="n">
        <v>276</v>
      </c>
      <c r="I541">
        <f>B541&amp;"~"&amp;F541&amp;"~"&amp;G541</f>
        <v/>
      </c>
      <c r="J541" t="inlineStr">
        <is>
          <t>MVS Sec.12 p.29</t>
        </is>
      </c>
    </row>
    <row r="542">
      <c r="B542" t="inlineStr">
        <is>
          <t>Guest Houses</t>
        </is>
      </c>
      <c r="C542" t="inlineStr"/>
      <c r="D542" t="inlineStr">
        <is>
          <t>12</t>
        </is>
      </c>
      <c r="E542" t="inlineStr">
        <is>
          <t>29</t>
        </is>
      </c>
      <c r="F542" t="inlineStr">
        <is>
          <t>C</t>
        </is>
      </c>
      <c r="G542" t="inlineStr">
        <is>
          <t>Very Good</t>
        </is>
      </c>
      <c r="H542" t="n">
        <v>208</v>
      </c>
      <c r="I542">
        <f>B542&amp;"~"&amp;F542&amp;"~"&amp;G542</f>
        <v/>
      </c>
      <c r="J542" t="inlineStr">
        <is>
          <t>MVS Sec.12 p.29</t>
        </is>
      </c>
    </row>
    <row r="543">
      <c r="B543" t="inlineStr">
        <is>
          <t>Guest Houses</t>
        </is>
      </c>
      <c r="C543" t="inlineStr"/>
      <c r="D543" t="inlineStr">
        <is>
          <t>12</t>
        </is>
      </c>
      <c r="E543" t="inlineStr">
        <is>
          <t>29</t>
        </is>
      </c>
      <c r="F543" t="inlineStr">
        <is>
          <t>C</t>
        </is>
      </c>
      <c r="G543" t="inlineStr">
        <is>
          <t>Good</t>
        </is>
      </c>
      <c r="H543" t="n">
        <v>157</v>
      </c>
      <c r="I543">
        <f>B543&amp;"~"&amp;F543&amp;"~"&amp;G543</f>
        <v/>
      </c>
      <c r="J543" t="inlineStr">
        <is>
          <t>MVS Sec.12 p.29</t>
        </is>
      </c>
    </row>
    <row r="544">
      <c r="B544" t="inlineStr">
        <is>
          <t>Guest Houses</t>
        </is>
      </c>
      <c r="C544" t="inlineStr"/>
      <c r="D544" t="inlineStr">
        <is>
          <t>12</t>
        </is>
      </c>
      <c r="E544" t="inlineStr">
        <is>
          <t>29</t>
        </is>
      </c>
      <c r="F544" t="inlineStr">
        <is>
          <t>C</t>
        </is>
      </c>
      <c r="G544" t="inlineStr">
        <is>
          <t>Average</t>
        </is>
      </c>
      <c r="H544" t="n">
        <v>117</v>
      </c>
      <c r="I544">
        <f>B544&amp;"~"&amp;F544&amp;"~"&amp;G544</f>
        <v/>
      </c>
      <c r="J544" t="inlineStr">
        <is>
          <t>MVS Sec.12 p.29</t>
        </is>
      </c>
    </row>
    <row r="545">
      <c r="B545" t="inlineStr">
        <is>
          <t>Guest Houses</t>
        </is>
      </c>
      <c r="C545" t="inlineStr"/>
      <c r="D545" t="inlineStr">
        <is>
          <t>12</t>
        </is>
      </c>
      <c r="E545" t="inlineStr">
        <is>
          <t>29</t>
        </is>
      </c>
      <c r="F545" t="inlineStr">
        <is>
          <t>C</t>
        </is>
      </c>
      <c r="G545" t="inlineStr">
        <is>
          <t>Low Cost</t>
        </is>
      </c>
      <c r="H545" t="n">
        <v>88.5</v>
      </c>
      <c r="I545">
        <f>B545&amp;"~"&amp;F545&amp;"~"&amp;G545</f>
        <v/>
      </c>
      <c r="J545" t="inlineStr">
        <is>
          <t>MVS Sec.12 p.29</t>
        </is>
      </c>
    </row>
    <row r="546">
      <c r="B546" t="inlineStr">
        <is>
          <t>Guest Houses</t>
        </is>
      </c>
      <c r="C546" t="inlineStr"/>
      <c r="D546" t="inlineStr">
        <is>
          <t>12</t>
        </is>
      </c>
      <c r="E546" t="inlineStr">
        <is>
          <t>29</t>
        </is>
      </c>
      <c r="F546" t="inlineStr">
        <is>
          <t>D</t>
        </is>
      </c>
      <c r="G546" t="inlineStr">
        <is>
          <t>Excellent</t>
        </is>
      </c>
      <c r="H546" t="n">
        <v>275</v>
      </c>
      <c r="I546">
        <f>B546&amp;"~"&amp;F546&amp;"~"&amp;G546</f>
        <v/>
      </c>
      <c r="J546" t="inlineStr">
        <is>
          <t>MVS Sec.12 p.29</t>
        </is>
      </c>
    </row>
    <row r="547">
      <c r="B547" t="inlineStr">
        <is>
          <t>Guest Houses</t>
        </is>
      </c>
      <c r="C547" t="inlineStr"/>
      <c r="D547" t="inlineStr">
        <is>
          <t>12</t>
        </is>
      </c>
      <c r="E547" t="inlineStr">
        <is>
          <t>29</t>
        </is>
      </c>
      <c r="F547" t="inlineStr">
        <is>
          <t>D</t>
        </is>
      </c>
      <c r="G547" t="inlineStr">
        <is>
          <t>Very Good</t>
        </is>
      </c>
      <c r="H547" t="n">
        <v>204</v>
      </c>
      <c r="I547">
        <f>B547&amp;"~"&amp;F547&amp;"~"&amp;G547</f>
        <v/>
      </c>
      <c r="J547" t="inlineStr">
        <is>
          <t>MVS Sec.12 p.29</t>
        </is>
      </c>
    </row>
    <row r="548">
      <c r="B548" t="inlineStr">
        <is>
          <t>Guest Houses</t>
        </is>
      </c>
      <c r="C548" t="inlineStr"/>
      <c r="D548" t="inlineStr">
        <is>
          <t>12</t>
        </is>
      </c>
      <c r="E548" t="inlineStr">
        <is>
          <t>29</t>
        </is>
      </c>
      <c r="F548" t="inlineStr">
        <is>
          <t>D</t>
        </is>
      </c>
      <c r="G548" t="inlineStr">
        <is>
          <t>Good</t>
        </is>
      </c>
      <c r="H548" t="n">
        <v>153</v>
      </c>
      <c r="I548">
        <f>B548&amp;"~"&amp;F548&amp;"~"&amp;G548</f>
        <v/>
      </c>
      <c r="J548" t="inlineStr">
        <is>
          <t>MVS Sec.12 p.29</t>
        </is>
      </c>
    </row>
    <row r="549">
      <c r="B549" t="inlineStr">
        <is>
          <t>Guest Houses</t>
        </is>
      </c>
      <c r="C549" t="inlineStr"/>
      <c r="D549" t="inlineStr">
        <is>
          <t>12</t>
        </is>
      </c>
      <c r="E549" t="inlineStr">
        <is>
          <t>29</t>
        </is>
      </c>
      <c r="F549" t="inlineStr">
        <is>
          <t>D</t>
        </is>
      </c>
      <c r="G549" t="inlineStr">
        <is>
          <t>Average</t>
        </is>
      </c>
      <c r="H549" t="n">
        <v>112</v>
      </c>
      <c r="I549">
        <f>B549&amp;"~"&amp;F549&amp;"~"&amp;G549</f>
        <v/>
      </c>
      <c r="J549" t="inlineStr">
        <is>
          <t>MVS Sec.12 p.29</t>
        </is>
      </c>
    </row>
    <row r="550">
      <c r="B550" t="inlineStr">
        <is>
          <t>Guest Houses</t>
        </is>
      </c>
      <c r="C550" t="inlineStr"/>
      <c r="D550" t="inlineStr">
        <is>
          <t>12</t>
        </is>
      </c>
      <c r="E550" t="inlineStr">
        <is>
          <t>29</t>
        </is>
      </c>
      <c r="F550" t="inlineStr">
        <is>
          <t>D</t>
        </is>
      </c>
      <c r="G550" t="inlineStr">
        <is>
          <t>Low Cost</t>
        </is>
      </c>
      <c r="H550" t="n">
        <v>83.5</v>
      </c>
      <c r="I550">
        <f>B550&amp;"~"&amp;F550&amp;"~"&amp;G550</f>
        <v/>
      </c>
      <c r="J550" t="inlineStr">
        <is>
          <t>MVS Sec.12 p.29</t>
        </is>
      </c>
    </row>
    <row r="551">
      <c r="B551" t="inlineStr">
        <is>
          <t>Guest Houses</t>
        </is>
      </c>
      <c r="C551" t="inlineStr"/>
      <c r="D551" t="inlineStr">
        <is>
          <t>12</t>
        </is>
      </c>
      <c r="E551" t="inlineStr">
        <is>
          <t>29</t>
        </is>
      </c>
      <c r="F551" t="inlineStr">
        <is>
          <t>D</t>
        </is>
      </c>
      <c r="G551" t="inlineStr">
        <is>
          <t>Cheap</t>
        </is>
      </c>
      <c r="H551" t="n">
        <v>76</v>
      </c>
      <c r="I551">
        <f>B551&amp;"~"&amp;F551&amp;"~"&amp;G551</f>
        <v/>
      </c>
      <c r="J551" t="inlineStr">
        <is>
          <t>MVS Sec.12 p.29</t>
        </is>
      </c>
    </row>
    <row r="552">
      <c r="B552" t="inlineStr">
        <is>
          <t>Log Homes</t>
        </is>
      </c>
      <c r="C552" t="inlineStr">
        <is>
          <t>445</t>
        </is>
      </c>
      <c r="D552" t="inlineStr">
        <is>
          <t>12</t>
        </is>
      </c>
      <c r="E552" t="inlineStr">
        <is>
          <t>30</t>
        </is>
      </c>
      <c r="F552" t="inlineStr">
        <is>
          <t>D</t>
        </is>
      </c>
      <c r="G552" t="inlineStr">
        <is>
          <t>Excellent</t>
        </is>
      </c>
      <c r="H552" t="n">
        <v>271</v>
      </c>
      <c r="I552">
        <f>B552&amp;"~"&amp;F552&amp;"~"&amp;G552</f>
        <v/>
      </c>
      <c r="J552" t="inlineStr">
        <is>
          <t>MVS Sec.12 p.30</t>
        </is>
      </c>
    </row>
    <row r="553">
      <c r="B553" t="inlineStr">
        <is>
          <t>Log Homes</t>
        </is>
      </c>
      <c r="C553" t="inlineStr">
        <is>
          <t>445</t>
        </is>
      </c>
      <c r="D553" t="inlineStr">
        <is>
          <t>12</t>
        </is>
      </c>
      <c r="E553" t="inlineStr">
        <is>
          <t>30</t>
        </is>
      </c>
      <c r="F553" t="inlineStr">
        <is>
          <t>D</t>
        </is>
      </c>
      <c r="G553" t="inlineStr">
        <is>
          <t>Good</t>
        </is>
      </c>
      <c r="H553" t="n">
        <v>192</v>
      </c>
      <c r="I553">
        <f>B553&amp;"~"&amp;F553&amp;"~"&amp;G553</f>
        <v/>
      </c>
      <c r="J553" t="inlineStr">
        <is>
          <t>MVS Sec.12 p.30</t>
        </is>
      </c>
    </row>
    <row r="554">
      <c r="B554" t="inlineStr">
        <is>
          <t>Log Homes</t>
        </is>
      </c>
      <c r="C554" t="inlineStr">
        <is>
          <t>445</t>
        </is>
      </c>
      <c r="D554" t="inlineStr">
        <is>
          <t>12</t>
        </is>
      </c>
      <c r="E554" t="inlineStr">
        <is>
          <t>30</t>
        </is>
      </c>
      <c r="F554" t="inlineStr">
        <is>
          <t>D</t>
        </is>
      </c>
      <c r="G554" t="inlineStr">
        <is>
          <t>Average</t>
        </is>
      </c>
      <c r="H554" t="n">
        <v>138</v>
      </c>
      <c r="I554">
        <f>B554&amp;"~"&amp;F554&amp;"~"&amp;G554</f>
        <v/>
      </c>
      <c r="J554" t="inlineStr">
        <is>
          <t>MVS Sec.12 p.30</t>
        </is>
      </c>
    </row>
    <row r="555">
      <c r="B555" t="inlineStr">
        <is>
          <t>Log Homes</t>
        </is>
      </c>
      <c r="C555" t="inlineStr">
        <is>
          <t>445</t>
        </is>
      </c>
      <c r="D555" t="inlineStr">
        <is>
          <t>12</t>
        </is>
      </c>
      <c r="E555" t="inlineStr">
        <is>
          <t>30</t>
        </is>
      </c>
      <c r="F555" t="inlineStr">
        <is>
          <t>D</t>
        </is>
      </c>
      <c r="G555" t="inlineStr">
        <is>
          <t>Low Cost</t>
        </is>
      </c>
      <c r="H555" t="n">
        <v>99.5</v>
      </c>
      <c r="I555">
        <f>B555&amp;"~"&amp;F555&amp;"~"&amp;G555</f>
        <v/>
      </c>
      <c r="J555" t="inlineStr">
        <is>
          <t>MVS Sec.12 p.30</t>
        </is>
      </c>
    </row>
    <row r="556">
      <c r="B556" t="inlineStr">
        <is>
          <t>Town Houses</t>
        </is>
      </c>
      <c r="C556" t="inlineStr">
        <is>
          <t>401</t>
        </is>
      </c>
      <c r="D556" t="inlineStr">
        <is>
          <t>12</t>
        </is>
      </c>
      <c r="E556" t="inlineStr">
        <is>
          <t>31</t>
        </is>
      </c>
      <c r="F556" t="inlineStr">
        <is>
          <t>C</t>
        </is>
      </c>
      <c r="G556" t="inlineStr">
        <is>
          <t>Excellent</t>
        </is>
      </c>
      <c r="H556" t="n">
        <v>221</v>
      </c>
      <c r="I556">
        <f>B556&amp;"~"&amp;F556&amp;"~"&amp;G556</f>
        <v/>
      </c>
      <c r="J556" t="inlineStr">
        <is>
          <t>MVS Sec.12 p.31</t>
        </is>
      </c>
    </row>
    <row r="557">
      <c r="B557" t="inlineStr">
        <is>
          <t>Town Houses</t>
        </is>
      </c>
      <c r="C557" t="inlineStr">
        <is>
          <t>401</t>
        </is>
      </c>
      <c r="D557" t="inlineStr">
        <is>
          <t>12</t>
        </is>
      </c>
      <c r="E557" t="inlineStr">
        <is>
          <t>31</t>
        </is>
      </c>
      <c r="F557" t="inlineStr">
        <is>
          <t>C</t>
        </is>
      </c>
      <c r="G557" t="inlineStr">
        <is>
          <t>Good</t>
        </is>
      </c>
      <c r="H557" t="n">
        <v>161</v>
      </c>
      <c r="I557">
        <f>B557&amp;"~"&amp;F557&amp;"~"&amp;G557</f>
        <v/>
      </c>
      <c r="J557" t="inlineStr">
        <is>
          <t>MVS Sec.12 p.31</t>
        </is>
      </c>
    </row>
    <row r="558">
      <c r="B558" t="inlineStr">
        <is>
          <t>Town Houses</t>
        </is>
      </c>
      <c r="C558" t="inlineStr">
        <is>
          <t>401</t>
        </is>
      </c>
      <c r="D558" t="inlineStr">
        <is>
          <t>12</t>
        </is>
      </c>
      <c r="E558" t="inlineStr">
        <is>
          <t>31</t>
        </is>
      </c>
      <c r="F558" t="inlineStr">
        <is>
          <t>C</t>
        </is>
      </c>
      <c r="G558" t="inlineStr">
        <is>
          <t>Average</t>
        </is>
      </c>
      <c r="H558" t="n">
        <v>117</v>
      </c>
      <c r="I558">
        <f>B558&amp;"~"&amp;F558&amp;"~"&amp;G558</f>
        <v/>
      </c>
      <c r="J558" t="inlineStr">
        <is>
          <t>MVS Sec.12 p.31</t>
        </is>
      </c>
    </row>
    <row r="559">
      <c r="B559" t="inlineStr">
        <is>
          <t>Town Houses</t>
        </is>
      </c>
      <c r="C559" t="inlineStr">
        <is>
          <t>401</t>
        </is>
      </c>
      <c r="D559" t="inlineStr">
        <is>
          <t>12</t>
        </is>
      </c>
      <c r="E559" t="inlineStr">
        <is>
          <t>31</t>
        </is>
      </c>
      <c r="F559" t="inlineStr">
        <is>
          <t>C</t>
        </is>
      </c>
      <c r="G559" t="inlineStr">
        <is>
          <t>Fair</t>
        </is>
      </c>
      <c r="H559" t="n">
        <v>101</v>
      </c>
      <c r="I559">
        <f>B559&amp;"~"&amp;F559&amp;"~"&amp;G559</f>
        <v/>
      </c>
      <c r="J559" t="inlineStr">
        <is>
          <t>MVS Sec.12 p.31</t>
        </is>
      </c>
    </row>
    <row r="560">
      <c r="B560" t="inlineStr">
        <is>
          <t>Town Houses</t>
        </is>
      </c>
      <c r="C560" t="inlineStr">
        <is>
          <t>401</t>
        </is>
      </c>
      <c r="D560" t="inlineStr">
        <is>
          <t>12</t>
        </is>
      </c>
      <c r="E560" t="inlineStr">
        <is>
          <t>31</t>
        </is>
      </c>
      <c r="F560" t="inlineStr">
        <is>
          <t>C</t>
        </is>
      </c>
      <c r="G560" t="inlineStr">
        <is>
          <t>Low Cost</t>
        </is>
      </c>
      <c r="H560" t="n">
        <v>85.5</v>
      </c>
      <c r="I560">
        <f>B560&amp;"~"&amp;F560&amp;"~"&amp;G560</f>
        <v/>
      </c>
      <c r="J560" t="inlineStr">
        <is>
          <t>MVS Sec.12 p.31</t>
        </is>
      </c>
    </row>
    <row r="561">
      <c r="B561" t="inlineStr">
        <is>
          <t>Town Houses</t>
        </is>
      </c>
      <c r="C561" t="inlineStr">
        <is>
          <t>401</t>
        </is>
      </c>
      <c r="D561" t="inlineStr">
        <is>
          <t>12</t>
        </is>
      </c>
      <c r="E561" t="inlineStr">
        <is>
          <t>31</t>
        </is>
      </c>
      <c r="F561" t="inlineStr">
        <is>
          <t>DMASVEN</t>
        </is>
      </c>
      <c r="G561" t="inlineStr">
        <is>
          <t>Excellent</t>
        </is>
      </c>
      <c r="H561" t="n">
        <v>219</v>
      </c>
      <c r="I561">
        <f>B561&amp;"~"&amp;F561&amp;"~"&amp;G561</f>
        <v/>
      </c>
      <c r="J561" t="inlineStr">
        <is>
          <t>MVS Sec.12 p.31</t>
        </is>
      </c>
    </row>
    <row r="562">
      <c r="B562" t="inlineStr">
        <is>
          <t>Town Houses</t>
        </is>
      </c>
      <c r="C562" t="inlineStr">
        <is>
          <t>401</t>
        </is>
      </c>
      <c r="D562" t="inlineStr">
        <is>
          <t>12</t>
        </is>
      </c>
      <c r="E562" t="inlineStr">
        <is>
          <t>31</t>
        </is>
      </c>
      <c r="F562" t="inlineStr">
        <is>
          <t>DMASVEN</t>
        </is>
      </c>
      <c r="G562" t="inlineStr">
        <is>
          <t>Good</t>
        </is>
      </c>
      <c r="H562" t="n">
        <v>160</v>
      </c>
      <c r="I562">
        <f>B562&amp;"~"&amp;F562&amp;"~"&amp;G562</f>
        <v/>
      </c>
      <c r="J562" t="inlineStr">
        <is>
          <t>MVS Sec.12 p.31</t>
        </is>
      </c>
    </row>
    <row r="563">
      <c r="B563" t="inlineStr">
        <is>
          <t>Town Houses</t>
        </is>
      </c>
      <c r="C563" t="inlineStr">
        <is>
          <t>401</t>
        </is>
      </c>
      <c r="D563" t="inlineStr">
        <is>
          <t>12</t>
        </is>
      </c>
      <c r="E563" t="inlineStr">
        <is>
          <t>31</t>
        </is>
      </c>
      <c r="F563" t="inlineStr">
        <is>
          <t>DMASVEN</t>
        </is>
      </c>
      <c r="G563" t="inlineStr">
        <is>
          <t>Average</t>
        </is>
      </c>
      <c r="H563" t="n">
        <v>117</v>
      </c>
      <c r="I563">
        <f>B563&amp;"~"&amp;F563&amp;"~"&amp;G563</f>
        <v/>
      </c>
      <c r="J563" t="inlineStr">
        <is>
          <t>MVS Sec.12 p.31</t>
        </is>
      </c>
    </row>
    <row r="564">
      <c r="B564" t="inlineStr">
        <is>
          <t>Town Houses</t>
        </is>
      </c>
      <c r="C564" t="inlineStr">
        <is>
          <t>401</t>
        </is>
      </c>
      <c r="D564" t="inlineStr">
        <is>
          <t>12</t>
        </is>
      </c>
      <c r="E564" t="inlineStr">
        <is>
          <t>31</t>
        </is>
      </c>
      <c r="F564" t="inlineStr">
        <is>
          <t>DMASVEN</t>
        </is>
      </c>
      <c r="G564" t="inlineStr">
        <is>
          <t>Fair</t>
        </is>
      </c>
      <c r="H564" t="n">
        <v>100</v>
      </c>
      <c r="I564">
        <f>B564&amp;"~"&amp;F564&amp;"~"&amp;G564</f>
        <v/>
      </c>
      <c r="J564" t="inlineStr">
        <is>
          <t>MVS Sec.12 p.31</t>
        </is>
      </c>
    </row>
    <row r="565">
      <c r="B565" t="inlineStr">
        <is>
          <t>Town Houses</t>
        </is>
      </c>
      <c r="C565" t="inlineStr">
        <is>
          <t>401</t>
        </is>
      </c>
      <c r="D565" t="inlineStr">
        <is>
          <t>12</t>
        </is>
      </c>
      <c r="E565" t="inlineStr">
        <is>
          <t>31</t>
        </is>
      </c>
      <c r="F565" t="inlineStr">
        <is>
          <t>DMASVEN</t>
        </is>
      </c>
      <c r="G565" t="inlineStr">
        <is>
          <t>Low Cost</t>
        </is>
      </c>
      <c r="H565" t="n">
        <v>85</v>
      </c>
      <c r="I565">
        <f>B565&amp;"~"&amp;F565&amp;"~"&amp;G565</f>
        <v/>
      </c>
      <c r="J565" t="inlineStr">
        <is>
          <t>MVS Sec.12 p.31</t>
        </is>
      </c>
    </row>
    <row r="566">
      <c r="B566" t="inlineStr">
        <is>
          <t>Town Houses</t>
        </is>
      </c>
      <c r="C566" t="inlineStr">
        <is>
          <t>401</t>
        </is>
      </c>
      <c r="D566" t="inlineStr">
        <is>
          <t>12</t>
        </is>
      </c>
      <c r="E566" t="inlineStr">
        <is>
          <t>31</t>
        </is>
      </c>
      <c r="F566" t="inlineStr">
        <is>
          <t>D</t>
        </is>
      </c>
      <c r="G566" t="inlineStr">
        <is>
          <t>Excellent</t>
        </is>
      </c>
      <c r="H566" t="n">
        <v>210</v>
      </c>
      <c r="I566">
        <f>B566&amp;"~"&amp;F566&amp;"~"&amp;G566</f>
        <v/>
      </c>
      <c r="J566" t="inlineStr">
        <is>
          <t>MVS Sec.12 p.31</t>
        </is>
      </c>
    </row>
    <row r="567">
      <c r="B567" t="inlineStr">
        <is>
          <t>Town Houses</t>
        </is>
      </c>
      <c r="C567" t="inlineStr">
        <is>
          <t>401</t>
        </is>
      </c>
      <c r="D567" t="inlineStr">
        <is>
          <t>12</t>
        </is>
      </c>
      <c r="E567" t="inlineStr">
        <is>
          <t>31</t>
        </is>
      </c>
      <c r="F567" t="inlineStr">
        <is>
          <t>D</t>
        </is>
      </c>
      <c r="G567" t="inlineStr">
        <is>
          <t>Good</t>
        </is>
      </c>
      <c r="H567" t="n">
        <v>154</v>
      </c>
      <c r="I567">
        <f>B567&amp;"~"&amp;F567&amp;"~"&amp;G567</f>
        <v/>
      </c>
      <c r="J567" t="inlineStr">
        <is>
          <t>MVS Sec.12 p.31</t>
        </is>
      </c>
    </row>
    <row r="568">
      <c r="B568" t="inlineStr">
        <is>
          <t>Town Houses</t>
        </is>
      </c>
      <c r="C568" t="inlineStr">
        <is>
          <t>401</t>
        </is>
      </c>
      <c r="D568" t="inlineStr">
        <is>
          <t>12</t>
        </is>
      </c>
      <c r="E568" t="inlineStr">
        <is>
          <t>31</t>
        </is>
      </c>
      <c r="F568" t="inlineStr">
        <is>
          <t>D</t>
        </is>
      </c>
      <c r="G568" t="inlineStr">
        <is>
          <t>Average</t>
        </is>
      </c>
      <c r="H568" t="n">
        <v>112</v>
      </c>
      <c r="I568">
        <f>B568&amp;"~"&amp;F568&amp;"~"&amp;G568</f>
        <v/>
      </c>
      <c r="J568" t="inlineStr">
        <is>
          <t>MVS Sec.12 p.31</t>
        </is>
      </c>
    </row>
    <row r="569">
      <c r="B569" t="inlineStr">
        <is>
          <t>Town Houses</t>
        </is>
      </c>
      <c r="C569" t="inlineStr">
        <is>
          <t>401</t>
        </is>
      </c>
      <c r="D569" t="inlineStr">
        <is>
          <t>12</t>
        </is>
      </c>
      <c r="E569" t="inlineStr">
        <is>
          <t>31</t>
        </is>
      </c>
      <c r="F569" t="inlineStr">
        <is>
          <t>D</t>
        </is>
      </c>
      <c r="G569" t="inlineStr">
        <is>
          <t>Fair</t>
        </is>
      </c>
      <c r="H569" t="n">
        <v>96.5</v>
      </c>
      <c r="I569">
        <f>B569&amp;"~"&amp;F569&amp;"~"&amp;G569</f>
        <v/>
      </c>
      <c r="J569" t="inlineStr">
        <is>
          <t>MVS Sec.12 p.31</t>
        </is>
      </c>
    </row>
    <row r="570">
      <c r="B570" t="inlineStr">
        <is>
          <t>Town Houses</t>
        </is>
      </c>
      <c r="C570" t="inlineStr">
        <is>
          <t>401</t>
        </is>
      </c>
      <c r="D570" t="inlineStr">
        <is>
          <t>12</t>
        </is>
      </c>
      <c r="E570" t="inlineStr">
        <is>
          <t>31</t>
        </is>
      </c>
      <c r="F570" t="inlineStr">
        <is>
          <t>D</t>
        </is>
      </c>
      <c r="G570" t="inlineStr">
        <is>
          <t>Low Cost</t>
        </is>
      </c>
      <c r="H570" t="n">
        <v>81.5</v>
      </c>
      <c r="I570">
        <f>B570&amp;"~"&amp;F570&amp;"~"&amp;G570</f>
        <v/>
      </c>
      <c r="J570" t="inlineStr">
        <is>
          <t>MVS Sec.12 p.31</t>
        </is>
      </c>
    </row>
    <row r="571">
      <c r="B571" t="inlineStr">
        <is>
          <t>Senior Citizen Town Houses</t>
        </is>
      </c>
      <c r="C571" t="inlineStr">
        <is>
          <t>546</t>
        </is>
      </c>
      <c r="D571" t="inlineStr">
        <is>
          <t>12</t>
        </is>
      </c>
      <c r="E571" t="inlineStr">
        <is>
          <t>32</t>
        </is>
      </c>
      <c r="F571" t="inlineStr">
        <is>
          <t>C</t>
        </is>
      </c>
      <c r="G571" t="inlineStr">
        <is>
          <t>Excellent</t>
        </is>
      </c>
      <c r="H571" t="n">
        <v>218</v>
      </c>
      <c r="I571">
        <f>B571&amp;"~"&amp;F571&amp;"~"&amp;G571</f>
        <v/>
      </c>
      <c r="J571" t="inlineStr">
        <is>
          <t>MVS Sec.12 p.32</t>
        </is>
      </c>
    </row>
    <row r="572">
      <c r="B572" t="inlineStr">
        <is>
          <t>Senior Citizen Town Houses</t>
        </is>
      </c>
      <c r="C572" t="inlineStr">
        <is>
          <t>546</t>
        </is>
      </c>
      <c r="D572" t="inlineStr">
        <is>
          <t>12</t>
        </is>
      </c>
      <c r="E572" t="inlineStr">
        <is>
          <t>32</t>
        </is>
      </c>
      <c r="F572" t="inlineStr">
        <is>
          <t>C</t>
        </is>
      </c>
      <c r="G572" t="inlineStr">
        <is>
          <t>Good</t>
        </is>
      </c>
      <c r="H572" t="n">
        <v>166</v>
      </c>
      <c r="I572">
        <f>B572&amp;"~"&amp;F572&amp;"~"&amp;G572</f>
        <v/>
      </c>
      <c r="J572" t="inlineStr">
        <is>
          <t>MVS Sec.12 p.32</t>
        </is>
      </c>
    </row>
    <row r="573">
      <c r="B573" t="inlineStr">
        <is>
          <t>Senior Citizen Town Houses</t>
        </is>
      </c>
      <c r="C573" t="inlineStr">
        <is>
          <t>546</t>
        </is>
      </c>
      <c r="D573" t="inlineStr">
        <is>
          <t>12</t>
        </is>
      </c>
      <c r="E573" t="inlineStr">
        <is>
          <t>32</t>
        </is>
      </c>
      <c r="F573" t="inlineStr">
        <is>
          <t>C</t>
        </is>
      </c>
      <c r="G573" t="inlineStr">
        <is>
          <t>Average</t>
        </is>
      </c>
      <c r="H573" t="n">
        <v>127</v>
      </c>
      <c r="I573">
        <f>B573&amp;"~"&amp;F573&amp;"~"&amp;G573</f>
        <v/>
      </c>
      <c r="J573" t="inlineStr">
        <is>
          <t>MVS Sec.12 p.32</t>
        </is>
      </c>
    </row>
    <row r="574">
      <c r="B574" t="inlineStr">
        <is>
          <t>Senior Citizen Town Houses</t>
        </is>
      </c>
      <c r="C574" t="inlineStr">
        <is>
          <t>546</t>
        </is>
      </c>
      <c r="D574" t="inlineStr">
        <is>
          <t>12</t>
        </is>
      </c>
      <c r="E574" t="inlineStr">
        <is>
          <t>32</t>
        </is>
      </c>
      <c r="F574" t="inlineStr">
        <is>
          <t>C</t>
        </is>
      </c>
      <c r="G574" t="inlineStr">
        <is>
          <t>Fair</t>
        </is>
      </c>
      <c r="H574" t="n">
        <v>108</v>
      </c>
      <c r="I574">
        <f>B574&amp;"~"&amp;F574&amp;"~"&amp;G574</f>
        <v/>
      </c>
      <c r="J574" t="inlineStr">
        <is>
          <t>MVS Sec.12 p.32</t>
        </is>
      </c>
    </row>
    <row r="575">
      <c r="B575" t="inlineStr">
        <is>
          <t>Senior Citizen Town Houses</t>
        </is>
      </c>
      <c r="C575" t="inlineStr">
        <is>
          <t>546</t>
        </is>
      </c>
      <c r="D575" t="inlineStr">
        <is>
          <t>12</t>
        </is>
      </c>
      <c r="E575" t="inlineStr">
        <is>
          <t>32</t>
        </is>
      </c>
      <c r="F575" t="inlineStr">
        <is>
          <t>DMASVEN</t>
        </is>
      </c>
      <c r="G575" t="inlineStr">
        <is>
          <t>Excellent</t>
        </is>
      </c>
      <c r="H575" t="n">
        <v>216</v>
      </c>
      <c r="I575">
        <f>B575&amp;"~"&amp;F575&amp;"~"&amp;G575</f>
        <v/>
      </c>
      <c r="J575" t="inlineStr">
        <is>
          <t>MVS Sec.12 p.32</t>
        </is>
      </c>
    </row>
    <row r="576">
      <c r="B576" t="inlineStr">
        <is>
          <t>Senior Citizen Town Houses</t>
        </is>
      </c>
      <c r="C576" t="inlineStr">
        <is>
          <t>546</t>
        </is>
      </c>
      <c r="D576" t="inlineStr">
        <is>
          <t>12</t>
        </is>
      </c>
      <c r="E576" t="inlineStr">
        <is>
          <t>32</t>
        </is>
      </c>
      <c r="F576" t="inlineStr">
        <is>
          <t>DMASVEN</t>
        </is>
      </c>
      <c r="G576" t="inlineStr">
        <is>
          <t>Good</t>
        </is>
      </c>
      <c r="H576" t="n">
        <v>165</v>
      </c>
      <c r="I576">
        <f>B576&amp;"~"&amp;F576&amp;"~"&amp;G576</f>
        <v/>
      </c>
      <c r="J576" t="inlineStr">
        <is>
          <t>MVS Sec.12 p.32</t>
        </is>
      </c>
    </row>
    <row r="577">
      <c r="B577" t="inlineStr">
        <is>
          <t>Senior Citizen Town Houses</t>
        </is>
      </c>
      <c r="C577" t="inlineStr">
        <is>
          <t>546</t>
        </is>
      </c>
      <c r="D577" t="inlineStr">
        <is>
          <t>12</t>
        </is>
      </c>
      <c r="E577" t="inlineStr">
        <is>
          <t>32</t>
        </is>
      </c>
      <c r="F577" t="inlineStr">
        <is>
          <t>DMASVEN</t>
        </is>
      </c>
      <c r="G577" t="inlineStr">
        <is>
          <t>Average</t>
        </is>
      </c>
      <c r="H577" t="n">
        <v>126</v>
      </c>
      <c r="I577">
        <f>B577&amp;"~"&amp;F577&amp;"~"&amp;G577</f>
        <v/>
      </c>
      <c r="J577" t="inlineStr">
        <is>
          <t>MVS Sec.12 p.32</t>
        </is>
      </c>
    </row>
    <row r="578">
      <c r="B578" t="inlineStr">
        <is>
          <t>Senior Citizen Town Houses</t>
        </is>
      </c>
      <c r="C578" t="inlineStr">
        <is>
          <t>546</t>
        </is>
      </c>
      <c r="D578" t="inlineStr">
        <is>
          <t>12</t>
        </is>
      </c>
      <c r="E578" t="inlineStr">
        <is>
          <t>32</t>
        </is>
      </c>
      <c r="F578" t="inlineStr">
        <is>
          <t>DMASVEN</t>
        </is>
      </c>
      <c r="G578" t="inlineStr">
        <is>
          <t>Fair</t>
        </is>
      </c>
      <c r="H578" t="n">
        <v>107</v>
      </c>
      <c r="I578">
        <f>B578&amp;"~"&amp;F578&amp;"~"&amp;G578</f>
        <v/>
      </c>
      <c r="J578" t="inlineStr">
        <is>
          <t>MVS Sec.12 p.32</t>
        </is>
      </c>
    </row>
    <row r="579">
      <c r="B579" t="inlineStr">
        <is>
          <t>Senior Citizen Town Houses</t>
        </is>
      </c>
      <c r="C579" t="inlineStr">
        <is>
          <t>546</t>
        </is>
      </c>
      <c r="D579" t="inlineStr">
        <is>
          <t>12</t>
        </is>
      </c>
      <c r="E579" t="inlineStr">
        <is>
          <t>32</t>
        </is>
      </c>
      <c r="F579" t="inlineStr">
        <is>
          <t>D</t>
        </is>
      </c>
      <c r="G579" t="inlineStr">
        <is>
          <t>Excellent</t>
        </is>
      </c>
      <c r="H579" t="n">
        <v>208</v>
      </c>
      <c r="I579">
        <f>B579&amp;"~"&amp;F579&amp;"~"&amp;G579</f>
        <v/>
      </c>
      <c r="J579" t="inlineStr">
        <is>
          <t>MVS Sec.12 p.32</t>
        </is>
      </c>
    </row>
    <row r="580">
      <c r="B580" t="inlineStr">
        <is>
          <t>Senior Citizen Town Houses</t>
        </is>
      </c>
      <c r="C580" t="inlineStr">
        <is>
          <t>546</t>
        </is>
      </c>
      <c r="D580" t="inlineStr">
        <is>
          <t>12</t>
        </is>
      </c>
      <c r="E580" t="inlineStr">
        <is>
          <t>32</t>
        </is>
      </c>
      <c r="F580" t="inlineStr">
        <is>
          <t>D</t>
        </is>
      </c>
      <c r="G580" t="inlineStr">
        <is>
          <t>Good</t>
        </is>
      </c>
      <c r="H580" t="n">
        <v>158</v>
      </c>
      <c r="I580">
        <f>B580&amp;"~"&amp;F580&amp;"~"&amp;G580</f>
        <v/>
      </c>
      <c r="J580" t="inlineStr">
        <is>
          <t>MVS Sec.12 p.32</t>
        </is>
      </c>
    </row>
    <row r="581">
      <c r="B581" t="inlineStr">
        <is>
          <t>Senior Citizen Town Houses</t>
        </is>
      </c>
      <c r="C581" t="inlineStr">
        <is>
          <t>546</t>
        </is>
      </c>
      <c r="D581" t="inlineStr">
        <is>
          <t>12</t>
        </is>
      </c>
      <c r="E581" t="inlineStr">
        <is>
          <t>32</t>
        </is>
      </c>
      <c r="F581" t="inlineStr">
        <is>
          <t>D</t>
        </is>
      </c>
      <c r="G581" t="inlineStr">
        <is>
          <t>Average</t>
        </is>
      </c>
      <c r="H581" t="n">
        <v>121</v>
      </c>
      <c r="I581">
        <f>B581&amp;"~"&amp;F581&amp;"~"&amp;G581</f>
        <v/>
      </c>
      <c r="J581" t="inlineStr">
        <is>
          <t>MVS Sec.12 p.32</t>
        </is>
      </c>
    </row>
    <row r="582">
      <c r="B582" t="inlineStr">
        <is>
          <t>Senior Citizen Town Houses</t>
        </is>
      </c>
      <c r="C582" t="inlineStr">
        <is>
          <t>546</t>
        </is>
      </c>
      <c r="D582" t="inlineStr">
        <is>
          <t>12</t>
        </is>
      </c>
      <c r="E582" t="inlineStr">
        <is>
          <t>32</t>
        </is>
      </c>
      <c r="F582" t="inlineStr">
        <is>
          <t>D</t>
        </is>
      </c>
      <c r="G582" t="inlineStr">
        <is>
          <t>Fair</t>
        </is>
      </c>
      <c r="H582" t="n">
        <v>103</v>
      </c>
      <c r="I582">
        <f>B582&amp;"~"&amp;F582&amp;"~"&amp;G582</f>
        <v/>
      </c>
      <c r="J582" t="inlineStr">
        <is>
          <t>MVS Sec.12 p.32</t>
        </is>
      </c>
    </row>
    <row r="583">
      <c r="B583" t="inlineStr">
        <is>
          <t>Urban Row (Town) Houses</t>
        </is>
      </c>
      <c r="C583" t="inlineStr">
        <is>
          <t>549</t>
        </is>
      </c>
      <c r="D583" t="inlineStr">
        <is>
          <t>12</t>
        </is>
      </c>
      <c r="E583" t="inlineStr">
        <is>
          <t>33</t>
        </is>
      </c>
      <c r="F583" t="inlineStr">
        <is>
          <t>C</t>
        </is>
      </c>
      <c r="G583" t="inlineStr">
        <is>
          <t>Excellent</t>
        </is>
      </c>
      <c r="H583" t="n">
        <v>237</v>
      </c>
      <c r="I583">
        <f>B583&amp;"~"&amp;F583&amp;"~"&amp;G583</f>
        <v/>
      </c>
      <c r="J583" t="inlineStr">
        <is>
          <t>MVS Sec.12 p.33</t>
        </is>
      </c>
    </row>
    <row r="584">
      <c r="B584" t="inlineStr">
        <is>
          <t>Urban Row (Town) Houses</t>
        </is>
      </c>
      <c r="C584" t="inlineStr">
        <is>
          <t>549</t>
        </is>
      </c>
      <c r="D584" t="inlineStr">
        <is>
          <t>12</t>
        </is>
      </c>
      <c r="E584" t="inlineStr">
        <is>
          <t>33</t>
        </is>
      </c>
      <c r="F584" t="inlineStr">
        <is>
          <t>C</t>
        </is>
      </c>
      <c r="G584" t="inlineStr">
        <is>
          <t>Good</t>
        </is>
      </c>
      <c r="H584" t="n">
        <v>173</v>
      </c>
      <c r="I584">
        <f>B584&amp;"~"&amp;F584&amp;"~"&amp;G584</f>
        <v/>
      </c>
      <c r="J584" t="inlineStr">
        <is>
          <t>MVS Sec.12 p.33</t>
        </is>
      </c>
    </row>
    <row r="585">
      <c r="B585" t="inlineStr">
        <is>
          <t>Urban Row (Town) Houses</t>
        </is>
      </c>
      <c r="C585" t="inlineStr">
        <is>
          <t>549</t>
        </is>
      </c>
      <c r="D585" t="inlineStr">
        <is>
          <t>12</t>
        </is>
      </c>
      <c r="E585" t="inlineStr">
        <is>
          <t>33</t>
        </is>
      </c>
      <c r="F585" t="inlineStr">
        <is>
          <t>C</t>
        </is>
      </c>
      <c r="G585" t="inlineStr">
        <is>
          <t>Average</t>
        </is>
      </c>
      <c r="H585" t="n">
        <v>126</v>
      </c>
      <c r="I585">
        <f>B585&amp;"~"&amp;F585&amp;"~"&amp;G585</f>
        <v/>
      </c>
      <c r="J585" t="inlineStr">
        <is>
          <t>MVS Sec.12 p.33</t>
        </is>
      </c>
    </row>
    <row r="586">
      <c r="B586" t="inlineStr">
        <is>
          <t>Urban Row (Town) Houses</t>
        </is>
      </c>
      <c r="C586" t="inlineStr">
        <is>
          <t>549</t>
        </is>
      </c>
      <c r="D586" t="inlineStr">
        <is>
          <t>12</t>
        </is>
      </c>
      <c r="E586" t="inlineStr">
        <is>
          <t>33</t>
        </is>
      </c>
      <c r="F586" t="inlineStr">
        <is>
          <t>C</t>
        </is>
      </c>
      <c r="G586" t="inlineStr">
        <is>
          <t>Fair</t>
        </is>
      </c>
      <c r="H586" t="n">
        <v>108</v>
      </c>
      <c r="I586">
        <f>B586&amp;"~"&amp;F586&amp;"~"&amp;G586</f>
        <v/>
      </c>
      <c r="J586" t="inlineStr">
        <is>
          <t>MVS Sec.12 p.33</t>
        </is>
      </c>
    </row>
    <row r="587">
      <c r="B587" t="inlineStr">
        <is>
          <t>Urban Row (Town) Houses</t>
        </is>
      </c>
      <c r="C587" t="inlineStr">
        <is>
          <t>549</t>
        </is>
      </c>
      <c r="D587" t="inlineStr">
        <is>
          <t>12</t>
        </is>
      </c>
      <c r="E587" t="inlineStr">
        <is>
          <t>33</t>
        </is>
      </c>
      <c r="F587" t="inlineStr">
        <is>
          <t>CMILL</t>
        </is>
      </c>
      <c r="G587" t="inlineStr">
        <is>
          <t>Excellent</t>
        </is>
      </c>
      <c r="H587" t="n">
        <v>258</v>
      </c>
      <c r="I587">
        <f>B587&amp;"~"&amp;F587&amp;"~"&amp;G587</f>
        <v/>
      </c>
      <c r="J587" t="inlineStr">
        <is>
          <t>MVS Sec.12 p.33</t>
        </is>
      </c>
    </row>
    <row r="588">
      <c r="B588" t="inlineStr">
        <is>
          <t>Urban Row (Town) Houses</t>
        </is>
      </c>
      <c r="C588" t="inlineStr">
        <is>
          <t>549</t>
        </is>
      </c>
      <c r="D588" t="inlineStr">
        <is>
          <t>12</t>
        </is>
      </c>
      <c r="E588" t="inlineStr">
        <is>
          <t>33</t>
        </is>
      </c>
      <c r="F588" t="inlineStr">
        <is>
          <t>CMILL</t>
        </is>
      </c>
      <c r="G588" t="inlineStr">
        <is>
          <t>Good</t>
        </is>
      </c>
      <c r="H588" t="n">
        <v>203</v>
      </c>
      <c r="I588">
        <f>B588&amp;"~"&amp;F588&amp;"~"&amp;G588</f>
        <v/>
      </c>
      <c r="J588" t="inlineStr">
        <is>
          <t>MVS Sec.12 p.33</t>
        </is>
      </c>
    </row>
    <row r="589">
      <c r="B589" t="inlineStr">
        <is>
          <t>Urban Row (Town) Houses</t>
        </is>
      </c>
      <c r="C589" t="inlineStr">
        <is>
          <t>549</t>
        </is>
      </c>
      <c r="D589" t="inlineStr">
        <is>
          <t>12</t>
        </is>
      </c>
      <c r="E589" t="inlineStr">
        <is>
          <t>33</t>
        </is>
      </c>
      <c r="F589" t="inlineStr">
        <is>
          <t>CMILL</t>
        </is>
      </c>
      <c r="G589" t="inlineStr">
        <is>
          <t>Average</t>
        </is>
      </c>
      <c r="H589" t="n">
        <v>160</v>
      </c>
      <c r="I589">
        <f>B589&amp;"~"&amp;F589&amp;"~"&amp;G589</f>
        <v/>
      </c>
      <c r="J589" t="inlineStr">
        <is>
          <t>MVS Sec.12 p.33</t>
        </is>
      </c>
    </row>
    <row r="590">
      <c r="B590" t="inlineStr">
        <is>
          <t>Urban Row (Town) Houses</t>
        </is>
      </c>
      <c r="C590" t="inlineStr">
        <is>
          <t>549</t>
        </is>
      </c>
      <c r="D590" t="inlineStr">
        <is>
          <t>12</t>
        </is>
      </c>
      <c r="E590" t="inlineStr">
        <is>
          <t>33</t>
        </is>
      </c>
      <c r="F590" t="inlineStr">
        <is>
          <t>DMASVEN</t>
        </is>
      </c>
      <c r="G590" t="inlineStr">
        <is>
          <t>Excellent</t>
        </is>
      </c>
      <c r="H590" t="n">
        <v>236</v>
      </c>
      <c r="I590">
        <f>B590&amp;"~"&amp;F590&amp;"~"&amp;G590</f>
        <v/>
      </c>
      <c r="J590" t="inlineStr">
        <is>
          <t>MVS Sec.12 p.33</t>
        </is>
      </c>
    </row>
    <row r="591">
      <c r="B591" t="inlineStr">
        <is>
          <t>Urban Row (Town) Houses</t>
        </is>
      </c>
      <c r="C591" t="inlineStr">
        <is>
          <t>549</t>
        </is>
      </c>
      <c r="D591" t="inlineStr">
        <is>
          <t>12</t>
        </is>
      </c>
      <c r="E591" t="inlineStr">
        <is>
          <t>33</t>
        </is>
      </c>
      <c r="F591" t="inlineStr">
        <is>
          <t>DMASVEN</t>
        </is>
      </c>
      <c r="G591" t="inlineStr">
        <is>
          <t>Good</t>
        </is>
      </c>
      <c r="H591" t="n">
        <v>172</v>
      </c>
      <c r="I591">
        <f>B591&amp;"~"&amp;F591&amp;"~"&amp;G591</f>
        <v/>
      </c>
      <c r="J591" t="inlineStr">
        <is>
          <t>MVS Sec.12 p.33</t>
        </is>
      </c>
    </row>
    <row r="592">
      <c r="B592" t="inlineStr">
        <is>
          <t>Urban Row (Town) Houses</t>
        </is>
      </c>
      <c r="C592" t="inlineStr">
        <is>
          <t>549</t>
        </is>
      </c>
      <c r="D592" t="inlineStr">
        <is>
          <t>12</t>
        </is>
      </c>
      <c r="E592" t="inlineStr">
        <is>
          <t>33</t>
        </is>
      </c>
      <c r="F592" t="inlineStr">
        <is>
          <t>DMASVEN</t>
        </is>
      </c>
      <c r="G592" t="inlineStr">
        <is>
          <t>Average</t>
        </is>
      </c>
      <c r="H592" t="n">
        <v>125</v>
      </c>
      <c r="I592">
        <f>B592&amp;"~"&amp;F592&amp;"~"&amp;G592</f>
        <v/>
      </c>
      <c r="J592" t="inlineStr">
        <is>
          <t>MVS Sec.12 p.33</t>
        </is>
      </c>
    </row>
    <row r="593">
      <c r="B593" t="inlineStr">
        <is>
          <t>Urban Row (Town) Houses</t>
        </is>
      </c>
      <c r="C593" t="inlineStr">
        <is>
          <t>549</t>
        </is>
      </c>
      <c r="D593" t="inlineStr">
        <is>
          <t>12</t>
        </is>
      </c>
      <c r="E593" t="inlineStr">
        <is>
          <t>33</t>
        </is>
      </c>
      <c r="F593" t="inlineStr">
        <is>
          <t>DMASVEN</t>
        </is>
      </c>
      <c r="G593" t="inlineStr">
        <is>
          <t>Fair</t>
        </is>
      </c>
      <c r="H593" t="n">
        <v>107</v>
      </c>
      <c r="I593">
        <f>B593&amp;"~"&amp;F593&amp;"~"&amp;G593</f>
        <v/>
      </c>
      <c r="J593" t="inlineStr">
        <is>
          <t>MVS Sec.12 p.33</t>
        </is>
      </c>
    </row>
    <row r="594">
      <c r="B594" t="inlineStr">
        <is>
          <t>Urban Row (Town) Houses</t>
        </is>
      </c>
      <c r="C594" t="inlineStr">
        <is>
          <t>549</t>
        </is>
      </c>
      <c r="D594" t="inlineStr">
        <is>
          <t>12</t>
        </is>
      </c>
      <c r="E594" t="inlineStr">
        <is>
          <t>33</t>
        </is>
      </c>
      <c r="F594" t="inlineStr">
        <is>
          <t>D</t>
        </is>
      </c>
      <c r="G594" t="inlineStr">
        <is>
          <t>Excellent</t>
        </is>
      </c>
      <c r="H594" t="n">
        <v>226</v>
      </c>
      <c r="I594">
        <f>B594&amp;"~"&amp;F594&amp;"~"&amp;G594</f>
        <v/>
      </c>
      <c r="J594" t="inlineStr">
        <is>
          <t>MVS Sec.12 p.33</t>
        </is>
      </c>
    </row>
    <row r="595">
      <c r="B595" t="inlineStr">
        <is>
          <t>Urban Row (Town) Houses</t>
        </is>
      </c>
      <c r="C595" t="inlineStr">
        <is>
          <t>549</t>
        </is>
      </c>
      <c r="D595" t="inlineStr">
        <is>
          <t>12</t>
        </is>
      </c>
      <c r="E595" t="inlineStr">
        <is>
          <t>33</t>
        </is>
      </c>
      <c r="F595" t="inlineStr">
        <is>
          <t>D</t>
        </is>
      </c>
      <c r="G595" t="inlineStr">
        <is>
          <t>Good</t>
        </is>
      </c>
      <c r="H595" t="n">
        <v>165</v>
      </c>
      <c r="I595">
        <f>B595&amp;"~"&amp;F595&amp;"~"&amp;G595</f>
        <v/>
      </c>
      <c r="J595" t="inlineStr">
        <is>
          <t>MVS Sec.12 p.33</t>
        </is>
      </c>
    </row>
    <row r="596">
      <c r="B596" t="inlineStr">
        <is>
          <t>Urban Row (Town) Houses</t>
        </is>
      </c>
      <c r="C596" t="inlineStr">
        <is>
          <t>549</t>
        </is>
      </c>
      <c r="D596" t="inlineStr">
        <is>
          <t>12</t>
        </is>
      </c>
      <c r="E596" t="inlineStr">
        <is>
          <t>33</t>
        </is>
      </c>
      <c r="F596" t="inlineStr">
        <is>
          <t>D</t>
        </is>
      </c>
      <c r="G596" t="inlineStr">
        <is>
          <t>Average</t>
        </is>
      </c>
      <c r="H596" t="n">
        <v>120</v>
      </c>
      <c r="I596">
        <f>B596&amp;"~"&amp;F596&amp;"~"&amp;G596</f>
        <v/>
      </c>
      <c r="J596" t="inlineStr">
        <is>
          <t>MVS Sec.12 p.33</t>
        </is>
      </c>
    </row>
    <row r="597">
      <c r="B597" t="inlineStr">
        <is>
          <t>Urban Row (Town) Houses</t>
        </is>
      </c>
      <c r="C597" t="inlineStr">
        <is>
          <t>549</t>
        </is>
      </c>
      <c r="D597" t="inlineStr">
        <is>
          <t>12</t>
        </is>
      </c>
      <c r="E597" t="inlineStr">
        <is>
          <t>33</t>
        </is>
      </c>
      <c r="F597" t="inlineStr">
        <is>
          <t>D</t>
        </is>
      </c>
      <c r="G597" t="inlineStr">
        <is>
          <t>Fair</t>
        </is>
      </c>
      <c r="H597" t="n">
        <v>103</v>
      </c>
      <c r="I597">
        <f>B597&amp;"~"&amp;F597&amp;"~"&amp;G597</f>
        <v/>
      </c>
      <c r="J597" t="inlineStr">
        <is>
          <t>MVS Sec.12 p.33</t>
        </is>
      </c>
    </row>
    <row r="598">
      <c r="B598" t="inlineStr">
        <is>
          <t>Shell Town House Buildings</t>
        </is>
      </c>
      <c r="C598" t="inlineStr">
        <is>
          <t>774</t>
        </is>
      </c>
      <c r="D598" t="inlineStr">
        <is>
          <t>12</t>
        </is>
      </c>
      <c r="E598" t="inlineStr">
        <is>
          <t>34</t>
        </is>
      </c>
      <c r="F598" t="inlineStr">
        <is>
          <t>C</t>
        </is>
      </c>
      <c r="G598" t="inlineStr">
        <is>
          <t>Excellent</t>
        </is>
      </c>
      <c r="H598" t="n">
        <v>101</v>
      </c>
      <c r="I598">
        <f>B598&amp;"~"&amp;F598&amp;"~"&amp;G598</f>
        <v/>
      </c>
      <c r="J598" t="inlineStr">
        <is>
          <t>MVS Sec.12 p.34</t>
        </is>
      </c>
    </row>
    <row r="599">
      <c r="B599" t="inlineStr">
        <is>
          <t>Shell Town House Buildings</t>
        </is>
      </c>
      <c r="C599" t="inlineStr">
        <is>
          <t>774</t>
        </is>
      </c>
      <c r="D599" t="inlineStr">
        <is>
          <t>12</t>
        </is>
      </c>
      <c r="E599" t="inlineStr">
        <is>
          <t>34</t>
        </is>
      </c>
      <c r="F599" t="inlineStr">
        <is>
          <t>C</t>
        </is>
      </c>
      <c r="G599" t="inlineStr">
        <is>
          <t>Good</t>
        </is>
      </c>
      <c r="H599" t="n">
        <v>76.5</v>
      </c>
      <c r="I599">
        <f>B599&amp;"~"&amp;F599&amp;"~"&amp;G599</f>
        <v/>
      </c>
      <c r="J599" t="inlineStr">
        <is>
          <t>MVS Sec.12 p.34</t>
        </is>
      </c>
    </row>
    <row r="600">
      <c r="B600" t="inlineStr">
        <is>
          <t>Shell Town House Buildings</t>
        </is>
      </c>
      <c r="C600" t="inlineStr">
        <is>
          <t>774</t>
        </is>
      </c>
      <c r="D600" t="inlineStr">
        <is>
          <t>12</t>
        </is>
      </c>
      <c r="E600" t="inlineStr">
        <is>
          <t>34</t>
        </is>
      </c>
      <c r="F600" t="inlineStr">
        <is>
          <t>C</t>
        </is>
      </c>
      <c r="G600" t="inlineStr">
        <is>
          <t>Average</t>
        </is>
      </c>
      <c r="H600" t="n">
        <v>58</v>
      </c>
      <c r="I600">
        <f>B600&amp;"~"&amp;F600&amp;"~"&amp;G600</f>
        <v/>
      </c>
      <c r="J600" t="inlineStr">
        <is>
          <t>MVS Sec.12 p.34</t>
        </is>
      </c>
    </row>
    <row r="601">
      <c r="B601" t="inlineStr">
        <is>
          <t>Shell Town House Buildings</t>
        </is>
      </c>
      <c r="C601" t="inlineStr">
        <is>
          <t>774</t>
        </is>
      </c>
      <c r="D601" t="inlineStr">
        <is>
          <t>12</t>
        </is>
      </c>
      <c r="E601" t="inlineStr">
        <is>
          <t>34</t>
        </is>
      </c>
      <c r="F601" t="inlineStr">
        <is>
          <t>C</t>
        </is>
      </c>
      <c r="G601" t="inlineStr">
        <is>
          <t>Fair</t>
        </is>
      </c>
      <c r="H601" t="n">
        <v>51</v>
      </c>
      <c r="I601">
        <f>B601&amp;"~"&amp;F601&amp;"~"&amp;G601</f>
        <v/>
      </c>
      <c r="J601" t="inlineStr">
        <is>
          <t>MVS Sec.12 p.34</t>
        </is>
      </c>
    </row>
    <row r="602">
      <c r="B602" t="inlineStr">
        <is>
          <t>Shell Town House Buildings</t>
        </is>
      </c>
      <c r="C602" t="inlineStr">
        <is>
          <t>774</t>
        </is>
      </c>
      <c r="D602" t="inlineStr">
        <is>
          <t>12</t>
        </is>
      </c>
      <c r="E602" t="inlineStr">
        <is>
          <t>34</t>
        </is>
      </c>
      <c r="F602" t="inlineStr">
        <is>
          <t>DMASVEN</t>
        </is>
      </c>
      <c r="G602" t="inlineStr">
        <is>
          <t>Excellent</t>
        </is>
      </c>
      <c r="H602" t="n">
        <v>98.5</v>
      </c>
      <c r="I602">
        <f>B602&amp;"~"&amp;F602&amp;"~"&amp;G602</f>
        <v/>
      </c>
      <c r="J602" t="inlineStr">
        <is>
          <t>MVS Sec.12 p.34</t>
        </is>
      </c>
    </row>
    <row r="603">
      <c r="B603" t="inlineStr">
        <is>
          <t>Shell Town House Buildings</t>
        </is>
      </c>
      <c r="C603" t="inlineStr">
        <is>
          <t>774</t>
        </is>
      </c>
      <c r="D603" t="inlineStr">
        <is>
          <t>12</t>
        </is>
      </c>
      <c r="E603" t="inlineStr">
        <is>
          <t>34</t>
        </is>
      </c>
      <c r="F603" t="inlineStr">
        <is>
          <t>DMASVEN</t>
        </is>
      </c>
      <c r="G603" t="inlineStr">
        <is>
          <t>Good</t>
        </is>
      </c>
      <c r="H603" t="n">
        <v>74.5</v>
      </c>
      <c r="I603">
        <f>B603&amp;"~"&amp;F603&amp;"~"&amp;G603</f>
        <v/>
      </c>
      <c r="J603" t="inlineStr">
        <is>
          <t>MVS Sec.12 p.34</t>
        </is>
      </c>
    </row>
    <row r="604">
      <c r="B604" t="inlineStr">
        <is>
          <t>Shell Town House Buildings</t>
        </is>
      </c>
      <c r="C604" t="inlineStr">
        <is>
          <t>774</t>
        </is>
      </c>
      <c r="D604" t="inlineStr">
        <is>
          <t>12</t>
        </is>
      </c>
      <c r="E604" t="inlineStr">
        <is>
          <t>34</t>
        </is>
      </c>
      <c r="F604" t="inlineStr">
        <is>
          <t>DMASVEN</t>
        </is>
      </c>
      <c r="G604" t="inlineStr">
        <is>
          <t>Average</t>
        </is>
      </c>
      <c r="H604" t="n">
        <v>57</v>
      </c>
      <c r="I604">
        <f>B604&amp;"~"&amp;F604&amp;"~"&amp;G604</f>
        <v/>
      </c>
      <c r="J604" t="inlineStr">
        <is>
          <t>MVS Sec.12 p.34</t>
        </is>
      </c>
    </row>
    <row r="605">
      <c r="B605" t="inlineStr">
        <is>
          <t>Shell Town House Buildings</t>
        </is>
      </c>
      <c r="C605" t="inlineStr">
        <is>
          <t>774</t>
        </is>
      </c>
      <c r="D605" t="inlineStr">
        <is>
          <t>12</t>
        </is>
      </c>
      <c r="E605" t="inlineStr">
        <is>
          <t>34</t>
        </is>
      </c>
      <c r="F605" t="inlineStr">
        <is>
          <t>DMASVEN</t>
        </is>
      </c>
      <c r="G605" t="inlineStr">
        <is>
          <t>Fair</t>
        </is>
      </c>
      <c r="H605" t="n">
        <v>49.75</v>
      </c>
      <c r="I605">
        <f>B605&amp;"~"&amp;F605&amp;"~"&amp;G605</f>
        <v/>
      </c>
      <c r="J605" t="inlineStr">
        <is>
          <t>MVS Sec.12 p.34</t>
        </is>
      </c>
    </row>
    <row r="606">
      <c r="B606" t="inlineStr">
        <is>
          <t>Shell Town House Buildings</t>
        </is>
      </c>
      <c r="C606" t="inlineStr">
        <is>
          <t>774</t>
        </is>
      </c>
      <c r="D606" t="inlineStr">
        <is>
          <t>12</t>
        </is>
      </c>
      <c r="E606" t="inlineStr">
        <is>
          <t>34</t>
        </is>
      </c>
      <c r="F606" t="inlineStr">
        <is>
          <t>D</t>
        </is>
      </c>
      <c r="G606" t="inlineStr">
        <is>
          <t>Excellent</t>
        </is>
      </c>
      <c r="H606" t="n">
        <v>89.5</v>
      </c>
      <c r="I606">
        <f>B606&amp;"~"&amp;F606&amp;"~"&amp;G606</f>
        <v/>
      </c>
      <c r="J606" t="inlineStr">
        <is>
          <t>MVS Sec.12 p.34</t>
        </is>
      </c>
    </row>
    <row r="607">
      <c r="B607" t="inlineStr">
        <is>
          <t>Shell Town House Buildings</t>
        </is>
      </c>
      <c r="C607" t="inlineStr">
        <is>
          <t>774</t>
        </is>
      </c>
      <c r="D607" t="inlineStr">
        <is>
          <t>12</t>
        </is>
      </c>
      <c r="E607" t="inlineStr">
        <is>
          <t>34</t>
        </is>
      </c>
      <c r="F607" t="inlineStr">
        <is>
          <t>D</t>
        </is>
      </c>
      <c r="G607" t="inlineStr">
        <is>
          <t>Good</t>
        </is>
      </c>
      <c r="H607" t="n">
        <v>68</v>
      </c>
      <c r="I607">
        <f>B607&amp;"~"&amp;F607&amp;"~"&amp;G607</f>
        <v/>
      </c>
      <c r="J607" t="inlineStr">
        <is>
          <t>MVS Sec.12 p.34</t>
        </is>
      </c>
    </row>
    <row r="608">
      <c r="B608" t="inlineStr">
        <is>
          <t>Shell Town House Buildings</t>
        </is>
      </c>
      <c r="C608" t="inlineStr">
        <is>
          <t>774</t>
        </is>
      </c>
      <c r="D608" t="inlineStr">
        <is>
          <t>12</t>
        </is>
      </c>
      <c r="E608" t="inlineStr">
        <is>
          <t>34</t>
        </is>
      </c>
      <c r="F608" t="inlineStr">
        <is>
          <t>D</t>
        </is>
      </c>
      <c r="G608" t="inlineStr">
        <is>
          <t>Average</t>
        </is>
      </c>
      <c r="H608" t="n">
        <v>52</v>
      </c>
      <c r="I608">
        <f>B608&amp;"~"&amp;F608&amp;"~"&amp;G608</f>
        <v/>
      </c>
      <c r="J608" t="inlineStr">
        <is>
          <t>MVS Sec.12 p.34</t>
        </is>
      </c>
    </row>
    <row r="609">
      <c r="B609" t="inlineStr">
        <is>
          <t>Shell Town House Buildings</t>
        </is>
      </c>
      <c r="C609" t="inlineStr">
        <is>
          <t>774</t>
        </is>
      </c>
      <c r="D609" t="inlineStr">
        <is>
          <t>12</t>
        </is>
      </c>
      <c r="E609" t="inlineStr">
        <is>
          <t>34</t>
        </is>
      </c>
      <c r="F609" t="inlineStr">
        <is>
          <t>D</t>
        </is>
      </c>
      <c r="G609" t="inlineStr">
        <is>
          <t>Fair</t>
        </is>
      </c>
      <c r="H609" t="n">
        <v>45.75</v>
      </c>
      <c r="I609">
        <f>B609&amp;"~"&amp;F609&amp;"~"&amp;G609</f>
        <v/>
      </c>
      <c r="J609" t="inlineStr">
        <is>
          <t>MVS Sec.12 p.34</t>
        </is>
      </c>
    </row>
    <row r="610">
      <c r="B610" t="inlineStr">
        <is>
          <t>Bars/Taverns</t>
        </is>
      </c>
      <c r="C610" t="inlineStr">
        <is>
          <t>442</t>
        </is>
      </c>
      <c r="D610" t="inlineStr">
        <is>
          <t>13</t>
        </is>
      </c>
      <c r="E610" t="inlineStr">
        <is>
          <t>13</t>
        </is>
      </c>
      <c r="F610" t="inlineStr">
        <is>
          <t>A-B</t>
        </is>
      </c>
      <c r="G610" t="inlineStr">
        <is>
          <t>Average</t>
        </is>
      </c>
      <c r="H610" t="n">
        <v>181</v>
      </c>
      <c r="I610">
        <f>B610&amp;"~"&amp;F610&amp;"~"&amp;G610</f>
        <v/>
      </c>
      <c r="J610" t="inlineStr">
        <is>
          <t>MVS Sec.13 p.13</t>
        </is>
      </c>
    </row>
    <row r="611">
      <c r="B611" t="inlineStr">
        <is>
          <t>Bars/Taverns</t>
        </is>
      </c>
      <c r="C611" t="inlineStr">
        <is>
          <t>442</t>
        </is>
      </c>
      <c r="D611" t="inlineStr">
        <is>
          <t>13</t>
        </is>
      </c>
      <c r="E611" t="inlineStr">
        <is>
          <t>13</t>
        </is>
      </c>
      <c r="F611" t="inlineStr">
        <is>
          <t>C</t>
        </is>
      </c>
      <c r="G611" t="inlineStr">
        <is>
          <t>Good</t>
        </is>
      </c>
      <c r="H611" t="n">
        <v>187</v>
      </c>
      <c r="I611">
        <f>B611&amp;"~"&amp;F611&amp;"~"&amp;G611</f>
        <v/>
      </c>
      <c r="J611" t="inlineStr">
        <is>
          <t>MVS Sec.13 p.13</t>
        </is>
      </c>
    </row>
    <row r="612">
      <c r="B612" t="inlineStr">
        <is>
          <t>Bars/Taverns</t>
        </is>
      </c>
      <c r="C612" t="inlineStr">
        <is>
          <t>442</t>
        </is>
      </c>
      <c r="D612" t="inlineStr">
        <is>
          <t>13</t>
        </is>
      </c>
      <c r="E612" t="inlineStr">
        <is>
          <t>13</t>
        </is>
      </c>
      <c r="F612" t="inlineStr">
        <is>
          <t>C</t>
        </is>
      </c>
      <c r="G612" t="inlineStr">
        <is>
          <t>Average</t>
        </is>
      </c>
      <c r="H612" t="n">
        <v>143</v>
      </c>
      <c r="I612">
        <f>B612&amp;"~"&amp;F612&amp;"~"&amp;G612</f>
        <v/>
      </c>
      <c r="J612" t="inlineStr">
        <is>
          <t>MVS Sec.13 p.13</t>
        </is>
      </c>
    </row>
    <row r="613">
      <c r="B613" t="inlineStr">
        <is>
          <t>Bars/Taverns</t>
        </is>
      </c>
      <c r="C613" t="inlineStr">
        <is>
          <t>442</t>
        </is>
      </c>
      <c r="D613" t="inlineStr">
        <is>
          <t>13</t>
        </is>
      </c>
      <c r="E613" t="inlineStr">
        <is>
          <t>13</t>
        </is>
      </c>
      <c r="F613" t="inlineStr">
        <is>
          <t>C</t>
        </is>
      </c>
      <c r="G613" t="inlineStr">
        <is>
          <t>Low Cost</t>
        </is>
      </c>
      <c r="H613" t="n">
        <v>110</v>
      </c>
      <c r="I613">
        <f>B613&amp;"~"&amp;F613&amp;"~"&amp;G613</f>
        <v/>
      </c>
      <c r="J613" t="inlineStr">
        <is>
          <t>MVS Sec.13 p.13</t>
        </is>
      </c>
    </row>
    <row r="614">
      <c r="B614" t="inlineStr">
        <is>
          <t>Bars/Taverns</t>
        </is>
      </c>
      <c r="C614" t="inlineStr">
        <is>
          <t>442</t>
        </is>
      </c>
      <c r="D614" t="inlineStr">
        <is>
          <t>13</t>
        </is>
      </c>
      <c r="E614" t="inlineStr">
        <is>
          <t>13</t>
        </is>
      </c>
      <c r="F614" t="inlineStr">
        <is>
          <t>D</t>
        </is>
      </c>
      <c r="G614" t="inlineStr">
        <is>
          <t>Good</t>
        </is>
      </c>
      <c r="H614" t="n">
        <v>175</v>
      </c>
      <c r="I614">
        <f>B614&amp;"~"&amp;F614&amp;"~"&amp;G614</f>
        <v/>
      </c>
      <c r="J614" t="inlineStr">
        <is>
          <t>MVS Sec.13 p.13</t>
        </is>
      </c>
    </row>
    <row r="615">
      <c r="B615" t="inlineStr">
        <is>
          <t>Bars/Taverns</t>
        </is>
      </c>
      <c r="C615" t="inlineStr">
        <is>
          <t>442</t>
        </is>
      </c>
      <c r="D615" t="inlineStr">
        <is>
          <t>13</t>
        </is>
      </c>
      <c r="E615" t="inlineStr">
        <is>
          <t>13</t>
        </is>
      </c>
      <c r="F615" t="inlineStr">
        <is>
          <t>D</t>
        </is>
      </c>
      <c r="G615" t="inlineStr">
        <is>
          <t>Average</t>
        </is>
      </c>
      <c r="H615" t="n">
        <v>134</v>
      </c>
      <c r="I615">
        <f>B615&amp;"~"&amp;F615&amp;"~"&amp;G615</f>
        <v/>
      </c>
      <c r="J615" t="inlineStr">
        <is>
          <t>MVS Sec.13 p.13</t>
        </is>
      </c>
    </row>
    <row r="616">
      <c r="B616" t="inlineStr">
        <is>
          <t>Bars/Taverns</t>
        </is>
      </c>
      <c r="C616" t="inlineStr">
        <is>
          <t>442</t>
        </is>
      </c>
      <c r="D616" t="inlineStr">
        <is>
          <t>13</t>
        </is>
      </c>
      <c r="E616" t="inlineStr">
        <is>
          <t>13</t>
        </is>
      </c>
      <c r="F616" t="inlineStr">
        <is>
          <t>D</t>
        </is>
      </c>
      <c r="G616" t="inlineStr">
        <is>
          <t>Low Cost</t>
        </is>
      </c>
      <c r="H616" t="n">
        <v>103</v>
      </c>
      <c r="I616">
        <f>B616&amp;"~"&amp;F616&amp;"~"&amp;G616</f>
        <v/>
      </c>
      <c r="J616" t="inlineStr">
        <is>
          <t>MVS Sec.13 p.13</t>
        </is>
      </c>
    </row>
    <row r="617">
      <c r="B617" t="inlineStr">
        <is>
          <t>Bars/Taverns</t>
        </is>
      </c>
      <c r="C617" t="inlineStr">
        <is>
          <t>442</t>
        </is>
      </c>
      <c r="D617" t="inlineStr">
        <is>
          <t>13</t>
        </is>
      </c>
      <c r="E617" t="inlineStr">
        <is>
          <t>13</t>
        </is>
      </c>
      <c r="F617" t="inlineStr">
        <is>
          <t>DPOLE</t>
        </is>
      </c>
      <c r="G617" t="inlineStr">
        <is>
          <t>Low Cost</t>
        </is>
      </c>
      <c r="H617" t="n">
        <v>98.5</v>
      </c>
      <c r="I617">
        <f>B617&amp;"~"&amp;F617&amp;"~"&amp;G617</f>
        <v/>
      </c>
      <c r="J617" t="inlineStr">
        <is>
          <t>MVS Sec.13 p.13</t>
        </is>
      </c>
    </row>
    <row r="618">
      <c r="B618" t="inlineStr">
        <is>
          <t>Bars/Taverns</t>
        </is>
      </c>
      <c r="C618" t="inlineStr">
        <is>
          <t>442</t>
        </is>
      </c>
      <c r="D618" t="inlineStr">
        <is>
          <t>13</t>
        </is>
      </c>
      <c r="E618" t="inlineStr">
        <is>
          <t>13</t>
        </is>
      </c>
      <c r="F618" t="inlineStr">
        <is>
          <t>S</t>
        </is>
      </c>
      <c r="G618" t="inlineStr">
        <is>
          <t>Average</t>
        </is>
      </c>
      <c r="H618" t="n">
        <v>134</v>
      </c>
      <c r="I618">
        <f>B618&amp;"~"&amp;F618&amp;"~"&amp;G618</f>
        <v/>
      </c>
      <c r="J618" t="inlineStr">
        <is>
          <t>MVS Sec.13 p.13</t>
        </is>
      </c>
    </row>
    <row r="619">
      <c r="B619" t="inlineStr">
        <is>
          <t>Bars/Taverns</t>
        </is>
      </c>
      <c r="C619" t="inlineStr">
        <is>
          <t>442</t>
        </is>
      </c>
      <c r="D619" t="inlineStr">
        <is>
          <t>13</t>
        </is>
      </c>
      <c r="E619" t="inlineStr">
        <is>
          <t>13</t>
        </is>
      </c>
      <c r="F619" t="inlineStr">
        <is>
          <t>S</t>
        </is>
      </c>
      <c r="G619" t="inlineStr">
        <is>
          <t>Low Cost</t>
        </is>
      </c>
      <c r="H619" t="n">
        <v>101</v>
      </c>
      <c r="I619">
        <f>B619&amp;"~"&amp;F619&amp;"~"&amp;G619</f>
        <v/>
      </c>
      <c r="J619" t="inlineStr">
        <is>
          <t>MVS Sec.13 p.13</t>
        </is>
      </c>
    </row>
    <row r="620">
      <c r="B620" t="inlineStr">
        <is>
          <t>Cocktail Lounges</t>
        </is>
      </c>
      <c r="C620" t="inlineStr">
        <is>
          <t>441</t>
        </is>
      </c>
      <c r="D620" t="inlineStr">
        <is>
          <t>13</t>
        </is>
      </c>
      <c r="E620" t="inlineStr">
        <is>
          <t>13</t>
        </is>
      </c>
      <c r="F620" t="inlineStr">
        <is>
          <t>A-B</t>
        </is>
      </c>
      <c r="G620" t="inlineStr">
        <is>
          <t>Good</t>
        </is>
      </c>
      <c r="H620" t="n">
        <v>258</v>
      </c>
      <c r="I620">
        <f>B620&amp;"~"&amp;F620&amp;"~"&amp;G620</f>
        <v/>
      </c>
      <c r="J620" t="inlineStr">
        <is>
          <t>MVS Sec.13 p.13</t>
        </is>
      </c>
    </row>
    <row r="621">
      <c r="B621" t="inlineStr">
        <is>
          <t>Cocktail Lounges</t>
        </is>
      </c>
      <c r="C621" t="inlineStr">
        <is>
          <t>441</t>
        </is>
      </c>
      <c r="D621" t="inlineStr">
        <is>
          <t>13</t>
        </is>
      </c>
      <c r="E621" t="inlineStr">
        <is>
          <t>13</t>
        </is>
      </c>
      <c r="F621" t="inlineStr">
        <is>
          <t>A-B</t>
        </is>
      </c>
      <c r="G621" t="inlineStr">
        <is>
          <t>Average</t>
        </is>
      </c>
      <c r="H621" t="n">
        <v>202</v>
      </c>
      <c r="I621">
        <f>B621&amp;"~"&amp;F621&amp;"~"&amp;G621</f>
        <v/>
      </c>
      <c r="J621" t="inlineStr">
        <is>
          <t>MVS Sec.13 p.13</t>
        </is>
      </c>
    </row>
    <row r="622">
      <c r="B622" t="inlineStr">
        <is>
          <t>Cocktail Lounges</t>
        </is>
      </c>
      <c r="C622" t="inlineStr">
        <is>
          <t>441</t>
        </is>
      </c>
      <c r="D622" t="inlineStr">
        <is>
          <t>13</t>
        </is>
      </c>
      <c r="E622" t="inlineStr">
        <is>
          <t>13</t>
        </is>
      </c>
      <c r="F622" t="inlineStr">
        <is>
          <t>C</t>
        </is>
      </c>
      <c r="G622" t="inlineStr">
        <is>
          <t>Excellent</t>
        </is>
      </c>
      <c r="H622" t="n">
        <v>283</v>
      </c>
      <c r="I622">
        <f>B622&amp;"~"&amp;F622&amp;"~"&amp;G622</f>
        <v/>
      </c>
      <c r="J622" t="inlineStr">
        <is>
          <t>MVS Sec.13 p.13</t>
        </is>
      </c>
    </row>
    <row r="623">
      <c r="B623" t="inlineStr">
        <is>
          <t>Cocktail Lounges</t>
        </is>
      </c>
      <c r="C623" t="inlineStr">
        <is>
          <t>441</t>
        </is>
      </c>
      <c r="D623" t="inlineStr">
        <is>
          <t>13</t>
        </is>
      </c>
      <c r="E623" t="inlineStr">
        <is>
          <t>13</t>
        </is>
      </c>
      <c r="F623" t="inlineStr">
        <is>
          <t>C</t>
        </is>
      </c>
      <c r="G623" t="inlineStr">
        <is>
          <t>Good</t>
        </is>
      </c>
      <c r="H623" t="n">
        <v>209</v>
      </c>
      <c r="I623">
        <f>B623&amp;"~"&amp;F623&amp;"~"&amp;G623</f>
        <v/>
      </c>
      <c r="J623" t="inlineStr">
        <is>
          <t>MVS Sec.13 p.13</t>
        </is>
      </c>
    </row>
    <row r="624">
      <c r="B624" t="inlineStr">
        <is>
          <t>Cocktail Lounges</t>
        </is>
      </c>
      <c r="C624" t="inlineStr">
        <is>
          <t>441</t>
        </is>
      </c>
      <c r="D624" t="inlineStr">
        <is>
          <t>13</t>
        </is>
      </c>
      <c r="E624" t="inlineStr">
        <is>
          <t>13</t>
        </is>
      </c>
      <c r="F624" t="inlineStr">
        <is>
          <t>C</t>
        </is>
      </c>
      <c r="G624" t="inlineStr">
        <is>
          <t>Average</t>
        </is>
      </c>
      <c r="H624" t="n">
        <v>159</v>
      </c>
      <c r="I624">
        <f>B624&amp;"~"&amp;F624&amp;"~"&amp;G624</f>
        <v/>
      </c>
      <c r="J624" t="inlineStr">
        <is>
          <t>MVS Sec.13 p.13</t>
        </is>
      </c>
    </row>
    <row r="625">
      <c r="B625" t="inlineStr">
        <is>
          <t>Cocktail Lounges</t>
        </is>
      </c>
      <c r="C625" t="inlineStr">
        <is>
          <t>441</t>
        </is>
      </c>
      <c r="D625" t="inlineStr">
        <is>
          <t>13</t>
        </is>
      </c>
      <c r="E625" t="inlineStr">
        <is>
          <t>13</t>
        </is>
      </c>
      <c r="F625" t="inlineStr">
        <is>
          <t>C</t>
        </is>
      </c>
      <c r="G625" t="inlineStr">
        <is>
          <t>Low Cost</t>
        </is>
      </c>
      <c r="H625" t="n">
        <v>121</v>
      </c>
      <c r="I625">
        <f>B625&amp;"~"&amp;F625&amp;"~"&amp;G625</f>
        <v/>
      </c>
      <c r="J625" t="inlineStr">
        <is>
          <t>MVS Sec.13 p.13</t>
        </is>
      </c>
    </row>
    <row r="626">
      <c r="B626" t="inlineStr">
        <is>
          <t>Cocktail Lounges</t>
        </is>
      </c>
      <c r="C626" t="inlineStr">
        <is>
          <t>441</t>
        </is>
      </c>
      <c r="D626" t="inlineStr">
        <is>
          <t>13</t>
        </is>
      </c>
      <c r="E626" t="inlineStr">
        <is>
          <t>13</t>
        </is>
      </c>
      <c r="F626" t="inlineStr">
        <is>
          <t>D</t>
        </is>
      </c>
      <c r="G626" t="inlineStr">
        <is>
          <t>Excellent</t>
        </is>
      </c>
      <c r="H626" t="n">
        <v>270</v>
      </c>
      <c r="I626">
        <f>B626&amp;"~"&amp;F626&amp;"~"&amp;G626</f>
        <v/>
      </c>
      <c r="J626" t="inlineStr">
        <is>
          <t>MVS Sec.13 p.13</t>
        </is>
      </c>
    </row>
    <row r="627">
      <c r="B627" t="inlineStr">
        <is>
          <t>Cocktail Lounges</t>
        </is>
      </c>
      <c r="C627" t="inlineStr">
        <is>
          <t>441</t>
        </is>
      </c>
      <c r="D627" t="inlineStr">
        <is>
          <t>13</t>
        </is>
      </c>
      <c r="E627" t="inlineStr">
        <is>
          <t>13</t>
        </is>
      </c>
      <c r="F627" t="inlineStr">
        <is>
          <t>D</t>
        </is>
      </c>
      <c r="G627" t="inlineStr">
        <is>
          <t>Good</t>
        </is>
      </c>
      <c r="H627" t="n">
        <v>198</v>
      </c>
      <c r="I627">
        <f>B627&amp;"~"&amp;F627&amp;"~"&amp;G627</f>
        <v/>
      </c>
      <c r="J627" t="inlineStr">
        <is>
          <t>MVS Sec.13 p.13</t>
        </is>
      </c>
    </row>
    <row r="628">
      <c r="B628" t="inlineStr">
        <is>
          <t>Cocktail Lounges</t>
        </is>
      </c>
      <c r="C628" t="inlineStr">
        <is>
          <t>441</t>
        </is>
      </c>
      <c r="D628" t="inlineStr">
        <is>
          <t>13</t>
        </is>
      </c>
      <c r="E628" t="inlineStr">
        <is>
          <t>13</t>
        </is>
      </c>
      <c r="F628" t="inlineStr">
        <is>
          <t>D</t>
        </is>
      </c>
      <c r="G628" t="inlineStr">
        <is>
          <t>Average</t>
        </is>
      </c>
      <c r="H628" t="n">
        <v>149</v>
      </c>
      <c r="I628">
        <f>B628&amp;"~"&amp;F628&amp;"~"&amp;G628</f>
        <v/>
      </c>
      <c r="J628" t="inlineStr">
        <is>
          <t>MVS Sec.13 p.13</t>
        </is>
      </c>
    </row>
    <row r="629">
      <c r="B629" t="inlineStr">
        <is>
          <t>Cocktail Lounges</t>
        </is>
      </c>
      <c r="C629" t="inlineStr">
        <is>
          <t>441</t>
        </is>
      </c>
      <c r="D629" t="inlineStr">
        <is>
          <t>13</t>
        </is>
      </c>
      <c r="E629" t="inlineStr">
        <is>
          <t>13</t>
        </is>
      </c>
      <c r="F629" t="inlineStr">
        <is>
          <t>D</t>
        </is>
      </c>
      <c r="G629" t="inlineStr">
        <is>
          <t>Low Cost</t>
        </is>
      </c>
      <c r="H629" t="n">
        <v>113</v>
      </c>
      <c r="I629">
        <f>B629&amp;"~"&amp;F629&amp;"~"&amp;G629</f>
        <v/>
      </c>
      <c r="J629" t="inlineStr">
        <is>
          <t>MVS Sec.13 p.13</t>
        </is>
      </c>
    </row>
    <row r="630">
      <c r="B630" t="inlineStr">
        <is>
          <t>Cocktail Lounges</t>
        </is>
      </c>
      <c r="C630" t="inlineStr">
        <is>
          <t>441</t>
        </is>
      </c>
      <c r="D630" t="inlineStr">
        <is>
          <t>13</t>
        </is>
      </c>
      <c r="E630" t="inlineStr">
        <is>
          <t>13</t>
        </is>
      </c>
      <c r="F630" t="inlineStr">
        <is>
          <t>DPOLE</t>
        </is>
      </c>
      <c r="G630" t="inlineStr">
        <is>
          <t>Low Cost</t>
        </is>
      </c>
      <c r="H630" t="n">
        <v>110</v>
      </c>
      <c r="I630">
        <f>B630&amp;"~"&amp;F630&amp;"~"&amp;G630</f>
        <v/>
      </c>
      <c r="J630" t="inlineStr">
        <is>
          <t>MVS Sec.13 p.13</t>
        </is>
      </c>
    </row>
    <row r="631">
      <c r="B631" t="inlineStr">
        <is>
          <t>Cocktail Lounges</t>
        </is>
      </c>
      <c r="C631" t="inlineStr">
        <is>
          <t>441</t>
        </is>
      </c>
      <c r="D631" t="inlineStr">
        <is>
          <t>13</t>
        </is>
      </c>
      <c r="E631" t="inlineStr">
        <is>
          <t>13</t>
        </is>
      </c>
      <c r="F631" t="inlineStr">
        <is>
          <t>S</t>
        </is>
      </c>
      <c r="G631" t="inlineStr">
        <is>
          <t>Good</t>
        </is>
      </c>
      <c r="H631" t="n">
        <v>201</v>
      </c>
      <c r="I631">
        <f>B631&amp;"~"&amp;F631&amp;"~"&amp;G631</f>
        <v/>
      </c>
      <c r="J631" t="inlineStr">
        <is>
          <t>MVS Sec.13 p.13</t>
        </is>
      </c>
    </row>
    <row r="632">
      <c r="B632" t="inlineStr">
        <is>
          <t>Cocktail Lounges</t>
        </is>
      </c>
      <c r="C632" t="inlineStr">
        <is>
          <t>441</t>
        </is>
      </c>
      <c r="D632" t="inlineStr">
        <is>
          <t>13</t>
        </is>
      </c>
      <c r="E632" t="inlineStr">
        <is>
          <t>13</t>
        </is>
      </c>
      <c r="F632" t="inlineStr">
        <is>
          <t>S</t>
        </is>
      </c>
      <c r="G632" t="inlineStr">
        <is>
          <t>Average</t>
        </is>
      </c>
      <c r="H632" t="n">
        <v>150</v>
      </c>
      <c r="I632">
        <f>B632&amp;"~"&amp;F632&amp;"~"&amp;G632</f>
        <v/>
      </c>
      <c r="J632" t="inlineStr">
        <is>
          <t>MVS Sec.13 p.13</t>
        </is>
      </c>
    </row>
    <row r="633">
      <c r="B633" t="inlineStr">
        <is>
          <t>Cocktail Lounges</t>
        </is>
      </c>
      <c r="C633" t="inlineStr">
        <is>
          <t>441</t>
        </is>
      </c>
      <c r="D633" t="inlineStr">
        <is>
          <t>13</t>
        </is>
      </c>
      <c r="E633" t="inlineStr">
        <is>
          <t>13</t>
        </is>
      </c>
      <c r="F633" t="inlineStr">
        <is>
          <t>S</t>
        </is>
      </c>
      <c r="G633" t="inlineStr">
        <is>
          <t>Low Cost</t>
        </is>
      </c>
      <c r="H633" t="n">
        <v>113</v>
      </c>
      <c r="I633">
        <f>B633&amp;"~"&amp;F633&amp;"~"&amp;G633</f>
        <v/>
      </c>
      <c r="J633" t="inlineStr">
        <is>
          <t>MVS Sec.13 p.13</t>
        </is>
      </c>
    </row>
    <row r="634">
      <c r="B634" t="inlineStr">
        <is>
          <t>Restaurants</t>
        </is>
      </c>
      <c r="C634" t="inlineStr">
        <is>
          <t>350</t>
        </is>
      </c>
      <c r="D634" t="inlineStr">
        <is>
          <t>13</t>
        </is>
      </c>
      <c r="E634" t="inlineStr">
        <is>
          <t>14</t>
        </is>
      </c>
      <c r="F634" t="inlineStr">
        <is>
          <t>A-B</t>
        </is>
      </c>
      <c r="G634" t="inlineStr">
        <is>
          <t>Excellent</t>
        </is>
      </c>
      <c r="H634" t="n">
        <v>412</v>
      </c>
      <c r="I634">
        <f>B634&amp;"~"&amp;F634&amp;"~"&amp;G634</f>
        <v/>
      </c>
      <c r="J634" t="inlineStr">
        <is>
          <t>MVS Sec.13 p.14</t>
        </is>
      </c>
    </row>
    <row r="635">
      <c r="B635" t="inlineStr">
        <is>
          <t>Restaurants</t>
        </is>
      </c>
      <c r="C635" t="inlineStr">
        <is>
          <t>350</t>
        </is>
      </c>
      <c r="D635" t="inlineStr">
        <is>
          <t>13</t>
        </is>
      </c>
      <c r="E635" t="inlineStr">
        <is>
          <t>14</t>
        </is>
      </c>
      <c r="F635" t="inlineStr">
        <is>
          <t>A-B</t>
        </is>
      </c>
      <c r="G635" t="inlineStr">
        <is>
          <t>Good</t>
        </is>
      </c>
      <c r="H635" t="n">
        <v>308</v>
      </c>
      <c r="I635">
        <f>B635&amp;"~"&amp;F635&amp;"~"&amp;G635</f>
        <v/>
      </c>
      <c r="J635" t="inlineStr">
        <is>
          <t>MVS Sec.13 p.14</t>
        </is>
      </c>
    </row>
    <row r="636">
      <c r="B636" t="inlineStr">
        <is>
          <t>Restaurants</t>
        </is>
      </c>
      <c r="C636" t="inlineStr">
        <is>
          <t>350</t>
        </is>
      </c>
      <c r="D636" t="inlineStr">
        <is>
          <t>13</t>
        </is>
      </c>
      <c r="E636" t="inlineStr">
        <is>
          <t>14</t>
        </is>
      </c>
      <c r="F636" t="inlineStr">
        <is>
          <t>A-B</t>
        </is>
      </c>
      <c r="G636" t="inlineStr">
        <is>
          <t>Average</t>
        </is>
      </c>
      <c r="H636" t="n">
        <v>232</v>
      </c>
      <c r="I636">
        <f>B636&amp;"~"&amp;F636&amp;"~"&amp;G636</f>
        <v/>
      </c>
      <c r="J636" t="inlineStr">
        <is>
          <t>MVS Sec.13 p.14</t>
        </is>
      </c>
    </row>
    <row r="637">
      <c r="B637" t="inlineStr">
        <is>
          <t>Restaurants</t>
        </is>
      </c>
      <c r="C637" t="inlineStr">
        <is>
          <t>350</t>
        </is>
      </c>
      <c r="D637" t="inlineStr">
        <is>
          <t>13</t>
        </is>
      </c>
      <c r="E637" t="inlineStr">
        <is>
          <t>14</t>
        </is>
      </c>
      <c r="F637" t="inlineStr">
        <is>
          <t>C</t>
        </is>
      </c>
      <c r="G637" t="inlineStr">
        <is>
          <t>Excellent</t>
        </is>
      </c>
      <c r="H637" t="n">
        <v>379</v>
      </c>
      <c r="I637">
        <f>B637&amp;"~"&amp;F637&amp;"~"&amp;G637</f>
        <v/>
      </c>
      <c r="J637" t="inlineStr">
        <is>
          <t>MVS Sec.13 p.14</t>
        </is>
      </c>
    </row>
    <row r="638">
      <c r="B638" t="inlineStr">
        <is>
          <t>Restaurants</t>
        </is>
      </c>
      <c r="C638" t="inlineStr">
        <is>
          <t>350</t>
        </is>
      </c>
      <c r="D638" t="inlineStr">
        <is>
          <t>13</t>
        </is>
      </c>
      <c r="E638" t="inlineStr">
        <is>
          <t>14</t>
        </is>
      </c>
      <c r="F638" t="inlineStr">
        <is>
          <t>C</t>
        </is>
      </c>
      <c r="G638" t="inlineStr">
        <is>
          <t>Very Good</t>
        </is>
      </c>
      <c r="H638" t="n">
        <v>294</v>
      </c>
      <c r="I638">
        <f>B638&amp;"~"&amp;F638&amp;"~"&amp;G638</f>
        <v/>
      </c>
      <c r="J638" t="inlineStr">
        <is>
          <t>MVS Sec.13 p.14</t>
        </is>
      </c>
    </row>
    <row r="639">
      <c r="B639" t="inlineStr">
        <is>
          <t>Restaurants</t>
        </is>
      </c>
      <c r="C639" t="inlineStr">
        <is>
          <t>350</t>
        </is>
      </c>
      <c r="D639" t="inlineStr">
        <is>
          <t>13</t>
        </is>
      </c>
      <c r="E639" t="inlineStr">
        <is>
          <t>14</t>
        </is>
      </c>
      <c r="F639" t="inlineStr">
        <is>
          <t>C</t>
        </is>
      </c>
      <c r="G639" t="inlineStr">
        <is>
          <t>Good</t>
        </is>
      </c>
      <c r="H639" t="n">
        <v>229</v>
      </c>
      <c r="I639">
        <f>B639&amp;"~"&amp;F639&amp;"~"&amp;G639</f>
        <v/>
      </c>
      <c r="J639" t="inlineStr">
        <is>
          <t>MVS Sec.13 p.14</t>
        </is>
      </c>
    </row>
    <row r="640">
      <c r="B640" t="inlineStr">
        <is>
          <t>Restaurants</t>
        </is>
      </c>
      <c r="C640" t="inlineStr">
        <is>
          <t>350</t>
        </is>
      </c>
      <c r="D640" t="inlineStr">
        <is>
          <t>13</t>
        </is>
      </c>
      <c r="E640" t="inlineStr">
        <is>
          <t>14</t>
        </is>
      </c>
      <c r="F640" t="inlineStr">
        <is>
          <t>C</t>
        </is>
      </c>
      <c r="G640" t="inlineStr">
        <is>
          <t>Average</t>
        </is>
      </c>
      <c r="H640" t="n">
        <v>178</v>
      </c>
      <c r="I640">
        <f>B640&amp;"~"&amp;F640&amp;"~"&amp;G640</f>
        <v/>
      </c>
      <c r="J640" t="inlineStr">
        <is>
          <t>MVS Sec.13 p.14</t>
        </is>
      </c>
    </row>
    <row r="641">
      <c r="B641" t="inlineStr">
        <is>
          <t>Restaurants</t>
        </is>
      </c>
      <c r="C641" t="inlineStr">
        <is>
          <t>350</t>
        </is>
      </c>
      <c r="D641" t="inlineStr">
        <is>
          <t>13</t>
        </is>
      </c>
      <c r="E641" t="inlineStr">
        <is>
          <t>14</t>
        </is>
      </c>
      <c r="F641" t="inlineStr">
        <is>
          <t>C</t>
        </is>
      </c>
      <c r="G641" t="inlineStr">
        <is>
          <t>Low Cost</t>
        </is>
      </c>
      <c r="H641" t="n">
        <v>129</v>
      </c>
      <c r="I641">
        <f>B641&amp;"~"&amp;F641&amp;"~"&amp;G641</f>
        <v/>
      </c>
      <c r="J641" t="inlineStr">
        <is>
          <t>MVS Sec.13 p.14</t>
        </is>
      </c>
    </row>
    <row r="642">
      <c r="B642" t="inlineStr">
        <is>
          <t>Restaurants</t>
        </is>
      </c>
      <c r="C642" t="inlineStr">
        <is>
          <t>350</t>
        </is>
      </c>
      <c r="D642" t="inlineStr">
        <is>
          <t>13</t>
        </is>
      </c>
      <c r="E642" t="inlineStr">
        <is>
          <t>14</t>
        </is>
      </c>
      <c r="F642" t="inlineStr">
        <is>
          <t>D</t>
        </is>
      </c>
      <c r="G642" t="inlineStr">
        <is>
          <t>Excellent</t>
        </is>
      </c>
      <c r="H642" t="n">
        <v>364</v>
      </c>
      <c r="I642">
        <f>B642&amp;"~"&amp;F642&amp;"~"&amp;G642</f>
        <v/>
      </c>
      <c r="J642" t="inlineStr">
        <is>
          <t>MVS Sec.13 p.14</t>
        </is>
      </c>
    </row>
    <row r="643">
      <c r="B643" t="inlineStr">
        <is>
          <t>Restaurants</t>
        </is>
      </c>
      <c r="C643" t="inlineStr">
        <is>
          <t>350</t>
        </is>
      </c>
      <c r="D643" t="inlineStr">
        <is>
          <t>13</t>
        </is>
      </c>
      <c r="E643" t="inlineStr">
        <is>
          <t>14</t>
        </is>
      </c>
      <c r="F643" t="inlineStr">
        <is>
          <t>D</t>
        </is>
      </c>
      <c r="G643" t="inlineStr">
        <is>
          <t>Very Good</t>
        </is>
      </c>
      <c r="H643" t="n">
        <v>278</v>
      </c>
      <c r="I643">
        <f>B643&amp;"~"&amp;F643&amp;"~"&amp;G643</f>
        <v/>
      </c>
      <c r="J643" t="inlineStr">
        <is>
          <t>MVS Sec.13 p.14</t>
        </is>
      </c>
    </row>
    <row r="644">
      <c r="B644" t="inlineStr">
        <is>
          <t>Restaurants</t>
        </is>
      </c>
      <c r="C644" t="inlineStr">
        <is>
          <t>350</t>
        </is>
      </c>
      <c r="D644" t="inlineStr">
        <is>
          <t>13</t>
        </is>
      </c>
      <c r="E644" t="inlineStr">
        <is>
          <t>14</t>
        </is>
      </c>
      <c r="F644" t="inlineStr">
        <is>
          <t>D</t>
        </is>
      </c>
      <c r="G644" t="inlineStr">
        <is>
          <t>Good</t>
        </is>
      </c>
      <c r="H644" t="n">
        <v>214</v>
      </c>
      <c r="I644">
        <f>B644&amp;"~"&amp;F644&amp;"~"&amp;G644</f>
        <v/>
      </c>
      <c r="J644" t="inlineStr">
        <is>
          <t>MVS Sec.13 p.14</t>
        </is>
      </c>
    </row>
    <row r="645">
      <c r="B645" t="inlineStr">
        <is>
          <t>Restaurants</t>
        </is>
      </c>
      <c r="C645" t="inlineStr">
        <is>
          <t>350</t>
        </is>
      </c>
      <c r="D645" t="inlineStr">
        <is>
          <t>13</t>
        </is>
      </c>
      <c r="E645" t="inlineStr">
        <is>
          <t>14</t>
        </is>
      </c>
      <c r="F645" t="inlineStr">
        <is>
          <t>D</t>
        </is>
      </c>
      <c r="G645" t="inlineStr">
        <is>
          <t>Average</t>
        </is>
      </c>
      <c r="H645" t="n">
        <v>165</v>
      </c>
      <c r="I645">
        <f>B645&amp;"~"&amp;F645&amp;"~"&amp;G645</f>
        <v/>
      </c>
      <c r="J645" t="inlineStr">
        <is>
          <t>MVS Sec.13 p.14</t>
        </is>
      </c>
    </row>
    <row r="646">
      <c r="B646" t="inlineStr">
        <is>
          <t>Restaurants</t>
        </is>
      </c>
      <c r="C646" t="inlineStr">
        <is>
          <t>350</t>
        </is>
      </c>
      <c r="D646" t="inlineStr">
        <is>
          <t>13</t>
        </is>
      </c>
      <c r="E646" t="inlineStr">
        <is>
          <t>14</t>
        </is>
      </c>
      <c r="F646" t="inlineStr">
        <is>
          <t>D</t>
        </is>
      </c>
      <c r="G646" t="inlineStr">
        <is>
          <t>Low Cost</t>
        </is>
      </c>
      <c r="H646" t="n">
        <v>117</v>
      </c>
      <c r="I646">
        <f>B646&amp;"~"&amp;F646&amp;"~"&amp;G646</f>
        <v/>
      </c>
      <c r="J646" t="inlineStr">
        <is>
          <t>MVS Sec.13 p.14</t>
        </is>
      </c>
    </row>
    <row r="647">
      <c r="B647" t="inlineStr">
        <is>
          <t>Restaurants</t>
        </is>
      </c>
      <c r="C647" t="inlineStr">
        <is>
          <t>350</t>
        </is>
      </c>
      <c r="D647" t="inlineStr">
        <is>
          <t>13</t>
        </is>
      </c>
      <c r="E647" t="inlineStr">
        <is>
          <t>14</t>
        </is>
      </c>
      <c r="F647" t="inlineStr">
        <is>
          <t>DPOLE</t>
        </is>
      </c>
      <c r="G647" t="inlineStr">
        <is>
          <t>Low Cost</t>
        </is>
      </c>
      <c r="H647" t="n">
        <v>109</v>
      </c>
      <c r="I647">
        <f>B647&amp;"~"&amp;F647&amp;"~"&amp;G647</f>
        <v/>
      </c>
      <c r="J647" t="inlineStr">
        <is>
          <t>MVS Sec.13 p.14</t>
        </is>
      </c>
    </row>
    <row r="648">
      <c r="B648" t="inlineStr">
        <is>
          <t>Restaurants</t>
        </is>
      </c>
      <c r="C648" t="inlineStr">
        <is>
          <t>350</t>
        </is>
      </c>
      <c r="D648" t="inlineStr">
        <is>
          <t>13</t>
        </is>
      </c>
      <c r="E648" t="inlineStr">
        <is>
          <t>14</t>
        </is>
      </c>
      <c r="F648" t="inlineStr">
        <is>
          <t>S</t>
        </is>
      </c>
      <c r="G648" t="inlineStr">
        <is>
          <t>Good</t>
        </is>
      </c>
      <c r="H648" t="n">
        <v>216</v>
      </c>
      <c r="I648">
        <f>B648&amp;"~"&amp;F648&amp;"~"&amp;G648</f>
        <v/>
      </c>
      <c r="J648" t="inlineStr">
        <is>
          <t>MVS Sec.13 p.14</t>
        </is>
      </c>
    </row>
    <row r="649">
      <c r="B649" t="inlineStr">
        <is>
          <t>Restaurants</t>
        </is>
      </c>
      <c r="C649" t="inlineStr">
        <is>
          <t>350</t>
        </is>
      </c>
      <c r="D649" t="inlineStr">
        <is>
          <t>13</t>
        </is>
      </c>
      <c r="E649" t="inlineStr">
        <is>
          <t>14</t>
        </is>
      </c>
      <c r="F649" t="inlineStr">
        <is>
          <t>S</t>
        </is>
      </c>
      <c r="G649" t="inlineStr">
        <is>
          <t>Average</t>
        </is>
      </c>
      <c r="H649" t="n">
        <v>162</v>
      </c>
      <c r="I649">
        <f>B649&amp;"~"&amp;F649&amp;"~"&amp;G649</f>
        <v/>
      </c>
      <c r="J649" t="inlineStr">
        <is>
          <t>MVS Sec.13 p.14</t>
        </is>
      </c>
    </row>
    <row r="650">
      <c r="B650" t="inlineStr">
        <is>
          <t>Restaurants</t>
        </is>
      </c>
      <c r="C650" t="inlineStr">
        <is>
          <t>350</t>
        </is>
      </c>
      <c r="D650" t="inlineStr">
        <is>
          <t>13</t>
        </is>
      </c>
      <c r="E650" t="inlineStr">
        <is>
          <t>14</t>
        </is>
      </c>
      <c r="F650" t="inlineStr">
        <is>
          <t>S</t>
        </is>
      </c>
      <c r="G650" t="inlineStr">
        <is>
          <t>Low Cost</t>
        </is>
      </c>
      <c r="H650" t="n">
        <v>112</v>
      </c>
      <c r="I650">
        <f>B650&amp;"~"&amp;F650&amp;"~"&amp;G650</f>
        <v/>
      </c>
      <c r="J650" t="inlineStr">
        <is>
          <t>MVS Sec.13 p.14</t>
        </is>
      </c>
    </row>
    <row r="651">
      <c r="B651" t="inlineStr">
        <is>
          <t>Restaurants – Cafeterias</t>
        </is>
      </c>
      <c r="C651" t="inlineStr">
        <is>
          <t>530</t>
        </is>
      </c>
      <c r="D651" t="inlineStr">
        <is>
          <t>13</t>
        </is>
      </c>
      <c r="E651" t="inlineStr">
        <is>
          <t>15</t>
        </is>
      </c>
      <c r="F651" t="inlineStr">
        <is>
          <t>A-B</t>
        </is>
      </c>
      <c r="G651" t="inlineStr">
        <is>
          <t>Good</t>
        </is>
      </c>
      <c r="H651" t="n">
        <v>276</v>
      </c>
      <c r="I651">
        <f>B651&amp;"~"&amp;F651&amp;"~"&amp;G651</f>
        <v/>
      </c>
      <c r="J651" t="inlineStr">
        <is>
          <t>MVS Sec.13 p.15</t>
        </is>
      </c>
    </row>
    <row r="652">
      <c r="B652" t="inlineStr">
        <is>
          <t>Restaurants – Cafeterias</t>
        </is>
      </c>
      <c r="C652" t="inlineStr">
        <is>
          <t>530</t>
        </is>
      </c>
      <c r="D652" t="inlineStr">
        <is>
          <t>13</t>
        </is>
      </c>
      <c r="E652" t="inlineStr">
        <is>
          <t>15</t>
        </is>
      </c>
      <c r="F652" t="inlineStr">
        <is>
          <t>A-B</t>
        </is>
      </c>
      <c r="G652" t="inlineStr">
        <is>
          <t>Average</t>
        </is>
      </c>
      <c r="H652" t="n">
        <v>212</v>
      </c>
      <c r="I652">
        <f>B652&amp;"~"&amp;F652&amp;"~"&amp;G652</f>
        <v/>
      </c>
      <c r="J652" t="inlineStr">
        <is>
          <t>MVS Sec.13 p.15</t>
        </is>
      </c>
    </row>
    <row r="653">
      <c r="B653" t="inlineStr">
        <is>
          <t>Restaurants – Cafeterias</t>
        </is>
      </c>
      <c r="C653" t="inlineStr">
        <is>
          <t>530</t>
        </is>
      </c>
      <c r="D653" t="inlineStr">
        <is>
          <t>13</t>
        </is>
      </c>
      <c r="E653" t="inlineStr">
        <is>
          <t>15</t>
        </is>
      </c>
      <c r="F653" t="inlineStr">
        <is>
          <t>C</t>
        </is>
      </c>
      <c r="G653" t="inlineStr">
        <is>
          <t>Excellent</t>
        </is>
      </c>
      <c r="H653" t="n">
        <v>318</v>
      </c>
      <c r="I653">
        <f>B653&amp;"~"&amp;F653&amp;"~"&amp;G653</f>
        <v/>
      </c>
      <c r="J653" t="inlineStr">
        <is>
          <t>MVS Sec.13 p.15</t>
        </is>
      </c>
    </row>
    <row r="654">
      <c r="B654" t="inlineStr">
        <is>
          <t>Restaurants – Cafeterias</t>
        </is>
      </c>
      <c r="C654" t="inlineStr">
        <is>
          <t>530</t>
        </is>
      </c>
      <c r="D654" t="inlineStr">
        <is>
          <t>13</t>
        </is>
      </c>
      <c r="E654" t="inlineStr">
        <is>
          <t>15</t>
        </is>
      </c>
      <c r="F654" t="inlineStr">
        <is>
          <t>C</t>
        </is>
      </c>
      <c r="G654" t="inlineStr">
        <is>
          <t>Good</t>
        </is>
      </c>
      <c r="H654" t="n">
        <v>226</v>
      </c>
      <c r="I654">
        <f>B654&amp;"~"&amp;F654&amp;"~"&amp;G654</f>
        <v/>
      </c>
      <c r="J654" t="inlineStr">
        <is>
          <t>MVS Sec.13 p.15</t>
        </is>
      </c>
    </row>
    <row r="655">
      <c r="B655" t="inlineStr">
        <is>
          <t>Restaurants – Cafeterias</t>
        </is>
      </c>
      <c r="C655" t="inlineStr">
        <is>
          <t>530</t>
        </is>
      </c>
      <c r="D655" t="inlineStr">
        <is>
          <t>13</t>
        </is>
      </c>
      <c r="E655" t="inlineStr">
        <is>
          <t>15</t>
        </is>
      </c>
      <c r="F655" t="inlineStr">
        <is>
          <t>C</t>
        </is>
      </c>
      <c r="G655" t="inlineStr">
        <is>
          <t>Average</t>
        </is>
      </c>
      <c r="H655" t="n">
        <v>165</v>
      </c>
      <c r="I655">
        <f>B655&amp;"~"&amp;F655&amp;"~"&amp;G655</f>
        <v/>
      </c>
      <c r="J655" t="inlineStr">
        <is>
          <t>MVS Sec.13 p.15</t>
        </is>
      </c>
    </row>
    <row r="656">
      <c r="B656" t="inlineStr">
        <is>
          <t>Restaurants – Cafeterias</t>
        </is>
      </c>
      <c r="C656" t="inlineStr">
        <is>
          <t>530</t>
        </is>
      </c>
      <c r="D656" t="inlineStr">
        <is>
          <t>13</t>
        </is>
      </c>
      <c r="E656" t="inlineStr">
        <is>
          <t>15</t>
        </is>
      </c>
      <c r="F656" t="inlineStr">
        <is>
          <t>C</t>
        </is>
      </c>
      <c r="G656" t="inlineStr">
        <is>
          <t>Low Cost</t>
        </is>
      </c>
      <c r="H656" t="n">
        <v>111</v>
      </c>
      <c r="I656">
        <f>B656&amp;"~"&amp;F656&amp;"~"&amp;G656</f>
        <v/>
      </c>
      <c r="J656" t="inlineStr">
        <is>
          <t>MVS Sec.13 p.15</t>
        </is>
      </c>
    </row>
    <row r="657">
      <c r="B657" t="inlineStr">
        <is>
          <t>Restaurants – Cafeterias</t>
        </is>
      </c>
      <c r="C657" t="inlineStr">
        <is>
          <t>530</t>
        </is>
      </c>
      <c r="D657" t="inlineStr">
        <is>
          <t>13</t>
        </is>
      </c>
      <c r="E657" t="inlineStr">
        <is>
          <t>15</t>
        </is>
      </c>
      <c r="F657" t="inlineStr">
        <is>
          <t>D</t>
        </is>
      </c>
      <c r="G657" t="inlineStr">
        <is>
          <t>Excellent</t>
        </is>
      </c>
      <c r="H657" t="n">
        <v>306</v>
      </c>
      <c r="I657">
        <f>B657&amp;"~"&amp;F657&amp;"~"&amp;G657</f>
        <v/>
      </c>
      <c r="J657" t="inlineStr">
        <is>
          <t>MVS Sec.13 p.15</t>
        </is>
      </c>
    </row>
    <row r="658">
      <c r="B658" t="inlineStr">
        <is>
          <t>Restaurants – Cafeterias</t>
        </is>
      </c>
      <c r="C658" t="inlineStr">
        <is>
          <t>530</t>
        </is>
      </c>
      <c r="D658" t="inlineStr">
        <is>
          <t>13</t>
        </is>
      </c>
      <c r="E658" t="inlineStr">
        <is>
          <t>15</t>
        </is>
      </c>
      <c r="F658" t="inlineStr">
        <is>
          <t>D</t>
        </is>
      </c>
      <c r="G658" t="inlineStr">
        <is>
          <t>Good</t>
        </is>
      </c>
      <c r="H658" t="n">
        <v>214</v>
      </c>
      <c r="I658">
        <f>B658&amp;"~"&amp;F658&amp;"~"&amp;G658</f>
        <v/>
      </c>
      <c r="J658" t="inlineStr">
        <is>
          <t>MVS Sec.13 p.15</t>
        </is>
      </c>
    </row>
    <row r="659">
      <c r="B659" t="inlineStr">
        <is>
          <t>Restaurants – Cafeterias</t>
        </is>
      </c>
      <c r="C659" t="inlineStr">
        <is>
          <t>530</t>
        </is>
      </c>
      <c r="D659" t="inlineStr">
        <is>
          <t>13</t>
        </is>
      </c>
      <c r="E659" t="inlineStr">
        <is>
          <t>15</t>
        </is>
      </c>
      <c r="F659" t="inlineStr">
        <is>
          <t>D</t>
        </is>
      </c>
      <c r="G659" t="inlineStr">
        <is>
          <t>Average</t>
        </is>
      </c>
      <c r="H659" t="n">
        <v>154</v>
      </c>
      <c r="I659">
        <f>B659&amp;"~"&amp;F659&amp;"~"&amp;G659</f>
        <v/>
      </c>
      <c r="J659" t="inlineStr">
        <is>
          <t>MVS Sec.13 p.15</t>
        </is>
      </c>
    </row>
    <row r="660">
      <c r="B660" t="inlineStr">
        <is>
          <t>Restaurants – Cafeterias</t>
        </is>
      </c>
      <c r="C660" t="inlineStr">
        <is>
          <t>530</t>
        </is>
      </c>
      <c r="D660" t="inlineStr">
        <is>
          <t>13</t>
        </is>
      </c>
      <c r="E660" t="inlineStr">
        <is>
          <t>15</t>
        </is>
      </c>
      <c r="F660" t="inlineStr">
        <is>
          <t>D</t>
        </is>
      </c>
      <c r="G660" t="inlineStr">
        <is>
          <t>Low Cost</t>
        </is>
      </c>
      <c r="H660" t="n">
        <v>101</v>
      </c>
      <c r="I660">
        <f>B660&amp;"~"&amp;F660&amp;"~"&amp;G660</f>
        <v/>
      </c>
      <c r="J660" t="inlineStr">
        <is>
          <t>MVS Sec.13 p.15</t>
        </is>
      </c>
    </row>
    <row r="661">
      <c r="B661" t="inlineStr">
        <is>
          <t>Restaurants – Cafeterias</t>
        </is>
      </c>
      <c r="C661" t="inlineStr">
        <is>
          <t>530</t>
        </is>
      </c>
      <c r="D661" t="inlineStr">
        <is>
          <t>13</t>
        </is>
      </c>
      <c r="E661" t="inlineStr">
        <is>
          <t>15</t>
        </is>
      </c>
      <c r="F661" t="inlineStr">
        <is>
          <t>DPOLE</t>
        </is>
      </c>
      <c r="G661" t="inlineStr">
        <is>
          <t>Low Cost</t>
        </is>
      </c>
      <c r="H661" t="n">
        <v>98</v>
      </c>
      <c r="I661">
        <f>B661&amp;"~"&amp;F661&amp;"~"&amp;G661</f>
        <v/>
      </c>
      <c r="J661" t="inlineStr">
        <is>
          <t>MVS Sec.13 p.15</t>
        </is>
      </c>
    </row>
    <row r="662">
      <c r="B662" t="inlineStr">
        <is>
          <t>Restaurants – Cafeterias</t>
        </is>
      </c>
      <c r="C662" t="inlineStr">
        <is>
          <t>530</t>
        </is>
      </c>
      <c r="D662" t="inlineStr">
        <is>
          <t>13</t>
        </is>
      </c>
      <c r="E662" t="inlineStr">
        <is>
          <t>15</t>
        </is>
      </c>
      <c r="F662" t="inlineStr">
        <is>
          <t>S</t>
        </is>
      </c>
      <c r="G662" t="inlineStr">
        <is>
          <t>Good</t>
        </is>
      </c>
      <c r="H662" t="n">
        <v>216</v>
      </c>
      <c r="I662">
        <f>B662&amp;"~"&amp;F662&amp;"~"&amp;G662</f>
        <v/>
      </c>
      <c r="J662" t="inlineStr">
        <is>
          <t>MVS Sec.13 p.15</t>
        </is>
      </c>
    </row>
    <row r="663">
      <c r="B663" t="inlineStr">
        <is>
          <t>Restaurants – Cafeterias</t>
        </is>
      </c>
      <c r="C663" t="inlineStr">
        <is>
          <t>530</t>
        </is>
      </c>
      <c r="D663" t="inlineStr">
        <is>
          <t>13</t>
        </is>
      </c>
      <c r="E663" t="inlineStr">
        <is>
          <t>15</t>
        </is>
      </c>
      <c r="F663" t="inlineStr">
        <is>
          <t>S</t>
        </is>
      </c>
      <c r="G663" t="inlineStr">
        <is>
          <t>Average</t>
        </is>
      </c>
      <c r="H663" t="n">
        <v>154</v>
      </c>
      <c r="I663">
        <f>B663&amp;"~"&amp;F663&amp;"~"&amp;G663</f>
        <v/>
      </c>
      <c r="J663" t="inlineStr">
        <is>
          <t>MVS Sec.13 p.15</t>
        </is>
      </c>
    </row>
    <row r="664">
      <c r="B664" t="inlineStr">
        <is>
          <t>Restaurants – Cafeterias</t>
        </is>
      </c>
      <c r="C664" t="inlineStr">
        <is>
          <t>530</t>
        </is>
      </c>
      <c r="D664" t="inlineStr">
        <is>
          <t>13</t>
        </is>
      </c>
      <c r="E664" t="inlineStr">
        <is>
          <t>15</t>
        </is>
      </c>
      <c r="F664" t="inlineStr">
        <is>
          <t>S</t>
        </is>
      </c>
      <c r="G664" t="inlineStr">
        <is>
          <t>Low Cost</t>
        </is>
      </c>
      <c r="H664" t="n">
        <v>101</v>
      </c>
      <c r="I664">
        <f>B664&amp;"~"&amp;F664&amp;"~"&amp;G664</f>
        <v/>
      </c>
      <c r="J664" t="inlineStr">
        <is>
          <t>MVS Sec.13 p.15</t>
        </is>
      </c>
    </row>
    <row r="665">
      <c r="B665" t="inlineStr">
        <is>
          <t>Truck Stop Restaurants</t>
        </is>
      </c>
      <c r="C665" t="inlineStr">
        <is>
          <t>580</t>
        </is>
      </c>
      <c r="D665" t="inlineStr">
        <is>
          <t>13</t>
        </is>
      </c>
      <c r="E665" t="inlineStr">
        <is>
          <t>16</t>
        </is>
      </c>
      <c r="F665" t="inlineStr">
        <is>
          <t>C</t>
        </is>
      </c>
      <c r="G665" t="inlineStr">
        <is>
          <t>Excellent</t>
        </is>
      </c>
      <c r="H665" t="n">
        <v>279</v>
      </c>
      <c r="I665">
        <f>B665&amp;"~"&amp;F665&amp;"~"&amp;G665</f>
        <v/>
      </c>
      <c r="J665" t="inlineStr">
        <is>
          <t>MVS Sec.13 p.16</t>
        </is>
      </c>
    </row>
    <row r="666">
      <c r="B666" t="inlineStr">
        <is>
          <t>Truck Stop Restaurants</t>
        </is>
      </c>
      <c r="C666" t="inlineStr">
        <is>
          <t>580</t>
        </is>
      </c>
      <c r="D666" t="inlineStr">
        <is>
          <t>13</t>
        </is>
      </c>
      <c r="E666" t="inlineStr">
        <is>
          <t>16</t>
        </is>
      </c>
      <c r="F666" t="inlineStr">
        <is>
          <t>C</t>
        </is>
      </c>
      <c r="G666" t="inlineStr">
        <is>
          <t>Good</t>
        </is>
      </c>
      <c r="H666" t="n">
        <v>230</v>
      </c>
      <c r="I666">
        <f>B666&amp;"~"&amp;F666&amp;"~"&amp;G666</f>
        <v/>
      </c>
      <c r="J666" t="inlineStr">
        <is>
          <t>MVS Sec.13 p.16</t>
        </is>
      </c>
    </row>
    <row r="667">
      <c r="B667" t="inlineStr">
        <is>
          <t>Truck Stop Restaurants</t>
        </is>
      </c>
      <c r="C667" t="inlineStr">
        <is>
          <t>580</t>
        </is>
      </c>
      <c r="D667" t="inlineStr">
        <is>
          <t>13</t>
        </is>
      </c>
      <c r="E667" t="inlineStr">
        <is>
          <t>16</t>
        </is>
      </c>
      <c r="F667" t="inlineStr">
        <is>
          <t>C</t>
        </is>
      </c>
      <c r="G667" t="inlineStr">
        <is>
          <t>Average</t>
        </is>
      </c>
      <c r="H667" t="n">
        <v>189</v>
      </c>
      <c r="I667">
        <f>B667&amp;"~"&amp;F667&amp;"~"&amp;G667</f>
        <v/>
      </c>
      <c r="J667" t="inlineStr">
        <is>
          <t>MVS Sec.13 p.16</t>
        </is>
      </c>
    </row>
    <row r="668">
      <c r="B668" t="inlineStr">
        <is>
          <t>Truck Stop Restaurants</t>
        </is>
      </c>
      <c r="C668" t="inlineStr">
        <is>
          <t>580</t>
        </is>
      </c>
      <c r="D668" t="inlineStr">
        <is>
          <t>13</t>
        </is>
      </c>
      <c r="E668" t="inlineStr">
        <is>
          <t>16</t>
        </is>
      </c>
      <c r="F668" t="inlineStr">
        <is>
          <t>D</t>
        </is>
      </c>
      <c r="G668" t="inlineStr">
        <is>
          <t>Excellent</t>
        </is>
      </c>
      <c r="H668" t="n">
        <v>267</v>
      </c>
      <c r="I668">
        <f>B668&amp;"~"&amp;F668&amp;"~"&amp;G668</f>
        <v/>
      </c>
      <c r="J668" t="inlineStr">
        <is>
          <t>MVS Sec.13 p.16</t>
        </is>
      </c>
    </row>
    <row r="669">
      <c r="B669" t="inlineStr">
        <is>
          <t>Truck Stop Restaurants</t>
        </is>
      </c>
      <c r="C669" t="inlineStr">
        <is>
          <t>580</t>
        </is>
      </c>
      <c r="D669" t="inlineStr">
        <is>
          <t>13</t>
        </is>
      </c>
      <c r="E669" t="inlineStr">
        <is>
          <t>16</t>
        </is>
      </c>
      <c r="F669" t="inlineStr">
        <is>
          <t>D</t>
        </is>
      </c>
      <c r="G669" t="inlineStr">
        <is>
          <t>Good</t>
        </is>
      </c>
      <c r="H669" t="n">
        <v>219</v>
      </c>
      <c r="I669">
        <f>B669&amp;"~"&amp;F669&amp;"~"&amp;G669</f>
        <v/>
      </c>
      <c r="J669" t="inlineStr">
        <is>
          <t>MVS Sec.13 p.16</t>
        </is>
      </c>
    </row>
    <row r="670">
      <c r="B670" t="inlineStr">
        <is>
          <t>Truck Stop Restaurants</t>
        </is>
      </c>
      <c r="C670" t="inlineStr">
        <is>
          <t>580</t>
        </is>
      </c>
      <c r="D670" t="inlineStr">
        <is>
          <t>13</t>
        </is>
      </c>
      <c r="E670" t="inlineStr">
        <is>
          <t>16</t>
        </is>
      </c>
      <c r="F670" t="inlineStr">
        <is>
          <t>D</t>
        </is>
      </c>
      <c r="G670" t="inlineStr">
        <is>
          <t>Average</t>
        </is>
      </c>
      <c r="H670" t="n">
        <v>179</v>
      </c>
      <c r="I670">
        <f>B670&amp;"~"&amp;F670&amp;"~"&amp;G670</f>
        <v/>
      </c>
      <c r="J670" t="inlineStr">
        <is>
          <t>MVS Sec.13 p.16</t>
        </is>
      </c>
    </row>
    <row r="671">
      <c r="B671" t="inlineStr">
        <is>
          <t>Truck Stop Restaurants</t>
        </is>
      </c>
      <c r="C671" t="inlineStr">
        <is>
          <t>580</t>
        </is>
      </c>
      <c r="D671" t="inlineStr">
        <is>
          <t>13</t>
        </is>
      </c>
      <c r="E671" t="inlineStr">
        <is>
          <t>16</t>
        </is>
      </c>
      <c r="F671" t="inlineStr">
        <is>
          <t>S</t>
        </is>
      </c>
      <c r="G671" t="inlineStr">
        <is>
          <t>Good</t>
        </is>
      </c>
      <c r="H671" t="n">
        <v>221</v>
      </c>
      <c r="I671">
        <f>B671&amp;"~"&amp;F671&amp;"~"&amp;G671</f>
        <v/>
      </c>
      <c r="J671" t="inlineStr">
        <is>
          <t>MVS Sec.13 p.16</t>
        </is>
      </c>
    </row>
    <row r="672">
      <c r="B672" t="inlineStr">
        <is>
          <t>Truck Stop Restaurants</t>
        </is>
      </c>
      <c r="C672" t="inlineStr">
        <is>
          <t>580</t>
        </is>
      </c>
      <c r="D672" t="inlineStr">
        <is>
          <t>13</t>
        </is>
      </c>
      <c r="E672" t="inlineStr">
        <is>
          <t>16</t>
        </is>
      </c>
      <c r="F672" t="inlineStr">
        <is>
          <t>S</t>
        </is>
      </c>
      <c r="G672" t="inlineStr">
        <is>
          <t>Average</t>
        </is>
      </c>
      <c r="H672" t="n">
        <v>180</v>
      </c>
      <c r="I672">
        <f>B672&amp;"~"&amp;F672&amp;"~"&amp;G672</f>
        <v/>
      </c>
      <c r="J672" t="inlineStr">
        <is>
          <t>MVS Sec.13 p.16</t>
        </is>
      </c>
    </row>
    <row r="673">
      <c r="B673" t="inlineStr">
        <is>
          <t>Dining Atriums/Play Rooms</t>
        </is>
      </c>
      <c r="C673" t="inlineStr">
        <is>
          <t>575</t>
        </is>
      </c>
      <c r="D673" t="inlineStr">
        <is>
          <t>13</t>
        </is>
      </c>
      <c r="E673" t="inlineStr">
        <is>
          <t>16</t>
        </is>
      </c>
      <c r="F673" t="inlineStr">
        <is>
          <t>C</t>
        </is>
      </c>
      <c r="G673" t="inlineStr">
        <is>
          <t>Good</t>
        </is>
      </c>
      <c r="H673" t="n">
        <v>193</v>
      </c>
      <c r="I673">
        <f>B673&amp;"~"&amp;F673&amp;"~"&amp;G673</f>
        <v/>
      </c>
      <c r="J673" t="inlineStr">
        <is>
          <t>MVS Sec.13 p.16</t>
        </is>
      </c>
    </row>
    <row r="674">
      <c r="B674" t="inlineStr">
        <is>
          <t>Dining Atriums/Play Rooms</t>
        </is>
      </c>
      <c r="C674" t="inlineStr">
        <is>
          <t>575</t>
        </is>
      </c>
      <c r="D674" t="inlineStr">
        <is>
          <t>13</t>
        </is>
      </c>
      <c r="E674" t="inlineStr">
        <is>
          <t>16</t>
        </is>
      </c>
      <c r="F674" t="inlineStr">
        <is>
          <t>C</t>
        </is>
      </c>
      <c r="G674" t="inlineStr">
        <is>
          <t>Average</t>
        </is>
      </c>
      <c r="H674" t="n">
        <v>118</v>
      </c>
      <c r="I674">
        <f>B674&amp;"~"&amp;F674&amp;"~"&amp;G674</f>
        <v/>
      </c>
      <c r="J674" t="inlineStr">
        <is>
          <t>MVS Sec.13 p.16</t>
        </is>
      </c>
    </row>
    <row r="675">
      <c r="B675" t="inlineStr">
        <is>
          <t>Dining Atriums/Play Rooms</t>
        </is>
      </c>
      <c r="C675" t="inlineStr">
        <is>
          <t>575</t>
        </is>
      </c>
      <c r="D675" t="inlineStr">
        <is>
          <t>13</t>
        </is>
      </c>
      <c r="E675" t="inlineStr">
        <is>
          <t>16</t>
        </is>
      </c>
      <c r="F675" t="inlineStr">
        <is>
          <t>C</t>
        </is>
      </c>
      <c r="G675" t="inlineStr">
        <is>
          <t>Low Cost</t>
        </is>
      </c>
      <c r="H675" t="n">
        <v>73</v>
      </c>
      <c r="I675">
        <f>B675&amp;"~"&amp;F675&amp;"~"&amp;G675</f>
        <v/>
      </c>
      <c r="J675" t="inlineStr">
        <is>
          <t>MVS Sec.13 p.16</t>
        </is>
      </c>
    </row>
    <row r="676">
      <c r="B676" t="inlineStr">
        <is>
          <t>Dining Atriums/Play Rooms</t>
        </is>
      </c>
      <c r="C676" t="inlineStr">
        <is>
          <t>575</t>
        </is>
      </c>
      <c r="D676" t="inlineStr">
        <is>
          <t>13</t>
        </is>
      </c>
      <c r="E676" t="inlineStr">
        <is>
          <t>16</t>
        </is>
      </c>
      <c r="F676" t="inlineStr">
        <is>
          <t>D</t>
        </is>
      </c>
      <c r="G676" t="inlineStr">
        <is>
          <t>Good</t>
        </is>
      </c>
      <c r="H676" t="n">
        <v>177</v>
      </c>
      <c r="I676">
        <f>B676&amp;"~"&amp;F676&amp;"~"&amp;G676</f>
        <v/>
      </c>
      <c r="J676" t="inlineStr">
        <is>
          <t>MVS Sec.13 p.16</t>
        </is>
      </c>
    </row>
    <row r="677">
      <c r="B677" t="inlineStr">
        <is>
          <t>Dining Atriums/Play Rooms</t>
        </is>
      </c>
      <c r="C677" t="inlineStr">
        <is>
          <t>575</t>
        </is>
      </c>
      <c r="D677" t="inlineStr">
        <is>
          <t>13</t>
        </is>
      </c>
      <c r="E677" t="inlineStr">
        <is>
          <t>16</t>
        </is>
      </c>
      <c r="F677" t="inlineStr">
        <is>
          <t>D</t>
        </is>
      </c>
      <c r="G677" t="inlineStr">
        <is>
          <t>Average</t>
        </is>
      </c>
      <c r="H677" t="n">
        <v>104</v>
      </c>
      <c r="I677">
        <f>B677&amp;"~"&amp;F677&amp;"~"&amp;G677</f>
        <v/>
      </c>
      <c r="J677" t="inlineStr">
        <is>
          <t>MVS Sec.13 p.16</t>
        </is>
      </c>
    </row>
    <row r="678">
      <c r="B678" t="inlineStr">
        <is>
          <t>Dining Atriums/Play Rooms</t>
        </is>
      </c>
      <c r="C678" t="inlineStr">
        <is>
          <t>575</t>
        </is>
      </c>
      <c r="D678" t="inlineStr">
        <is>
          <t>13</t>
        </is>
      </c>
      <c r="E678" t="inlineStr">
        <is>
          <t>16</t>
        </is>
      </c>
      <c r="F678" t="inlineStr">
        <is>
          <t>D</t>
        </is>
      </c>
      <c r="G678" t="inlineStr">
        <is>
          <t>Low Cost</t>
        </is>
      </c>
      <c r="H678" t="n">
        <v>61.5</v>
      </c>
      <c r="I678">
        <f>B678&amp;"~"&amp;F678&amp;"~"&amp;G678</f>
        <v/>
      </c>
      <c r="J678" t="inlineStr">
        <is>
          <t>MVS Sec.13 p.16</t>
        </is>
      </c>
    </row>
    <row r="679">
      <c r="B679" t="inlineStr">
        <is>
          <t>Dining Atriums/Play Rooms</t>
        </is>
      </c>
      <c r="C679" t="inlineStr">
        <is>
          <t>575</t>
        </is>
      </c>
      <c r="D679" t="inlineStr">
        <is>
          <t>13</t>
        </is>
      </c>
      <c r="E679" t="inlineStr">
        <is>
          <t>16</t>
        </is>
      </c>
      <c r="F679" t="inlineStr">
        <is>
          <t>S</t>
        </is>
      </c>
      <c r="G679" t="inlineStr">
        <is>
          <t>Excellent</t>
        </is>
      </c>
      <c r="H679" t="n">
        <v>305</v>
      </c>
      <c r="I679">
        <f>B679&amp;"~"&amp;F679&amp;"~"&amp;G679</f>
        <v/>
      </c>
      <c r="J679" t="inlineStr">
        <is>
          <t>MVS Sec.13 p.16</t>
        </is>
      </c>
    </row>
    <row r="680">
      <c r="B680" t="inlineStr">
        <is>
          <t>Dining Atriums/Play Rooms</t>
        </is>
      </c>
      <c r="C680" t="inlineStr">
        <is>
          <t>575</t>
        </is>
      </c>
      <c r="D680" t="inlineStr">
        <is>
          <t>13</t>
        </is>
      </c>
      <c r="E680" t="inlineStr">
        <is>
          <t>16</t>
        </is>
      </c>
      <c r="F680" t="inlineStr">
        <is>
          <t>S</t>
        </is>
      </c>
      <c r="G680" t="inlineStr">
        <is>
          <t>Very Good</t>
        </is>
      </c>
      <c r="H680" t="n">
        <v>229</v>
      </c>
      <c r="I680">
        <f>B680&amp;"~"&amp;F680&amp;"~"&amp;G680</f>
        <v/>
      </c>
      <c r="J680" t="inlineStr">
        <is>
          <t>MVS Sec.13 p.16</t>
        </is>
      </c>
    </row>
    <row r="681">
      <c r="B681" t="inlineStr">
        <is>
          <t>Dining Atriums/Play Rooms</t>
        </is>
      </c>
      <c r="C681" t="inlineStr">
        <is>
          <t>575</t>
        </is>
      </c>
      <c r="D681" t="inlineStr">
        <is>
          <t>13</t>
        </is>
      </c>
      <c r="E681" t="inlineStr">
        <is>
          <t>16</t>
        </is>
      </c>
      <c r="F681" t="inlineStr">
        <is>
          <t>S</t>
        </is>
      </c>
      <c r="G681" t="inlineStr">
        <is>
          <t>Good</t>
        </is>
      </c>
      <c r="H681" t="n">
        <v>172</v>
      </c>
      <c r="I681">
        <f>B681&amp;"~"&amp;F681&amp;"~"&amp;G681</f>
        <v/>
      </c>
      <c r="J681" t="inlineStr">
        <is>
          <t>MVS Sec.13 p.16</t>
        </is>
      </c>
    </row>
    <row r="682">
      <c r="B682" t="inlineStr">
        <is>
          <t>Dining Atriums/Play Rooms</t>
        </is>
      </c>
      <c r="C682" t="inlineStr">
        <is>
          <t>575</t>
        </is>
      </c>
      <c r="D682" t="inlineStr">
        <is>
          <t>13</t>
        </is>
      </c>
      <c r="E682" t="inlineStr">
        <is>
          <t>16</t>
        </is>
      </c>
      <c r="F682" t="inlineStr">
        <is>
          <t>S</t>
        </is>
      </c>
      <c r="G682" t="inlineStr">
        <is>
          <t>Average</t>
        </is>
      </c>
      <c r="H682" t="n">
        <v>98</v>
      </c>
      <c r="I682">
        <f>B682&amp;"~"&amp;F682&amp;"~"&amp;G682</f>
        <v/>
      </c>
      <c r="J682" t="inlineStr">
        <is>
          <t>MVS Sec.13 p.16</t>
        </is>
      </c>
    </row>
    <row r="683">
      <c r="B683" t="inlineStr">
        <is>
          <t>Dining Atriums/Play Rooms</t>
        </is>
      </c>
      <c r="C683" t="inlineStr">
        <is>
          <t>575</t>
        </is>
      </c>
      <c r="D683" t="inlineStr">
        <is>
          <t>13</t>
        </is>
      </c>
      <c r="E683" t="inlineStr">
        <is>
          <t>16</t>
        </is>
      </c>
      <c r="F683" t="inlineStr">
        <is>
          <t>S</t>
        </is>
      </c>
      <c r="G683" t="inlineStr">
        <is>
          <t>Low Cost</t>
        </is>
      </c>
      <c r="H683" t="n">
        <v>55.5</v>
      </c>
      <c r="I683">
        <f>B683&amp;"~"&amp;F683&amp;"~"&amp;G683</f>
        <v/>
      </c>
      <c r="J683" t="inlineStr">
        <is>
          <t>MVS Sec.13 p.16</t>
        </is>
      </c>
    </row>
    <row r="684">
      <c r="B684" t="inlineStr">
        <is>
          <t>Dining Atriums/Play Rooms</t>
        </is>
      </c>
      <c r="C684" t="inlineStr">
        <is>
          <t>575</t>
        </is>
      </c>
      <c r="D684" t="inlineStr">
        <is>
          <t>13</t>
        </is>
      </c>
      <c r="E684" t="inlineStr">
        <is>
          <t>16</t>
        </is>
      </c>
      <c r="F684" t="inlineStr">
        <is>
          <t>S</t>
        </is>
      </c>
      <c r="G684" t="inlineStr">
        <is>
          <t>Cheap</t>
        </is>
      </c>
      <c r="H684" t="n">
        <v>31.5</v>
      </c>
      <c r="I684">
        <f>B684&amp;"~"&amp;F684&amp;"~"&amp;G684</f>
        <v/>
      </c>
      <c r="J684" t="inlineStr">
        <is>
          <t>MVS Sec.13 p.16</t>
        </is>
      </c>
    </row>
    <row r="685">
      <c r="B685" t="inlineStr">
        <is>
          <t>Restaurants – Fast Food</t>
        </is>
      </c>
      <c r="C685" t="inlineStr">
        <is>
          <t>349</t>
        </is>
      </c>
      <c r="D685" t="inlineStr">
        <is>
          <t>13</t>
        </is>
      </c>
      <c r="E685" t="inlineStr">
        <is>
          <t>17</t>
        </is>
      </c>
      <c r="F685" t="inlineStr">
        <is>
          <t>A-B</t>
        </is>
      </c>
      <c r="G685" t="inlineStr">
        <is>
          <t>Good</t>
        </is>
      </c>
      <c r="H685" t="n">
        <v>340</v>
      </c>
      <c r="I685">
        <f>B685&amp;"~"&amp;F685&amp;"~"&amp;G685</f>
        <v/>
      </c>
      <c r="J685" t="inlineStr">
        <is>
          <t>MVS Sec.13 p.17</t>
        </is>
      </c>
    </row>
    <row r="686">
      <c r="B686" t="inlineStr">
        <is>
          <t>Restaurants – Fast Food</t>
        </is>
      </c>
      <c r="C686" t="inlineStr">
        <is>
          <t>349</t>
        </is>
      </c>
      <c r="D686" t="inlineStr">
        <is>
          <t>13</t>
        </is>
      </c>
      <c r="E686" t="inlineStr">
        <is>
          <t>17</t>
        </is>
      </c>
      <c r="F686" t="inlineStr">
        <is>
          <t>A-B</t>
        </is>
      </c>
      <c r="G686" t="inlineStr">
        <is>
          <t>Average</t>
        </is>
      </c>
      <c r="H686" t="n">
        <v>257</v>
      </c>
      <c r="I686">
        <f>B686&amp;"~"&amp;F686&amp;"~"&amp;G686</f>
        <v/>
      </c>
      <c r="J686" t="inlineStr">
        <is>
          <t>MVS Sec.13 p.17</t>
        </is>
      </c>
    </row>
    <row r="687">
      <c r="B687" t="inlineStr">
        <is>
          <t>Restaurants – Fast Food</t>
        </is>
      </c>
      <c r="C687" t="inlineStr">
        <is>
          <t>349</t>
        </is>
      </c>
      <c r="D687" t="inlineStr">
        <is>
          <t>13</t>
        </is>
      </c>
      <c r="E687" t="inlineStr">
        <is>
          <t>17</t>
        </is>
      </c>
      <c r="F687" t="inlineStr">
        <is>
          <t>C</t>
        </is>
      </c>
      <c r="G687" t="inlineStr">
        <is>
          <t>Excellent</t>
        </is>
      </c>
      <c r="H687" t="n">
        <v>416</v>
      </c>
      <c r="I687">
        <f>B687&amp;"~"&amp;F687&amp;"~"&amp;G687</f>
        <v/>
      </c>
      <c r="J687" t="inlineStr">
        <is>
          <t>MVS Sec.13 p.17</t>
        </is>
      </c>
    </row>
    <row r="688">
      <c r="B688" t="inlineStr">
        <is>
          <t>Restaurants – Fast Food</t>
        </is>
      </c>
      <c r="C688" t="inlineStr">
        <is>
          <t>349</t>
        </is>
      </c>
      <c r="D688" t="inlineStr">
        <is>
          <t>13</t>
        </is>
      </c>
      <c r="E688" t="inlineStr">
        <is>
          <t>17</t>
        </is>
      </c>
      <c r="F688" t="inlineStr">
        <is>
          <t>C</t>
        </is>
      </c>
      <c r="G688" t="inlineStr">
        <is>
          <t>Very Good</t>
        </is>
      </c>
      <c r="H688" t="n">
        <v>319</v>
      </c>
      <c r="I688">
        <f>B688&amp;"~"&amp;F688&amp;"~"&amp;G688</f>
        <v/>
      </c>
      <c r="J688" t="inlineStr">
        <is>
          <t>MVS Sec.13 p.17</t>
        </is>
      </c>
    </row>
    <row r="689">
      <c r="B689" t="inlineStr">
        <is>
          <t>Restaurants – Fast Food</t>
        </is>
      </c>
      <c r="C689" t="inlineStr">
        <is>
          <t>349</t>
        </is>
      </c>
      <c r="D689" t="inlineStr">
        <is>
          <t>13</t>
        </is>
      </c>
      <c r="E689" t="inlineStr">
        <is>
          <t>17</t>
        </is>
      </c>
      <c r="F689" t="inlineStr">
        <is>
          <t>C</t>
        </is>
      </c>
      <c r="G689" t="inlineStr">
        <is>
          <t>Good</t>
        </is>
      </c>
      <c r="H689" t="n">
        <v>246</v>
      </c>
      <c r="I689">
        <f>B689&amp;"~"&amp;F689&amp;"~"&amp;G689</f>
        <v/>
      </c>
      <c r="J689" t="inlineStr">
        <is>
          <t>MVS Sec.13 p.17</t>
        </is>
      </c>
    </row>
    <row r="690">
      <c r="B690" t="inlineStr">
        <is>
          <t>Restaurants – Fast Food</t>
        </is>
      </c>
      <c r="C690" t="inlineStr">
        <is>
          <t>349</t>
        </is>
      </c>
      <c r="D690" t="inlineStr">
        <is>
          <t>13</t>
        </is>
      </c>
      <c r="E690" t="inlineStr">
        <is>
          <t>17</t>
        </is>
      </c>
      <c r="F690" t="inlineStr">
        <is>
          <t>C</t>
        </is>
      </c>
      <c r="G690" t="inlineStr">
        <is>
          <t>Average</t>
        </is>
      </c>
      <c r="H690" t="n">
        <v>191</v>
      </c>
      <c r="I690">
        <f>B690&amp;"~"&amp;F690&amp;"~"&amp;G690</f>
        <v/>
      </c>
      <c r="J690" t="inlineStr">
        <is>
          <t>MVS Sec.13 p.17</t>
        </is>
      </c>
    </row>
    <row r="691">
      <c r="B691" t="inlineStr">
        <is>
          <t>Restaurants – Fast Food</t>
        </is>
      </c>
      <c r="C691" t="inlineStr">
        <is>
          <t>349</t>
        </is>
      </c>
      <c r="D691" t="inlineStr">
        <is>
          <t>13</t>
        </is>
      </c>
      <c r="E691" t="inlineStr">
        <is>
          <t>17</t>
        </is>
      </c>
      <c r="F691" t="inlineStr">
        <is>
          <t>C</t>
        </is>
      </c>
      <c r="G691" t="inlineStr">
        <is>
          <t>Low Cost</t>
        </is>
      </c>
      <c r="H691" t="n">
        <v>138</v>
      </c>
      <c r="I691">
        <f>B691&amp;"~"&amp;F691&amp;"~"&amp;G691</f>
        <v/>
      </c>
      <c r="J691" t="inlineStr">
        <is>
          <t>MVS Sec.13 p.17</t>
        </is>
      </c>
    </row>
    <row r="692">
      <c r="B692" t="inlineStr">
        <is>
          <t>Restaurants – Fast Food</t>
        </is>
      </c>
      <c r="C692" t="inlineStr">
        <is>
          <t>349</t>
        </is>
      </c>
      <c r="D692" t="inlineStr">
        <is>
          <t>13</t>
        </is>
      </c>
      <c r="E692" t="inlineStr">
        <is>
          <t>17</t>
        </is>
      </c>
      <c r="F692" t="inlineStr">
        <is>
          <t>D</t>
        </is>
      </c>
      <c r="G692" t="inlineStr">
        <is>
          <t>Excellent</t>
        </is>
      </c>
      <c r="H692" t="n">
        <v>399</v>
      </c>
      <c r="I692">
        <f>B692&amp;"~"&amp;F692&amp;"~"&amp;G692</f>
        <v/>
      </c>
      <c r="J692" t="inlineStr">
        <is>
          <t>MVS Sec.13 p.17</t>
        </is>
      </c>
    </row>
    <row r="693">
      <c r="B693" t="inlineStr">
        <is>
          <t>Restaurants – Fast Food</t>
        </is>
      </c>
      <c r="C693" t="inlineStr">
        <is>
          <t>349</t>
        </is>
      </c>
      <c r="D693" t="inlineStr">
        <is>
          <t>13</t>
        </is>
      </c>
      <c r="E693" t="inlineStr">
        <is>
          <t>17</t>
        </is>
      </c>
      <c r="F693" t="inlineStr">
        <is>
          <t>D</t>
        </is>
      </c>
      <c r="G693" t="inlineStr">
        <is>
          <t>Very Good</t>
        </is>
      </c>
      <c r="H693" t="n">
        <v>302</v>
      </c>
      <c r="I693">
        <f>B693&amp;"~"&amp;F693&amp;"~"&amp;G693</f>
        <v/>
      </c>
      <c r="J693" t="inlineStr">
        <is>
          <t>MVS Sec.13 p.17</t>
        </is>
      </c>
    </row>
    <row r="694">
      <c r="B694" t="inlineStr">
        <is>
          <t>Restaurants – Fast Food</t>
        </is>
      </c>
      <c r="C694" t="inlineStr">
        <is>
          <t>349</t>
        </is>
      </c>
      <c r="D694" t="inlineStr">
        <is>
          <t>13</t>
        </is>
      </c>
      <c r="E694" t="inlineStr">
        <is>
          <t>17</t>
        </is>
      </c>
      <c r="F694" t="inlineStr">
        <is>
          <t>D</t>
        </is>
      </c>
      <c r="G694" t="inlineStr">
        <is>
          <t>Good</t>
        </is>
      </c>
      <c r="H694" t="n">
        <v>230</v>
      </c>
      <c r="I694">
        <f>B694&amp;"~"&amp;F694&amp;"~"&amp;G694</f>
        <v/>
      </c>
      <c r="J694" t="inlineStr">
        <is>
          <t>MVS Sec.13 p.17</t>
        </is>
      </c>
    </row>
    <row r="695">
      <c r="B695" t="inlineStr">
        <is>
          <t>Restaurants – Fast Food</t>
        </is>
      </c>
      <c r="C695" t="inlineStr">
        <is>
          <t>349</t>
        </is>
      </c>
      <c r="D695" t="inlineStr">
        <is>
          <t>13</t>
        </is>
      </c>
      <c r="E695" t="inlineStr">
        <is>
          <t>17</t>
        </is>
      </c>
      <c r="F695" t="inlineStr">
        <is>
          <t>D</t>
        </is>
      </c>
      <c r="G695" t="inlineStr">
        <is>
          <t>Average</t>
        </is>
      </c>
      <c r="H695" t="n">
        <v>176</v>
      </c>
      <c r="I695">
        <f>B695&amp;"~"&amp;F695&amp;"~"&amp;G695</f>
        <v/>
      </c>
      <c r="J695" t="inlineStr">
        <is>
          <t>MVS Sec.13 p.17</t>
        </is>
      </c>
    </row>
    <row r="696">
      <c r="B696" t="inlineStr">
        <is>
          <t>Restaurants – Fast Food</t>
        </is>
      </c>
      <c r="C696" t="inlineStr">
        <is>
          <t>349</t>
        </is>
      </c>
      <c r="D696" t="inlineStr">
        <is>
          <t>13</t>
        </is>
      </c>
      <c r="E696" t="inlineStr">
        <is>
          <t>17</t>
        </is>
      </c>
      <c r="F696" t="inlineStr">
        <is>
          <t>D</t>
        </is>
      </c>
      <c r="G696" t="inlineStr">
        <is>
          <t>Low Cost</t>
        </is>
      </c>
      <c r="H696" t="n">
        <v>125</v>
      </c>
      <c r="I696">
        <f>B696&amp;"~"&amp;F696&amp;"~"&amp;G696</f>
        <v/>
      </c>
      <c r="J696" t="inlineStr">
        <is>
          <t>MVS Sec.13 p.17</t>
        </is>
      </c>
    </row>
    <row r="697">
      <c r="B697" t="inlineStr">
        <is>
          <t>Restaurants – Fast Food</t>
        </is>
      </c>
      <c r="C697" t="inlineStr">
        <is>
          <t>349</t>
        </is>
      </c>
      <c r="D697" t="inlineStr">
        <is>
          <t>13</t>
        </is>
      </c>
      <c r="E697" t="inlineStr">
        <is>
          <t>17</t>
        </is>
      </c>
      <c r="F697" t="inlineStr">
        <is>
          <t>S</t>
        </is>
      </c>
      <c r="G697" t="inlineStr">
        <is>
          <t>Excellent</t>
        </is>
      </c>
      <c r="H697" t="n">
        <v>321</v>
      </c>
      <c r="I697">
        <f>B697&amp;"~"&amp;F697&amp;"~"&amp;G697</f>
        <v/>
      </c>
      <c r="J697" t="inlineStr">
        <is>
          <t>MVS Sec.13 p.17</t>
        </is>
      </c>
    </row>
    <row r="698">
      <c r="B698" t="inlineStr">
        <is>
          <t>Restaurants – Fast Food</t>
        </is>
      </c>
      <c r="C698" t="inlineStr">
        <is>
          <t>349</t>
        </is>
      </c>
      <c r="D698" t="inlineStr">
        <is>
          <t>13</t>
        </is>
      </c>
      <c r="E698" t="inlineStr">
        <is>
          <t>17</t>
        </is>
      </c>
      <c r="F698" t="inlineStr">
        <is>
          <t>S</t>
        </is>
      </c>
      <c r="G698" t="inlineStr">
        <is>
          <t>Good</t>
        </is>
      </c>
      <c r="H698" t="n">
        <v>233</v>
      </c>
      <c r="I698">
        <f>B698&amp;"~"&amp;F698&amp;"~"&amp;G698</f>
        <v/>
      </c>
      <c r="J698" t="inlineStr">
        <is>
          <t>MVS Sec.13 p.17</t>
        </is>
      </c>
    </row>
    <row r="699">
      <c r="B699" t="inlineStr">
        <is>
          <t>Restaurants – Fast Food</t>
        </is>
      </c>
      <c r="C699" t="inlineStr">
        <is>
          <t>349</t>
        </is>
      </c>
      <c r="D699" t="inlineStr">
        <is>
          <t>13</t>
        </is>
      </c>
      <c r="E699" t="inlineStr">
        <is>
          <t>17</t>
        </is>
      </c>
      <c r="F699" t="inlineStr">
        <is>
          <t>S</t>
        </is>
      </c>
      <c r="G699" t="inlineStr">
        <is>
          <t>Average</t>
        </is>
      </c>
      <c r="H699" t="n">
        <v>174</v>
      </c>
      <c r="I699">
        <f>B699&amp;"~"&amp;F699&amp;"~"&amp;G699</f>
        <v/>
      </c>
      <c r="J699" t="inlineStr">
        <is>
          <t>MVS Sec.13 p.17</t>
        </is>
      </c>
    </row>
    <row r="700">
      <c r="B700" t="inlineStr">
        <is>
          <t>Restaurants – Fast Food</t>
        </is>
      </c>
      <c r="C700" t="inlineStr">
        <is>
          <t>349</t>
        </is>
      </c>
      <c r="D700" t="inlineStr">
        <is>
          <t>13</t>
        </is>
      </c>
      <c r="E700" t="inlineStr">
        <is>
          <t>17</t>
        </is>
      </c>
      <c r="F700" t="inlineStr">
        <is>
          <t>S</t>
        </is>
      </c>
      <c r="G700" t="inlineStr">
        <is>
          <t>Low Cost</t>
        </is>
      </c>
      <c r="H700" t="n">
        <v>121</v>
      </c>
      <c r="I700">
        <f>B700&amp;"~"&amp;F700&amp;"~"&amp;G700</f>
        <v/>
      </c>
      <c r="J700" t="inlineStr">
        <is>
          <t>MVS Sec.13 p.17</t>
        </is>
      </c>
    </row>
    <row r="701">
      <c r="B701" t="inlineStr">
        <is>
          <t>Snack Bars</t>
        </is>
      </c>
      <c r="C701" t="inlineStr">
        <is>
          <t>529</t>
        </is>
      </c>
      <c r="D701" t="inlineStr">
        <is>
          <t>13</t>
        </is>
      </c>
      <c r="E701" t="inlineStr">
        <is>
          <t>18</t>
        </is>
      </c>
      <c r="F701" t="inlineStr">
        <is>
          <t>C</t>
        </is>
      </c>
      <c r="G701" t="inlineStr">
        <is>
          <t>Excellent</t>
        </is>
      </c>
      <c r="H701" t="n">
        <v>258</v>
      </c>
      <c r="I701">
        <f>B701&amp;"~"&amp;F701&amp;"~"&amp;G701</f>
        <v/>
      </c>
      <c r="J701" t="inlineStr">
        <is>
          <t>MVS Sec.13 p.18</t>
        </is>
      </c>
    </row>
    <row r="702">
      <c r="B702" t="inlineStr">
        <is>
          <t>Snack Bars</t>
        </is>
      </c>
      <c r="C702" t="inlineStr">
        <is>
          <t>529</t>
        </is>
      </c>
      <c r="D702" t="inlineStr">
        <is>
          <t>13</t>
        </is>
      </c>
      <c r="E702" t="inlineStr">
        <is>
          <t>18</t>
        </is>
      </c>
      <c r="F702" t="inlineStr">
        <is>
          <t>C</t>
        </is>
      </c>
      <c r="G702" t="inlineStr">
        <is>
          <t>Good</t>
        </is>
      </c>
      <c r="H702" t="n">
        <v>171</v>
      </c>
      <c r="I702">
        <f>B702&amp;"~"&amp;F702&amp;"~"&amp;G702</f>
        <v/>
      </c>
      <c r="J702" t="inlineStr">
        <is>
          <t>MVS Sec.13 p.18</t>
        </is>
      </c>
    </row>
    <row r="703">
      <c r="B703" t="inlineStr">
        <is>
          <t>Snack Bars</t>
        </is>
      </c>
      <c r="C703" t="inlineStr">
        <is>
          <t>529</t>
        </is>
      </c>
      <c r="D703" t="inlineStr">
        <is>
          <t>13</t>
        </is>
      </c>
      <c r="E703" t="inlineStr">
        <is>
          <t>18</t>
        </is>
      </c>
      <c r="F703" t="inlineStr">
        <is>
          <t>C</t>
        </is>
      </c>
      <c r="G703" t="inlineStr">
        <is>
          <t>Average</t>
        </is>
      </c>
      <c r="H703" t="n">
        <v>114</v>
      </c>
      <c r="I703">
        <f>B703&amp;"~"&amp;F703&amp;"~"&amp;G703</f>
        <v/>
      </c>
      <c r="J703" t="inlineStr">
        <is>
          <t>MVS Sec.13 p.18</t>
        </is>
      </c>
    </row>
    <row r="704">
      <c r="B704" t="inlineStr">
        <is>
          <t>Snack Bars</t>
        </is>
      </c>
      <c r="C704" t="inlineStr">
        <is>
          <t>529</t>
        </is>
      </c>
      <c r="D704" t="inlineStr">
        <is>
          <t>13</t>
        </is>
      </c>
      <c r="E704" t="inlineStr">
        <is>
          <t>18</t>
        </is>
      </c>
      <c r="F704" t="inlineStr">
        <is>
          <t>C</t>
        </is>
      </c>
      <c r="G704" t="inlineStr">
        <is>
          <t>Low Cost</t>
        </is>
      </c>
      <c r="H704" t="n">
        <v>74</v>
      </c>
      <c r="I704">
        <f>B704&amp;"~"&amp;F704&amp;"~"&amp;G704</f>
        <v/>
      </c>
      <c r="J704" t="inlineStr">
        <is>
          <t>MVS Sec.13 p.18</t>
        </is>
      </c>
    </row>
    <row r="705">
      <c r="B705" t="inlineStr">
        <is>
          <t>Snack Bars</t>
        </is>
      </c>
      <c r="C705" t="inlineStr">
        <is>
          <t>529</t>
        </is>
      </c>
      <c r="D705" t="inlineStr">
        <is>
          <t>13</t>
        </is>
      </c>
      <c r="E705" t="inlineStr">
        <is>
          <t>18</t>
        </is>
      </c>
      <c r="F705" t="inlineStr">
        <is>
          <t>C</t>
        </is>
      </c>
      <c r="G705" t="inlineStr">
        <is>
          <t>Cheap</t>
        </is>
      </c>
      <c r="H705" t="n">
        <v>60</v>
      </c>
      <c r="I705">
        <f>B705&amp;"~"&amp;F705&amp;"~"&amp;G705</f>
        <v/>
      </c>
      <c r="J705" t="inlineStr">
        <is>
          <t>MVS Sec.13 p.18</t>
        </is>
      </c>
    </row>
    <row r="706">
      <c r="B706" t="inlineStr">
        <is>
          <t>Snack Bars</t>
        </is>
      </c>
      <c r="C706" t="inlineStr">
        <is>
          <t>529</t>
        </is>
      </c>
      <c r="D706" t="inlineStr">
        <is>
          <t>13</t>
        </is>
      </c>
      <c r="E706" t="inlineStr">
        <is>
          <t>18</t>
        </is>
      </c>
      <c r="F706" t="inlineStr">
        <is>
          <t>D</t>
        </is>
      </c>
      <c r="G706" t="inlineStr">
        <is>
          <t>Excellent</t>
        </is>
      </c>
      <c r="H706" t="n">
        <v>249</v>
      </c>
      <c r="I706">
        <f>B706&amp;"~"&amp;F706&amp;"~"&amp;G706</f>
        <v/>
      </c>
      <c r="J706" t="inlineStr">
        <is>
          <t>MVS Sec.13 p.18</t>
        </is>
      </c>
    </row>
    <row r="707">
      <c r="B707" t="inlineStr">
        <is>
          <t>Snack Bars</t>
        </is>
      </c>
      <c r="C707" t="inlineStr">
        <is>
          <t>529</t>
        </is>
      </c>
      <c r="D707" t="inlineStr">
        <is>
          <t>13</t>
        </is>
      </c>
      <c r="E707" t="inlineStr">
        <is>
          <t>18</t>
        </is>
      </c>
      <c r="F707" t="inlineStr">
        <is>
          <t>D</t>
        </is>
      </c>
      <c r="G707" t="inlineStr">
        <is>
          <t>Good</t>
        </is>
      </c>
      <c r="H707" t="n">
        <v>159</v>
      </c>
      <c r="I707">
        <f>B707&amp;"~"&amp;F707&amp;"~"&amp;G707</f>
        <v/>
      </c>
      <c r="J707" t="inlineStr">
        <is>
          <t>MVS Sec.13 p.18</t>
        </is>
      </c>
    </row>
    <row r="708">
      <c r="B708" t="inlineStr">
        <is>
          <t>Snack Bars</t>
        </is>
      </c>
      <c r="C708" t="inlineStr">
        <is>
          <t>529</t>
        </is>
      </c>
      <c r="D708" t="inlineStr">
        <is>
          <t>13</t>
        </is>
      </c>
      <c r="E708" t="inlineStr">
        <is>
          <t>18</t>
        </is>
      </c>
      <c r="F708" t="inlineStr">
        <is>
          <t>D</t>
        </is>
      </c>
      <c r="G708" t="inlineStr">
        <is>
          <t>Average</t>
        </is>
      </c>
      <c r="H708" t="n">
        <v>103</v>
      </c>
      <c r="I708">
        <f>B708&amp;"~"&amp;F708&amp;"~"&amp;G708</f>
        <v/>
      </c>
      <c r="J708" t="inlineStr">
        <is>
          <t>MVS Sec.13 p.18</t>
        </is>
      </c>
    </row>
    <row r="709">
      <c r="B709" t="inlineStr">
        <is>
          <t>Snack Bars</t>
        </is>
      </c>
      <c r="C709" t="inlineStr">
        <is>
          <t>529</t>
        </is>
      </c>
      <c r="D709" t="inlineStr">
        <is>
          <t>13</t>
        </is>
      </c>
      <c r="E709" t="inlineStr">
        <is>
          <t>18</t>
        </is>
      </c>
      <c r="F709" t="inlineStr">
        <is>
          <t>D</t>
        </is>
      </c>
      <c r="G709" t="inlineStr">
        <is>
          <t>Low Cost</t>
        </is>
      </c>
      <c r="H709" t="n">
        <v>64</v>
      </c>
      <c r="I709">
        <f>B709&amp;"~"&amp;F709&amp;"~"&amp;G709</f>
        <v/>
      </c>
      <c r="J709" t="inlineStr">
        <is>
          <t>MVS Sec.13 p.18</t>
        </is>
      </c>
    </row>
    <row r="710">
      <c r="B710" t="inlineStr">
        <is>
          <t>Snack Bars</t>
        </is>
      </c>
      <c r="C710" t="inlineStr">
        <is>
          <t>529</t>
        </is>
      </c>
      <c r="D710" t="inlineStr">
        <is>
          <t>13</t>
        </is>
      </c>
      <c r="E710" t="inlineStr">
        <is>
          <t>18</t>
        </is>
      </c>
      <c r="F710" t="inlineStr">
        <is>
          <t>D</t>
        </is>
      </c>
      <c r="G710" t="inlineStr">
        <is>
          <t>Cheap</t>
        </is>
      </c>
      <c r="H710" t="n">
        <v>46</v>
      </c>
      <c r="I710">
        <f>B710&amp;"~"&amp;F710&amp;"~"&amp;G710</f>
        <v/>
      </c>
      <c r="J710" t="inlineStr">
        <is>
          <t>MVS Sec.13 p.18</t>
        </is>
      </c>
    </row>
    <row r="711">
      <c r="B711" t="inlineStr">
        <is>
          <t>Snack Bars</t>
        </is>
      </c>
      <c r="C711" t="inlineStr">
        <is>
          <t>529</t>
        </is>
      </c>
      <c r="D711" t="inlineStr">
        <is>
          <t>13</t>
        </is>
      </c>
      <c r="E711" t="inlineStr">
        <is>
          <t>18</t>
        </is>
      </c>
      <c r="F711" t="inlineStr">
        <is>
          <t>DPOLE</t>
        </is>
      </c>
      <c r="G711" t="inlineStr">
        <is>
          <t>Average</t>
        </is>
      </c>
      <c r="H711" t="n">
        <v>96</v>
      </c>
      <c r="I711">
        <f>B711&amp;"~"&amp;F711&amp;"~"&amp;G711</f>
        <v/>
      </c>
      <c r="J711" t="inlineStr">
        <is>
          <t>MVS Sec.13 p.18</t>
        </is>
      </c>
    </row>
    <row r="712">
      <c r="B712" t="inlineStr">
        <is>
          <t>Snack Bars</t>
        </is>
      </c>
      <c r="C712" t="inlineStr">
        <is>
          <t>529</t>
        </is>
      </c>
      <c r="D712" t="inlineStr">
        <is>
          <t>13</t>
        </is>
      </c>
      <c r="E712" t="inlineStr">
        <is>
          <t>18</t>
        </is>
      </c>
      <c r="F712" t="inlineStr">
        <is>
          <t>DPOLE</t>
        </is>
      </c>
      <c r="G712" t="inlineStr">
        <is>
          <t>Low Cost</t>
        </is>
      </c>
      <c r="H712" t="n">
        <v>58.5</v>
      </c>
      <c r="I712">
        <f>B712&amp;"~"&amp;F712&amp;"~"&amp;G712</f>
        <v/>
      </c>
      <c r="J712" t="inlineStr">
        <is>
          <t>MVS Sec.13 p.18</t>
        </is>
      </c>
    </row>
    <row r="713">
      <c r="B713" t="inlineStr">
        <is>
          <t>Snack Bars</t>
        </is>
      </c>
      <c r="C713" t="inlineStr">
        <is>
          <t>529</t>
        </is>
      </c>
      <c r="D713" t="inlineStr">
        <is>
          <t>13</t>
        </is>
      </c>
      <c r="E713" t="inlineStr">
        <is>
          <t>18</t>
        </is>
      </c>
      <c r="F713" t="inlineStr">
        <is>
          <t>DPOLE</t>
        </is>
      </c>
      <c r="G713" t="inlineStr">
        <is>
          <t>Cheap</t>
        </is>
      </c>
      <c r="H713" t="n">
        <v>46.25</v>
      </c>
      <c r="I713">
        <f>B713&amp;"~"&amp;F713&amp;"~"&amp;G713</f>
        <v/>
      </c>
      <c r="J713" t="inlineStr">
        <is>
          <t>MVS Sec.13 p.18</t>
        </is>
      </c>
    </row>
    <row r="714">
      <c r="B714" t="inlineStr">
        <is>
          <t>Snack Bars</t>
        </is>
      </c>
      <c r="C714" t="inlineStr">
        <is>
          <t>529</t>
        </is>
      </c>
      <c r="D714" t="inlineStr">
        <is>
          <t>13</t>
        </is>
      </c>
      <c r="E714" t="inlineStr">
        <is>
          <t>18</t>
        </is>
      </c>
      <c r="F714" t="inlineStr">
        <is>
          <t>S</t>
        </is>
      </c>
      <c r="G714" t="inlineStr">
        <is>
          <t>Average</t>
        </is>
      </c>
      <c r="H714" t="n">
        <v>101</v>
      </c>
      <c r="I714">
        <f>B714&amp;"~"&amp;F714&amp;"~"&amp;G714</f>
        <v/>
      </c>
      <c r="J714" t="inlineStr">
        <is>
          <t>MVS Sec.13 p.18</t>
        </is>
      </c>
    </row>
    <row r="715">
      <c r="B715" t="inlineStr">
        <is>
          <t>Snack Bars</t>
        </is>
      </c>
      <c r="C715" t="inlineStr">
        <is>
          <t>529</t>
        </is>
      </c>
      <c r="D715" t="inlineStr">
        <is>
          <t>13</t>
        </is>
      </c>
      <c r="E715" t="inlineStr">
        <is>
          <t>18</t>
        </is>
      </c>
      <c r="F715" t="inlineStr">
        <is>
          <t>S</t>
        </is>
      </c>
      <c r="G715" t="inlineStr">
        <is>
          <t>Low Cost</t>
        </is>
      </c>
      <c r="H715" t="n">
        <v>62.5</v>
      </c>
      <c r="I715">
        <f>B715&amp;"~"&amp;F715&amp;"~"&amp;G715</f>
        <v/>
      </c>
      <c r="J715" t="inlineStr">
        <is>
          <t>MVS Sec.13 p.18</t>
        </is>
      </c>
    </row>
    <row r="716">
      <c r="B716" t="inlineStr">
        <is>
          <t>Snack Bars</t>
        </is>
      </c>
      <c r="C716" t="inlineStr">
        <is>
          <t>529</t>
        </is>
      </c>
      <c r="D716" t="inlineStr">
        <is>
          <t>13</t>
        </is>
      </c>
      <c r="E716" t="inlineStr">
        <is>
          <t>18</t>
        </is>
      </c>
      <c r="F716" t="inlineStr">
        <is>
          <t>S</t>
        </is>
      </c>
      <c r="G716" t="inlineStr">
        <is>
          <t>Cheap</t>
        </is>
      </c>
      <c r="H716" t="n">
        <v>49.5</v>
      </c>
      <c r="I716">
        <f>B716&amp;"~"&amp;F716&amp;"~"&amp;G716</f>
        <v/>
      </c>
      <c r="J716" t="inlineStr">
        <is>
          <t>MVS Sec.13 p.18</t>
        </is>
      </c>
    </row>
    <row r="717">
      <c r="B717" t="inlineStr">
        <is>
          <t>Banquet Halls</t>
        </is>
      </c>
      <c r="C717" t="inlineStr">
        <is>
          <t>718</t>
        </is>
      </c>
      <c r="D717" t="inlineStr">
        <is>
          <t>13</t>
        </is>
      </c>
      <c r="E717" t="inlineStr">
        <is>
          <t>19</t>
        </is>
      </c>
      <c r="F717" t="inlineStr">
        <is>
          <t>C</t>
        </is>
      </c>
      <c r="G717" t="inlineStr">
        <is>
          <t>Excellent</t>
        </is>
      </c>
      <c r="H717" t="n">
        <v>290</v>
      </c>
      <c r="I717">
        <f>B717&amp;"~"&amp;F717&amp;"~"&amp;G717</f>
        <v/>
      </c>
      <c r="J717" t="inlineStr">
        <is>
          <t>MVS Sec.13 p.19</t>
        </is>
      </c>
    </row>
    <row r="718">
      <c r="B718" t="inlineStr">
        <is>
          <t>Banquet Halls</t>
        </is>
      </c>
      <c r="C718" t="inlineStr">
        <is>
          <t>718</t>
        </is>
      </c>
      <c r="D718" t="inlineStr">
        <is>
          <t>13</t>
        </is>
      </c>
      <c r="E718" t="inlineStr">
        <is>
          <t>19</t>
        </is>
      </c>
      <c r="F718" t="inlineStr">
        <is>
          <t>C</t>
        </is>
      </c>
      <c r="G718" t="inlineStr">
        <is>
          <t>Good</t>
        </is>
      </c>
      <c r="H718" t="n">
        <v>209</v>
      </c>
      <c r="I718">
        <f>B718&amp;"~"&amp;F718&amp;"~"&amp;G718</f>
        <v/>
      </c>
      <c r="J718" t="inlineStr">
        <is>
          <t>MVS Sec.13 p.19</t>
        </is>
      </c>
    </row>
    <row r="719">
      <c r="B719" t="inlineStr">
        <is>
          <t>Banquet Halls</t>
        </is>
      </c>
      <c r="C719" t="inlineStr">
        <is>
          <t>718</t>
        </is>
      </c>
      <c r="D719" t="inlineStr">
        <is>
          <t>13</t>
        </is>
      </c>
      <c r="E719" t="inlineStr">
        <is>
          <t>19</t>
        </is>
      </c>
      <c r="F719" t="inlineStr">
        <is>
          <t>C</t>
        </is>
      </c>
      <c r="G719" t="inlineStr">
        <is>
          <t>Average</t>
        </is>
      </c>
      <c r="H719" t="n">
        <v>151</v>
      </c>
      <c r="I719">
        <f>B719&amp;"~"&amp;F719&amp;"~"&amp;G719</f>
        <v/>
      </c>
      <c r="J719" t="inlineStr">
        <is>
          <t>MVS Sec.13 p.19</t>
        </is>
      </c>
    </row>
    <row r="720">
      <c r="B720" t="inlineStr">
        <is>
          <t>Banquet Halls</t>
        </is>
      </c>
      <c r="C720" t="inlineStr">
        <is>
          <t>718</t>
        </is>
      </c>
      <c r="D720" t="inlineStr">
        <is>
          <t>13</t>
        </is>
      </c>
      <c r="E720" t="inlineStr">
        <is>
          <t>19</t>
        </is>
      </c>
      <c r="F720" t="inlineStr">
        <is>
          <t>C</t>
        </is>
      </c>
      <c r="G720" t="inlineStr">
        <is>
          <t>Low Cost</t>
        </is>
      </c>
      <c r="H720" t="n">
        <v>106</v>
      </c>
      <c r="I720">
        <f>B720&amp;"~"&amp;F720&amp;"~"&amp;G720</f>
        <v/>
      </c>
      <c r="J720" t="inlineStr">
        <is>
          <t>MVS Sec.13 p.19</t>
        </is>
      </c>
    </row>
    <row r="721">
      <c r="B721" t="inlineStr">
        <is>
          <t>Banquet Halls</t>
        </is>
      </c>
      <c r="C721" t="inlineStr">
        <is>
          <t>718</t>
        </is>
      </c>
      <c r="D721" t="inlineStr">
        <is>
          <t>13</t>
        </is>
      </c>
      <c r="E721" t="inlineStr">
        <is>
          <t>19</t>
        </is>
      </c>
      <c r="F721" t="inlineStr">
        <is>
          <t>D</t>
        </is>
      </c>
      <c r="G721" t="inlineStr">
        <is>
          <t>Excellent</t>
        </is>
      </c>
      <c r="H721" t="n">
        <v>277</v>
      </c>
      <c r="I721">
        <f>B721&amp;"~"&amp;F721&amp;"~"&amp;G721</f>
        <v/>
      </c>
      <c r="J721" t="inlineStr">
        <is>
          <t>MVS Sec.13 p.19</t>
        </is>
      </c>
    </row>
    <row r="722">
      <c r="B722" t="inlineStr">
        <is>
          <t>Banquet Halls</t>
        </is>
      </c>
      <c r="C722" t="inlineStr">
        <is>
          <t>718</t>
        </is>
      </c>
      <c r="D722" t="inlineStr">
        <is>
          <t>13</t>
        </is>
      </c>
      <c r="E722" t="inlineStr">
        <is>
          <t>19</t>
        </is>
      </c>
      <c r="F722" t="inlineStr">
        <is>
          <t>D</t>
        </is>
      </c>
      <c r="G722" t="inlineStr">
        <is>
          <t>Good</t>
        </is>
      </c>
      <c r="H722" t="n">
        <v>197</v>
      </c>
      <c r="I722">
        <f>B722&amp;"~"&amp;F722&amp;"~"&amp;G722</f>
        <v/>
      </c>
      <c r="J722" t="inlineStr">
        <is>
          <t>MVS Sec.13 p.19</t>
        </is>
      </c>
    </row>
    <row r="723">
      <c r="B723" t="inlineStr">
        <is>
          <t>Banquet Halls</t>
        </is>
      </c>
      <c r="C723" t="inlineStr">
        <is>
          <t>718</t>
        </is>
      </c>
      <c r="D723" t="inlineStr">
        <is>
          <t>13</t>
        </is>
      </c>
      <c r="E723" t="inlineStr">
        <is>
          <t>19</t>
        </is>
      </c>
      <c r="F723" t="inlineStr">
        <is>
          <t>D</t>
        </is>
      </c>
      <c r="G723" t="inlineStr">
        <is>
          <t>Average</t>
        </is>
      </c>
      <c r="H723" t="n">
        <v>141</v>
      </c>
      <c r="I723">
        <f>B723&amp;"~"&amp;F723&amp;"~"&amp;G723</f>
        <v/>
      </c>
      <c r="J723" t="inlineStr">
        <is>
          <t>MVS Sec.13 p.19</t>
        </is>
      </c>
    </row>
    <row r="724">
      <c r="B724" t="inlineStr">
        <is>
          <t>Banquet Halls</t>
        </is>
      </c>
      <c r="C724" t="inlineStr">
        <is>
          <t>718</t>
        </is>
      </c>
      <c r="D724" t="inlineStr">
        <is>
          <t>13</t>
        </is>
      </c>
      <c r="E724" t="inlineStr">
        <is>
          <t>19</t>
        </is>
      </c>
      <c r="F724" t="inlineStr">
        <is>
          <t>D</t>
        </is>
      </c>
      <c r="G724" t="inlineStr">
        <is>
          <t>Low Cost</t>
        </is>
      </c>
      <c r="H724" t="n">
        <v>97.5</v>
      </c>
      <c r="I724">
        <f>B724&amp;"~"&amp;F724&amp;"~"&amp;G724</f>
        <v/>
      </c>
      <c r="J724" t="inlineStr">
        <is>
          <t>MVS Sec.13 p.19</t>
        </is>
      </c>
    </row>
    <row r="725">
      <c r="B725" t="inlineStr">
        <is>
          <t>Banquet Halls</t>
        </is>
      </c>
      <c r="C725" t="inlineStr">
        <is>
          <t>718</t>
        </is>
      </c>
      <c r="D725" t="inlineStr">
        <is>
          <t>13</t>
        </is>
      </c>
      <c r="E725" t="inlineStr">
        <is>
          <t>19</t>
        </is>
      </c>
      <c r="F725" t="inlineStr">
        <is>
          <t>DPOLE</t>
        </is>
      </c>
      <c r="G725" t="inlineStr">
        <is>
          <t>Low Cost</t>
        </is>
      </c>
      <c r="H725" t="n">
        <v>91.5</v>
      </c>
      <c r="I725">
        <f>B725&amp;"~"&amp;F725&amp;"~"&amp;G725</f>
        <v/>
      </c>
      <c r="J725" t="inlineStr">
        <is>
          <t>MVS Sec.13 p.19</t>
        </is>
      </c>
    </row>
    <row r="726">
      <c r="B726" t="inlineStr">
        <is>
          <t>Banquet Halls</t>
        </is>
      </c>
      <c r="C726" t="inlineStr">
        <is>
          <t>718</t>
        </is>
      </c>
      <c r="D726" t="inlineStr">
        <is>
          <t>13</t>
        </is>
      </c>
      <c r="E726" t="inlineStr">
        <is>
          <t>19</t>
        </is>
      </c>
      <c r="F726" t="inlineStr">
        <is>
          <t>S</t>
        </is>
      </c>
      <c r="G726" t="inlineStr">
        <is>
          <t>Good</t>
        </is>
      </c>
      <c r="H726" t="n">
        <v>193</v>
      </c>
      <c r="I726">
        <f>B726&amp;"~"&amp;F726&amp;"~"&amp;G726</f>
        <v/>
      </c>
      <c r="J726" t="inlineStr">
        <is>
          <t>MVS Sec.13 p.19</t>
        </is>
      </c>
    </row>
    <row r="727">
      <c r="B727" t="inlineStr">
        <is>
          <t>Banquet Halls</t>
        </is>
      </c>
      <c r="C727" t="inlineStr">
        <is>
          <t>718</t>
        </is>
      </c>
      <c r="D727" t="inlineStr">
        <is>
          <t>13</t>
        </is>
      </c>
      <c r="E727" t="inlineStr">
        <is>
          <t>19</t>
        </is>
      </c>
      <c r="F727" t="inlineStr">
        <is>
          <t>S</t>
        </is>
      </c>
      <c r="G727" t="inlineStr">
        <is>
          <t>Average</t>
        </is>
      </c>
      <c r="H727" t="n">
        <v>138</v>
      </c>
      <c r="I727">
        <f>B727&amp;"~"&amp;F727&amp;"~"&amp;G727</f>
        <v/>
      </c>
      <c r="J727" t="inlineStr">
        <is>
          <t>MVS Sec.13 p.19</t>
        </is>
      </c>
    </row>
    <row r="728">
      <c r="B728" t="inlineStr">
        <is>
          <t>Banquet Halls</t>
        </is>
      </c>
      <c r="C728" t="inlineStr">
        <is>
          <t>718</t>
        </is>
      </c>
      <c r="D728" t="inlineStr">
        <is>
          <t>13</t>
        </is>
      </c>
      <c r="E728" t="inlineStr">
        <is>
          <t>19</t>
        </is>
      </c>
      <c r="F728" t="inlineStr">
        <is>
          <t>S</t>
        </is>
      </c>
      <c r="G728" t="inlineStr">
        <is>
          <t>Low Cost</t>
        </is>
      </c>
      <c r="H728" t="n">
        <v>94.5</v>
      </c>
      <c r="I728">
        <f>B728&amp;"~"&amp;F728&amp;"~"&amp;G728</f>
        <v/>
      </c>
      <c r="J728" t="inlineStr">
        <is>
          <t>MVS Sec.13 p.19</t>
        </is>
      </c>
    </row>
    <row r="729">
      <c r="B729" t="inlineStr">
        <is>
          <t>Modular Restaurants – Diners</t>
        </is>
      </c>
      <c r="C729" t="inlineStr">
        <is>
          <t>719</t>
        </is>
      </c>
      <c r="D729" t="inlineStr">
        <is>
          <t>13</t>
        </is>
      </c>
      <c r="E729" t="inlineStr">
        <is>
          <t>19</t>
        </is>
      </c>
      <c r="F729" t="inlineStr">
        <is>
          <t>S</t>
        </is>
      </c>
      <c r="G729" t="inlineStr">
        <is>
          <t>Excellent</t>
        </is>
      </c>
      <c r="H729" t="n">
        <v>350</v>
      </c>
      <c r="I729">
        <f>B729&amp;"~"&amp;F729&amp;"~"&amp;G729</f>
        <v/>
      </c>
      <c r="J729" t="inlineStr">
        <is>
          <t>MVS Sec.13 p.19</t>
        </is>
      </c>
    </row>
    <row r="730">
      <c r="B730" t="inlineStr">
        <is>
          <t>Modular Restaurants – Diners</t>
        </is>
      </c>
      <c r="C730" t="inlineStr">
        <is>
          <t>719</t>
        </is>
      </c>
      <c r="D730" t="inlineStr">
        <is>
          <t>13</t>
        </is>
      </c>
      <c r="E730" t="inlineStr">
        <is>
          <t>19</t>
        </is>
      </c>
      <c r="F730" t="inlineStr">
        <is>
          <t>S</t>
        </is>
      </c>
      <c r="G730" t="inlineStr">
        <is>
          <t>Good</t>
        </is>
      </c>
      <c r="H730" t="n">
        <v>329</v>
      </c>
      <c r="I730">
        <f>B730&amp;"~"&amp;F730&amp;"~"&amp;G730</f>
        <v/>
      </c>
      <c r="J730" t="inlineStr">
        <is>
          <t>MVS Sec.13 p.19</t>
        </is>
      </c>
    </row>
    <row r="731">
      <c r="B731" t="inlineStr">
        <is>
          <t>Modular Restaurants – Diners</t>
        </is>
      </c>
      <c r="C731" t="inlineStr">
        <is>
          <t>719</t>
        </is>
      </c>
      <c r="D731" t="inlineStr">
        <is>
          <t>13</t>
        </is>
      </c>
      <c r="E731" t="inlineStr">
        <is>
          <t>19</t>
        </is>
      </c>
      <c r="F731" t="inlineStr">
        <is>
          <t>S</t>
        </is>
      </c>
      <c r="G731" t="inlineStr">
        <is>
          <t>Average</t>
        </is>
      </c>
      <c r="H731" t="n">
        <v>309</v>
      </c>
      <c r="I731">
        <f>B731&amp;"~"&amp;F731&amp;"~"&amp;G731</f>
        <v/>
      </c>
      <c r="J731" t="inlineStr">
        <is>
          <t>MVS Sec.13 p.19</t>
        </is>
      </c>
    </row>
    <row r="732">
      <c r="B732" t="inlineStr">
        <is>
          <t>Modular Restaurants – Diners</t>
        </is>
      </c>
      <c r="C732" t="inlineStr">
        <is>
          <t>719</t>
        </is>
      </c>
      <c r="D732" t="inlineStr">
        <is>
          <t>13</t>
        </is>
      </c>
      <c r="E732" t="inlineStr">
        <is>
          <t>19</t>
        </is>
      </c>
      <c r="F732" t="inlineStr">
        <is>
          <t>S</t>
        </is>
      </c>
      <c r="G732" t="inlineStr">
        <is>
          <t>Low Cost</t>
        </is>
      </c>
      <c r="H732" t="n">
        <v>291</v>
      </c>
      <c r="I732">
        <f>B732&amp;"~"&amp;F732&amp;"~"&amp;G732</f>
        <v/>
      </c>
      <c r="J732" t="inlineStr">
        <is>
          <t>MVS Sec.13 p.19</t>
        </is>
      </c>
    </row>
    <row r="733">
      <c r="B733" t="inlineStr">
        <is>
          <t>Supermarkets</t>
        </is>
      </c>
      <c r="C733" t="inlineStr">
        <is>
          <t>446</t>
        </is>
      </c>
      <c r="D733" t="inlineStr">
        <is>
          <t>13</t>
        </is>
      </c>
      <c r="E733" t="inlineStr">
        <is>
          <t>20</t>
        </is>
      </c>
      <c r="F733" t="inlineStr">
        <is>
          <t>A-B</t>
        </is>
      </c>
      <c r="G733" t="inlineStr">
        <is>
          <t>Good</t>
        </is>
      </c>
      <c r="H733" t="n">
        <v>176</v>
      </c>
      <c r="I733">
        <f>B733&amp;"~"&amp;F733&amp;"~"&amp;G733</f>
        <v/>
      </c>
      <c r="J733" t="inlineStr">
        <is>
          <t>MVS Sec.13 p.20</t>
        </is>
      </c>
    </row>
    <row r="734">
      <c r="B734" t="inlineStr">
        <is>
          <t>Supermarkets</t>
        </is>
      </c>
      <c r="C734" t="inlineStr">
        <is>
          <t>446</t>
        </is>
      </c>
      <c r="D734" t="inlineStr">
        <is>
          <t>13</t>
        </is>
      </c>
      <c r="E734" t="inlineStr">
        <is>
          <t>20</t>
        </is>
      </c>
      <c r="F734" t="inlineStr">
        <is>
          <t>A-B</t>
        </is>
      </c>
      <c r="G734" t="inlineStr">
        <is>
          <t>Average</t>
        </is>
      </c>
      <c r="H734" t="n">
        <v>153</v>
      </c>
      <c r="I734">
        <f>B734&amp;"~"&amp;F734&amp;"~"&amp;G734</f>
        <v/>
      </c>
      <c r="J734" t="inlineStr">
        <is>
          <t>MVS Sec.13 p.20</t>
        </is>
      </c>
    </row>
    <row r="735">
      <c r="B735" t="inlineStr">
        <is>
          <t>Supermarkets</t>
        </is>
      </c>
      <c r="C735" t="inlineStr">
        <is>
          <t>446</t>
        </is>
      </c>
      <c r="D735" t="inlineStr">
        <is>
          <t>13</t>
        </is>
      </c>
      <c r="E735" t="inlineStr">
        <is>
          <t>20</t>
        </is>
      </c>
      <c r="F735" t="inlineStr">
        <is>
          <t>C</t>
        </is>
      </c>
      <c r="G735" t="inlineStr">
        <is>
          <t>Excellent</t>
        </is>
      </c>
      <c r="H735" t="n">
        <v>177</v>
      </c>
      <c r="I735">
        <f>B735&amp;"~"&amp;F735&amp;"~"&amp;G735</f>
        <v/>
      </c>
      <c r="J735" t="inlineStr">
        <is>
          <t>MVS Sec.13 p.20</t>
        </is>
      </c>
    </row>
    <row r="736">
      <c r="B736" t="inlineStr">
        <is>
          <t>Supermarkets</t>
        </is>
      </c>
      <c r="C736" t="inlineStr">
        <is>
          <t>446</t>
        </is>
      </c>
      <c r="D736" t="inlineStr">
        <is>
          <t>13</t>
        </is>
      </c>
      <c r="E736" t="inlineStr">
        <is>
          <t>20</t>
        </is>
      </c>
      <c r="F736" t="inlineStr">
        <is>
          <t>C</t>
        </is>
      </c>
      <c r="G736" t="inlineStr">
        <is>
          <t>Good</t>
        </is>
      </c>
      <c r="H736" t="n">
        <v>149</v>
      </c>
      <c r="I736">
        <f>B736&amp;"~"&amp;F736&amp;"~"&amp;G736</f>
        <v/>
      </c>
      <c r="J736" t="inlineStr">
        <is>
          <t>MVS Sec.13 p.20</t>
        </is>
      </c>
    </row>
    <row r="737">
      <c r="B737" t="inlineStr">
        <is>
          <t>Supermarkets</t>
        </is>
      </c>
      <c r="C737" t="inlineStr">
        <is>
          <t>446</t>
        </is>
      </c>
      <c r="D737" t="inlineStr">
        <is>
          <t>13</t>
        </is>
      </c>
      <c r="E737" t="inlineStr">
        <is>
          <t>20</t>
        </is>
      </c>
      <c r="F737" t="inlineStr">
        <is>
          <t>C</t>
        </is>
      </c>
      <c r="G737" t="inlineStr">
        <is>
          <t>Average</t>
        </is>
      </c>
      <c r="H737" t="n">
        <v>121</v>
      </c>
      <c r="I737">
        <f>B737&amp;"~"&amp;F737&amp;"~"&amp;G737</f>
        <v/>
      </c>
      <c r="J737" t="inlineStr">
        <is>
          <t>MVS Sec.13 p.20</t>
        </is>
      </c>
    </row>
    <row r="738">
      <c r="B738" t="inlineStr">
        <is>
          <t>Supermarkets</t>
        </is>
      </c>
      <c r="C738" t="inlineStr">
        <is>
          <t>446</t>
        </is>
      </c>
      <c r="D738" t="inlineStr">
        <is>
          <t>13</t>
        </is>
      </c>
      <c r="E738" t="inlineStr">
        <is>
          <t>20</t>
        </is>
      </c>
      <c r="F738" t="inlineStr">
        <is>
          <t>C</t>
        </is>
      </c>
      <c r="G738" t="inlineStr">
        <is>
          <t>Low Cost</t>
        </is>
      </c>
      <c r="H738" t="n">
        <v>102</v>
      </c>
      <c r="I738">
        <f>B738&amp;"~"&amp;F738&amp;"~"&amp;G738</f>
        <v/>
      </c>
      <c r="J738" t="inlineStr">
        <is>
          <t>MVS Sec.13 p.20</t>
        </is>
      </c>
    </row>
    <row r="739">
      <c r="B739" t="inlineStr">
        <is>
          <t>Supermarkets</t>
        </is>
      </c>
      <c r="C739" t="inlineStr">
        <is>
          <t>446</t>
        </is>
      </c>
      <c r="D739" t="inlineStr">
        <is>
          <t>13</t>
        </is>
      </c>
      <c r="E739" t="inlineStr">
        <is>
          <t>20</t>
        </is>
      </c>
      <c r="F739" t="inlineStr">
        <is>
          <t>D</t>
        </is>
      </c>
      <c r="G739" t="inlineStr">
        <is>
          <t>Excellent</t>
        </is>
      </c>
      <c r="H739" t="n">
        <v>166</v>
      </c>
      <c r="I739">
        <f>B739&amp;"~"&amp;F739&amp;"~"&amp;G739</f>
        <v/>
      </c>
      <c r="J739" t="inlineStr">
        <is>
          <t>MVS Sec.13 p.20</t>
        </is>
      </c>
    </row>
    <row r="740">
      <c r="B740" t="inlineStr">
        <is>
          <t>Supermarkets</t>
        </is>
      </c>
      <c r="C740" t="inlineStr">
        <is>
          <t>446</t>
        </is>
      </c>
      <c r="D740" t="inlineStr">
        <is>
          <t>13</t>
        </is>
      </c>
      <c r="E740" t="inlineStr">
        <is>
          <t>20</t>
        </is>
      </c>
      <c r="F740" t="inlineStr">
        <is>
          <t>D</t>
        </is>
      </c>
      <c r="G740" t="inlineStr">
        <is>
          <t>Good</t>
        </is>
      </c>
      <c r="H740" t="n">
        <v>139</v>
      </c>
      <c r="I740">
        <f>B740&amp;"~"&amp;F740&amp;"~"&amp;G740</f>
        <v/>
      </c>
      <c r="J740" t="inlineStr">
        <is>
          <t>MVS Sec.13 p.20</t>
        </is>
      </c>
    </row>
    <row r="741">
      <c r="B741" t="inlineStr">
        <is>
          <t>Supermarkets</t>
        </is>
      </c>
      <c r="C741" t="inlineStr">
        <is>
          <t>446</t>
        </is>
      </c>
      <c r="D741" t="inlineStr">
        <is>
          <t>13</t>
        </is>
      </c>
      <c r="E741" t="inlineStr">
        <is>
          <t>20</t>
        </is>
      </c>
      <c r="F741" t="inlineStr">
        <is>
          <t>D</t>
        </is>
      </c>
      <c r="G741" t="inlineStr">
        <is>
          <t>Average</t>
        </is>
      </c>
      <c r="H741" t="n">
        <v>113</v>
      </c>
      <c r="I741">
        <f>B741&amp;"~"&amp;F741&amp;"~"&amp;G741</f>
        <v/>
      </c>
      <c r="J741" t="inlineStr">
        <is>
          <t>MVS Sec.13 p.20</t>
        </is>
      </c>
    </row>
    <row r="742">
      <c r="B742" t="inlineStr">
        <is>
          <t>Supermarkets</t>
        </is>
      </c>
      <c r="C742" t="inlineStr">
        <is>
          <t>446</t>
        </is>
      </c>
      <c r="D742" t="inlineStr">
        <is>
          <t>13</t>
        </is>
      </c>
      <c r="E742" t="inlineStr">
        <is>
          <t>20</t>
        </is>
      </c>
      <c r="F742" t="inlineStr">
        <is>
          <t>S</t>
        </is>
      </c>
      <c r="G742" t="inlineStr">
        <is>
          <t>Good</t>
        </is>
      </c>
      <c r="H742" t="n">
        <v>139</v>
      </c>
      <c r="I742">
        <f>B742&amp;"~"&amp;F742&amp;"~"&amp;G742</f>
        <v/>
      </c>
      <c r="J742" t="inlineStr">
        <is>
          <t>MVS Sec.13 p.20</t>
        </is>
      </c>
    </row>
    <row r="743">
      <c r="B743" t="inlineStr">
        <is>
          <t>Supermarkets</t>
        </is>
      </c>
      <c r="C743" t="inlineStr">
        <is>
          <t>446</t>
        </is>
      </c>
      <c r="D743" t="inlineStr">
        <is>
          <t>13</t>
        </is>
      </c>
      <c r="E743" t="inlineStr">
        <is>
          <t>20</t>
        </is>
      </c>
      <c r="F743" t="inlineStr">
        <is>
          <t>S</t>
        </is>
      </c>
      <c r="G743" t="inlineStr">
        <is>
          <t>Average</t>
        </is>
      </c>
      <c r="H743" t="n">
        <v>111</v>
      </c>
      <c r="I743">
        <f>B743&amp;"~"&amp;F743&amp;"~"&amp;G743</f>
        <v/>
      </c>
      <c r="J743" t="inlineStr">
        <is>
          <t>MVS Sec.13 p.20</t>
        </is>
      </c>
    </row>
    <row r="744">
      <c r="B744" t="inlineStr">
        <is>
          <t>Supermarkets</t>
        </is>
      </c>
      <c r="C744" t="inlineStr">
        <is>
          <t>446</t>
        </is>
      </c>
      <c r="D744" t="inlineStr">
        <is>
          <t>13</t>
        </is>
      </c>
      <c r="E744" t="inlineStr">
        <is>
          <t>20</t>
        </is>
      </c>
      <c r="F744" t="inlineStr">
        <is>
          <t>S</t>
        </is>
      </c>
      <c r="G744" t="inlineStr">
        <is>
          <t>Low Cost</t>
        </is>
      </c>
      <c r="H744" t="n">
        <v>92</v>
      </c>
      <c r="I744">
        <f>B744&amp;"~"&amp;F744&amp;"~"&amp;G744</f>
        <v/>
      </c>
      <c r="J744" t="inlineStr">
        <is>
          <t>MVS Sec.13 p.20</t>
        </is>
      </c>
    </row>
    <row r="745">
      <c r="B745" t="inlineStr">
        <is>
          <t>Drug Stores</t>
        </is>
      </c>
      <c r="C745" t="inlineStr">
        <is>
          <t>511</t>
        </is>
      </c>
      <c r="D745" t="inlineStr">
        <is>
          <t>13</t>
        </is>
      </c>
      <c r="E745" t="inlineStr">
        <is>
          <t>20</t>
        </is>
      </c>
      <c r="F745" t="inlineStr">
        <is>
          <t>A-B</t>
        </is>
      </c>
      <c r="G745" t="inlineStr">
        <is>
          <t>Average</t>
        </is>
      </c>
      <c r="H745" t="n">
        <v>179</v>
      </c>
      <c r="I745">
        <f>B745&amp;"~"&amp;F745&amp;"~"&amp;G745</f>
        <v/>
      </c>
      <c r="J745" t="inlineStr">
        <is>
          <t>MVS Sec.13 p.20</t>
        </is>
      </c>
    </row>
    <row r="746">
      <c r="B746" t="inlineStr">
        <is>
          <t>Drug Stores</t>
        </is>
      </c>
      <c r="C746" t="inlineStr">
        <is>
          <t>511</t>
        </is>
      </c>
      <c r="D746" t="inlineStr">
        <is>
          <t>13</t>
        </is>
      </c>
      <c r="E746" t="inlineStr">
        <is>
          <t>20</t>
        </is>
      </c>
      <c r="F746" t="inlineStr">
        <is>
          <t>C</t>
        </is>
      </c>
      <c r="G746" t="inlineStr">
        <is>
          <t>Excellent</t>
        </is>
      </c>
      <c r="H746" t="n">
        <v>208</v>
      </c>
      <c r="I746">
        <f>B746&amp;"~"&amp;F746&amp;"~"&amp;G746</f>
        <v/>
      </c>
      <c r="J746" t="inlineStr">
        <is>
          <t>MVS Sec.13 p.20</t>
        </is>
      </c>
    </row>
    <row r="747">
      <c r="B747" t="inlineStr">
        <is>
          <t>Drug Stores</t>
        </is>
      </c>
      <c r="C747" t="inlineStr">
        <is>
          <t>511</t>
        </is>
      </c>
      <c r="D747" t="inlineStr">
        <is>
          <t>13</t>
        </is>
      </c>
      <c r="E747" t="inlineStr">
        <is>
          <t>20</t>
        </is>
      </c>
      <c r="F747" t="inlineStr">
        <is>
          <t>C</t>
        </is>
      </c>
      <c r="G747" t="inlineStr">
        <is>
          <t>Good</t>
        </is>
      </c>
      <c r="H747" t="n">
        <v>174</v>
      </c>
      <c r="I747">
        <f>B747&amp;"~"&amp;F747&amp;"~"&amp;G747</f>
        <v/>
      </c>
      <c r="J747" t="inlineStr">
        <is>
          <t>MVS Sec.13 p.20</t>
        </is>
      </c>
    </row>
    <row r="748">
      <c r="B748" t="inlineStr">
        <is>
          <t>Drug Stores</t>
        </is>
      </c>
      <c r="C748" t="inlineStr">
        <is>
          <t>511</t>
        </is>
      </c>
      <c r="D748" t="inlineStr">
        <is>
          <t>13</t>
        </is>
      </c>
      <c r="E748" t="inlineStr">
        <is>
          <t>20</t>
        </is>
      </c>
      <c r="F748" t="inlineStr">
        <is>
          <t>C</t>
        </is>
      </c>
      <c r="G748" t="inlineStr">
        <is>
          <t>Average</t>
        </is>
      </c>
      <c r="H748" t="n">
        <v>146</v>
      </c>
      <c r="I748">
        <f>B748&amp;"~"&amp;F748&amp;"~"&amp;G748</f>
        <v/>
      </c>
      <c r="J748" t="inlineStr">
        <is>
          <t>MVS Sec.13 p.20</t>
        </is>
      </c>
    </row>
    <row r="749">
      <c r="B749" t="inlineStr">
        <is>
          <t>Drug Stores</t>
        </is>
      </c>
      <c r="C749" t="inlineStr">
        <is>
          <t>511</t>
        </is>
      </c>
      <c r="D749" t="inlineStr">
        <is>
          <t>13</t>
        </is>
      </c>
      <c r="E749" t="inlineStr">
        <is>
          <t>20</t>
        </is>
      </c>
      <c r="F749" t="inlineStr">
        <is>
          <t>C</t>
        </is>
      </c>
      <c r="G749" t="inlineStr">
        <is>
          <t>Low Cost</t>
        </is>
      </c>
      <c r="H749" t="n">
        <v>123</v>
      </c>
      <c r="I749">
        <f>B749&amp;"~"&amp;F749&amp;"~"&amp;G749</f>
        <v/>
      </c>
      <c r="J749" t="inlineStr">
        <is>
          <t>MVS Sec.13 p.20</t>
        </is>
      </c>
    </row>
    <row r="750">
      <c r="B750" t="inlineStr">
        <is>
          <t>Drug Stores</t>
        </is>
      </c>
      <c r="C750" t="inlineStr">
        <is>
          <t>511</t>
        </is>
      </c>
      <c r="D750" t="inlineStr">
        <is>
          <t>13</t>
        </is>
      </c>
      <c r="E750" t="inlineStr">
        <is>
          <t>20</t>
        </is>
      </c>
      <c r="F750" t="inlineStr">
        <is>
          <t>D</t>
        </is>
      </c>
      <c r="G750" t="inlineStr">
        <is>
          <t>Excellent</t>
        </is>
      </c>
      <c r="H750" t="n">
        <v>197</v>
      </c>
      <c r="I750">
        <f>B750&amp;"~"&amp;F750&amp;"~"&amp;G750</f>
        <v/>
      </c>
      <c r="J750" t="inlineStr">
        <is>
          <t>MVS Sec.13 p.20</t>
        </is>
      </c>
    </row>
    <row r="751">
      <c r="B751" t="inlineStr">
        <is>
          <t>Drug Stores</t>
        </is>
      </c>
      <c r="C751" t="inlineStr">
        <is>
          <t>511</t>
        </is>
      </c>
      <c r="D751" t="inlineStr">
        <is>
          <t>13</t>
        </is>
      </c>
      <c r="E751" t="inlineStr">
        <is>
          <t>20</t>
        </is>
      </c>
      <c r="F751" t="inlineStr">
        <is>
          <t>D</t>
        </is>
      </c>
      <c r="G751" t="inlineStr">
        <is>
          <t>Good</t>
        </is>
      </c>
      <c r="H751" t="n">
        <v>165</v>
      </c>
      <c r="I751">
        <f>B751&amp;"~"&amp;F751&amp;"~"&amp;G751</f>
        <v/>
      </c>
      <c r="J751" t="inlineStr">
        <is>
          <t>MVS Sec.13 p.20</t>
        </is>
      </c>
    </row>
    <row r="752">
      <c r="B752" t="inlineStr">
        <is>
          <t>Drug Stores</t>
        </is>
      </c>
      <c r="C752" t="inlineStr">
        <is>
          <t>511</t>
        </is>
      </c>
      <c r="D752" t="inlineStr">
        <is>
          <t>13</t>
        </is>
      </c>
      <c r="E752" t="inlineStr">
        <is>
          <t>20</t>
        </is>
      </c>
      <c r="F752" t="inlineStr">
        <is>
          <t>D</t>
        </is>
      </c>
      <c r="G752" t="inlineStr">
        <is>
          <t>Average</t>
        </is>
      </c>
      <c r="H752" t="n">
        <v>138</v>
      </c>
      <c r="I752">
        <f>B752&amp;"~"&amp;F752&amp;"~"&amp;G752</f>
        <v/>
      </c>
      <c r="J752" t="inlineStr">
        <is>
          <t>MVS Sec.13 p.20</t>
        </is>
      </c>
    </row>
    <row r="753">
      <c r="B753" t="inlineStr">
        <is>
          <t>Drug Stores</t>
        </is>
      </c>
      <c r="C753" t="inlineStr">
        <is>
          <t>511</t>
        </is>
      </c>
      <c r="D753" t="inlineStr">
        <is>
          <t>13</t>
        </is>
      </c>
      <c r="E753" t="inlineStr">
        <is>
          <t>20</t>
        </is>
      </c>
      <c r="F753" t="inlineStr">
        <is>
          <t>D</t>
        </is>
      </c>
      <c r="G753" t="inlineStr">
        <is>
          <t>Low Cost</t>
        </is>
      </c>
      <c r="H753" t="n">
        <v>116</v>
      </c>
      <c r="I753">
        <f>B753&amp;"~"&amp;F753&amp;"~"&amp;G753</f>
        <v/>
      </c>
      <c r="J753" t="inlineStr">
        <is>
          <t>MVS Sec.13 p.20</t>
        </is>
      </c>
    </row>
    <row r="754">
      <c r="B754" t="inlineStr">
        <is>
          <t>Drug Stores</t>
        </is>
      </c>
      <c r="C754" t="inlineStr">
        <is>
          <t>511</t>
        </is>
      </c>
      <c r="D754" t="inlineStr">
        <is>
          <t>13</t>
        </is>
      </c>
      <c r="E754" t="inlineStr">
        <is>
          <t>20</t>
        </is>
      </c>
      <c r="F754" t="inlineStr">
        <is>
          <t>S</t>
        </is>
      </c>
      <c r="G754" t="inlineStr">
        <is>
          <t>Low Cost</t>
        </is>
      </c>
      <c r="H754" t="n">
        <v>114</v>
      </c>
      <c r="I754">
        <f>B754&amp;"~"&amp;F754&amp;"~"&amp;G754</f>
        <v/>
      </c>
      <c r="J754" t="inlineStr">
        <is>
          <t>MVS Sec.13 p.20</t>
        </is>
      </c>
    </row>
    <row r="755">
      <c r="B755" t="inlineStr">
        <is>
          <t>Markets</t>
        </is>
      </c>
      <c r="C755" t="inlineStr">
        <is>
          <t>340</t>
        </is>
      </c>
      <c r="D755" t="inlineStr">
        <is>
          <t>13</t>
        </is>
      </c>
      <c r="E755" t="inlineStr">
        <is>
          <t>21</t>
        </is>
      </c>
      <c r="F755" t="inlineStr">
        <is>
          <t>A-B</t>
        </is>
      </c>
      <c r="G755" t="inlineStr">
        <is>
          <t>Average</t>
        </is>
      </c>
      <c r="H755" t="n">
        <v>155</v>
      </c>
      <c r="I755">
        <f>B755&amp;"~"&amp;F755&amp;"~"&amp;G755</f>
        <v/>
      </c>
      <c r="J755" t="inlineStr">
        <is>
          <t>MVS Sec.13 p.21</t>
        </is>
      </c>
    </row>
    <row r="756">
      <c r="B756" t="inlineStr">
        <is>
          <t>Markets</t>
        </is>
      </c>
      <c r="C756" t="inlineStr">
        <is>
          <t>340</t>
        </is>
      </c>
      <c r="D756" t="inlineStr">
        <is>
          <t>13</t>
        </is>
      </c>
      <c r="E756" t="inlineStr">
        <is>
          <t>21</t>
        </is>
      </c>
      <c r="F756" t="inlineStr">
        <is>
          <t>C</t>
        </is>
      </c>
      <c r="G756" t="inlineStr">
        <is>
          <t>Excellent</t>
        </is>
      </c>
      <c r="H756" t="n">
        <v>186</v>
      </c>
      <c r="I756">
        <f>B756&amp;"~"&amp;F756&amp;"~"&amp;G756</f>
        <v/>
      </c>
      <c r="J756" t="inlineStr">
        <is>
          <t>MVS Sec.13 p.21</t>
        </is>
      </c>
    </row>
    <row r="757">
      <c r="B757" t="inlineStr">
        <is>
          <t>Markets</t>
        </is>
      </c>
      <c r="C757" t="inlineStr">
        <is>
          <t>340</t>
        </is>
      </c>
      <c r="D757" t="inlineStr">
        <is>
          <t>13</t>
        </is>
      </c>
      <c r="E757" t="inlineStr">
        <is>
          <t>21</t>
        </is>
      </c>
      <c r="F757" t="inlineStr">
        <is>
          <t>C</t>
        </is>
      </c>
      <c r="G757" t="inlineStr">
        <is>
          <t>Good</t>
        </is>
      </c>
      <c r="H757" t="n">
        <v>151</v>
      </c>
      <c r="I757">
        <f>B757&amp;"~"&amp;F757&amp;"~"&amp;G757</f>
        <v/>
      </c>
      <c r="J757" t="inlineStr">
        <is>
          <t>MVS Sec.13 p.21</t>
        </is>
      </c>
    </row>
    <row r="758">
      <c r="B758" t="inlineStr">
        <is>
          <t>Markets</t>
        </is>
      </c>
      <c r="C758" t="inlineStr">
        <is>
          <t>340</t>
        </is>
      </c>
      <c r="D758" t="inlineStr">
        <is>
          <t>13</t>
        </is>
      </c>
      <c r="E758" t="inlineStr">
        <is>
          <t>21</t>
        </is>
      </c>
      <c r="F758" t="inlineStr">
        <is>
          <t>C</t>
        </is>
      </c>
      <c r="G758" t="inlineStr">
        <is>
          <t>Average</t>
        </is>
      </c>
      <c r="H758" t="n">
        <v>120</v>
      </c>
      <c r="I758">
        <f>B758&amp;"~"&amp;F758&amp;"~"&amp;G758</f>
        <v/>
      </c>
      <c r="J758" t="inlineStr">
        <is>
          <t>MVS Sec.13 p.21</t>
        </is>
      </c>
    </row>
    <row r="759">
      <c r="B759" t="inlineStr">
        <is>
          <t>Markets</t>
        </is>
      </c>
      <c r="C759" t="inlineStr">
        <is>
          <t>340</t>
        </is>
      </c>
      <c r="D759" t="inlineStr">
        <is>
          <t>13</t>
        </is>
      </c>
      <c r="E759" t="inlineStr">
        <is>
          <t>21</t>
        </is>
      </c>
      <c r="F759" t="inlineStr">
        <is>
          <t>C</t>
        </is>
      </c>
      <c r="G759" t="inlineStr">
        <is>
          <t>Low Cost</t>
        </is>
      </c>
      <c r="H759" t="n">
        <v>92</v>
      </c>
      <c r="I759">
        <f>B759&amp;"~"&amp;F759&amp;"~"&amp;G759</f>
        <v/>
      </c>
      <c r="J759" t="inlineStr">
        <is>
          <t>MVS Sec.13 p.21</t>
        </is>
      </c>
    </row>
    <row r="760">
      <c r="B760" t="inlineStr">
        <is>
          <t>Markets</t>
        </is>
      </c>
      <c r="C760" t="inlineStr">
        <is>
          <t>340</t>
        </is>
      </c>
      <c r="D760" t="inlineStr">
        <is>
          <t>13</t>
        </is>
      </c>
      <c r="E760" t="inlineStr">
        <is>
          <t>21</t>
        </is>
      </c>
      <c r="F760" t="inlineStr">
        <is>
          <t>D</t>
        </is>
      </c>
      <c r="G760" t="inlineStr">
        <is>
          <t>Excellent</t>
        </is>
      </c>
      <c r="H760" t="n">
        <v>174</v>
      </c>
      <c r="I760">
        <f>B760&amp;"~"&amp;F760&amp;"~"&amp;G760</f>
        <v/>
      </c>
      <c r="J760" t="inlineStr">
        <is>
          <t>MVS Sec.13 p.21</t>
        </is>
      </c>
    </row>
    <row r="761">
      <c r="B761" t="inlineStr">
        <is>
          <t>Markets</t>
        </is>
      </c>
      <c r="C761" t="inlineStr">
        <is>
          <t>340</t>
        </is>
      </c>
      <c r="D761" t="inlineStr">
        <is>
          <t>13</t>
        </is>
      </c>
      <c r="E761" t="inlineStr">
        <is>
          <t>21</t>
        </is>
      </c>
      <c r="F761" t="inlineStr">
        <is>
          <t>D</t>
        </is>
      </c>
      <c r="G761" t="inlineStr">
        <is>
          <t>Good</t>
        </is>
      </c>
      <c r="H761" t="n">
        <v>141</v>
      </c>
      <c r="I761">
        <f>B761&amp;"~"&amp;F761&amp;"~"&amp;G761</f>
        <v/>
      </c>
      <c r="J761" t="inlineStr">
        <is>
          <t>MVS Sec.13 p.21</t>
        </is>
      </c>
    </row>
    <row r="762">
      <c r="B762" t="inlineStr">
        <is>
          <t>Markets</t>
        </is>
      </c>
      <c r="C762" t="inlineStr">
        <is>
          <t>340</t>
        </is>
      </c>
      <c r="D762" t="inlineStr">
        <is>
          <t>13</t>
        </is>
      </c>
      <c r="E762" t="inlineStr">
        <is>
          <t>21</t>
        </is>
      </c>
      <c r="F762" t="inlineStr">
        <is>
          <t>D</t>
        </is>
      </c>
      <c r="G762" t="inlineStr">
        <is>
          <t>Average</t>
        </is>
      </c>
      <c r="H762" t="n">
        <v>111</v>
      </c>
      <c r="I762">
        <f>B762&amp;"~"&amp;F762&amp;"~"&amp;G762</f>
        <v/>
      </c>
      <c r="J762" t="inlineStr">
        <is>
          <t>MVS Sec.13 p.21</t>
        </is>
      </c>
    </row>
    <row r="763">
      <c r="B763" t="inlineStr">
        <is>
          <t>Markets</t>
        </is>
      </c>
      <c r="C763" t="inlineStr">
        <is>
          <t>340</t>
        </is>
      </c>
      <c r="D763" t="inlineStr">
        <is>
          <t>13</t>
        </is>
      </c>
      <c r="E763" t="inlineStr">
        <is>
          <t>21</t>
        </is>
      </c>
      <c r="F763" t="inlineStr">
        <is>
          <t>D</t>
        </is>
      </c>
      <c r="G763" t="inlineStr">
        <is>
          <t>Low Cost</t>
        </is>
      </c>
      <c r="H763" t="n">
        <v>85</v>
      </c>
      <c r="I763">
        <f>B763&amp;"~"&amp;F763&amp;"~"&amp;G763</f>
        <v/>
      </c>
      <c r="J763" t="inlineStr">
        <is>
          <t>MVS Sec.13 p.21</t>
        </is>
      </c>
    </row>
    <row r="764">
      <c r="B764" t="inlineStr">
        <is>
          <t>Markets</t>
        </is>
      </c>
      <c r="C764" t="inlineStr">
        <is>
          <t>340</t>
        </is>
      </c>
      <c r="D764" t="inlineStr">
        <is>
          <t>13</t>
        </is>
      </c>
      <c r="E764" t="inlineStr">
        <is>
          <t>21</t>
        </is>
      </c>
      <c r="F764" t="inlineStr">
        <is>
          <t>DPOLE</t>
        </is>
      </c>
      <c r="G764" t="inlineStr">
        <is>
          <t>Average</t>
        </is>
      </c>
      <c r="H764" t="n">
        <v>107</v>
      </c>
      <c r="I764">
        <f>B764&amp;"~"&amp;F764&amp;"~"&amp;G764</f>
        <v/>
      </c>
      <c r="J764" t="inlineStr">
        <is>
          <t>MVS Sec.13 p.21</t>
        </is>
      </c>
    </row>
    <row r="765">
      <c r="B765" t="inlineStr">
        <is>
          <t>Markets</t>
        </is>
      </c>
      <c r="C765" t="inlineStr">
        <is>
          <t>340</t>
        </is>
      </c>
      <c r="D765" t="inlineStr">
        <is>
          <t>13</t>
        </is>
      </c>
      <c r="E765" t="inlineStr">
        <is>
          <t>21</t>
        </is>
      </c>
      <c r="F765" t="inlineStr">
        <is>
          <t>DPOLE</t>
        </is>
      </c>
      <c r="G765" t="inlineStr">
        <is>
          <t>Low Cost</t>
        </is>
      </c>
      <c r="H765" t="n">
        <v>80.5</v>
      </c>
      <c r="I765">
        <f>B765&amp;"~"&amp;F765&amp;"~"&amp;G765</f>
        <v/>
      </c>
      <c r="J765" t="inlineStr">
        <is>
          <t>MVS Sec.13 p.21</t>
        </is>
      </c>
    </row>
    <row r="766">
      <c r="B766" t="inlineStr">
        <is>
          <t>Markets</t>
        </is>
      </c>
      <c r="C766" t="inlineStr">
        <is>
          <t>340</t>
        </is>
      </c>
      <c r="D766" t="inlineStr">
        <is>
          <t>13</t>
        </is>
      </c>
      <c r="E766" t="inlineStr">
        <is>
          <t>21</t>
        </is>
      </c>
      <c r="F766" t="inlineStr">
        <is>
          <t>S</t>
        </is>
      </c>
      <c r="G766" t="inlineStr">
        <is>
          <t>Good</t>
        </is>
      </c>
      <c r="H766" t="n">
        <v>142</v>
      </c>
      <c r="I766">
        <f>B766&amp;"~"&amp;F766&amp;"~"&amp;G766</f>
        <v/>
      </c>
      <c r="J766" t="inlineStr">
        <is>
          <t>MVS Sec.13 p.21</t>
        </is>
      </c>
    </row>
    <row r="767">
      <c r="B767" t="inlineStr">
        <is>
          <t>Markets</t>
        </is>
      </c>
      <c r="C767" t="inlineStr">
        <is>
          <t>340</t>
        </is>
      </c>
      <c r="D767" t="inlineStr">
        <is>
          <t>13</t>
        </is>
      </c>
      <c r="E767" t="inlineStr">
        <is>
          <t>21</t>
        </is>
      </c>
      <c r="F767" t="inlineStr">
        <is>
          <t>S</t>
        </is>
      </c>
      <c r="G767" t="inlineStr">
        <is>
          <t>Average</t>
        </is>
      </c>
      <c r="H767" t="n">
        <v>109</v>
      </c>
      <c r="I767">
        <f>B767&amp;"~"&amp;F767&amp;"~"&amp;G767</f>
        <v/>
      </c>
      <c r="J767" t="inlineStr">
        <is>
          <t>MVS Sec.13 p.21</t>
        </is>
      </c>
    </row>
    <row r="768">
      <c r="B768" t="inlineStr">
        <is>
          <t>Markets</t>
        </is>
      </c>
      <c r="C768" t="inlineStr">
        <is>
          <t>340</t>
        </is>
      </c>
      <c r="D768" t="inlineStr">
        <is>
          <t>13</t>
        </is>
      </c>
      <c r="E768" t="inlineStr">
        <is>
          <t>21</t>
        </is>
      </c>
      <c r="F768" t="inlineStr">
        <is>
          <t>S</t>
        </is>
      </c>
      <c r="G768" t="inlineStr">
        <is>
          <t>Low Cost</t>
        </is>
      </c>
      <c r="H768" t="n">
        <v>82</v>
      </c>
      <c r="I768">
        <f>B768&amp;"~"&amp;F768&amp;"~"&amp;G768</f>
        <v/>
      </c>
      <c r="J768" t="inlineStr">
        <is>
          <t>MVS Sec.13 p.21</t>
        </is>
      </c>
    </row>
    <row r="769">
      <c r="B769" t="inlineStr">
        <is>
          <t>Florist Shops</t>
        </is>
      </c>
      <c r="C769" t="inlineStr">
        <is>
          <t>532</t>
        </is>
      </c>
      <c r="D769" t="inlineStr">
        <is>
          <t>13</t>
        </is>
      </c>
      <c r="E769" t="inlineStr">
        <is>
          <t>21</t>
        </is>
      </c>
      <c r="F769" t="inlineStr">
        <is>
          <t>A-B</t>
        </is>
      </c>
      <c r="G769" t="inlineStr">
        <is>
          <t>Average</t>
        </is>
      </c>
      <c r="H769" t="n">
        <v>152</v>
      </c>
      <c r="I769">
        <f>B769&amp;"~"&amp;F769&amp;"~"&amp;G769</f>
        <v/>
      </c>
      <c r="J769" t="inlineStr">
        <is>
          <t>MVS Sec.13 p.21</t>
        </is>
      </c>
    </row>
    <row r="770">
      <c r="B770" t="inlineStr">
        <is>
          <t>Florist Shops</t>
        </is>
      </c>
      <c r="C770" t="inlineStr">
        <is>
          <t>532</t>
        </is>
      </c>
      <c r="D770" t="inlineStr">
        <is>
          <t>13</t>
        </is>
      </c>
      <c r="E770" t="inlineStr">
        <is>
          <t>21</t>
        </is>
      </c>
      <c r="F770" t="inlineStr">
        <is>
          <t>C</t>
        </is>
      </c>
      <c r="G770" t="inlineStr">
        <is>
          <t>Excellent</t>
        </is>
      </c>
      <c r="H770" t="n">
        <v>179</v>
      </c>
      <c r="I770">
        <f>B770&amp;"~"&amp;F770&amp;"~"&amp;G770</f>
        <v/>
      </c>
      <c r="J770" t="inlineStr">
        <is>
          <t>MVS Sec.13 p.21</t>
        </is>
      </c>
    </row>
    <row r="771">
      <c r="B771" t="inlineStr">
        <is>
          <t>Florist Shops</t>
        </is>
      </c>
      <c r="C771" t="inlineStr">
        <is>
          <t>532</t>
        </is>
      </c>
      <c r="D771" t="inlineStr">
        <is>
          <t>13</t>
        </is>
      </c>
      <c r="E771" t="inlineStr">
        <is>
          <t>21</t>
        </is>
      </c>
      <c r="F771" t="inlineStr">
        <is>
          <t>C</t>
        </is>
      </c>
      <c r="G771" t="inlineStr">
        <is>
          <t>Good</t>
        </is>
      </c>
      <c r="H771" t="n">
        <v>148</v>
      </c>
      <c r="I771">
        <f>B771&amp;"~"&amp;F771&amp;"~"&amp;G771</f>
        <v/>
      </c>
      <c r="J771" t="inlineStr">
        <is>
          <t>MVS Sec.13 p.21</t>
        </is>
      </c>
    </row>
    <row r="772">
      <c r="B772" t="inlineStr">
        <is>
          <t>Florist Shops</t>
        </is>
      </c>
      <c r="C772" t="inlineStr">
        <is>
          <t>532</t>
        </is>
      </c>
      <c r="D772" t="inlineStr">
        <is>
          <t>13</t>
        </is>
      </c>
      <c r="E772" t="inlineStr">
        <is>
          <t>21</t>
        </is>
      </c>
      <c r="F772" t="inlineStr">
        <is>
          <t>C</t>
        </is>
      </c>
      <c r="G772" t="inlineStr">
        <is>
          <t>Average</t>
        </is>
      </c>
      <c r="H772" t="n">
        <v>118</v>
      </c>
      <c r="I772">
        <f>B772&amp;"~"&amp;F772&amp;"~"&amp;G772</f>
        <v/>
      </c>
      <c r="J772" t="inlineStr">
        <is>
          <t>MVS Sec.13 p.21</t>
        </is>
      </c>
    </row>
    <row r="773">
      <c r="B773" t="inlineStr">
        <is>
          <t>Florist Shops</t>
        </is>
      </c>
      <c r="C773" t="inlineStr">
        <is>
          <t>532</t>
        </is>
      </c>
      <c r="D773" t="inlineStr">
        <is>
          <t>13</t>
        </is>
      </c>
      <c r="E773" t="inlineStr">
        <is>
          <t>21</t>
        </is>
      </c>
      <c r="F773" t="inlineStr">
        <is>
          <t>C</t>
        </is>
      </c>
      <c r="G773" t="inlineStr">
        <is>
          <t>Low Cost</t>
        </is>
      </c>
      <c r="H773" t="n">
        <v>94</v>
      </c>
      <c r="I773">
        <f>B773&amp;"~"&amp;F773&amp;"~"&amp;G773</f>
        <v/>
      </c>
      <c r="J773" t="inlineStr">
        <is>
          <t>MVS Sec.13 p.21</t>
        </is>
      </c>
    </row>
    <row r="774">
      <c r="B774" t="inlineStr">
        <is>
          <t>Florist Shops</t>
        </is>
      </c>
      <c r="C774" t="inlineStr">
        <is>
          <t>532</t>
        </is>
      </c>
      <c r="D774" t="inlineStr">
        <is>
          <t>13</t>
        </is>
      </c>
      <c r="E774" t="inlineStr">
        <is>
          <t>21</t>
        </is>
      </c>
      <c r="F774" t="inlineStr">
        <is>
          <t>D</t>
        </is>
      </c>
      <c r="G774" t="inlineStr">
        <is>
          <t>Excellent</t>
        </is>
      </c>
      <c r="H774" t="n">
        <v>168</v>
      </c>
      <c r="I774">
        <f>B774&amp;"~"&amp;F774&amp;"~"&amp;G774</f>
        <v/>
      </c>
      <c r="J774" t="inlineStr">
        <is>
          <t>MVS Sec.13 p.21</t>
        </is>
      </c>
    </row>
    <row r="775">
      <c r="B775" t="inlineStr">
        <is>
          <t>Florist Shops</t>
        </is>
      </c>
      <c r="C775" t="inlineStr">
        <is>
          <t>532</t>
        </is>
      </c>
      <c r="D775" t="inlineStr">
        <is>
          <t>13</t>
        </is>
      </c>
      <c r="E775" t="inlineStr">
        <is>
          <t>21</t>
        </is>
      </c>
      <c r="F775" t="inlineStr">
        <is>
          <t>D</t>
        </is>
      </c>
      <c r="G775" t="inlineStr">
        <is>
          <t>Good</t>
        </is>
      </c>
      <c r="H775" t="n">
        <v>139</v>
      </c>
      <c r="I775">
        <f>B775&amp;"~"&amp;F775&amp;"~"&amp;G775</f>
        <v/>
      </c>
      <c r="J775" t="inlineStr">
        <is>
          <t>MVS Sec.13 p.21</t>
        </is>
      </c>
    </row>
    <row r="776">
      <c r="B776" t="inlineStr">
        <is>
          <t>Florist Shops</t>
        </is>
      </c>
      <c r="C776" t="inlineStr">
        <is>
          <t>532</t>
        </is>
      </c>
      <c r="D776" t="inlineStr">
        <is>
          <t>13</t>
        </is>
      </c>
      <c r="E776" t="inlineStr">
        <is>
          <t>21</t>
        </is>
      </c>
      <c r="F776" t="inlineStr">
        <is>
          <t>D</t>
        </is>
      </c>
      <c r="G776" t="inlineStr">
        <is>
          <t>Average</t>
        </is>
      </c>
      <c r="H776" t="n">
        <v>110</v>
      </c>
      <c r="I776">
        <f>B776&amp;"~"&amp;F776&amp;"~"&amp;G776</f>
        <v/>
      </c>
      <c r="J776" t="inlineStr">
        <is>
          <t>MVS Sec.13 p.21</t>
        </is>
      </c>
    </row>
    <row r="777">
      <c r="B777" t="inlineStr">
        <is>
          <t>Florist Shops</t>
        </is>
      </c>
      <c r="C777" t="inlineStr">
        <is>
          <t>532</t>
        </is>
      </c>
      <c r="D777" t="inlineStr">
        <is>
          <t>13</t>
        </is>
      </c>
      <c r="E777" t="inlineStr">
        <is>
          <t>21</t>
        </is>
      </c>
      <c r="F777" t="inlineStr">
        <is>
          <t>D</t>
        </is>
      </c>
      <c r="G777" t="inlineStr">
        <is>
          <t>Low Cost</t>
        </is>
      </c>
      <c r="H777" t="n">
        <v>87.5</v>
      </c>
      <c r="I777">
        <f>B777&amp;"~"&amp;F777&amp;"~"&amp;G777</f>
        <v/>
      </c>
      <c r="J777" t="inlineStr">
        <is>
          <t>MVS Sec.13 p.21</t>
        </is>
      </c>
    </row>
    <row r="778">
      <c r="B778" t="inlineStr">
        <is>
          <t>Florist Shops</t>
        </is>
      </c>
      <c r="C778" t="inlineStr">
        <is>
          <t>532</t>
        </is>
      </c>
      <c r="D778" t="inlineStr">
        <is>
          <t>13</t>
        </is>
      </c>
      <c r="E778" t="inlineStr">
        <is>
          <t>21</t>
        </is>
      </c>
      <c r="F778" t="inlineStr">
        <is>
          <t>DPOLE</t>
        </is>
      </c>
      <c r="G778" t="inlineStr">
        <is>
          <t>Low Cost</t>
        </is>
      </c>
      <c r="H778" t="n">
        <v>83.5</v>
      </c>
      <c r="I778">
        <f>B778&amp;"~"&amp;F778&amp;"~"&amp;G778</f>
        <v/>
      </c>
      <c r="J778" t="inlineStr">
        <is>
          <t>MVS Sec.13 p.21</t>
        </is>
      </c>
    </row>
    <row r="779">
      <c r="B779" t="inlineStr">
        <is>
          <t>Florist Shops</t>
        </is>
      </c>
      <c r="C779" t="inlineStr">
        <is>
          <t>532</t>
        </is>
      </c>
      <c r="D779" t="inlineStr">
        <is>
          <t>13</t>
        </is>
      </c>
      <c r="E779" t="inlineStr">
        <is>
          <t>21</t>
        </is>
      </c>
      <c r="F779" t="inlineStr">
        <is>
          <t>S</t>
        </is>
      </c>
      <c r="G779" t="inlineStr">
        <is>
          <t>Low Cost</t>
        </is>
      </c>
      <c r="H779" t="n">
        <v>86</v>
      </c>
      <c r="I779">
        <f>B779&amp;"~"&amp;F779&amp;"~"&amp;G779</f>
        <v/>
      </c>
      <c r="J779" t="inlineStr">
        <is>
          <t>MVS Sec.13 p.21</t>
        </is>
      </c>
    </row>
    <row r="780">
      <c r="B780" t="inlineStr">
        <is>
          <t>Convenience Stores</t>
        </is>
      </c>
      <c r="C780" t="inlineStr">
        <is>
          <t>419</t>
        </is>
      </c>
      <c r="D780" t="inlineStr">
        <is>
          <t>13</t>
        </is>
      </c>
      <c r="E780" t="inlineStr">
        <is>
          <t>22</t>
        </is>
      </c>
      <c r="F780" t="inlineStr">
        <is>
          <t>A-B</t>
        </is>
      </c>
      <c r="G780" t="inlineStr">
        <is>
          <t>Average</t>
        </is>
      </c>
      <c r="H780" t="n">
        <v>159</v>
      </c>
      <c r="I780">
        <f>B780&amp;"~"&amp;F780&amp;"~"&amp;G780</f>
        <v/>
      </c>
      <c r="J780" t="inlineStr">
        <is>
          <t>MVS Sec.13 p.22</t>
        </is>
      </c>
    </row>
    <row r="781">
      <c r="B781" t="inlineStr">
        <is>
          <t>Convenience Stores</t>
        </is>
      </c>
      <c r="C781" t="inlineStr">
        <is>
          <t>419</t>
        </is>
      </c>
      <c r="D781" t="inlineStr">
        <is>
          <t>13</t>
        </is>
      </c>
      <c r="E781" t="inlineStr">
        <is>
          <t>22</t>
        </is>
      </c>
      <c r="F781" t="inlineStr">
        <is>
          <t>C</t>
        </is>
      </c>
      <c r="G781" t="inlineStr">
        <is>
          <t>Excellent</t>
        </is>
      </c>
      <c r="H781" t="n">
        <v>186</v>
      </c>
      <c r="I781">
        <f>B781&amp;"~"&amp;F781&amp;"~"&amp;G781</f>
        <v/>
      </c>
      <c r="J781" t="inlineStr">
        <is>
          <t>MVS Sec.13 p.22</t>
        </is>
      </c>
    </row>
    <row r="782">
      <c r="B782" t="inlineStr">
        <is>
          <t>Convenience Stores</t>
        </is>
      </c>
      <c r="C782" t="inlineStr">
        <is>
          <t>419</t>
        </is>
      </c>
      <c r="D782" t="inlineStr">
        <is>
          <t>13</t>
        </is>
      </c>
      <c r="E782" t="inlineStr">
        <is>
          <t>22</t>
        </is>
      </c>
      <c r="F782" t="inlineStr">
        <is>
          <t>C</t>
        </is>
      </c>
      <c r="G782" t="inlineStr">
        <is>
          <t>Good</t>
        </is>
      </c>
      <c r="H782" t="n">
        <v>156</v>
      </c>
      <c r="I782">
        <f>B782&amp;"~"&amp;F782&amp;"~"&amp;G782</f>
        <v/>
      </c>
      <c r="J782" t="inlineStr">
        <is>
          <t>MVS Sec.13 p.22</t>
        </is>
      </c>
    </row>
    <row r="783">
      <c r="B783" t="inlineStr">
        <is>
          <t>Convenience Stores</t>
        </is>
      </c>
      <c r="C783" t="inlineStr">
        <is>
          <t>419</t>
        </is>
      </c>
      <c r="D783" t="inlineStr">
        <is>
          <t>13</t>
        </is>
      </c>
      <c r="E783" t="inlineStr">
        <is>
          <t>22</t>
        </is>
      </c>
      <c r="F783" t="inlineStr">
        <is>
          <t>C</t>
        </is>
      </c>
      <c r="G783" t="inlineStr">
        <is>
          <t>Average</t>
        </is>
      </c>
      <c r="H783" t="n">
        <v>125</v>
      </c>
      <c r="I783">
        <f>B783&amp;"~"&amp;F783&amp;"~"&amp;G783</f>
        <v/>
      </c>
      <c r="J783" t="inlineStr">
        <is>
          <t>MVS Sec.13 p.22</t>
        </is>
      </c>
    </row>
    <row r="784">
      <c r="B784" t="inlineStr">
        <is>
          <t>Convenience Stores</t>
        </is>
      </c>
      <c r="C784" t="inlineStr">
        <is>
          <t>419</t>
        </is>
      </c>
      <c r="D784" t="inlineStr">
        <is>
          <t>13</t>
        </is>
      </c>
      <c r="E784" t="inlineStr">
        <is>
          <t>22</t>
        </is>
      </c>
      <c r="F784" t="inlineStr">
        <is>
          <t>C</t>
        </is>
      </c>
      <c r="G784" t="inlineStr">
        <is>
          <t>Low Cost</t>
        </is>
      </c>
      <c r="H784" t="n">
        <v>101</v>
      </c>
      <c r="I784">
        <f>B784&amp;"~"&amp;F784&amp;"~"&amp;G784</f>
        <v/>
      </c>
      <c r="J784" t="inlineStr">
        <is>
          <t>MVS Sec.13 p.22</t>
        </is>
      </c>
    </row>
    <row r="785">
      <c r="B785" t="inlineStr">
        <is>
          <t>Convenience Stores</t>
        </is>
      </c>
      <c r="C785" t="inlineStr">
        <is>
          <t>419</t>
        </is>
      </c>
      <c r="D785" t="inlineStr">
        <is>
          <t>13</t>
        </is>
      </c>
      <c r="E785" t="inlineStr">
        <is>
          <t>22</t>
        </is>
      </c>
      <c r="F785" t="inlineStr">
        <is>
          <t>D</t>
        </is>
      </c>
      <c r="G785" t="inlineStr">
        <is>
          <t>Excellent</t>
        </is>
      </c>
      <c r="H785" t="n">
        <v>176</v>
      </c>
      <c r="I785">
        <f>B785&amp;"~"&amp;F785&amp;"~"&amp;G785</f>
        <v/>
      </c>
      <c r="J785" t="inlineStr">
        <is>
          <t>MVS Sec.13 p.22</t>
        </is>
      </c>
    </row>
    <row r="786">
      <c r="B786" t="inlineStr">
        <is>
          <t>Convenience Stores</t>
        </is>
      </c>
      <c r="C786" t="inlineStr">
        <is>
          <t>419</t>
        </is>
      </c>
      <c r="D786" t="inlineStr">
        <is>
          <t>13</t>
        </is>
      </c>
      <c r="E786" t="inlineStr">
        <is>
          <t>22</t>
        </is>
      </c>
      <c r="F786" t="inlineStr">
        <is>
          <t>D</t>
        </is>
      </c>
      <c r="G786" t="inlineStr">
        <is>
          <t>Good</t>
        </is>
      </c>
      <c r="H786" t="n">
        <v>147</v>
      </c>
      <c r="I786">
        <f>B786&amp;"~"&amp;F786&amp;"~"&amp;G786</f>
        <v/>
      </c>
      <c r="J786" t="inlineStr">
        <is>
          <t>MVS Sec.13 p.22</t>
        </is>
      </c>
    </row>
    <row r="787">
      <c r="B787" t="inlineStr">
        <is>
          <t>Convenience Stores</t>
        </is>
      </c>
      <c r="C787" t="inlineStr">
        <is>
          <t>419</t>
        </is>
      </c>
      <c r="D787" t="inlineStr">
        <is>
          <t>13</t>
        </is>
      </c>
      <c r="E787" t="inlineStr">
        <is>
          <t>22</t>
        </is>
      </c>
      <c r="F787" t="inlineStr">
        <is>
          <t>D</t>
        </is>
      </c>
      <c r="G787" t="inlineStr">
        <is>
          <t>Average</t>
        </is>
      </c>
      <c r="H787" t="n">
        <v>117</v>
      </c>
      <c r="I787">
        <f>B787&amp;"~"&amp;F787&amp;"~"&amp;G787</f>
        <v/>
      </c>
      <c r="J787" t="inlineStr">
        <is>
          <t>MVS Sec.13 p.22</t>
        </is>
      </c>
    </row>
    <row r="788">
      <c r="B788" t="inlineStr">
        <is>
          <t>Convenience Stores</t>
        </is>
      </c>
      <c r="C788" t="inlineStr">
        <is>
          <t>419</t>
        </is>
      </c>
      <c r="D788" t="inlineStr">
        <is>
          <t>13</t>
        </is>
      </c>
      <c r="E788" t="inlineStr">
        <is>
          <t>22</t>
        </is>
      </c>
      <c r="F788" t="inlineStr">
        <is>
          <t>D</t>
        </is>
      </c>
      <c r="G788" t="inlineStr">
        <is>
          <t>Low Cost</t>
        </is>
      </c>
      <c r="H788" t="n">
        <v>94</v>
      </c>
      <c r="I788">
        <f>B788&amp;"~"&amp;F788&amp;"~"&amp;G788</f>
        <v/>
      </c>
      <c r="J788" t="inlineStr">
        <is>
          <t>MVS Sec.13 p.22</t>
        </is>
      </c>
    </row>
    <row r="789">
      <c r="B789" t="inlineStr">
        <is>
          <t>Convenience Stores</t>
        </is>
      </c>
      <c r="C789" t="inlineStr">
        <is>
          <t>419</t>
        </is>
      </c>
      <c r="D789" t="inlineStr">
        <is>
          <t>13</t>
        </is>
      </c>
      <c r="E789" t="inlineStr">
        <is>
          <t>22</t>
        </is>
      </c>
      <c r="F789" t="inlineStr">
        <is>
          <t>DPOLE</t>
        </is>
      </c>
      <c r="G789" t="inlineStr">
        <is>
          <t>Low Cost</t>
        </is>
      </c>
      <c r="H789" t="n">
        <v>90.5</v>
      </c>
      <c r="I789">
        <f>B789&amp;"~"&amp;F789&amp;"~"&amp;G789</f>
        <v/>
      </c>
      <c r="J789" t="inlineStr">
        <is>
          <t>MVS Sec.13 p.22</t>
        </is>
      </c>
    </row>
    <row r="790">
      <c r="B790" t="inlineStr">
        <is>
          <t>Convenience Stores</t>
        </is>
      </c>
      <c r="C790" t="inlineStr">
        <is>
          <t>419</t>
        </is>
      </c>
      <c r="D790" t="inlineStr">
        <is>
          <t>13</t>
        </is>
      </c>
      <c r="E790" t="inlineStr">
        <is>
          <t>22</t>
        </is>
      </c>
      <c r="F790" t="inlineStr">
        <is>
          <t>S</t>
        </is>
      </c>
      <c r="G790" t="inlineStr">
        <is>
          <t>Excellent</t>
        </is>
      </c>
      <c r="H790" t="n">
        <v>179</v>
      </c>
      <c r="I790">
        <f>B790&amp;"~"&amp;F790&amp;"~"&amp;G790</f>
        <v/>
      </c>
      <c r="J790" t="inlineStr">
        <is>
          <t>MVS Sec.13 p.22</t>
        </is>
      </c>
    </row>
    <row r="791">
      <c r="B791" t="inlineStr">
        <is>
          <t>Convenience Stores</t>
        </is>
      </c>
      <c r="C791" t="inlineStr">
        <is>
          <t>419</t>
        </is>
      </c>
      <c r="D791" t="inlineStr">
        <is>
          <t>13</t>
        </is>
      </c>
      <c r="E791" t="inlineStr">
        <is>
          <t>22</t>
        </is>
      </c>
      <c r="F791" t="inlineStr">
        <is>
          <t>S</t>
        </is>
      </c>
      <c r="G791" t="inlineStr">
        <is>
          <t>Good</t>
        </is>
      </c>
      <c r="H791" t="n">
        <v>148</v>
      </c>
      <c r="I791">
        <f>B791&amp;"~"&amp;F791&amp;"~"&amp;G791</f>
        <v/>
      </c>
      <c r="J791" t="inlineStr">
        <is>
          <t>MVS Sec.13 p.22</t>
        </is>
      </c>
    </row>
    <row r="792">
      <c r="B792" t="inlineStr">
        <is>
          <t>Convenience Stores</t>
        </is>
      </c>
      <c r="C792" t="inlineStr">
        <is>
          <t>419</t>
        </is>
      </c>
      <c r="D792" t="inlineStr">
        <is>
          <t>13</t>
        </is>
      </c>
      <c r="E792" t="inlineStr">
        <is>
          <t>22</t>
        </is>
      </c>
      <c r="F792" t="inlineStr">
        <is>
          <t>S</t>
        </is>
      </c>
      <c r="G792" t="inlineStr">
        <is>
          <t>Average</t>
        </is>
      </c>
      <c r="H792" t="n">
        <v>117</v>
      </c>
      <c r="I792">
        <f>B792&amp;"~"&amp;F792&amp;"~"&amp;G792</f>
        <v/>
      </c>
      <c r="J792" t="inlineStr">
        <is>
          <t>MVS Sec.13 p.22</t>
        </is>
      </c>
    </row>
    <row r="793">
      <c r="B793" t="inlineStr">
        <is>
          <t>Convenience Stores</t>
        </is>
      </c>
      <c r="C793" t="inlineStr">
        <is>
          <t>419</t>
        </is>
      </c>
      <c r="D793" t="inlineStr">
        <is>
          <t>13</t>
        </is>
      </c>
      <c r="E793" t="inlineStr">
        <is>
          <t>22</t>
        </is>
      </c>
      <c r="F793" t="inlineStr">
        <is>
          <t>S</t>
        </is>
      </c>
      <c r="G793" t="inlineStr">
        <is>
          <t>Low Cost</t>
        </is>
      </c>
      <c r="H793" t="n">
        <v>92.5</v>
      </c>
      <c r="I793">
        <f>B793&amp;"~"&amp;F793&amp;"~"&amp;G793</f>
        <v/>
      </c>
      <c r="J793" t="inlineStr">
        <is>
          <t>MVS Sec.13 p.22</t>
        </is>
      </c>
    </row>
    <row r="794">
      <c r="B794" t="inlineStr">
        <is>
          <t>Mini-Mart Convenience Stores</t>
        </is>
      </c>
      <c r="C794" t="inlineStr">
        <is>
          <t>531</t>
        </is>
      </c>
      <c r="D794" t="inlineStr">
        <is>
          <t>13</t>
        </is>
      </c>
      <c r="E794" t="inlineStr">
        <is>
          <t>22</t>
        </is>
      </c>
      <c r="F794" t="inlineStr">
        <is>
          <t>C</t>
        </is>
      </c>
      <c r="G794" t="inlineStr">
        <is>
          <t>Excellent</t>
        </is>
      </c>
      <c r="H794" t="n">
        <v>286</v>
      </c>
      <c r="I794">
        <f>B794&amp;"~"&amp;F794&amp;"~"&amp;G794</f>
        <v/>
      </c>
      <c r="J794" t="inlineStr">
        <is>
          <t>MVS Sec.13 p.22</t>
        </is>
      </c>
    </row>
    <row r="795">
      <c r="B795" t="inlineStr">
        <is>
          <t>Mini-Mart Convenience Stores</t>
        </is>
      </c>
      <c r="C795" t="inlineStr">
        <is>
          <t>531</t>
        </is>
      </c>
      <c r="D795" t="inlineStr">
        <is>
          <t>13</t>
        </is>
      </c>
      <c r="E795" t="inlineStr">
        <is>
          <t>22</t>
        </is>
      </c>
      <c r="F795" t="inlineStr">
        <is>
          <t>C</t>
        </is>
      </c>
      <c r="G795" t="inlineStr">
        <is>
          <t>Good</t>
        </is>
      </c>
      <c r="H795" t="n">
        <v>244</v>
      </c>
      <c r="I795">
        <f>B795&amp;"~"&amp;F795&amp;"~"&amp;G795</f>
        <v/>
      </c>
      <c r="J795" t="inlineStr">
        <is>
          <t>MVS Sec.13 p.22</t>
        </is>
      </c>
    </row>
    <row r="796">
      <c r="B796" t="inlineStr">
        <is>
          <t>Mini-Mart Convenience Stores</t>
        </is>
      </c>
      <c r="C796" t="inlineStr">
        <is>
          <t>531</t>
        </is>
      </c>
      <c r="D796" t="inlineStr">
        <is>
          <t>13</t>
        </is>
      </c>
      <c r="E796" t="inlineStr">
        <is>
          <t>22</t>
        </is>
      </c>
      <c r="F796" t="inlineStr">
        <is>
          <t>C</t>
        </is>
      </c>
      <c r="G796" t="inlineStr">
        <is>
          <t>Average</t>
        </is>
      </c>
      <c r="H796" t="n">
        <v>208</v>
      </c>
      <c r="I796">
        <f>B796&amp;"~"&amp;F796&amp;"~"&amp;G796</f>
        <v/>
      </c>
      <c r="J796" t="inlineStr">
        <is>
          <t>MVS Sec.13 p.22</t>
        </is>
      </c>
    </row>
    <row r="797">
      <c r="B797" t="inlineStr">
        <is>
          <t>Mini-Mart Convenience Stores</t>
        </is>
      </c>
      <c r="C797" t="inlineStr">
        <is>
          <t>531</t>
        </is>
      </c>
      <c r="D797" t="inlineStr">
        <is>
          <t>13</t>
        </is>
      </c>
      <c r="E797" t="inlineStr">
        <is>
          <t>22</t>
        </is>
      </c>
      <c r="F797" t="inlineStr">
        <is>
          <t>C</t>
        </is>
      </c>
      <c r="G797" t="inlineStr">
        <is>
          <t>Low Cost</t>
        </is>
      </c>
      <c r="H797" t="n">
        <v>178</v>
      </c>
      <c r="I797">
        <f>B797&amp;"~"&amp;F797&amp;"~"&amp;G797</f>
        <v/>
      </c>
      <c r="J797" t="inlineStr">
        <is>
          <t>MVS Sec.13 p.22</t>
        </is>
      </c>
    </row>
    <row r="798">
      <c r="B798" t="inlineStr">
        <is>
          <t>Mini-Mart Convenience Stores</t>
        </is>
      </c>
      <c r="C798" t="inlineStr">
        <is>
          <t>531</t>
        </is>
      </c>
      <c r="D798" t="inlineStr">
        <is>
          <t>13</t>
        </is>
      </c>
      <c r="E798" t="inlineStr">
        <is>
          <t>22</t>
        </is>
      </c>
      <c r="F798" t="inlineStr">
        <is>
          <t>D</t>
        </is>
      </c>
      <c r="G798" t="inlineStr">
        <is>
          <t>Good</t>
        </is>
      </c>
      <c r="H798" t="n">
        <v>234</v>
      </c>
      <c r="I798">
        <f>B798&amp;"~"&amp;F798&amp;"~"&amp;G798</f>
        <v/>
      </c>
      <c r="J798" t="inlineStr">
        <is>
          <t>MVS Sec.13 p.22</t>
        </is>
      </c>
    </row>
    <row r="799">
      <c r="B799" t="inlineStr">
        <is>
          <t>Mini-Mart Convenience Stores</t>
        </is>
      </c>
      <c r="C799" t="inlineStr">
        <is>
          <t>531</t>
        </is>
      </c>
      <c r="D799" t="inlineStr">
        <is>
          <t>13</t>
        </is>
      </c>
      <c r="E799" t="inlineStr">
        <is>
          <t>22</t>
        </is>
      </c>
      <c r="F799" t="inlineStr">
        <is>
          <t>D</t>
        </is>
      </c>
      <c r="G799" t="inlineStr">
        <is>
          <t>Average</t>
        </is>
      </c>
      <c r="H799" t="n">
        <v>199</v>
      </c>
      <c r="I799">
        <f>B799&amp;"~"&amp;F799&amp;"~"&amp;G799</f>
        <v/>
      </c>
      <c r="J799" t="inlineStr">
        <is>
          <t>MVS Sec.13 p.22</t>
        </is>
      </c>
    </row>
    <row r="800">
      <c r="B800" t="inlineStr">
        <is>
          <t>Mini-Mart Convenience Stores</t>
        </is>
      </c>
      <c r="C800" t="inlineStr">
        <is>
          <t>531</t>
        </is>
      </c>
      <c r="D800" t="inlineStr">
        <is>
          <t>13</t>
        </is>
      </c>
      <c r="E800" t="inlineStr">
        <is>
          <t>22</t>
        </is>
      </c>
      <c r="F800" t="inlineStr">
        <is>
          <t>D</t>
        </is>
      </c>
      <c r="G800" t="inlineStr">
        <is>
          <t>Low Cost</t>
        </is>
      </c>
      <c r="H800" t="n">
        <v>170</v>
      </c>
      <c r="I800">
        <f>B800&amp;"~"&amp;F800&amp;"~"&amp;G800</f>
        <v/>
      </c>
      <c r="J800" t="inlineStr">
        <is>
          <t>MVS Sec.13 p.22</t>
        </is>
      </c>
    </row>
    <row r="801">
      <c r="B801" t="inlineStr">
        <is>
          <t>Mini-Mart Convenience Stores</t>
        </is>
      </c>
      <c r="C801" t="inlineStr">
        <is>
          <t>531</t>
        </is>
      </c>
      <c r="D801" t="inlineStr">
        <is>
          <t>13</t>
        </is>
      </c>
      <c r="E801" t="inlineStr">
        <is>
          <t>22</t>
        </is>
      </c>
      <c r="F801" t="inlineStr">
        <is>
          <t>DPOLE</t>
        </is>
      </c>
      <c r="G801" t="inlineStr">
        <is>
          <t>Low Cost</t>
        </is>
      </c>
      <c r="H801" t="n">
        <v>169</v>
      </c>
      <c r="I801">
        <f>B801&amp;"~"&amp;F801&amp;"~"&amp;G801</f>
        <v/>
      </c>
      <c r="J801" t="inlineStr">
        <is>
          <t>MVS Sec.13 p.22</t>
        </is>
      </c>
    </row>
    <row r="802">
      <c r="B802" t="inlineStr">
        <is>
          <t>Mini-Mart Convenience Stores</t>
        </is>
      </c>
      <c r="C802" t="inlineStr">
        <is>
          <t>531</t>
        </is>
      </c>
      <c r="D802" t="inlineStr">
        <is>
          <t>13</t>
        </is>
      </c>
      <c r="E802" t="inlineStr">
        <is>
          <t>22</t>
        </is>
      </c>
      <c r="F802" t="inlineStr">
        <is>
          <t>S</t>
        </is>
      </c>
      <c r="G802" t="inlineStr">
        <is>
          <t>Excellent</t>
        </is>
      </c>
      <c r="H802" t="n">
        <v>284</v>
      </c>
      <c r="I802">
        <f>B802&amp;"~"&amp;F802&amp;"~"&amp;G802</f>
        <v/>
      </c>
      <c r="J802" t="inlineStr">
        <is>
          <t>MVS Sec.13 p.22</t>
        </is>
      </c>
    </row>
    <row r="803">
      <c r="B803" t="inlineStr">
        <is>
          <t>Mini-Mart Convenience Stores</t>
        </is>
      </c>
      <c r="C803" t="inlineStr">
        <is>
          <t>531</t>
        </is>
      </c>
      <c r="D803" t="inlineStr">
        <is>
          <t>13</t>
        </is>
      </c>
      <c r="E803" t="inlineStr">
        <is>
          <t>22</t>
        </is>
      </c>
      <c r="F803" t="inlineStr">
        <is>
          <t>S</t>
        </is>
      </c>
      <c r="G803" t="inlineStr">
        <is>
          <t>Good</t>
        </is>
      </c>
      <c r="H803" t="n">
        <v>245</v>
      </c>
      <c r="I803">
        <f>B803&amp;"~"&amp;F803&amp;"~"&amp;G803</f>
        <v/>
      </c>
      <c r="J803" t="inlineStr">
        <is>
          <t>MVS Sec.13 p.22</t>
        </is>
      </c>
    </row>
    <row r="804">
      <c r="B804" t="inlineStr">
        <is>
          <t>Mini-Mart Convenience Stores</t>
        </is>
      </c>
      <c r="C804" t="inlineStr">
        <is>
          <t>531</t>
        </is>
      </c>
      <c r="D804" t="inlineStr">
        <is>
          <t>13</t>
        </is>
      </c>
      <c r="E804" t="inlineStr">
        <is>
          <t>22</t>
        </is>
      </c>
      <c r="F804" t="inlineStr">
        <is>
          <t>S</t>
        </is>
      </c>
      <c r="G804" t="inlineStr">
        <is>
          <t>Average</t>
        </is>
      </c>
      <c r="H804" t="n">
        <v>212</v>
      </c>
      <c r="I804">
        <f>B804&amp;"~"&amp;F804&amp;"~"&amp;G804</f>
        <v/>
      </c>
      <c r="J804" t="inlineStr">
        <is>
          <t>MVS Sec.13 p.22</t>
        </is>
      </c>
    </row>
    <row r="805">
      <c r="B805" t="inlineStr">
        <is>
          <t>Mini-Mart Convenience Stores</t>
        </is>
      </c>
      <c r="C805" t="inlineStr">
        <is>
          <t>531</t>
        </is>
      </c>
      <c r="D805" t="inlineStr">
        <is>
          <t>13</t>
        </is>
      </c>
      <c r="E805" t="inlineStr">
        <is>
          <t>22</t>
        </is>
      </c>
      <c r="F805" t="inlineStr">
        <is>
          <t>S</t>
        </is>
      </c>
      <c r="G805" t="inlineStr">
        <is>
          <t>Low Cost</t>
        </is>
      </c>
      <c r="H805" t="n">
        <v>183</v>
      </c>
      <c r="I805">
        <f>B805&amp;"~"&amp;F805&amp;"~"&amp;G805</f>
        <v/>
      </c>
      <c r="J805" t="inlineStr">
        <is>
          <t>MVS Sec.13 p.22</t>
        </is>
      </c>
    </row>
    <row r="806">
      <c r="B806" t="inlineStr">
        <is>
          <t>Roadside Markets</t>
        </is>
      </c>
      <c r="C806" t="inlineStr">
        <is>
          <t>586</t>
        </is>
      </c>
      <c r="D806" t="inlineStr">
        <is>
          <t>13</t>
        </is>
      </c>
      <c r="E806" t="inlineStr">
        <is>
          <t>23</t>
        </is>
      </c>
      <c r="F806" t="inlineStr">
        <is>
          <t>C</t>
        </is>
      </c>
      <c r="G806" t="inlineStr">
        <is>
          <t>Excellent</t>
        </is>
      </c>
      <c r="H806" t="n">
        <v>133</v>
      </c>
      <c r="I806">
        <f>B806&amp;"~"&amp;F806&amp;"~"&amp;G806</f>
        <v/>
      </c>
      <c r="J806" t="inlineStr">
        <is>
          <t>MVS Sec.13 p.23</t>
        </is>
      </c>
    </row>
    <row r="807">
      <c r="B807" t="inlineStr">
        <is>
          <t>Roadside Markets</t>
        </is>
      </c>
      <c r="C807" t="inlineStr">
        <is>
          <t>586</t>
        </is>
      </c>
      <c r="D807" t="inlineStr">
        <is>
          <t>13</t>
        </is>
      </c>
      <c r="E807" t="inlineStr">
        <is>
          <t>23</t>
        </is>
      </c>
      <c r="F807" t="inlineStr">
        <is>
          <t>C</t>
        </is>
      </c>
      <c r="G807" t="inlineStr">
        <is>
          <t>Good</t>
        </is>
      </c>
      <c r="H807" t="n">
        <v>83.5</v>
      </c>
      <c r="I807">
        <f>B807&amp;"~"&amp;F807&amp;"~"&amp;G807</f>
        <v/>
      </c>
      <c r="J807" t="inlineStr">
        <is>
          <t>MVS Sec.13 p.23</t>
        </is>
      </c>
    </row>
    <row r="808">
      <c r="B808" t="inlineStr">
        <is>
          <t>Roadside Markets</t>
        </is>
      </c>
      <c r="C808" t="inlineStr">
        <is>
          <t>586</t>
        </is>
      </c>
      <c r="D808" t="inlineStr">
        <is>
          <t>13</t>
        </is>
      </c>
      <c r="E808" t="inlineStr">
        <is>
          <t>23</t>
        </is>
      </c>
      <c r="F808" t="inlineStr">
        <is>
          <t>C</t>
        </is>
      </c>
      <c r="G808" t="inlineStr">
        <is>
          <t>Average</t>
        </is>
      </c>
      <c r="H808" t="n">
        <v>53.5</v>
      </c>
      <c r="I808">
        <f>B808&amp;"~"&amp;F808&amp;"~"&amp;G808</f>
        <v/>
      </c>
      <c r="J808" t="inlineStr">
        <is>
          <t>MVS Sec.13 p.23</t>
        </is>
      </c>
    </row>
    <row r="809">
      <c r="B809" t="inlineStr">
        <is>
          <t>Roadside Markets</t>
        </is>
      </c>
      <c r="C809" t="inlineStr">
        <is>
          <t>586</t>
        </is>
      </c>
      <c r="D809" t="inlineStr">
        <is>
          <t>13</t>
        </is>
      </c>
      <c r="E809" t="inlineStr">
        <is>
          <t>23</t>
        </is>
      </c>
      <c r="F809" t="inlineStr">
        <is>
          <t>D</t>
        </is>
      </c>
      <c r="G809" t="inlineStr">
        <is>
          <t>Excellent</t>
        </is>
      </c>
      <c r="H809" t="n">
        <v>123</v>
      </c>
      <c r="I809">
        <f>B809&amp;"~"&amp;F809&amp;"~"&amp;G809</f>
        <v/>
      </c>
      <c r="J809" t="inlineStr">
        <is>
          <t>MVS Sec.13 p.23</t>
        </is>
      </c>
    </row>
    <row r="810">
      <c r="B810" t="inlineStr">
        <is>
          <t>Roadside Markets</t>
        </is>
      </c>
      <c r="C810" t="inlineStr">
        <is>
          <t>586</t>
        </is>
      </c>
      <c r="D810" t="inlineStr">
        <is>
          <t>13</t>
        </is>
      </c>
      <c r="E810" t="inlineStr">
        <is>
          <t>23</t>
        </is>
      </c>
      <c r="F810" t="inlineStr">
        <is>
          <t>D</t>
        </is>
      </c>
      <c r="G810" t="inlineStr">
        <is>
          <t>Good</t>
        </is>
      </c>
      <c r="H810" t="n">
        <v>75</v>
      </c>
      <c r="I810">
        <f>B810&amp;"~"&amp;F810&amp;"~"&amp;G810</f>
        <v/>
      </c>
      <c r="J810" t="inlineStr">
        <is>
          <t>MVS Sec.13 p.23</t>
        </is>
      </c>
    </row>
    <row r="811">
      <c r="B811" t="inlineStr">
        <is>
          <t>Roadside Markets</t>
        </is>
      </c>
      <c r="C811" t="inlineStr">
        <is>
          <t>586</t>
        </is>
      </c>
      <c r="D811" t="inlineStr">
        <is>
          <t>13</t>
        </is>
      </c>
      <c r="E811" t="inlineStr">
        <is>
          <t>23</t>
        </is>
      </c>
      <c r="F811" t="inlineStr">
        <is>
          <t>D</t>
        </is>
      </c>
      <c r="G811" t="inlineStr">
        <is>
          <t>Average</t>
        </is>
      </c>
      <c r="H811" t="n">
        <v>46.75</v>
      </c>
      <c r="I811">
        <f>B811&amp;"~"&amp;F811&amp;"~"&amp;G811</f>
        <v/>
      </c>
      <c r="J811" t="inlineStr">
        <is>
          <t>MVS Sec.13 p.23</t>
        </is>
      </c>
    </row>
    <row r="812">
      <c r="B812" t="inlineStr">
        <is>
          <t>Roadside Markets</t>
        </is>
      </c>
      <c r="C812" t="inlineStr">
        <is>
          <t>586</t>
        </is>
      </c>
      <c r="D812" t="inlineStr">
        <is>
          <t>13</t>
        </is>
      </c>
      <c r="E812" t="inlineStr">
        <is>
          <t>23</t>
        </is>
      </c>
      <c r="F812" t="inlineStr">
        <is>
          <t>D</t>
        </is>
      </c>
      <c r="G812" t="inlineStr">
        <is>
          <t>Low Cost</t>
        </is>
      </c>
      <c r="H812" t="n">
        <v>27.75</v>
      </c>
      <c r="I812">
        <f>B812&amp;"~"&amp;F812&amp;"~"&amp;G812</f>
        <v/>
      </c>
      <c r="J812" t="inlineStr">
        <is>
          <t>MVS Sec.13 p.23</t>
        </is>
      </c>
    </row>
    <row r="813">
      <c r="B813" t="inlineStr">
        <is>
          <t>Roadside Markets</t>
        </is>
      </c>
      <c r="C813" t="inlineStr">
        <is>
          <t>586</t>
        </is>
      </c>
      <c r="D813" t="inlineStr">
        <is>
          <t>13</t>
        </is>
      </c>
      <c r="E813" t="inlineStr">
        <is>
          <t>23</t>
        </is>
      </c>
      <c r="F813" t="inlineStr">
        <is>
          <t>D</t>
        </is>
      </c>
      <c r="G813" t="inlineStr">
        <is>
          <t>Cheap</t>
        </is>
      </c>
      <c r="H813" t="n">
        <v>17.2</v>
      </c>
      <c r="I813">
        <f>B813&amp;"~"&amp;F813&amp;"~"&amp;G813</f>
        <v/>
      </c>
      <c r="J813" t="inlineStr">
        <is>
          <t>MVS Sec.13 p.23</t>
        </is>
      </c>
    </row>
    <row r="814">
      <c r="B814" t="inlineStr">
        <is>
          <t>Roadside Markets</t>
        </is>
      </c>
      <c r="C814" t="inlineStr">
        <is>
          <t>586</t>
        </is>
      </c>
      <c r="D814" t="inlineStr">
        <is>
          <t>13</t>
        </is>
      </c>
      <c r="E814" t="inlineStr">
        <is>
          <t>23</t>
        </is>
      </c>
      <c r="F814" t="inlineStr">
        <is>
          <t>DPOLE</t>
        </is>
      </c>
      <c r="G814" t="inlineStr">
        <is>
          <t>Excellent</t>
        </is>
      </c>
      <c r="H814" t="n">
        <v>118</v>
      </c>
      <c r="I814">
        <f>B814&amp;"~"&amp;F814&amp;"~"&amp;G814</f>
        <v/>
      </c>
      <c r="J814" t="inlineStr">
        <is>
          <t>MVS Sec.13 p.23</t>
        </is>
      </c>
    </row>
    <row r="815">
      <c r="B815" t="inlineStr">
        <is>
          <t>Roadside Markets</t>
        </is>
      </c>
      <c r="C815" t="inlineStr">
        <is>
          <t>586</t>
        </is>
      </c>
      <c r="D815" t="inlineStr">
        <is>
          <t>13</t>
        </is>
      </c>
      <c r="E815" t="inlineStr">
        <is>
          <t>23</t>
        </is>
      </c>
      <c r="F815" t="inlineStr">
        <is>
          <t>DPOLE</t>
        </is>
      </c>
      <c r="G815" t="inlineStr">
        <is>
          <t>Good</t>
        </is>
      </c>
      <c r="H815" t="n">
        <v>70</v>
      </c>
      <c r="I815">
        <f>B815&amp;"~"&amp;F815&amp;"~"&amp;G815</f>
        <v/>
      </c>
      <c r="J815" t="inlineStr">
        <is>
          <t>MVS Sec.13 p.23</t>
        </is>
      </c>
    </row>
    <row r="816">
      <c r="B816" t="inlineStr">
        <is>
          <t>Roadside Markets</t>
        </is>
      </c>
      <c r="C816" t="inlineStr">
        <is>
          <t>586</t>
        </is>
      </c>
      <c r="D816" t="inlineStr">
        <is>
          <t>13</t>
        </is>
      </c>
      <c r="E816" t="inlineStr">
        <is>
          <t>23</t>
        </is>
      </c>
      <c r="F816" t="inlineStr">
        <is>
          <t>DPOLE</t>
        </is>
      </c>
      <c r="G816" t="inlineStr">
        <is>
          <t>Average</t>
        </is>
      </c>
      <c r="H816" t="n">
        <v>42.5</v>
      </c>
      <c r="I816">
        <f>B816&amp;"~"&amp;F816&amp;"~"&amp;G816</f>
        <v/>
      </c>
      <c r="J816" t="inlineStr">
        <is>
          <t>MVS Sec.13 p.23</t>
        </is>
      </c>
    </row>
    <row r="817">
      <c r="B817" t="inlineStr">
        <is>
          <t>Roadside Markets</t>
        </is>
      </c>
      <c r="C817" t="inlineStr">
        <is>
          <t>586</t>
        </is>
      </c>
      <c r="D817" t="inlineStr">
        <is>
          <t>13</t>
        </is>
      </c>
      <c r="E817" t="inlineStr">
        <is>
          <t>23</t>
        </is>
      </c>
      <c r="F817" t="inlineStr">
        <is>
          <t>DPOLE</t>
        </is>
      </c>
      <c r="G817" t="inlineStr">
        <is>
          <t>Low Cost</t>
        </is>
      </c>
      <c r="H817" t="n">
        <v>24.5</v>
      </c>
      <c r="I817">
        <f>B817&amp;"~"&amp;F817&amp;"~"&amp;G817</f>
        <v/>
      </c>
      <c r="J817" t="inlineStr">
        <is>
          <t>MVS Sec.13 p.23</t>
        </is>
      </c>
    </row>
    <row r="818">
      <c r="B818" t="inlineStr">
        <is>
          <t>Roadside Markets</t>
        </is>
      </c>
      <c r="C818" t="inlineStr">
        <is>
          <t>586</t>
        </is>
      </c>
      <c r="D818" t="inlineStr">
        <is>
          <t>13</t>
        </is>
      </c>
      <c r="E818" t="inlineStr">
        <is>
          <t>23</t>
        </is>
      </c>
      <c r="F818" t="inlineStr">
        <is>
          <t>DPOLE</t>
        </is>
      </c>
      <c r="G818" t="inlineStr">
        <is>
          <t>Cheap</t>
        </is>
      </c>
      <c r="H818" t="n">
        <v>14.9</v>
      </c>
      <c r="I818">
        <f>B818&amp;"~"&amp;F818&amp;"~"&amp;G818</f>
        <v/>
      </c>
      <c r="J818" t="inlineStr">
        <is>
          <t>MVS Sec.13 p.23</t>
        </is>
      </c>
    </row>
    <row r="819">
      <c r="B819" t="inlineStr">
        <is>
          <t>Roadside Markets</t>
        </is>
      </c>
      <c r="C819" t="inlineStr">
        <is>
          <t>586</t>
        </is>
      </c>
      <c r="D819" t="inlineStr">
        <is>
          <t>13</t>
        </is>
      </c>
      <c r="E819" t="inlineStr">
        <is>
          <t>23</t>
        </is>
      </c>
      <c r="F819" t="inlineStr">
        <is>
          <t>S</t>
        </is>
      </c>
      <c r="G819" t="inlineStr">
        <is>
          <t>Excellent</t>
        </is>
      </c>
      <c r="H819" t="n">
        <v>121</v>
      </c>
      <c r="I819">
        <f>B819&amp;"~"&amp;F819&amp;"~"&amp;G819</f>
        <v/>
      </c>
      <c r="J819" t="inlineStr">
        <is>
          <t>MVS Sec.13 p.23</t>
        </is>
      </c>
    </row>
    <row r="820">
      <c r="B820" t="inlineStr">
        <is>
          <t>Roadside Markets</t>
        </is>
      </c>
      <c r="C820" t="inlineStr">
        <is>
          <t>586</t>
        </is>
      </c>
      <c r="D820" t="inlineStr">
        <is>
          <t>13</t>
        </is>
      </c>
      <c r="E820" t="inlineStr">
        <is>
          <t>23</t>
        </is>
      </c>
      <c r="F820" t="inlineStr">
        <is>
          <t>S</t>
        </is>
      </c>
      <c r="G820" t="inlineStr">
        <is>
          <t>Good</t>
        </is>
      </c>
      <c r="H820" t="n">
        <v>74</v>
      </c>
      <c r="I820">
        <f>B820&amp;"~"&amp;F820&amp;"~"&amp;G820</f>
        <v/>
      </c>
      <c r="J820" t="inlineStr">
        <is>
          <t>MVS Sec.13 p.23</t>
        </is>
      </c>
    </row>
    <row r="821">
      <c r="B821" t="inlineStr">
        <is>
          <t>Roadside Markets</t>
        </is>
      </c>
      <c r="C821" t="inlineStr">
        <is>
          <t>586</t>
        </is>
      </c>
      <c r="D821" t="inlineStr">
        <is>
          <t>13</t>
        </is>
      </c>
      <c r="E821" t="inlineStr">
        <is>
          <t>23</t>
        </is>
      </c>
      <c r="F821" t="inlineStr">
        <is>
          <t>S</t>
        </is>
      </c>
      <c r="G821" t="inlineStr">
        <is>
          <t>Average</t>
        </is>
      </c>
      <c r="H821" t="n">
        <v>46</v>
      </c>
      <c r="I821">
        <f>B821&amp;"~"&amp;F821&amp;"~"&amp;G821</f>
        <v/>
      </c>
      <c r="J821" t="inlineStr">
        <is>
          <t>MVS Sec.13 p.23</t>
        </is>
      </c>
    </row>
    <row r="822">
      <c r="B822" t="inlineStr">
        <is>
          <t>Roadside Markets</t>
        </is>
      </c>
      <c r="C822" t="inlineStr">
        <is>
          <t>586</t>
        </is>
      </c>
      <c r="D822" t="inlineStr">
        <is>
          <t>13</t>
        </is>
      </c>
      <c r="E822" t="inlineStr">
        <is>
          <t>23</t>
        </is>
      </c>
      <c r="F822" t="inlineStr">
        <is>
          <t>S</t>
        </is>
      </c>
      <c r="G822" t="inlineStr">
        <is>
          <t>Low Cost</t>
        </is>
      </c>
      <c r="H822" t="n">
        <v>27.25</v>
      </c>
      <c r="I822">
        <f>B822&amp;"~"&amp;F822&amp;"~"&amp;G822</f>
        <v/>
      </c>
      <c r="J822" t="inlineStr">
        <is>
          <t>MVS Sec.13 p.23</t>
        </is>
      </c>
    </row>
    <row r="823">
      <c r="B823" t="inlineStr">
        <is>
          <t>Luxury Boutiques</t>
        </is>
      </c>
      <c r="C823" t="inlineStr">
        <is>
          <t>512</t>
        </is>
      </c>
      <c r="D823" t="inlineStr">
        <is>
          <t>13</t>
        </is>
      </c>
      <c r="E823" t="inlineStr">
        <is>
          <t>24</t>
        </is>
      </c>
      <c r="F823" t="inlineStr">
        <is>
          <t>A-B</t>
        </is>
      </c>
      <c r="G823" t="inlineStr">
        <is>
          <t>Good</t>
        </is>
      </c>
      <c r="H823" t="n">
        <v>448</v>
      </c>
      <c r="I823">
        <f>B823&amp;"~"&amp;F823&amp;"~"&amp;G823</f>
        <v/>
      </c>
      <c r="J823" t="inlineStr">
        <is>
          <t>MVS Sec.13 p.24</t>
        </is>
      </c>
    </row>
    <row r="824">
      <c r="B824" t="inlineStr">
        <is>
          <t>Luxury Boutiques</t>
        </is>
      </c>
      <c r="C824" t="inlineStr">
        <is>
          <t>512</t>
        </is>
      </c>
      <c r="D824" t="inlineStr">
        <is>
          <t>13</t>
        </is>
      </c>
      <c r="E824" t="inlineStr">
        <is>
          <t>24</t>
        </is>
      </c>
      <c r="F824" t="inlineStr">
        <is>
          <t>A-B</t>
        </is>
      </c>
      <c r="G824" t="inlineStr">
        <is>
          <t>Average</t>
        </is>
      </c>
      <c r="H824" t="n">
        <v>354</v>
      </c>
      <c r="I824">
        <f>B824&amp;"~"&amp;F824&amp;"~"&amp;G824</f>
        <v/>
      </c>
      <c r="J824" t="inlineStr">
        <is>
          <t>MVS Sec.13 p.24</t>
        </is>
      </c>
    </row>
    <row r="825">
      <c r="B825" t="inlineStr">
        <is>
          <t>Luxury Boutiques</t>
        </is>
      </c>
      <c r="C825" t="inlineStr">
        <is>
          <t>512</t>
        </is>
      </c>
      <c r="D825" t="inlineStr">
        <is>
          <t>13</t>
        </is>
      </c>
      <c r="E825" t="inlineStr">
        <is>
          <t>24</t>
        </is>
      </c>
      <c r="F825" t="inlineStr">
        <is>
          <t>C</t>
        </is>
      </c>
      <c r="G825" t="inlineStr">
        <is>
          <t>Good</t>
        </is>
      </c>
      <c r="H825" t="n">
        <v>386</v>
      </c>
      <c r="I825">
        <f>B825&amp;"~"&amp;F825&amp;"~"&amp;G825</f>
        <v/>
      </c>
      <c r="J825" t="inlineStr">
        <is>
          <t>MVS Sec.13 p.24</t>
        </is>
      </c>
    </row>
    <row r="826">
      <c r="B826" t="inlineStr">
        <is>
          <t>Luxury Boutiques</t>
        </is>
      </c>
      <c r="C826" t="inlineStr">
        <is>
          <t>512</t>
        </is>
      </c>
      <c r="D826" t="inlineStr">
        <is>
          <t>13</t>
        </is>
      </c>
      <c r="E826" t="inlineStr">
        <is>
          <t>24</t>
        </is>
      </c>
      <c r="F826" t="inlineStr">
        <is>
          <t>C</t>
        </is>
      </c>
      <c r="G826" t="inlineStr">
        <is>
          <t>Average</t>
        </is>
      </c>
      <c r="H826" t="n">
        <v>303</v>
      </c>
      <c r="I826">
        <f>B826&amp;"~"&amp;F826&amp;"~"&amp;G826</f>
        <v/>
      </c>
      <c r="J826" t="inlineStr">
        <is>
          <t>MVS Sec.13 p.24</t>
        </is>
      </c>
    </row>
    <row r="827">
      <c r="B827" t="inlineStr">
        <is>
          <t>Luxury Boutiques</t>
        </is>
      </c>
      <c r="C827" t="inlineStr">
        <is>
          <t>512</t>
        </is>
      </c>
      <c r="D827" t="inlineStr">
        <is>
          <t>13</t>
        </is>
      </c>
      <c r="E827" t="inlineStr">
        <is>
          <t>24</t>
        </is>
      </c>
      <c r="F827" t="inlineStr">
        <is>
          <t>C</t>
        </is>
      </c>
      <c r="G827" t="inlineStr">
        <is>
          <t>Low Cost</t>
        </is>
      </c>
      <c r="H827" t="n">
        <v>237</v>
      </c>
      <c r="I827">
        <f>B827&amp;"~"&amp;F827&amp;"~"&amp;G827</f>
        <v/>
      </c>
      <c r="J827" t="inlineStr">
        <is>
          <t>MVS Sec.13 p.24</t>
        </is>
      </c>
    </row>
    <row r="828">
      <c r="B828" t="inlineStr">
        <is>
          <t>Luxury Boutiques</t>
        </is>
      </c>
      <c r="C828" t="inlineStr">
        <is>
          <t>512</t>
        </is>
      </c>
      <c r="D828" t="inlineStr">
        <is>
          <t>13</t>
        </is>
      </c>
      <c r="E828" t="inlineStr">
        <is>
          <t>24</t>
        </is>
      </c>
      <c r="F828" t="inlineStr">
        <is>
          <t>D</t>
        </is>
      </c>
      <c r="G828" t="inlineStr">
        <is>
          <t>Good</t>
        </is>
      </c>
      <c r="H828" t="n">
        <v>370</v>
      </c>
      <c r="I828">
        <f>B828&amp;"~"&amp;F828&amp;"~"&amp;G828</f>
        <v/>
      </c>
      <c r="J828" t="inlineStr">
        <is>
          <t>MVS Sec.13 p.24</t>
        </is>
      </c>
    </row>
    <row r="829">
      <c r="B829" t="inlineStr">
        <is>
          <t>Luxury Boutiques</t>
        </is>
      </c>
      <c r="C829" t="inlineStr">
        <is>
          <t>512</t>
        </is>
      </c>
      <c r="D829" t="inlineStr">
        <is>
          <t>13</t>
        </is>
      </c>
      <c r="E829" t="inlineStr">
        <is>
          <t>24</t>
        </is>
      </c>
      <c r="F829" t="inlineStr">
        <is>
          <t>D</t>
        </is>
      </c>
      <c r="G829" t="inlineStr">
        <is>
          <t>Average</t>
        </is>
      </c>
      <c r="H829" t="n">
        <v>290</v>
      </c>
      <c r="I829">
        <f>B829&amp;"~"&amp;F829&amp;"~"&amp;G829</f>
        <v/>
      </c>
      <c r="J829" t="inlineStr">
        <is>
          <t>MVS Sec.13 p.24</t>
        </is>
      </c>
    </row>
    <row r="830">
      <c r="B830" t="inlineStr">
        <is>
          <t>Luxury Boutiques</t>
        </is>
      </c>
      <c r="C830" t="inlineStr">
        <is>
          <t>512</t>
        </is>
      </c>
      <c r="D830" t="inlineStr">
        <is>
          <t>13</t>
        </is>
      </c>
      <c r="E830" t="inlineStr">
        <is>
          <t>24</t>
        </is>
      </c>
      <c r="F830" t="inlineStr">
        <is>
          <t>D</t>
        </is>
      </c>
      <c r="G830" t="inlineStr">
        <is>
          <t>Low Cost</t>
        </is>
      </c>
      <c r="H830" t="n">
        <v>225</v>
      </c>
      <c r="I830">
        <f>B830&amp;"~"&amp;F830&amp;"~"&amp;G830</f>
        <v/>
      </c>
      <c r="J830" t="inlineStr">
        <is>
          <t>MVS Sec.13 p.24</t>
        </is>
      </c>
    </row>
    <row r="831">
      <c r="B831" t="inlineStr">
        <is>
          <t>Winery (Tasting – Display) Shops</t>
        </is>
      </c>
      <c r="C831" t="inlineStr">
        <is>
          <t>127</t>
        </is>
      </c>
      <c r="D831" t="inlineStr">
        <is>
          <t>13</t>
        </is>
      </c>
      <c r="E831" t="inlineStr">
        <is>
          <t>24</t>
        </is>
      </c>
      <c r="F831" t="inlineStr">
        <is>
          <t>C</t>
        </is>
      </c>
      <c r="G831" t="inlineStr">
        <is>
          <t>Excellent</t>
        </is>
      </c>
      <c r="H831" t="n">
        <v>447</v>
      </c>
      <c r="I831">
        <f>B831&amp;"~"&amp;F831&amp;"~"&amp;G831</f>
        <v/>
      </c>
      <c r="J831" t="inlineStr">
        <is>
          <t>MVS Sec.13 p.24</t>
        </is>
      </c>
    </row>
    <row r="832">
      <c r="B832" t="inlineStr">
        <is>
          <t>Winery (Tasting – Display) Shops</t>
        </is>
      </c>
      <c r="C832" t="inlineStr">
        <is>
          <t>127</t>
        </is>
      </c>
      <c r="D832" t="inlineStr">
        <is>
          <t>13</t>
        </is>
      </c>
      <c r="E832" t="inlineStr">
        <is>
          <t>24</t>
        </is>
      </c>
      <c r="F832" t="inlineStr">
        <is>
          <t>C</t>
        </is>
      </c>
      <c r="G832" t="inlineStr">
        <is>
          <t>Good</t>
        </is>
      </c>
      <c r="H832" t="n">
        <v>264</v>
      </c>
      <c r="I832">
        <f>B832&amp;"~"&amp;F832&amp;"~"&amp;G832</f>
        <v/>
      </c>
      <c r="J832" t="inlineStr">
        <is>
          <t>MVS Sec.13 p.24</t>
        </is>
      </c>
    </row>
    <row r="833">
      <c r="B833" t="inlineStr">
        <is>
          <t>Winery (Tasting – Display) Shops</t>
        </is>
      </c>
      <c r="C833" t="inlineStr">
        <is>
          <t>127</t>
        </is>
      </c>
      <c r="D833" t="inlineStr">
        <is>
          <t>13</t>
        </is>
      </c>
      <c r="E833" t="inlineStr">
        <is>
          <t>24</t>
        </is>
      </c>
      <c r="F833" t="inlineStr">
        <is>
          <t>C</t>
        </is>
      </c>
      <c r="G833" t="inlineStr">
        <is>
          <t>Average</t>
        </is>
      </c>
      <c r="H833" t="n">
        <v>158</v>
      </c>
      <c r="I833">
        <f>B833&amp;"~"&amp;F833&amp;"~"&amp;G833</f>
        <v/>
      </c>
      <c r="J833" t="inlineStr">
        <is>
          <t>MVS Sec.13 p.24</t>
        </is>
      </c>
    </row>
    <row r="834">
      <c r="B834" t="inlineStr">
        <is>
          <t>Winery (Tasting – Display) Shops</t>
        </is>
      </c>
      <c r="C834" t="inlineStr">
        <is>
          <t>127</t>
        </is>
      </c>
      <c r="D834" t="inlineStr">
        <is>
          <t>13</t>
        </is>
      </c>
      <c r="E834" t="inlineStr">
        <is>
          <t>24</t>
        </is>
      </c>
      <c r="F834" t="inlineStr">
        <is>
          <t>C</t>
        </is>
      </c>
      <c r="G834" t="inlineStr">
        <is>
          <t>Low Cost</t>
        </is>
      </c>
      <c r="H834" t="n">
        <v>97</v>
      </c>
      <c r="I834">
        <f>B834&amp;"~"&amp;F834&amp;"~"&amp;G834</f>
        <v/>
      </c>
      <c r="J834" t="inlineStr">
        <is>
          <t>MVS Sec.13 p.24</t>
        </is>
      </c>
    </row>
    <row r="835">
      <c r="B835" t="inlineStr">
        <is>
          <t>Winery (Tasting – Display) Shops</t>
        </is>
      </c>
      <c r="C835" t="inlineStr">
        <is>
          <t>127</t>
        </is>
      </c>
      <c r="D835" t="inlineStr">
        <is>
          <t>13</t>
        </is>
      </c>
      <c r="E835" t="inlineStr">
        <is>
          <t>24</t>
        </is>
      </c>
      <c r="F835" t="inlineStr">
        <is>
          <t>D</t>
        </is>
      </c>
      <c r="G835" t="inlineStr">
        <is>
          <t>Excellent</t>
        </is>
      </c>
      <c r="H835" t="n">
        <v>430</v>
      </c>
      <c r="I835">
        <f>B835&amp;"~"&amp;F835&amp;"~"&amp;G835</f>
        <v/>
      </c>
      <c r="J835" t="inlineStr">
        <is>
          <t>MVS Sec.13 p.24</t>
        </is>
      </c>
    </row>
    <row r="836">
      <c r="B836" t="inlineStr">
        <is>
          <t>Winery (Tasting – Display) Shops</t>
        </is>
      </c>
      <c r="C836" t="inlineStr">
        <is>
          <t>127</t>
        </is>
      </c>
      <c r="D836" t="inlineStr">
        <is>
          <t>13</t>
        </is>
      </c>
      <c r="E836" t="inlineStr">
        <is>
          <t>24</t>
        </is>
      </c>
      <c r="F836" t="inlineStr">
        <is>
          <t>D</t>
        </is>
      </c>
      <c r="G836" t="inlineStr">
        <is>
          <t>Good</t>
        </is>
      </c>
      <c r="H836" t="n">
        <v>249</v>
      </c>
      <c r="I836">
        <f>B836&amp;"~"&amp;F836&amp;"~"&amp;G836</f>
        <v/>
      </c>
      <c r="J836" t="inlineStr">
        <is>
          <t>MVS Sec.13 p.24</t>
        </is>
      </c>
    </row>
    <row r="837">
      <c r="B837" t="inlineStr">
        <is>
          <t>Winery (Tasting – Display) Shops</t>
        </is>
      </c>
      <c r="C837" t="inlineStr">
        <is>
          <t>127</t>
        </is>
      </c>
      <c r="D837" t="inlineStr">
        <is>
          <t>13</t>
        </is>
      </c>
      <c r="E837" t="inlineStr">
        <is>
          <t>24</t>
        </is>
      </c>
      <c r="F837" t="inlineStr">
        <is>
          <t>D</t>
        </is>
      </c>
      <c r="G837" t="inlineStr">
        <is>
          <t>Average</t>
        </is>
      </c>
      <c r="H837" t="n">
        <v>148</v>
      </c>
      <c r="I837">
        <f>B837&amp;"~"&amp;F837&amp;"~"&amp;G837</f>
        <v/>
      </c>
      <c r="J837" t="inlineStr">
        <is>
          <t>MVS Sec.13 p.24</t>
        </is>
      </c>
    </row>
    <row r="838">
      <c r="B838" t="inlineStr">
        <is>
          <t>Winery (Tasting – Display) Shops</t>
        </is>
      </c>
      <c r="C838" t="inlineStr">
        <is>
          <t>127</t>
        </is>
      </c>
      <c r="D838" t="inlineStr">
        <is>
          <t>13</t>
        </is>
      </c>
      <c r="E838" t="inlineStr">
        <is>
          <t>24</t>
        </is>
      </c>
      <c r="F838" t="inlineStr">
        <is>
          <t>D</t>
        </is>
      </c>
      <c r="G838" t="inlineStr">
        <is>
          <t>Low Cost</t>
        </is>
      </c>
      <c r="H838" t="n">
        <v>89</v>
      </c>
      <c r="I838">
        <f>B838&amp;"~"&amp;F838&amp;"~"&amp;G838</f>
        <v/>
      </c>
      <c r="J838" t="inlineStr">
        <is>
          <t>MVS Sec.13 p.24</t>
        </is>
      </c>
    </row>
    <row r="839">
      <c r="B839" t="inlineStr">
        <is>
          <t>Winery (Tasting – Display) Shops</t>
        </is>
      </c>
      <c r="C839" t="inlineStr">
        <is>
          <t>127</t>
        </is>
      </c>
      <c r="D839" t="inlineStr">
        <is>
          <t>13</t>
        </is>
      </c>
      <c r="E839" t="inlineStr">
        <is>
          <t>24</t>
        </is>
      </c>
      <c r="F839" t="inlineStr">
        <is>
          <t>DPOLE</t>
        </is>
      </c>
      <c r="G839" t="inlineStr">
        <is>
          <t>Low Cost</t>
        </is>
      </c>
      <c r="H839" t="n">
        <v>84.5</v>
      </c>
      <c r="I839">
        <f>B839&amp;"~"&amp;F839&amp;"~"&amp;G839</f>
        <v/>
      </c>
      <c r="J839" t="inlineStr">
        <is>
          <t>MVS Sec.13 p.24</t>
        </is>
      </c>
    </row>
    <row r="840">
      <c r="B840" t="inlineStr">
        <is>
          <t>Winery (Tasting – Display) Shops</t>
        </is>
      </c>
      <c r="C840" t="inlineStr">
        <is>
          <t>127</t>
        </is>
      </c>
      <c r="D840" t="inlineStr">
        <is>
          <t>13</t>
        </is>
      </c>
      <c r="E840" t="inlineStr">
        <is>
          <t>24</t>
        </is>
      </c>
      <c r="F840" t="inlineStr">
        <is>
          <t>S</t>
        </is>
      </c>
      <c r="G840" t="inlineStr">
        <is>
          <t>Average</t>
        </is>
      </c>
      <c r="H840" t="n">
        <v>145</v>
      </c>
      <c r="I840">
        <f>B840&amp;"~"&amp;F840&amp;"~"&amp;G840</f>
        <v/>
      </c>
      <c r="J840" t="inlineStr">
        <is>
          <t>MVS Sec.13 p.24</t>
        </is>
      </c>
    </row>
    <row r="841">
      <c r="B841" t="inlineStr">
        <is>
          <t>Winery (Tasting – Display) Shops</t>
        </is>
      </c>
      <c r="C841" t="inlineStr">
        <is>
          <t>127</t>
        </is>
      </c>
      <c r="D841" t="inlineStr">
        <is>
          <t>13</t>
        </is>
      </c>
      <c r="E841" t="inlineStr">
        <is>
          <t>24</t>
        </is>
      </c>
      <c r="F841" t="inlineStr">
        <is>
          <t>S</t>
        </is>
      </c>
      <c r="G841" t="inlineStr">
        <is>
          <t>Low Cost</t>
        </is>
      </c>
      <c r="H841" t="n">
        <v>87.5</v>
      </c>
      <c r="I841">
        <f>B841&amp;"~"&amp;F841&amp;"~"&amp;G841</f>
        <v/>
      </c>
      <c r="J841" t="inlineStr">
        <is>
          <t>MVS Sec.13 p.24</t>
        </is>
      </c>
    </row>
    <row r="842">
      <c r="B842" t="inlineStr">
        <is>
          <t>Barber Shops/Beauty Salons</t>
        </is>
      </c>
      <c r="C842" t="inlineStr">
        <is>
          <t>384</t>
        </is>
      </c>
      <c r="D842" t="inlineStr">
        <is>
          <t>13</t>
        </is>
      </c>
      <c r="E842" t="inlineStr">
        <is>
          <t>25</t>
        </is>
      </c>
      <c r="F842" t="inlineStr">
        <is>
          <t>A-B</t>
        </is>
      </c>
      <c r="G842" t="inlineStr">
        <is>
          <t>Average</t>
        </is>
      </c>
      <c r="H842" t="n">
        <v>149</v>
      </c>
      <c r="I842">
        <f>B842&amp;"~"&amp;F842&amp;"~"&amp;G842</f>
        <v/>
      </c>
      <c r="J842" t="inlineStr">
        <is>
          <t>MVS Sec.13 p.25</t>
        </is>
      </c>
    </row>
    <row r="843">
      <c r="B843" t="inlineStr">
        <is>
          <t>Barber Shops/Beauty Salons</t>
        </is>
      </c>
      <c r="C843" t="inlineStr">
        <is>
          <t>384</t>
        </is>
      </c>
      <c r="D843" t="inlineStr">
        <is>
          <t>13</t>
        </is>
      </c>
      <c r="E843" t="inlineStr">
        <is>
          <t>25</t>
        </is>
      </c>
      <c r="F843" t="inlineStr">
        <is>
          <t>C</t>
        </is>
      </c>
      <c r="G843" t="inlineStr">
        <is>
          <t>Good</t>
        </is>
      </c>
      <c r="H843" t="n">
        <v>147</v>
      </c>
      <c r="I843">
        <f>B843&amp;"~"&amp;F843&amp;"~"&amp;G843</f>
        <v/>
      </c>
      <c r="J843" t="inlineStr">
        <is>
          <t>MVS Sec.13 p.25</t>
        </is>
      </c>
    </row>
    <row r="844">
      <c r="B844" t="inlineStr">
        <is>
          <t>Barber Shops/Beauty Salons</t>
        </is>
      </c>
      <c r="C844" t="inlineStr">
        <is>
          <t>384</t>
        </is>
      </c>
      <c r="D844" t="inlineStr">
        <is>
          <t>13</t>
        </is>
      </c>
      <c r="E844" t="inlineStr">
        <is>
          <t>25</t>
        </is>
      </c>
      <c r="F844" t="inlineStr">
        <is>
          <t>C</t>
        </is>
      </c>
      <c r="G844" t="inlineStr">
        <is>
          <t>Average</t>
        </is>
      </c>
      <c r="H844" t="n">
        <v>106</v>
      </c>
      <c r="I844">
        <f>B844&amp;"~"&amp;F844&amp;"~"&amp;G844</f>
        <v/>
      </c>
      <c r="J844" t="inlineStr">
        <is>
          <t>MVS Sec.13 p.25</t>
        </is>
      </c>
    </row>
    <row r="845">
      <c r="B845" t="inlineStr">
        <is>
          <t>Barber Shops/Beauty Salons</t>
        </is>
      </c>
      <c r="C845" t="inlineStr">
        <is>
          <t>384</t>
        </is>
      </c>
      <c r="D845" t="inlineStr">
        <is>
          <t>13</t>
        </is>
      </c>
      <c r="E845" t="inlineStr">
        <is>
          <t>25</t>
        </is>
      </c>
      <c r="F845" t="inlineStr">
        <is>
          <t>D</t>
        </is>
      </c>
      <c r="G845" t="inlineStr">
        <is>
          <t>Good</t>
        </is>
      </c>
      <c r="H845" t="n">
        <v>136</v>
      </c>
      <c r="I845">
        <f>B845&amp;"~"&amp;F845&amp;"~"&amp;G845</f>
        <v/>
      </c>
      <c r="J845" t="inlineStr">
        <is>
          <t>MVS Sec.13 p.25</t>
        </is>
      </c>
    </row>
    <row r="846">
      <c r="B846" t="inlineStr">
        <is>
          <t>Barber Shops/Beauty Salons</t>
        </is>
      </c>
      <c r="C846" t="inlineStr">
        <is>
          <t>384</t>
        </is>
      </c>
      <c r="D846" t="inlineStr">
        <is>
          <t>13</t>
        </is>
      </c>
      <c r="E846" t="inlineStr">
        <is>
          <t>25</t>
        </is>
      </c>
      <c r="F846" t="inlineStr">
        <is>
          <t>D</t>
        </is>
      </c>
      <c r="G846" t="inlineStr">
        <is>
          <t>Average</t>
        </is>
      </c>
      <c r="H846" t="n">
        <v>98</v>
      </c>
      <c r="I846">
        <f>B846&amp;"~"&amp;F846&amp;"~"&amp;G846</f>
        <v/>
      </c>
      <c r="J846" t="inlineStr">
        <is>
          <t>MVS Sec.13 p.25</t>
        </is>
      </c>
    </row>
    <row r="847">
      <c r="B847" t="inlineStr">
        <is>
          <t>Barber Shops/Beauty Salons</t>
        </is>
      </c>
      <c r="C847" t="inlineStr">
        <is>
          <t>384</t>
        </is>
      </c>
      <c r="D847" t="inlineStr">
        <is>
          <t>13</t>
        </is>
      </c>
      <c r="E847" t="inlineStr">
        <is>
          <t>25</t>
        </is>
      </c>
      <c r="F847" t="inlineStr">
        <is>
          <t>S</t>
        </is>
      </c>
      <c r="G847" t="inlineStr">
        <is>
          <t>Good</t>
        </is>
      </c>
      <c r="H847" t="n">
        <v>135</v>
      </c>
      <c r="I847">
        <f>B847&amp;"~"&amp;F847&amp;"~"&amp;G847</f>
        <v/>
      </c>
      <c r="J847" t="inlineStr">
        <is>
          <t>MVS Sec.13 p.25</t>
        </is>
      </c>
    </row>
    <row r="848">
      <c r="B848" t="inlineStr">
        <is>
          <t>Barber Shops/Beauty Salons</t>
        </is>
      </c>
      <c r="C848" t="inlineStr">
        <is>
          <t>384</t>
        </is>
      </c>
      <c r="D848" t="inlineStr">
        <is>
          <t>13</t>
        </is>
      </c>
      <c r="E848" t="inlineStr">
        <is>
          <t>25</t>
        </is>
      </c>
      <c r="F848" t="inlineStr">
        <is>
          <t>S</t>
        </is>
      </c>
      <c r="G848" t="inlineStr">
        <is>
          <t>Average</t>
        </is>
      </c>
      <c r="H848" t="n">
        <v>96.5</v>
      </c>
      <c r="I848">
        <f>B848&amp;"~"&amp;F848&amp;"~"&amp;G848</f>
        <v/>
      </c>
      <c r="J848" t="inlineStr">
        <is>
          <t>MVS Sec.13 p.25</t>
        </is>
      </c>
    </row>
    <row r="849">
      <c r="B849" t="inlineStr">
        <is>
          <t>Laundromats</t>
        </is>
      </c>
      <c r="C849" t="inlineStr">
        <is>
          <t>336</t>
        </is>
      </c>
      <c r="D849" t="inlineStr">
        <is>
          <t>13</t>
        </is>
      </c>
      <c r="E849" t="inlineStr">
        <is>
          <t>25</t>
        </is>
      </c>
      <c r="F849" t="inlineStr">
        <is>
          <t>C</t>
        </is>
      </c>
      <c r="G849" t="inlineStr">
        <is>
          <t>Average</t>
        </is>
      </c>
      <c r="H849" t="n">
        <v>119</v>
      </c>
      <c r="I849">
        <f>B849&amp;"~"&amp;F849&amp;"~"&amp;G849</f>
        <v/>
      </c>
      <c r="J849" t="inlineStr">
        <is>
          <t>MVS Sec.13 p.25</t>
        </is>
      </c>
    </row>
    <row r="850">
      <c r="B850" t="inlineStr">
        <is>
          <t>Laundromats</t>
        </is>
      </c>
      <c r="C850" t="inlineStr">
        <is>
          <t>336</t>
        </is>
      </c>
      <c r="D850" t="inlineStr">
        <is>
          <t>13</t>
        </is>
      </c>
      <c r="E850" t="inlineStr">
        <is>
          <t>25</t>
        </is>
      </c>
      <c r="F850" t="inlineStr">
        <is>
          <t>D</t>
        </is>
      </c>
      <c r="G850" t="inlineStr">
        <is>
          <t>Average</t>
        </is>
      </c>
      <c r="H850" t="n">
        <v>109</v>
      </c>
      <c r="I850">
        <f>B850&amp;"~"&amp;F850&amp;"~"&amp;G850</f>
        <v/>
      </c>
      <c r="J850" t="inlineStr">
        <is>
          <t>MVS Sec.13 p.25</t>
        </is>
      </c>
    </row>
    <row r="851">
      <c r="B851" t="inlineStr">
        <is>
          <t>Laundromats</t>
        </is>
      </c>
      <c r="C851" t="inlineStr">
        <is>
          <t>336</t>
        </is>
      </c>
      <c r="D851" t="inlineStr">
        <is>
          <t>13</t>
        </is>
      </c>
      <c r="E851" t="inlineStr">
        <is>
          <t>25</t>
        </is>
      </c>
      <c r="F851" t="inlineStr">
        <is>
          <t>DPOLE</t>
        </is>
      </c>
      <c r="G851" t="inlineStr">
        <is>
          <t>Average</t>
        </is>
      </c>
      <c r="H851" t="n">
        <v>103</v>
      </c>
      <c r="I851">
        <f>B851&amp;"~"&amp;F851&amp;"~"&amp;G851</f>
        <v/>
      </c>
      <c r="J851" t="inlineStr">
        <is>
          <t>MVS Sec.13 p.25</t>
        </is>
      </c>
    </row>
    <row r="852">
      <c r="B852" t="inlineStr">
        <is>
          <t>Laundromats</t>
        </is>
      </c>
      <c r="C852" t="inlineStr">
        <is>
          <t>336</t>
        </is>
      </c>
      <c r="D852" t="inlineStr">
        <is>
          <t>13</t>
        </is>
      </c>
      <c r="E852" t="inlineStr">
        <is>
          <t>25</t>
        </is>
      </c>
      <c r="F852" t="inlineStr">
        <is>
          <t>S</t>
        </is>
      </c>
      <c r="G852" t="inlineStr">
        <is>
          <t>Average</t>
        </is>
      </c>
      <c r="H852" t="n">
        <v>106</v>
      </c>
      <c r="I852">
        <f>B852&amp;"~"&amp;F852&amp;"~"&amp;G852</f>
        <v/>
      </c>
      <c r="J852" t="inlineStr">
        <is>
          <t>MVS Sec.13 p.25</t>
        </is>
      </c>
    </row>
    <row r="853">
      <c r="B853" t="inlineStr">
        <is>
          <t>Laundry/Dry Cleaning</t>
        </is>
      </c>
      <c r="C853" t="inlineStr">
        <is>
          <t>499</t>
        </is>
      </c>
      <c r="D853" t="inlineStr">
        <is>
          <t>13</t>
        </is>
      </c>
      <c r="E853" t="inlineStr">
        <is>
          <t>25</t>
        </is>
      </c>
      <c r="F853" t="inlineStr">
        <is>
          <t>C</t>
        </is>
      </c>
      <c r="G853" t="inlineStr">
        <is>
          <t>Good</t>
        </is>
      </c>
      <c r="H853" t="n">
        <v>152</v>
      </c>
      <c r="I853">
        <f>B853&amp;"~"&amp;F853&amp;"~"&amp;G853</f>
        <v/>
      </c>
      <c r="J853" t="inlineStr">
        <is>
          <t>MVS Sec.13 p.25</t>
        </is>
      </c>
    </row>
    <row r="854">
      <c r="B854" t="inlineStr">
        <is>
          <t>Laundry/Dry Cleaning</t>
        </is>
      </c>
      <c r="C854" t="inlineStr">
        <is>
          <t>499</t>
        </is>
      </c>
      <c r="D854" t="inlineStr">
        <is>
          <t>13</t>
        </is>
      </c>
      <c r="E854" t="inlineStr">
        <is>
          <t>25</t>
        </is>
      </c>
      <c r="F854" t="inlineStr">
        <is>
          <t>C</t>
        </is>
      </c>
      <c r="G854" t="inlineStr">
        <is>
          <t>Average</t>
        </is>
      </c>
      <c r="H854" t="n">
        <v>115</v>
      </c>
      <c r="I854">
        <f>B854&amp;"~"&amp;F854&amp;"~"&amp;G854</f>
        <v/>
      </c>
      <c r="J854" t="inlineStr">
        <is>
          <t>MVS Sec.13 p.25</t>
        </is>
      </c>
    </row>
    <row r="855">
      <c r="B855" t="inlineStr">
        <is>
          <t>Laundry/Dry Cleaning</t>
        </is>
      </c>
      <c r="C855" t="inlineStr">
        <is>
          <t>499</t>
        </is>
      </c>
      <c r="D855" t="inlineStr">
        <is>
          <t>13</t>
        </is>
      </c>
      <c r="E855" t="inlineStr">
        <is>
          <t>25</t>
        </is>
      </c>
      <c r="F855" t="inlineStr">
        <is>
          <t>D</t>
        </is>
      </c>
      <c r="G855" t="inlineStr">
        <is>
          <t>Good</t>
        </is>
      </c>
      <c r="H855" t="n">
        <v>142</v>
      </c>
      <c r="I855">
        <f>B855&amp;"~"&amp;F855&amp;"~"&amp;G855</f>
        <v/>
      </c>
      <c r="J855" t="inlineStr">
        <is>
          <t>MVS Sec.13 p.25</t>
        </is>
      </c>
    </row>
    <row r="856">
      <c r="B856" t="inlineStr">
        <is>
          <t>Laundry/Dry Cleaning</t>
        </is>
      </c>
      <c r="C856" t="inlineStr">
        <is>
          <t>499</t>
        </is>
      </c>
      <c r="D856" t="inlineStr">
        <is>
          <t>13</t>
        </is>
      </c>
      <c r="E856" t="inlineStr">
        <is>
          <t>25</t>
        </is>
      </c>
      <c r="F856" t="inlineStr">
        <is>
          <t>D</t>
        </is>
      </c>
      <c r="G856" t="inlineStr">
        <is>
          <t>Average</t>
        </is>
      </c>
      <c r="H856" t="n">
        <v>106</v>
      </c>
      <c r="I856">
        <f>B856&amp;"~"&amp;F856&amp;"~"&amp;G856</f>
        <v/>
      </c>
      <c r="J856" t="inlineStr">
        <is>
          <t>MVS Sec.13 p.25</t>
        </is>
      </c>
    </row>
    <row r="857">
      <c r="B857" t="inlineStr">
        <is>
          <t>Laundry/Dry Cleaning</t>
        </is>
      </c>
      <c r="C857" t="inlineStr">
        <is>
          <t>499</t>
        </is>
      </c>
      <c r="D857" t="inlineStr">
        <is>
          <t>13</t>
        </is>
      </c>
      <c r="E857" t="inlineStr">
        <is>
          <t>25</t>
        </is>
      </c>
      <c r="F857" t="inlineStr">
        <is>
          <t>S</t>
        </is>
      </c>
      <c r="G857" t="inlineStr">
        <is>
          <t>Average</t>
        </is>
      </c>
      <c r="H857" t="n">
        <v>103</v>
      </c>
      <c r="I857">
        <f>B857&amp;"~"&amp;F857&amp;"~"&amp;G857</f>
        <v/>
      </c>
      <c r="J857" t="inlineStr">
        <is>
          <t>MVS Sec.13 p.25</t>
        </is>
      </c>
    </row>
    <row r="858">
      <c r="B858" t="inlineStr">
        <is>
          <t>Dairy Sales</t>
        </is>
      </c>
      <c r="C858" t="inlineStr">
        <is>
          <t>317</t>
        </is>
      </c>
      <c r="D858" t="inlineStr">
        <is>
          <t>13</t>
        </is>
      </c>
      <c r="E858" t="inlineStr">
        <is>
          <t>25</t>
        </is>
      </c>
      <c r="F858" t="inlineStr">
        <is>
          <t>C</t>
        </is>
      </c>
      <c r="G858" t="inlineStr">
        <is>
          <t>Average</t>
        </is>
      </c>
      <c r="H858" t="n">
        <v>132</v>
      </c>
      <c r="I858">
        <f>B858&amp;"~"&amp;F858&amp;"~"&amp;G858</f>
        <v/>
      </c>
      <c r="J858" t="inlineStr">
        <is>
          <t>MVS Sec.13 p.25</t>
        </is>
      </c>
    </row>
    <row r="859">
      <c r="B859" t="inlineStr">
        <is>
          <t>Dairy Sales</t>
        </is>
      </c>
      <c r="C859" t="inlineStr">
        <is>
          <t>317</t>
        </is>
      </c>
      <c r="D859" t="inlineStr">
        <is>
          <t>13</t>
        </is>
      </c>
      <c r="E859" t="inlineStr">
        <is>
          <t>25</t>
        </is>
      </c>
      <c r="F859" t="inlineStr">
        <is>
          <t>D</t>
        </is>
      </c>
      <c r="G859" t="inlineStr">
        <is>
          <t>Average</t>
        </is>
      </c>
      <c r="H859" t="n">
        <v>123</v>
      </c>
      <c r="I859">
        <f>B859&amp;"~"&amp;F859&amp;"~"&amp;G859</f>
        <v/>
      </c>
      <c r="J859" t="inlineStr">
        <is>
          <t>MVS Sec.13 p.25</t>
        </is>
      </c>
    </row>
    <row r="860">
      <c r="B860" t="inlineStr">
        <is>
          <t>Dairy Sales</t>
        </is>
      </c>
      <c r="C860" t="inlineStr">
        <is>
          <t>317</t>
        </is>
      </c>
      <c r="D860" t="inlineStr">
        <is>
          <t>13</t>
        </is>
      </c>
      <c r="E860" t="inlineStr">
        <is>
          <t>25</t>
        </is>
      </c>
      <c r="F860" t="inlineStr">
        <is>
          <t>S</t>
        </is>
      </c>
      <c r="G860" t="inlineStr">
        <is>
          <t>Average</t>
        </is>
      </c>
      <c r="H860" t="n">
        <v>121</v>
      </c>
      <c r="I860">
        <f>B860&amp;"~"&amp;F860&amp;"~"&amp;G860</f>
        <v/>
      </c>
      <c r="J860" t="inlineStr">
        <is>
          <t>MVS Sec.13 p.25</t>
        </is>
      </c>
    </row>
    <row r="861">
      <c r="B861" t="inlineStr">
        <is>
          <t>Retail Stores</t>
        </is>
      </c>
      <c r="C861" t="inlineStr">
        <is>
          <t>353</t>
        </is>
      </c>
      <c r="D861" t="inlineStr">
        <is>
          <t>13</t>
        </is>
      </c>
      <c r="E861" t="inlineStr">
        <is>
          <t>26</t>
        </is>
      </c>
      <c r="F861" t="inlineStr">
        <is>
          <t>A</t>
        </is>
      </c>
      <c r="G861" t="inlineStr">
        <is>
          <t>Excellent</t>
        </is>
      </c>
      <c r="H861" t="n">
        <v>273</v>
      </c>
      <c r="I861">
        <f>B861&amp;"~"&amp;F861&amp;"~"&amp;G861</f>
        <v/>
      </c>
      <c r="J861" t="inlineStr">
        <is>
          <t>MVS Sec.13 p.26</t>
        </is>
      </c>
    </row>
    <row r="862">
      <c r="B862" t="inlineStr">
        <is>
          <t>Retail Stores</t>
        </is>
      </c>
      <c r="C862" t="inlineStr">
        <is>
          <t>353</t>
        </is>
      </c>
      <c r="D862" t="inlineStr">
        <is>
          <t>13</t>
        </is>
      </c>
      <c r="E862" t="inlineStr">
        <is>
          <t>26</t>
        </is>
      </c>
      <c r="F862" t="inlineStr">
        <is>
          <t>A</t>
        </is>
      </c>
      <c r="G862" t="inlineStr">
        <is>
          <t>Good</t>
        </is>
      </c>
      <c r="H862" t="n">
        <v>205</v>
      </c>
      <c r="I862">
        <f>B862&amp;"~"&amp;F862&amp;"~"&amp;G862</f>
        <v/>
      </c>
      <c r="J862" t="inlineStr">
        <is>
          <t>MVS Sec.13 p.26</t>
        </is>
      </c>
    </row>
    <row r="863">
      <c r="B863" t="inlineStr">
        <is>
          <t>Retail Stores</t>
        </is>
      </c>
      <c r="C863" t="inlineStr">
        <is>
          <t>353</t>
        </is>
      </c>
      <c r="D863" t="inlineStr">
        <is>
          <t>13</t>
        </is>
      </c>
      <c r="E863" t="inlineStr">
        <is>
          <t>26</t>
        </is>
      </c>
      <c r="F863" t="inlineStr">
        <is>
          <t>A</t>
        </is>
      </c>
      <c r="G863" t="inlineStr">
        <is>
          <t>Average</t>
        </is>
      </c>
      <c r="H863" t="n">
        <v>161</v>
      </c>
      <c r="I863">
        <f>B863&amp;"~"&amp;F863&amp;"~"&amp;G863</f>
        <v/>
      </c>
      <c r="J863" t="inlineStr">
        <is>
          <t>MVS Sec.13 p.26</t>
        </is>
      </c>
    </row>
    <row r="864">
      <c r="B864" t="inlineStr">
        <is>
          <t>Retail Stores</t>
        </is>
      </c>
      <c r="C864" t="inlineStr">
        <is>
          <t>353</t>
        </is>
      </c>
      <c r="D864" t="inlineStr">
        <is>
          <t>13</t>
        </is>
      </c>
      <c r="E864" t="inlineStr">
        <is>
          <t>26</t>
        </is>
      </c>
      <c r="F864" t="inlineStr">
        <is>
          <t>A</t>
        </is>
      </c>
      <c r="G864" t="inlineStr">
        <is>
          <t>Low Cost</t>
        </is>
      </c>
      <c r="H864" t="n">
        <v>123</v>
      </c>
      <c r="I864">
        <f>B864&amp;"~"&amp;F864&amp;"~"&amp;G864</f>
        <v/>
      </c>
      <c r="J864" t="inlineStr">
        <is>
          <t>MVS Sec.13 p.26</t>
        </is>
      </c>
    </row>
    <row r="865">
      <c r="B865" t="inlineStr">
        <is>
          <t>Retail Stores</t>
        </is>
      </c>
      <c r="C865" t="inlineStr">
        <is>
          <t>353</t>
        </is>
      </c>
      <c r="D865" t="inlineStr">
        <is>
          <t>13</t>
        </is>
      </c>
      <c r="E865" t="inlineStr">
        <is>
          <t>26</t>
        </is>
      </c>
      <c r="F865" t="inlineStr">
        <is>
          <t>B</t>
        </is>
      </c>
      <c r="G865" t="inlineStr">
        <is>
          <t>Excellent</t>
        </is>
      </c>
      <c r="H865" t="n">
        <v>248</v>
      </c>
      <c r="I865">
        <f>B865&amp;"~"&amp;F865&amp;"~"&amp;G865</f>
        <v/>
      </c>
      <c r="J865" t="inlineStr">
        <is>
          <t>MVS Sec.13 p.26</t>
        </is>
      </c>
    </row>
    <row r="866">
      <c r="B866" t="inlineStr">
        <is>
          <t>Retail Stores</t>
        </is>
      </c>
      <c r="C866" t="inlineStr">
        <is>
          <t>353</t>
        </is>
      </c>
      <c r="D866" t="inlineStr">
        <is>
          <t>13</t>
        </is>
      </c>
      <c r="E866" t="inlineStr">
        <is>
          <t>26</t>
        </is>
      </c>
      <c r="F866" t="inlineStr">
        <is>
          <t>B</t>
        </is>
      </c>
      <c r="G866" t="inlineStr">
        <is>
          <t>Good</t>
        </is>
      </c>
      <c r="H866" t="n">
        <v>185</v>
      </c>
      <c r="I866">
        <f>B866&amp;"~"&amp;F866&amp;"~"&amp;G866</f>
        <v/>
      </c>
      <c r="J866" t="inlineStr">
        <is>
          <t>MVS Sec.13 p.26</t>
        </is>
      </c>
    </row>
    <row r="867">
      <c r="B867" t="inlineStr">
        <is>
          <t>Retail Stores</t>
        </is>
      </c>
      <c r="C867" t="inlineStr">
        <is>
          <t>353</t>
        </is>
      </c>
      <c r="D867" t="inlineStr">
        <is>
          <t>13</t>
        </is>
      </c>
      <c r="E867" t="inlineStr">
        <is>
          <t>26</t>
        </is>
      </c>
      <c r="F867" t="inlineStr">
        <is>
          <t>B</t>
        </is>
      </c>
      <c r="G867" t="inlineStr">
        <is>
          <t>Average</t>
        </is>
      </c>
      <c r="H867" t="n">
        <v>145</v>
      </c>
      <c r="I867">
        <f>B867&amp;"~"&amp;F867&amp;"~"&amp;G867</f>
        <v/>
      </c>
      <c r="J867" t="inlineStr">
        <is>
          <t>MVS Sec.13 p.26</t>
        </is>
      </c>
    </row>
    <row r="868">
      <c r="B868" t="inlineStr">
        <is>
          <t>Retail Stores</t>
        </is>
      </c>
      <c r="C868" t="inlineStr">
        <is>
          <t>353</t>
        </is>
      </c>
      <c r="D868" t="inlineStr">
        <is>
          <t>13</t>
        </is>
      </c>
      <c r="E868" t="inlineStr">
        <is>
          <t>26</t>
        </is>
      </c>
      <c r="F868" t="inlineStr">
        <is>
          <t>B</t>
        </is>
      </c>
      <c r="G868" t="inlineStr">
        <is>
          <t>Low Cost</t>
        </is>
      </c>
      <c r="H868" t="n">
        <v>110</v>
      </c>
      <c r="I868">
        <f>B868&amp;"~"&amp;F868&amp;"~"&amp;G868</f>
        <v/>
      </c>
      <c r="J868" t="inlineStr">
        <is>
          <t>MVS Sec.13 p.26</t>
        </is>
      </c>
    </row>
    <row r="869">
      <c r="B869" t="inlineStr">
        <is>
          <t>Retail Stores</t>
        </is>
      </c>
      <c r="C869" t="inlineStr">
        <is>
          <t>353</t>
        </is>
      </c>
      <c r="D869" t="inlineStr">
        <is>
          <t>13</t>
        </is>
      </c>
      <c r="E869" t="inlineStr">
        <is>
          <t>26</t>
        </is>
      </c>
      <c r="F869" t="inlineStr">
        <is>
          <t>C</t>
        </is>
      </c>
      <c r="G869" t="inlineStr">
        <is>
          <t>Excellent</t>
        </is>
      </c>
      <c r="H869" t="n">
        <v>208</v>
      </c>
      <c r="I869">
        <f>B869&amp;"~"&amp;F869&amp;"~"&amp;G869</f>
        <v/>
      </c>
      <c r="J869" t="inlineStr">
        <is>
          <t>MVS Sec.13 p.26</t>
        </is>
      </c>
    </row>
    <row r="870">
      <c r="B870" t="inlineStr">
        <is>
          <t>Retail Stores</t>
        </is>
      </c>
      <c r="C870" t="inlineStr">
        <is>
          <t>353</t>
        </is>
      </c>
      <c r="D870" t="inlineStr">
        <is>
          <t>13</t>
        </is>
      </c>
      <c r="E870" t="inlineStr">
        <is>
          <t>26</t>
        </is>
      </c>
      <c r="F870" t="inlineStr">
        <is>
          <t>C</t>
        </is>
      </c>
      <c r="G870" t="inlineStr">
        <is>
          <t>Good</t>
        </is>
      </c>
      <c r="H870" t="n">
        <v>154</v>
      </c>
      <c r="I870">
        <f>B870&amp;"~"&amp;F870&amp;"~"&amp;G870</f>
        <v/>
      </c>
      <c r="J870" t="inlineStr">
        <is>
          <t>MVS Sec.13 p.26</t>
        </is>
      </c>
    </row>
    <row r="871">
      <c r="B871" t="inlineStr">
        <is>
          <t>Retail Stores</t>
        </is>
      </c>
      <c r="C871" t="inlineStr">
        <is>
          <t>353</t>
        </is>
      </c>
      <c r="D871" t="inlineStr">
        <is>
          <t>13</t>
        </is>
      </c>
      <c r="E871" t="inlineStr">
        <is>
          <t>26</t>
        </is>
      </c>
      <c r="F871" t="inlineStr">
        <is>
          <t>C</t>
        </is>
      </c>
      <c r="G871" t="inlineStr">
        <is>
          <t>Average</t>
        </is>
      </c>
      <c r="H871" t="n">
        <v>117</v>
      </c>
      <c r="I871">
        <f>B871&amp;"~"&amp;F871&amp;"~"&amp;G871</f>
        <v/>
      </c>
      <c r="J871" t="inlineStr">
        <is>
          <t>MVS Sec.13 p.26</t>
        </is>
      </c>
    </row>
    <row r="872">
      <c r="B872" t="inlineStr">
        <is>
          <t>Retail Stores</t>
        </is>
      </c>
      <c r="C872" t="inlineStr">
        <is>
          <t>353</t>
        </is>
      </c>
      <c r="D872" t="inlineStr">
        <is>
          <t>13</t>
        </is>
      </c>
      <c r="E872" t="inlineStr">
        <is>
          <t>26</t>
        </is>
      </c>
      <c r="F872" t="inlineStr">
        <is>
          <t>C</t>
        </is>
      </c>
      <c r="G872" t="inlineStr">
        <is>
          <t>Low Cost</t>
        </is>
      </c>
      <c r="H872" t="n">
        <v>84</v>
      </c>
      <c r="I872">
        <f>B872&amp;"~"&amp;F872&amp;"~"&amp;G872</f>
        <v/>
      </c>
      <c r="J872" t="inlineStr">
        <is>
          <t>MVS Sec.13 p.26</t>
        </is>
      </c>
    </row>
    <row r="873">
      <c r="B873" t="inlineStr">
        <is>
          <t>Retail Stores</t>
        </is>
      </c>
      <c r="C873" t="inlineStr">
        <is>
          <t>353</t>
        </is>
      </c>
      <c r="D873" t="inlineStr">
        <is>
          <t>13</t>
        </is>
      </c>
      <c r="E873" t="inlineStr">
        <is>
          <t>26</t>
        </is>
      </c>
      <c r="F873" t="inlineStr">
        <is>
          <t>D</t>
        </is>
      </c>
      <c r="G873" t="inlineStr">
        <is>
          <t>Excellent</t>
        </is>
      </c>
      <c r="H873" t="n">
        <v>198</v>
      </c>
      <c r="I873">
        <f>B873&amp;"~"&amp;F873&amp;"~"&amp;G873</f>
        <v/>
      </c>
      <c r="J873" t="inlineStr">
        <is>
          <t>MVS Sec.13 p.26</t>
        </is>
      </c>
    </row>
    <row r="874">
      <c r="B874" t="inlineStr">
        <is>
          <t>Retail Stores</t>
        </is>
      </c>
      <c r="C874" t="inlineStr">
        <is>
          <t>353</t>
        </is>
      </c>
      <c r="D874" t="inlineStr">
        <is>
          <t>13</t>
        </is>
      </c>
      <c r="E874" t="inlineStr">
        <is>
          <t>26</t>
        </is>
      </c>
      <c r="F874" t="inlineStr">
        <is>
          <t>D</t>
        </is>
      </c>
      <c r="G874" t="inlineStr">
        <is>
          <t>Good</t>
        </is>
      </c>
      <c r="H874" t="n">
        <v>145</v>
      </c>
      <c r="I874">
        <f>B874&amp;"~"&amp;F874&amp;"~"&amp;G874</f>
        <v/>
      </c>
      <c r="J874" t="inlineStr">
        <is>
          <t>MVS Sec.13 p.26</t>
        </is>
      </c>
    </row>
    <row r="875">
      <c r="B875" t="inlineStr">
        <is>
          <t>Retail Stores</t>
        </is>
      </c>
      <c r="C875" t="inlineStr">
        <is>
          <t>353</t>
        </is>
      </c>
      <c r="D875" t="inlineStr">
        <is>
          <t>13</t>
        </is>
      </c>
      <c r="E875" t="inlineStr">
        <is>
          <t>26</t>
        </is>
      </c>
      <c r="F875" t="inlineStr">
        <is>
          <t>D</t>
        </is>
      </c>
      <c r="G875" t="inlineStr">
        <is>
          <t>Average</t>
        </is>
      </c>
      <c r="H875" t="n">
        <v>110</v>
      </c>
      <c r="I875">
        <f>B875&amp;"~"&amp;F875&amp;"~"&amp;G875</f>
        <v/>
      </c>
      <c r="J875" t="inlineStr">
        <is>
          <t>MVS Sec.13 p.26</t>
        </is>
      </c>
    </row>
    <row r="876">
      <c r="B876" t="inlineStr">
        <is>
          <t>Retail Stores</t>
        </is>
      </c>
      <c r="C876" t="inlineStr">
        <is>
          <t>353</t>
        </is>
      </c>
      <c r="D876" t="inlineStr">
        <is>
          <t>13</t>
        </is>
      </c>
      <c r="E876" t="inlineStr">
        <is>
          <t>26</t>
        </is>
      </c>
      <c r="F876" t="inlineStr">
        <is>
          <t>D</t>
        </is>
      </c>
      <c r="G876" t="inlineStr">
        <is>
          <t>Low Cost</t>
        </is>
      </c>
      <c r="H876" t="n">
        <v>78.5</v>
      </c>
      <c r="I876">
        <f>B876&amp;"~"&amp;F876&amp;"~"&amp;G876</f>
        <v/>
      </c>
      <c r="J876" t="inlineStr">
        <is>
          <t>MVS Sec.13 p.26</t>
        </is>
      </c>
    </row>
    <row r="877">
      <c r="B877" t="inlineStr">
        <is>
          <t>Retail Stores</t>
        </is>
      </c>
      <c r="C877" t="inlineStr">
        <is>
          <t>353</t>
        </is>
      </c>
      <c r="D877" t="inlineStr">
        <is>
          <t>13</t>
        </is>
      </c>
      <c r="E877" t="inlineStr">
        <is>
          <t>26</t>
        </is>
      </c>
      <c r="F877" t="inlineStr">
        <is>
          <t>DPOLE</t>
        </is>
      </c>
      <c r="G877" t="inlineStr">
        <is>
          <t>Low Cost</t>
        </is>
      </c>
      <c r="H877" t="n">
        <v>73</v>
      </c>
      <c r="I877">
        <f>B877&amp;"~"&amp;F877&amp;"~"&amp;G877</f>
        <v/>
      </c>
      <c r="J877" t="inlineStr">
        <is>
          <t>MVS Sec.13 p.26</t>
        </is>
      </c>
    </row>
    <row r="878">
      <c r="B878" t="inlineStr">
        <is>
          <t>Retail Stores</t>
        </is>
      </c>
      <c r="C878" t="inlineStr">
        <is>
          <t>353</t>
        </is>
      </c>
      <c r="D878" t="inlineStr">
        <is>
          <t>13</t>
        </is>
      </c>
      <c r="E878" t="inlineStr">
        <is>
          <t>26</t>
        </is>
      </c>
      <c r="F878" t="inlineStr">
        <is>
          <t>S</t>
        </is>
      </c>
      <c r="G878" t="inlineStr">
        <is>
          <t>Good</t>
        </is>
      </c>
      <c r="H878" t="n">
        <v>146</v>
      </c>
      <c r="I878">
        <f>B878&amp;"~"&amp;F878&amp;"~"&amp;G878</f>
        <v/>
      </c>
      <c r="J878" t="inlineStr">
        <is>
          <t>MVS Sec.13 p.26</t>
        </is>
      </c>
    </row>
    <row r="879">
      <c r="B879" t="inlineStr">
        <is>
          <t>Retail Stores</t>
        </is>
      </c>
      <c r="C879" t="inlineStr">
        <is>
          <t>353</t>
        </is>
      </c>
      <c r="D879" t="inlineStr">
        <is>
          <t>13</t>
        </is>
      </c>
      <c r="E879" t="inlineStr">
        <is>
          <t>26</t>
        </is>
      </c>
      <c r="F879" t="inlineStr">
        <is>
          <t>S</t>
        </is>
      </c>
      <c r="G879" t="inlineStr">
        <is>
          <t>Average</t>
        </is>
      </c>
      <c r="H879" t="n">
        <v>108</v>
      </c>
      <c r="I879">
        <f>B879&amp;"~"&amp;F879&amp;"~"&amp;G879</f>
        <v/>
      </c>
      <c r="J879" t="inlineStr">
        <is>
          <t>MVS Sec.13 p.26</t>
        </is>
      </c>
    </row>
    <row r="880">
      <c r="B880" t="inlineStr">
        <is>
          <t>Retail Stores</t>
        </is>
      </c>
      <c r="C880" t="inlineStr">
        <is>
          <t>353</t>
        </is>
      </c>
      <c r="D880" t="inlineStr">
        <is>
          <t>13</t>
        </is>
      </c>
      <c r="E880" t="inlineStr">
        <is>
          <t>26</t>
        </is>
      </c>
      <c r="F880" t="inlineStr">
        <is>
          <t>S</t>
        </is>
      </c>
      <c r="G880" t="inlineStr">
        <is>
          <t>Low Cost</t>
        </is>
      </c>
      <c r="H880" t="n">
        <v>76</v>
      </c>
      <c r="I880">
        <f>B880&amp;"~"&amp;F880&amp;"~"&amp;G880</f>
        <v/>
      </c>
      <c r="J880" t="inlineStr">
        <is>
          <t>MVS Sec.13 p.26</t>
        </is>
      </c>
    </row>
    <row r="881">
      <c r="B881" t="inlineStr">
        <is>
          <t>Department Stores</t>
        </is>
      </c>
      <c r="C881" t="inlineStr">
        <is>
          <t>318</t>
        </is>
      </c>
      <c r="D881" t="inlineStr">
        <is>
          <t>13</t>
        </is>
      </c>
      <c r="E881" t="inlineStr">
        <is>
          <t>27</t>
        </is>
      </c>
      <c r="F881" t="inlineStr">
        <is>
          <t>A</t>
        </is>
      </c>
      <c r="G881" t="inlineStr">
        <is>
          <t>Excellent</t>
        </is>
      </c>
      <c r="H881" t="n">
        <v>317</v>
      </c>
      <c r="I881">
        <f>B881&amp;"~"&amp;F881&amp;"~"&amp;G881</f>
        <v/>
      </c>
      <c r="J881" t="inlineStr">
        <is>
          <t>MVS Sec.13 p.27</t>
        </is>
      </c>
    </row>
    <row r="882">
      <c r="B882" t="inlineStr">
        <is>
          <t>Department Stores</t>
        </is>
      </c>
      <c r="C882" t="inlineStr">
        <is>
          <t>318</t>
        </is>
      </c>
      <c r="D882" t="inlineStr">
        <is>
          <t>13</t>
        </is>
      </c>
      <c r="E882" t="inlineStr">
        <is>
          <t>27</t>
        </is>
      </c>
      <c r="F882" t="inlineStr">
        <is>
          <t>A</t>
        </is>
      </c>
      <c r="G882" t="inlineStr">
        <is>
          <t>Good</t>
        </is>
      </c>
      <c r="H882" t="n">
        <v>256</v>
      </c>
      <c r="I882">
        <f>B882&amp;"~"&amp;F882&amp;"~"&amp;G882</f>
        <v/>
      </c>
      <c r="J882" t="inlineStr">
        <is>
          <t>MVS Sec.13 p.27</t>
        </is>
      </c>
    </row>
    <row r="883">
      <c r="B883" t="inlineStr">
        <is>
          <t>Department Stores</t>
        </is>
      </c>
      <c r="C883" t="inlineStr">
        <is>
          <t>318</t>
        </is>
      </c>
      <c r="D883" t="inlineStr">
        <is>
          <t>13</t>
        </is>
      </c>
      <c r="E883" t="inlineStr">
        <is>
          <t>27</t>
        </is>
      </c>
      <c r="F883" t="inlineStr">
        <is>
          <t>A</t>
        </is>
      </c>
      <c r="G883" t="inlineStr">
        <is>
          <t>Average</t>
        </is>
      </c>
      <c r="H883" t="n">
        <v>198</v>
      </c>
      <c r="I883">
        <f>B883&amp;"~"&amp;F883&amp;"~"&amp;G883</f>
        <v/>
      </c>
      <c r="J883" t="inlineStr">
        <is>
          <t>MVS Sec.13 p.27</t>
        </is>
      </c>
    </row>
    <row r="884">
      <c r="B884" t="inlineStr">
        <is>
          <t>Department Stores</t>
        </is>
      </c>
      <c r="C884" t="inlineStr">
        <is>
          <t>318</t>
        </is>
      </c>
      <c r="D884" t="inlineStr">
        <is>
          <t>13</t>
        </is>
      </c>
      <c r="E884" t="inlineStr">
        <is>
          <t>27</t>
        </is>
      </c>
      <c r="F884" t="inlineStr">
        <is>
          <t>B</t>
        </is>
      </c>
      <c r="G884" t="inlineStr">
        <is>
          <t>Excellent</t>
        </is>
      </c>
      <c r="H884" t="n">
        <v>289</v>
      </c>
      <c r="I884">
        <f>B884&amp;"~"&amp;F884&amp;"~"&amp;G884</f>
        <v/>
      </c>
      <c r="J884" t="inlineStr">
        <is>
          <t>MVS Sec.13 p.27</t>
        </is>
      </c>
    </row>
    <row r="885">
      <c r="B885" t="inlineStr">
        <is>
          <t>Department Stores</t>
        </is>
      </c>
      <c r="C885" t="inlineStr">
        <is>
          <t>318</t>
        </is>
      </c>
      <c r="D885" t="inlineStr">
        <is>
          <t>13</t>
        </is>
      </c>
      <c r="E885" t="inlineStr">
        <is>
          <t>27</t>
        </is>
      </c>
      <c r="F885" t="inlineStr">
        <is>
          <t>B</t>
        </is>
      </c>
      <c r="G885" t="inlineStr">
        <is>
          <t>Good</t>
        </is>
      </c>
      <c r="H885" t="n">
        <v>233</v>
      </c>
      <c r="I885">
        <f>B885&amp;"~"&amp;F885&amp;"~"&amp;G885</f>
        <v/>
      </c>
      <c r="J885" t="inlineStr">
        <is>
          <t>MVS Sec.13 p.27</t>
        </is>
      </c>
    </row>
    <row r="886">
      <c r="B886" t="inlineStr">
        <is>
          <t>Department Stores</t>
        </is>
      </c>
      <c r="C886" t="inlineStr">
        <is>
          <t>318</t>
        </is>
      </c>
      <c r="D886" t="inlineStr">
        <is>
          <t>13</t>
        </is>
      </c>
      <c r="E886" t="inlineStr">
        <is>
          <t>27</t>
        </is>
      </c>
      <c r="F886" t="inlineStr">
        <is>
          <t>B</t>
        </is>
      </c>
      <c r="G886" t="inlineStr">
        <is>
          <t>Average</t>
        </is>
      </c>
      <c r="H886" t="n">
        <v>180</v>
      </c>
      <c r="I886">
        <f>B886&amp;"~"&amp;F886&amp;"~"&amp;G886</f>
        <v/>
      </c>
      <c r="J886" t="inlineStr">
        <is>
          <t>MVS Sec.13 p.27</t>
        </is>
      </c>
    </row>
    <row r="887">
      <c r="B887" t="inlineStr">
        <is>
          <t>Department Stores</t>
        </is>
      </c>
      <c r="C887" t="inlineStr">
        <is>
          <t>318</t>
        </is>
      </c>
      <c r="D887" t="inlineStr">
        <is>
          <t>13</t>
        </is>
      </c>
      <c r="E887" t="inlineStr">
        <is>
          <t>27</t>
        </is>
      </c>
      <c r="F887" t="inlineStr">
        <is>
          <t>C</t>
        </is>
      </c>
      <c r="G887" t="inlineStr">
        <is>
          <t>Excellent</t>
        </is>
      </c>
      <c r="H887" t="n">
        <v>254</v>
      </c>
      <c r="I887">
        <f>B887&amp;"~"&amp;F887&amp;"~"&amp;G887</f>
        <v/>
      </c>
      <c r="J887" t="inlineStr">
        <is>
          <t>MVS Sec.13 p.27</t>
        </is>
      </c>
    </row>
    <row r="888">
      <c r="B888" t="inlineStr">
        <is>
          <t>Department Stores</t>
        </is>
      </c>
      <c r="C888" t="inlineStr">
        <is>
          <t>318</t>
        </is>
      </c>
      <c r="D888" t="inlineStr">
        <is>
          <t>13</t>
        </is>
      </c>
      <c r="E888" t="inlineStr">
        <is>
          <t>27</t>
        </is>
      </c>
      <c r="F888" t="inlineStr">
        <is>
          <t>C</t>
        </is>
      </c>
      <c r="G888" t="inlineStr">
        <is>
          <t>Good</t>
        </is>
      </c>
      <c r="H888" t="n">
        <v>193</v>
      </c>
      <c r="I888">
        <f>B888&amp;"~"&amp;F888&amp;"~"&amp;G888</f>
        <v/>
      </c>
      <c r="J888" t="inlineStr">
        <is>
          <t>MVS Sec.13 p.27</t>
        </is>
      </c>
    </row>
    <row r="889">
      <c r="B889" t="inlineStr">
        <is>
          <t>Department Stores</t>
        </is>
      </c>
      <c r="C889" t="inlineStr">
        <is>
          <t>318</t>
        </is>
      </c>
      <c r="D889" t="inlineStr">
        <is>
          <t>13</t>
        </is>
      </c>
      <c r="E889" t="inlineStr">
        <is>
          <t>27</t>
        </is>
      </c>
      <c r="F889" t="inlineStr">
        <is>
          <t>C</t>
        </is>
      </c>
      <c r="G889" t="inlineStr">
        <is>
          <t>Average</t>
        </is>
      </c>
      <c r="H889" t="n">
        <v>154</v>
      </c>
      <c r="I889">
        <f>B889&amp;"~"&amp;F889&amp;"~"&amp;G889</f>
        <v/>
      </c>
      <c r="J889" t="inlineStr">
        <is>
          <t>MVS Sec.13 p.27</t>
        </is>
      </c>
    </row>
    <row r="890">
      <c r="B890" t="inlineStr">
        <is>
          <t>Mall Anchor (Department/Big Box) Stores</t>
        </is>
      </c>
      <c r="C890" t="inlineStr">
        <is>
          <t>700</t>
        </is>
      </c>
      <c r="D890" t="inlineStr">
        <is>
          <t>13</t>
        </is>
      </c>
      <c r="E890" t="inlineStr">
        <is>
          <t>27</t>
        </is>
      </c>
      <c r="F890" t="inlineStr">
        <is>
          <t>A-B</t>
        </is>
      </c>
      <c r="G890" t="inlineStr">
        <is>
          <t>Good</t>
        </is>
      </c>
      <c r="H890" t="n">
        <v>190</v>
      </c>
      <c r="I890">
        <f>B890&amp;"~"&amp;F890&amp;"~"&amp;G890</f>
        <v/>
      </c>
      <c r="J890" t="inlineStr">
        <is>
          <t>MVS Sec.13 p.27</t>
        </is>
      </c>
    </row>
    <row r="891">
      <c r="B891" t="inlineStr">
        <is>
          <t>Mall Anchor (Department/Big Box) Stores</t>
        </is>
      </c>
      <c r="C891" t="inlineStr">
        <is>
          <t>700</t>
        </is>
      </c>
      <c r="D891" t="inlineStr">
        <is>
          <t>13</t>
        </is>
      </c>
      <c r="E891" t="inlineStr">
        <is>
          <t>27</t>
        </is>
      </c>
      <c r="F891" t="inlineStr">
        <is>
          <t>A-B</t>
        </is>
      </c>
      <c r="G891" t="inlineStr">
        <is>
          <t>Average</t>
        </is>
      </c>
      <c r="H891" t="n">
        <v>154</v>
      </c>
      <c r="I891">
        <f>B891&amp;"~"&amp;F891&amp;"~"&amp;G891</f>
        <v/>
      </c>
      <c r="J891" t="inlineStr">
        <is>
          <t>MVS Sec.13 p.27</t>
        </is>
      </c>
    </row>
    <row r="892">
      <c r="B892" t="inlineStr">
        <is>
          <t>Mall Anchor (Department/Big Box) Stores</t>
        </is>
      </c>
      <c r="C892" t="inlineStr">
        <is>
          <t>700</t>
        </is>
      </c>
      <c r="D892" t="inlineStr">
        <is>
          <t>13</t>
        </is>
      </c>
      <c r="E892" t="inlineStr">
        <is>
          <t>27</t>
        </is>
      </c>
      <c r="F892" t="inlineStr">
        <is>
          <t>A-B</t>
        </is>
      </c>
      <c r="G892" t="inlineStr">
        <is>
          <t>Low Cost</t>
        </is>
      </c>
      <c r="H892" t="n">
        <v>122</v>
      </c>
      <c r="I892">
        <f>B892&amp;"~"&amp;F892&amp;"~"&amp;G892</f>
        <v/>
      </c>
      <c r="J892" t="inlineStr">
        <is>
          <t>MVS Sec.13 p.27</t>
        </is>
      </c>
    </row>
    <row r="893">
      <c r="B893" t="inlineStr">
        <is>
          <t>Mall Anchor (Department/Big Box) Stores</t>
        </is>
      </c>
      <c r="C893" t="inlineStr">
        <is>
          <t>700</t>
        </is>
      </c>
      <c r="D893" t="inlineStr">
        <is>
          <t>13</t>
        </is>
      </c>
      <c r="E893" t="inlineStr">
        <is>
          <t>27</t>
        </is>
      </c>
      <c r="F893" t="inlineStr">
        <is>
          <t>C</t>
        </is>
      </c>
      <c r="G893" t="inlineStr">
        <is>
          <t>Good</t>
        </is>
      </c>
      <c r="H893" t="n">
        <v>155</v>
      </c>
      <c r="I893">
        <f>B893&amp;"~"&amp;F893&amp;"~"&amp;G893</f>
        <v/>
      </c>
      <c r="J893" t="inlineStr">
        <is>
          <t>MVS Sec.13 p.27</t>
        </is>
      </c>
    </row>
    <row r="894">
      <c r="B894" t="inlineStr">
        <is>
          <t>Mall Anchor (Department/Big Box) Stores</t>
        </is>
      </c>
      <c r="C894" t="inlineStr">
        <is>
          <t>700</t>
        </is>
      </c>
      <c r="D894" t="inlineStr">
        <is>
          <t>13</t>
        </is>
      </c>
      <c r="E894" t="inlineStr">
        <is>
          <t>27</t>
        </is>
      </c>
      <c r="F894" t="inlineStr">
        <is>
          <t>C</t>
        </is>
      </c>
      <c r="G894" t="inlineStr">
        <is>
          <t>Average</t>
        </is>
      </c>
      <c r="H894" t="n">
        <v>124</v>
      </c>
      <c r="I894">
        <f>B894&amp;"~"&amp;F894&amp;"~"&amp;G894</f>
        <v/>
      </c>
      <c r="J894" t="inlineStr">
        <is>
          <t>MVS Sec.13 p.27</t>
        </is>
      </c>
    </row>
    <row r="895">
      <c r="B895" t="inlineStr">
        <is>
          <t>Mall Anchor (Department/Big Box) Stores</t>
        </is>
      </c>
      <c r="C895" t="inlineStr">
        <is>
          <t>700</t>
        </is>
      </c>
      <c r="D895" t="inlineStr">
        <is>
          <t>13</t>
        </is>
      </c>
      <c r="E895" t="inlineStr">
        <is>
          <t>27</t>
        </is>
      </c>
      <c r="F895" t="inlineStr">
        <is>
          <t>C</t>
        </is>
      </c>
      <c r="G895" t="inlineStr">
        <is>
          <t>Low Cost</t>
        </is>
      </c>
      <c r="H895" t="n">
        <v>96.5</v>
      </c>
      <c r="I895">
        <f>B895&amp;"~"&amp;F895&amp;"~"&amp;G895</f>
        <v/>
      </c>
      <c r="J895" t="inlineStr">
        <is>
          <t>MVS Sec.13 p.27</t>
        </is>
      </c>
    </row>
    <row r="896">
      <c r="B896" t="inlineStr">
        <is>
          <t>Mall Anchor (Department/Big Box) Stores</t>
        </is>
      </c>
      <c r="C896" t="inlineStr">
        <is>
          <t>700</t>
        </is>
      </c>
      <c r="D896" t="inlineStr">
        <is>
          <t>13</t>
        </is>
      </c>
      <c r="E896" t="inlineStr">
        <is>
          <t>27</t>
        </is>
      </c>
      <c r="F896" t="inlineStr">
        <is>
          <t>D</t>
        </is>
      </c>
      <c r="G896" t="inlineStr">
        <is>
          <t>Good</t>
        </is>
      </c>
      <c r="H896" t="n">
        <v>146</v>
      </c>
      <c r="I896">
        <f>B896&amp;"~"&amp;F896&amp;"~"&amp;G896</f>
        <v/>
      </c>
      <c r="J896" t="inlineStr">
        <is>
          <t>MVS Sec.13 p.27</t>
        </is>
      </c>
    </row>
    <row r="897">
      <c r="B897" t="inlineStr">
        <is>
          <t>Mall Anchor (Department/Big Box) Stores</t>
        </is>
      </c>
      <c r="C897" t="inlineStr">
        <is>
          <t>700</t>
        </is>
      </c>
      <c r="D897" t="inlineStr">
        <is>
          <t>13</t>
        </is>
      </c>
      <c r="E897" t="inlineStr">
        <is>
          <t>27</t>
        </is>
      </c>
      <c r="F897" t="inlineStr">
        <is>
          <t>D</t>
        </is>
      </c>
      <c r="G897" t="inlineStr">
        <is>
          <t>Average</t>
        </is>
      </c>
      <c r="H897" t="n">
        <v>117</v>
      </c>
      <c r="I897">
        <f>B897&amp;"~"&amp;F897&amp;"~"&amp;G897</f>
        <v/>
      </c>
      <c r="J897" t="inlineStr">
        <is>
          <t>MVS Sec.13 p.27</t>
        </is>
      </c>
    </row>
    <row r="898">
      <c r="B898" t="inlineStr">
        <is>
          <t>Mall Anchor (Department/Big Box) Stores</t>
        </is>
      </c>
      <c r="C898" t="inlineStr">
        <is>
          <t>700</t>
        </is>
      </c>
      <c r="D898" t="inlineStr">
        <is>
          <t>13</t>
        </is>
      </c>
      <c r="E898" t="inlineStr">
        <is>
          <t>27</t>
        </is>
      </c>
      <c r="F898" t="inlineStr">
        <is>
          <t>D</t>
        </is>
      </c>
      <c r="G898" t="inlineStr">
        <is>
          <t>Low Cost</t>
        </is>
      </c>
      <c r="H898" t="n">
        <v>89.5</v>
      </c>
      <c r="I898">
        <f>B898&amp;"~"&amp;F898&amp;"~"&amp;G898</f>
        <v/>
      </c>
      <c r="J898" t="inlineStr">
        <is>
          <t>MVS Sec.13 p.27</t>
        </is>
      </c>
    </row>
    <row r="899">
      <c r="B899" t="inlineStr">
        <is>
          <t>Mall Anchor (Department/Big Box) Stores</t>
        </is>
      </c>
      <c r="C899" t="inlineStr">
        <is>
          <t>700</t>
        </is>
      </c>
      <c r="D899" t="inlineStr">
        <is>
          <t>13</t>
        </is>
      </c>
      <c r="E899" t="inlineStr">
        <is>
          <t>27</t>
        </is>
      </c>
      <c r="F899" t="inlineStr">
        <is>
          <t>S</t>
        </is>
      </c>
      <c r="G899" t="inlineStr">
        <is>
          <t>Low Cost</t>
        </is>
      </c>
      <c r="H899" t="n">
        <v>88</v>
      </c>
      <c r="I899">
        <f>B899&amp;"~"&amp;F899&amp;"~"&amp;G899</f>
        <v/>
      </c>
      <c r="J899" t="inlineStr">
        <is>
          <t>MVS Sec.13 p.27</t>
        </is>
      </c>
    </row>
    <row r="900">
      <c r="B900" t="inlineStr">
        <is>
          <t>Discount Stores</t>
        </is>
      </c>
      <c r="C900" t="inlineStr">
        <is>
          <t>319</t>
        </is>
      </c>
      <c r="D900" t="inlineStr">
        <is>
          <t>13</t>
        </is>
      </c>
      <c r="E900" t="inlineStr">
        <is>
          <t>28</t>
        </is>
      </c>
      <c r="F900" t="inlineStr">
        <is>
          <t>A-B</t>
        </is>
      </c>
      <c r="G900" t="inlineStr">
        <is>
          <t>Average</t>
        </is>
      </c>
      <c r="H900" t="n">
        <v>121</v>
      </c>
      <c r="I900">
        <f>B900&amp;"~"&amp;F900&amp;"~"&amp;G900</f>
        <v/>
      </c>
      <c r="J900" t="inlineStr">
        <is>
          <t>MVS Sec.13 p.28</t>
        </is>
      </c>
    </row>
    <row r="901">
      <c r="B901" t="inlineStr">
        <is>
          <t>Discount Stores</t>
        </is>
      </c>
      <c r="C901" t="inlineStr">
        <is>
          <t>319</t>
        </is>
      </c>
      <c r="D901" t="inlineStr">
        <is>
          <t>13</t>
        </is>
      </c>
      <c r="E901" t="inlineStr">
        <is>
          <t>28</t>
        </is>
      </c>
      <c r="F901" t="inlineStr">
        <is>
          <t>C</t>
        </is>
      </c>
      <c r="G901" t="inlineStr">
        <is>
          <t>Good</t>
        </is>
      </c>
      <c r="H901" t="n">
        <v>118</v>
      </c>
      <c r="I901">
        <f>B901&amp;"~"&amp;F901&amp;"~"&amp;G901</f>
        <v/>
      </c>
      <c r="J901" t="inlineStr">
        <is>
          <t>MVS Sec.13 p.28</t>
        </is>
      </c>
    </row>
    <row r="902">
      <c r="B902" t="inlineStr">
        <is>
          <t>Discount Stores</t>
        </is>
      </c>
      <c r="C902" t="inlineStr">
        <is>
          <t>319</t>
        </is>
      </c>
      <c r="D902" t="inlineStr">
        <is>
          <t>13</t>
        </is>
      </c>
      <c r="E902" t="inlineStr">
        <is>
          <t>28</t>
        </is>
      </c>
      <c r="F902" t="inlineStr">
        <is>
          <t>C</t>
        </is>
      </c>
      <c r="G902" t="inlineStr">
        <is>
          <t>Average</t>
        </is>
      </c>
      <c r="H902" t="n">
        <v>94</v>
      </c>
      <c r="I902">
        <f>B902&amp;"~"&amp;F902&amp;"~"&amp;G902</f>
        <v/>
      </c>
      <c r="J902" t="inlineStr">
        <is>
          <t>MVS Sec.13 p.28</t>
        </is>
      </c>
    </row>
    <row r="903">
      <c r="B903" t="inlineStr">
        <is>
          <t>Discount Stores</t>
        </is>
      </c>
      <c r="C903" t="inlineStr">
        <is>
          <t>319</t>
        </is>
      </c>
      <c r="D903" t="inlineStr">
        <is>
          <t>13</t>
        </is>
      </c>
      <c r="E903" t="inlineStr">
        <is>
          <t>28</t>
        </is>
      </c>
      <c r="F903" t="inlineStr">
        <is>
          <t>C</t>
        </is>
      </c>
      <c r="G903" t="inlineStr">
        <is>
          <t>Low Cost</t>
        </is>
      </c>
      <c r="H903" t="n">
        <v>72</v>
      </c>
      <c r="I903">
        <f>B903&amp;"~"&amp;F903&amp;"~"&amp;G903</f>
        <v/>
      </c>
      <c r="J903" t="inlineStr">
        <is>
          <t>MVS Sec.13 p.28</t>
        </is>
      </c>
    </row>
    <row r="904">
      <c r="B904" t="inlineStr">
        <is>
          <t>Discount Stores</t>
        </is>
      </c>
      <c r="C904" t="inlineStr">
        <is>
          <t>319</t>
        </is>
      </c>
      <c r="D904" t="inlineStr">
        <is>
          <t>13</t>
        </is>
      </c>
      <c r="E904" t="inlineStr">
        <is>
          <t>28</t>
        </is>
      </c>
      <c r="F904" t="inlineStr">
        <is>
          <t>D</t>
        </is>
      </c>
      <c r="G904" t="inlineStr">
        <is>
          <t>Good</t>
        </is>
      </c>
      <c r="H904" t="n">
        <v>111</v>
      </c>
      <c r="I904">
        <f>B904&amp;"~"&amp;F904&amp;"~"&amp;G904</f>
        <v/>
      </c>
      <c r="J904" t="inlineStr">
        <is>
          <t>MVS Sec.13 p.28</t>
        </is>
      </c>
    </row>
    <row r="905">
      <c r="B905" t="inlineStr">
        <is>
          <t>Discount Stores</t>
        </is>
      </c>
      <c r="C905" t="inlineStr">
        <is>
          <t>319</t>
        </is>
      </c>
      <c r="D905" t="inlineStr">
        <is>
          <t>13</t>
        </is>
      </c>
      <c r="E905" t="inlineStr">
        <is>
          <t>28</t>
        </is>
      </c>
      <c r="F905" t="inlineStr">
        <is>
          <t>D</t>
        </is>
      </c>
      <c r="G905" t="inlineStr">
        <is>
          <t>Average</t>
        </is>
      </c>
      <c r="H905" t="n">
        <v>87</v>
      </c>
      <c r="I905">
        <f>B905&amp;"~"&amp;F905&amp;"~"&amp;G905</f>
        <v/>
      </c>
      <c r="J905" t="inlineStr">
        <is>
          <t>MVS Sec.13 p.28</t>
        </is>
      </c>
    </row>
    <row r="906">
      <c r="B906" t="inlineStr">
        <is>
          <t>Discount Stores</t>
        </is>
      </c>
      <c r="C906" t="inlineStr">
        <is>
          <t>319</t>
        </is>
      </c>
      <c r="D906" t="inlineStr">
        <is>
          <t>13</t>
        </is>
      </c>
      <c r="E906" t="inlineStr">
        <is>
          <t>28</t>
        </is>
      </c>
      <c r="F906" t="inlineStr">
        <is>
          <t>D</t>
        </is>
      </c>
      <c r="G906" t="inlineStr">
        <is>
          <t>Low Cost</t>
        </is>
      </c>
      <c r="H906" t="n">
        <v>65.5</v>
      </c>
      <c r="I906">
        <f>B906&amp;"~"&amp;F906&amp;"~"&amp;G906</f>
        <v/>
      </c>
      <c r="J906" t="inlineStr">
        <is>
          <t>MVS Sec.13 p.28</t>
        </is>
      </c>
    </row>
    <row r="907">
      <c r="B907" t="inlineStr">
        <is>
          <t>Discount Stores</t>
        </is>
      </c>
      <c r="C907" t="inlineStr">
        <is>
          <t>319</t>
        </is>
      </c>
      <c r="D907" t="inlineStr">
        <is>
          <t>13</t>
        </is>
      </c>
      <c r="E907" t="inlineStr">
        <is>
          <t>28</t>
        </is>
      </c>
      <c r="F907" t="inlineStr">
        <is>
          <t>DPOLE</t>
        </is>
      </c>
      <c r="G907" t="inlineStr">
        <is>
          <t>Low Cost</t>
        </is>
      </c>
      <c r="H907" t="n">
        <v>59</v>
      </c>
      <c r="I907">
        <f>B907&amp;"~"&amp;F907&amp;"~"&amp;G907</f>
        <v/>
      </c>
      <c r="J907" t="inlineStr">
        <is>
          <t>MVS Sec.13 p.28</t>
        </is>
      </c>
    </row>
    <row r="908">
      <c r="B908" t="inlineStr">
        <is>
          <t>Discount Stores</t>
        </is>
      </c>
      <c r="C908" t="inlineStr">
        <is>
          <t>319</t>
        </is>
      </c>
      <c r="D908" t="inlineStr">
        <is>
          <t>13</t>
        </is>
      </c>
      <c r="E908" t="inlineStr">
        <is>
          <t>28</t>
        </is>
      </c>
      <c r="F908" t="inlineStr">
        <is>
          <t>S</t>
        </is>
      </c>
      <c r="G908" t="inlineStr">
        <is>
          <t>Good</t>
        </is>
      </c>
      <c r="H908" t="n">
        <v>111</v>
      </c>
      <c r="I908">
        <f>B908&amp;"~"&amp;F908&amp;"~"&amp;G908</f>
        <v/>
      </c>
      <c r="J908" t="inlineStr">
        <is>
          <t>MVS Sec.13 p.28</t>
        </is>
      </c>
    </row>
    <row r="909">
      <c r="B909" t="inlineStr">
        <is>
          <t>Discount Stores</t>
        </is>
      </c>
      <c r="C909" t="inlineStr">
        <is>
          <t>319</t>
        </is>
      </c>
      <c r="D909" t="inlineStr">
        <is>
          <t>13</t>
        </is>
      </c>
      <c r="E909" t="inlineStr">
        <is>
          <t>28</t>
        </is>
      </c>
      <c r="F909" t="inlineStr">
        <is>
          <t>S</t>
        </is>
      </c>
      <c r="G909" t="inlineStr">
        <is>
          <t>Average</t>
        </is>
      </c>
      <c r="H909" t="n">
        <v>85</v>
      </c>
      <c r="I909">
        <f>B909&amp;"~"&amp;F909&amp;"~"&amp;G909</f>
        <v/>
      </c>
      <c r="J909" t="inlineStr">
        <is>
          <t>MVS Sec.13 p.28</t>
        </is>
      </c>
    </row>
    <row r="910">
      <c r="B910" t="inlineStr">
        <is>
          <t>Discount Stores</t>
        </is>
      </c>
      <c r="C910" t="inlineStr">
        <is>
          <t>319</t>
        </is>
      </c>
      <c r="D910" t="inlineStr">
        <is>
          <t>13</t>
        </is>
      </c>
      <c r="E910" t="inlineStr">
        <is>
          <t>28</t>
        </is>
      </c>
      <c r="F910" t="inlineStr">
        <is>
          <t>S</t>
        </is>
      </c>
      <c r="G910" t="inlineStr">
        <is>
          <t>Low Cost</t>
        </is>
      </c>
      <c r="H910" t="n">
        <v>63</v>
      </c>
      <c r="I910">
        <f>B910&amp;"~"&amp;F910&amp;"~"&amp;G910</f>
        <v/>
      </c>
      <c r="J910" t="inlineStr">
        <is>
          <t>MVS Sec.13 p.28</t>
        </is>
      </c>
    </row>
    <row r="911">
      <c r="B911" t="inlineStr">
        <is>
          <t>Warehouse Discount Stores</t>
        </is>
      </c>
      <c r="C911" t="inlineStr">
        <is>
          <t>458</t>
        </is>
      </c>
      <c r="D911" t="inlineStr">
        <is>
          <t>13</t>
        </is>
      </c>
      <c r="E911" t="inlineStr">
        <is>
          <t>28</t>
        </is>
      </c>
      <c r="F911" t="inlineStr">
        <is>
          <t>C</t>
        </is>
      </c>
      <c r="G911" t="inlineStr">
        <is>
          <t>Good</t>
        </is>
      </c>
      <c r="H911" t="n">
        <v>96</v>
      </c>
      <c r="I911">
        <f>B911&amp;"~"&amp;F911&amp;"~"&amp;G911</f>
        <v/>
      </c>
      <c r="J911" t="inlineStr">
        <is>
          <t>MVS Sec.13 p.28</t>
        </is>
      </c>
    </row>
    <row r="912">
      <c r="B912" t="inlineStr">
        <is>
          <t>Warehouse Discount Stores</t>
        </is>
      </c>
      <c r="C912" t="inlineStr">
        <is>
          <t>458</t>
        </is>
      </c>
      <c r="D912" t="inlineStr">
        <is>
          <t>13</t>
        </is>
      </c>
      <c r="E912" t="inlineStr">
        <is>
          <t>28</t>
        </is>
      </c>
      <c r="F912" t="inlineStr">
        <is>
          <t>C</t>
        </is>
      </c>
      <c r="G912" t="inlineStr">
        <is>
          <t>Average</t>
        </is>
      </c>
      <c r="H912" t="n">
        <v>73</v>
      </c>
      <c r="I912">
        <f>B912&amp;"~"&amp;F912&amp;"~"&amp;G912</f>
        <v/>
      </c>
      <c r="J912" t="inlineStr">
        <is>
          <t>MVS Sec.13 p.28</t>
        </is>
      </c>
    </row>
    <row r="913">
      <c r="B913" t="inlineStr">
        <is>
          <t>Warehouse Discount Stores</t>
        </is>
      </c>
      <c r="C913" t="inlineStr">
        <is>
          <t>458</t>
        </is>
      </c>
      <c r="D913" t="inlineStr">
        <is>
          <t>13</t>
        </is>
      </c>
      <c r="E913" t="inlineStr">
        <is>
          <t>28</t>
        </is>
      </c>
      <c r="F913" t="inlineStr">
        <is>
          <t>C</t>
        </is>
      </c>
      <c r="G913" t="inlineStr">
        <is>
          <t>Low Cost</t>
        </is>
      </c>
      <c r="H913" t="n">
        <v>55.5</v>
      </c>
      <c r="I913">
        <f>B913&amp;"~"&amp;F913&amp;"~"&amp;G913</f>
        <v/>
      </c>
      <c r="J913" t="inlineStr">
        <is>
          <t>MVS Sec.13 p.28</t>
        </is>
      </c>
    </row>
    <row r="914">
      <c r="B914" t="inlineStr">
        <is>
          <t>Warehouse Discount Stores</t>
        </is>
      </c>
      <c r="C914" t="inlineStr">
        <is>
          <t>458</t>
        </is>
      </c>
      <c r="D914" t="inlineStr">
        <is>
          <t>13</t>
        </is>
      </c>
      <c r="E914" t="inlineStr">
        <is>
          <t>28</t>
        </is>
      </c>
      <c r="F914" t="inlineStr">
        <is>
          <t>D</t>
        </is>
      </c>
      <c r="G914" t="inlineStr">
        <is>
          <t>Good</t>
        </is>
      </c>
      <c r="H914" t="n">
        <v>88</v>
      </c>
      <c r="I914">
        <f>B914&amp;"~"&amp;F914&amp;"~"&amp;G914</f>
        <v/>
      </c>
      <c r="J914" t="inlineStr">
        <is>
          <t>MVS Sec.13 p.28</t>
        </is>
      </c>
    </row>
    <row r="915">
      <c r="B915" t="inlineStr">
        <is>
          <t>Warehouse Discount Stores</t>
        </is>
      </c>
      <c r="C915" t="inlineStr">
        <is>
          <t>458</t>
        </is>
      </c>
      <c r="D915" t="inlineStr">
        <is>
          <t>13</t>
        </is>
      </c>
      <c r="E915" t="inlineStr">
        <is>
          <t>28</t>
        </is>
      </c>
      <c r="F915" t="inlineStr">
        <is>
          <t>D</t>
        </is>
      </c>
      <c r="G915" t="inlineStr">
        <is>
          <t>Average</t>
        </is>
      </c>
      <c r="H915" t="n">
        <v>66</v>
      </c>
      <c r="I915">
        <f>B915&amp;"~"&amp;F915&amp;"~"&amp;G915</f>
        <v/>
      </c>
      <c r="J915" t="inlineStr">
        <is>
          <t>MVS Sec.13 p.28</t>
        </is>
      </c>
    </row>
    <row r="916">
      <c r="B916" t="inlineStr">
        <is>
          <t>Warehouse Discount Stores</t>
        </is>
      </c>
      <c r="C916" t="inlineStr">
        <is>
          <t>458</t>
        </is>
      </c>
      <c r="D916" t="inlineStr">
        <is>
          <t>13</t>
        </is>
      </c>
      <c r="E916" t="inlineStr">
        <is>
          <t>28</t>
        </is>
      </c>
      <c r="F916" t="inlineStr">
        <is>
          <t>D</t>
        </is>
      </c>
      <c r="G916" t="inlineStr">
        <is>
          <t>Low Cost</t>
        </is>
      </c>
      <c r="H916" t="n">
        <v>49.5</v>
      </c>
      <c r="I916">
        <f>B916&amp;"~"&amp;F916&amp;"~"&amp;G916</f>
        <v/>
      </c>
      <c r="J916" t="inlineStr">
        <is>
          <t>MVS Sec.13 p.28</t>
        </is>
      </c>
    </row>
    <row r="917">
      <c r="B917" t="inlineStr">
        <is>
          <t>Warehouse Discount Stores</t>
        </is>
      </c>
      <c r="C917" t="inlineStr">
        <is>
          <t>458</t>
        </is>
      </c>
      <c r="D917" t="inlineStr">
        <is>
          <t>13</t>
        </is>
      </c>
      <c r="E917" t="inlineStr">
        <is>
          <t>28</t>
        </is>
      </c>
      <c r="F917" t="inlineStr">
        <is>
          <t>DPOLE</t>
        </is>
      </c>
      <c r="G917" t="inlineStr">
        <is>
          <t>Low Cost</t>
        </is>
      </c>
      <c r="H917" t="n">
        <v>47.75</v>
      </c>
      <c r="I917">
        <f>B917&amp;"~"&amp;F917&amp;"~"&amp;G917</f>
        <v/>
      </c>
      <c r="J917" t="inlineStr">
        <is>
          <t>MVS Sec.13 p.28</t>
        </is>
      </c>
    </row>
    <row r="918">
      <c r="B918" t="inlineStr">
        <is>
          <t>Warehouse Discount Stores</t>
        </is>
      </c>
      <c r="C918" t="inlineStr">
        <is>
          <t>458</t>
        </is>
      </c>
      <c r="D918" t="inlineStr">
        <is>
          <t>13</t>
        </is>
      </c>
      <c r="E918" t="inlineStr">
        <is>
          <t>28</t>
        </is>
      </c>
      <c r="F918" t="inlineStr">
        <is>
          <t>S</t>
        </is>
      </c>
      <c r="G918" t="inlineStr">
        <is>
          <t>Good</t>
        </is>
      </c>
      <c r="H918" t="n">
        <v>86</v>
      </c>
      <c r="I918">
        <f>B918&amp;"~"&amp;F918&amp;"~"&amp;G918</f>
        <v/>
      </c>
      <c r="J918" t="inlineStr">
        <is>
          <t>MVS Sec.13 p.28</t>
        </is>
      </c>
    </row>
    <row r="919">
      <c r="B919" t="inlineStr">
        <is>
          <t>Warehouse Discount Stores</t>
        </is>
      </c>
      <c r="C919" t="inlineStr">
        <is>
          <t>458</t>
        </is>
      </c>
      <c r="D919" t="inlineStr">
        <is>
          <t>13</t>
        </is>
      </c>
      <c r="E919" t="inlineStr">
        <is>
          <t>28</t>
        </is>
      </c>
      <c r="F919" t="inlineStr">
        <is>
          <t>S</t>
        </is>
      </c>
      <c r="G919" t="inlineStr">
        <is>
          <t>Average</t>
        </is>
      </c>
      <c r="H919" t="n">
        <v>66.5</v>
      </c>
      <c r="I919">
        <f>B919&amp;"~"&amp;F919&amp;"~"&amp;G919</f>
        <v/>
      </c>
      <c r="J919" t="inlineStr">
        <is>
          <t>MVS Sec.13 p.28</t>
        </is>
      </c>
    </row>
    <row r="920">
      <c r="B920" t="inlineStr">
        <is>
          <t>Warehouse Discount Stores</t>
        </is>
      </c>
      <c r="C920" t="inlineStr">
        <is>
          <t>458</t>
        </is>
      </c>
      <c r="D920" t="inlineStr">
        <is>
          <t>13</t>
        </is>
      </c>
      <c r="E920" t="inlineStr">
        <is>
          <t>28</t>
        </is>
      </c>
      <c r="F920" t="inlineStr">
        <is>
          <t>S</t>
        </is>
      </c>
      <c r="G920" t="inlineStr">
        <is>
          <t>Low Cost</t>
        </is>
      </c>
      <c r="H920" t="n">
        <v>52</v>
      </c>
      <c r="I920">
        <f>B920&amp;"~"&amp;F920&amp;"~"&amp;G920</f>
        <v/>
      </c>
      <c r="J920" t="inlineStr">
        <is>
          <t>MVS Sec.13 p.28</t>
        </is>
      </c>
    </row>
    <row r="921">
      <c r="B921" t="inlineStr">
        <is>
          <t>Warehouse Showroom Stores</t>
        </is>
      </c>
      <c r="C921" t="inlineStr">
        <is>
          <t>534</t>
        </is>
      </c>
      <c r="D921" t="inlineStr">
        <is>
          <t>13</t>
        </is>
      </c>
      <c r="E921" t="inlineStr">
        <is>
          <t>29</t>
        </is>
      </c>
      <c r="F921" t="inlineStr">
        <is>
          <t>C</t>
        </is>
      </c>
      <c r="G921" t="inlineStr">
        <is>
          <t>Good</t>
        </is>
      </c>
      <c r="H921" t="n">
        <v>102</v>
      </c>
      <c r="I921">
        <f>B921&amp;"~"&amp;F921&amp;"~"&amp;G921</f>
        <v/>
      </c>
      <c r="J921" t="inlineStr">
        <is>
          <t>MVS Sec.13 p.29</t>
        </is>
      </c>
    </row>
    <row r="922">
      <c r="B922" t="inlineStr">
        <is>
          <t>Warehouse Showroom Stores</t>
        </is>
      </c>
      <c r="C922" t="inlineStr">
        <is>
          <t>534</t>
        </is>
      </c>
      <c r="D922" t="inlineStr">
        <is>
          <t>13</t>
        </is>
      </c>
      <c r="E922" t="inlineStr">
        <is>
          <t>29</t>
        </is>
      </c>
      <c r="F922" t="inlineStr">
        <is>
          <t>C</t>
        </is>
      </c>
      <c r="G922" t="inlineStr">
        <is>
          <t>Average</t>
        </is>
      </c>
      <c r="H922" t="n">
        <v>79</v>
      </c>
      <c r="I922">
        <f>B922&amp;"~"&amp;F922&amp;"~"&amp;G922</f>
        <v/>
      </c>
      <c r="J922" t="inlineStr">
        <is>
          <t>MVS Sec.13 p.29</t>
        </is>
      </c>
    </row>
    <row r="923">
      <c r="B923" t="inlineStr">
        <is>
          <t>Warehouse Showroom Stores</t>
        </is>
      </c>
      <c r="C923" t="inlineStr">
        <is>
          <t>534</t>
        </is>
      </c>
      <c r="D923" t="inlineStr">
        <is>
          <t>13</t>
        </is>
      </c>
      <c r="E923" t="inlineStr">
        <is>
          <t>29</t>
        </is>
      </c>
      <c r="F923" t="inlineStr">
        <is>
          <t>C</t>
        </is>
      </c>
      <c r="G923" t="inlineStr">
        <is>
          <t>Low Cost</t>
        </is>
      </c>
      <c r="H923" t="n">
        <v>61</v>
      </c>
      <c r="I923">
        <f>B923&amp;"~"&amp;F923&amp;"~"&amp;G923</f>
        <v/>
      </c>
      <c r="J923" t="inlineStr">
        <is>
          <t>MVS Sec.13 p.29</t>
        </is>
      </c>
    </row>
    <row r="924">
      <c r="B924" t="inlineStr">
        <is>
          <t>Warehouse Showroom Stores</t>
        </is>
      </c>
      <c r="C924" t="inlineStr">
        <is>
          <t>534</t>
        </is>
      </c>
      <c r="D924" t="inlineStr">
        <is>
          <t>13</t>
        </is>
      </c>
      <c r="E924" t="inlineStr">
        <is>
          <t>29</t>
        </is>
      </c>
      <c r="F924" t="inlineStr">
        <is>
          <t>D</t>
        </is>
      </c>
      <c r="G924" t="inlineStr">
        <is>
          <t>Good</t>
        </is>
      </c>
      <c r="H924" t="n">
        <v>94.5</v>
      </c>
      <c r="I924">
        <f>B924&amp;"~"&amp;F924&amp;"~"&amp;G924</f>
        <v/>
      </c>
      <c r="J924" t="inlineStr">
        <is>
          <t>MVS Sec.13 p.29</t>
        </is>
      </c>
    </row>
    <row r="925">
      <c r="B925" t="inlineStr">
        <is>
          <t>Warehouse Showroom Stores</t>
        </is>
      </c>
      <c r="C925" t="inlineStr">
        <is>
          <t>534</t>
        </is>
      </c>
      <c r="D925" t="inlineStr">
        <is>
          <t>13</t>
        </is>
      </c>
      <c r="E925" t="inlineStr">
        <is>
          <t>29</t>
        </is>
      </c>
      <c r="F925" t="inlineStr">
        <is>
          <t>D</t>
        </is>
      </c>
      <c r="G925" t="inlineStr">
        <is>
          <t>Average</t>
        </is>
      </c>
      <c r="H925" t="n">
        <v>72</v>
      </c>
      <c r="I925">
        <f>B925&amp;"~"&amp;F925&amp;"~"&amp;G925</f>
        <v/>
      </c>
      <c r="J925" t="inlineStr">
        <is>
          <t>MVS Sec.13 p.29</t>
        </is>
      </c>
    </row>
    <row r="926">
      <c r="B926" t="inlineStr">
        <is>
          <t>Warehouse Showroom Stores</t>
        </is>
      </c>
      <c r="C926" t="inlineStr">
        <is>
          <t>534</t>
        </is>
      </c>
      <c r="D926" t="inlineStr">
        <is>
          <t>13</t>
        </is>
      </c>
      <c r="E926" t="inlineStr">
        <is>
          <t>29</t>
        </is>
      </c>
      <c r="F926" t="inlineStr">
        <is>
          <t>D</t>
        </is>
      </c>
      <c r="G926" t="inlineStr">
        <is>
          <t>Low Cost</t>
        </is>
      </c>
      <c r="H926" t="n">
        <v>55</v>
      </c>
      <c r="I926">
        <f>B926&amp;"~"&amp;F926&amp;"~"&amp;G926</f>
        <v/>
      </c>
      <c r="J926" t="inlineStr">
        <is>
          <t>MVS Sec.13 p.29</t>
        </is>
      </c>
    </row>
    <row r="927">
      <c r="B927" t="inlineStr">
        <is>
          <t>Warehouse Showroom Stores</t>
        </is>
      </c>
      <c r="C927" t="inlineStr">
        <is>
          <t>534</t>
        </is>
      </c>
      <c r="D927" t="inlineStr">
        <is>
          <t>13</t>
        </is>
      </c>
      <c r="E927" t="inlineStr">
        <is>
          <t>29</t>
        </is>
      </c>
      <c r="F927" t="inlineStr">
        <is>
          <t>DPOLE</t>
        </is>
      </c>
      <c r="G927" t="inlineStr">
        <is>
          <t>Low Cost</t>
        </is>
      </c>
      <c r="H927" t="n">
        <v>53.5</v>
      </c>
      <c r="I927">
        <f>B927&amp;"~"&amp;F927&amp;"~"&amp;G927</f>
        <v/>
      </c>
      <c r="J927" t="inlineStr">
        <is>
          <t>MVS Sec.13 p.29</t>
        </is>
      </c>
    </row>
    <row r="928">
      <c r="B928" t="inlineStr">
        <is>
          <t>Warehouse Showroom Stores</t>
        </is>
      </c>
      <c r="C928" t="inlineStr">
        <is>
          <t>534</t>
        </is>
      </c>
      <c r="D928" t="inlineStr">
        <is>
          <t>13</t>
        </is>
      </c>
      <c r="E928" t="inlineStr">
        <is>
          <t>29</t>
        </is>
      </c>
      <c r="F928" t="inlineStr">
        <is>
          <t>S</t>
        </is>
      </c>
      <c r="G928" t="inlineStr">
        <is>
          <t>Good</t>
        </is>
      </c>
      <c r="H928" t="n">
        <v>93.5</v>
      </c>
      <c r="I928">
        <f>B928&amp;"~"&amp;F928&amp;"~"&amp;G928</f>
        <v/>
      </c>
      <c r="J928" t="inlineStr">
        <is>
          <t>MVS Sec.13 p.29</t>
        </is>
      </c>
    </row>
    <row r="929">
      <c r="B929" t="inlineStr">
        <is>
          <t>Warehouse Showroom Stores</t>
        </is>
      </c>
      <c r="C929" t="inlineStr">
        <is>
          <t>534</t>
        </is>
      </c>
      <c r="D929" t="inlineStr">
        <is>
          <t>13</t>
        </is>
      </c>
      <c r="E929" t="inlineStr">
        <is>
          <t>29</t>
        </is>
      </c>
      <c r="F929" t="inlineStr">
        <is>
          <t>S</t>
        </is>
      </c>
      <c r="G929" t="inlineStr">
        <is>
          <t>Average</t>
        </is>
      </c>
      <c r="H929" t="n">
        <v>73</v>
      </c>
      <c r="I929">
        <f>B929&amp;"~"&amp;F929&amp;"~"&amp;G929</f>
        <v/>
      </c>
      <c r="J929" t="inlineStr">
        <is>
          <t>MVS Sec.13 p.29</t>
        </is>
      </c>
    </row>
    <row r="930">
      <c r="B930" t="inlineStr">
        <is>
          <t>Warehouse Showroom Stores</t>
        </is>
      </c>
      <c r="C930" t="inlineStr">
        <is>
          <t>534</t>
        </is>
      </c>
      <c r="D930" t="inlineStr">
        <is>
          <t>13</t>
        </is>
      </c>
      <c r="E930" t="inlineStr">
        <is>
          <t>29</t>
        </is>
      </c>
      <c r="F930" t="inlineStr">
        <is>
          <t>S</t>
        </is>
      </c>
      <c r="G930" t="inlineStr">
        <is>
          <t>Low Cost</t>
        </is>
      </c>
      <c r="H930" t="n">
        <v>57</v>
      </c>
      <c r="I930">
        <f>B930&amp;"~"&amp;F930&amp;"~"&amp;G930</f>
        <v/>
      </c>
      <c r="J930" t="inlineStr">
        <is>
          <t>MVS Sec.13 p.29</t>
        </is>
      </c>
    </row>
    <row r="931">
      <c r="B931" t="inlineStr">
        <is>
          <t>Warehouse Food Stores</t>
        </is>
      </c>
      <c r="C931" t="inlineStr">
        <is>
          <t>533</t>
        </is>
      </c>
      <c r="D931" t="inlineStr">
        <is>
          <t>13</t>
        </is>
      </c>
      <c r="E931" t="inlineStr">
        <is>
          <t>29</t>
        </is>
      </c>
      <c r="F931" t="inlineStr">
        <is>
          <t>C</t>
        </is>
      </c>
      <c r="G931" t="inlineStr">
        <is>
          <t>Good</t>
        </is>
      </c>
      <c r="H931" t="n">
        <v>124</v>
      </c>
      <c r="I931">
        <f>B931&amp;"~"&amp;F931&amp;"~"&amp;G931</f>
        <v/>
      </c>
      <c r="J931" t="inlineStr">
        <is>
          <t>MVS Sec.13 p.29</t>
        </is>
      </c>
    </row>
    <row r="932">
      <c r="B932" t="inlineStr">
        <is>
          <t>Warehouse Food Stores</t>
        </is>
      </c>
      <c r="C932" t="inlineStr">
        <is>
          <t>533</t>
        </is>
      </c>
      <c r="D932" t="inlineStr">
        <is>
          <t>13</t>
        </is>
      </c>
      <c r="E932" t="inlineStr">
        <is>
          <t>29</t>
        </is>
      </c>
      <c r="F932" t="inlineStr">
        <is>
          <t>C</t>
        </is>
      </c>
      <c r="G932" t="inlineStr">
        <is>
          <t>Average</t>
        </is>
      </c>
      <c r="H932" t="n">
        <v>96.5</v>
      </c>
      <c r="I932">
        <f>B932&amp;"~"&amp;F932&amp;"~"&amp;G932</f>
        <v/>
      </c>
      <c r="J932" t="inlineStr">
        <is>
          <t>MVS Sec.13 p.29</t>
        </is>
      </c>
    </row>
    <row r="933">
      <c r="B933" t="inlineStr">
        <is>
          <t>Warehouse Food Stores</t>
        </is>
      </c>
      <c r="C933" t="inlineStr">
        <is>
          <t>533</t>
        </is>
      </c>
      <c r="D933" t="inlineStr">
        <is>
          <t>13</t>
        </is>
      </c>
      <c r="E933" t="inlineStr">
        <is>
          <t>29</t>
        </is>
      </c>
      <c r="F933" t="inlineStr">
        <is>
          <t>C</t>
        </is>
      </c>
      <c r="G933" t="inlineStr">
        <is>
          <t>Low Cost</t>
        </is>
      </c>
      <c r="H933" t="n">
        <v>75</v>
      </c>
      <c r="I933">
        <f>B933&amp;"~"&amp;F933&amp;"~"&amp;G933</f>
        <v/>
      </c>
      <c r="J933" t="inlineStr">
        <is>
          <t>MVS Sec.13 p.29</t>
        </is>
      </c>
    </row>
    <row r="934">
      <c r="B934" t="inlineStr">
        <is>
          <t>Warehouse Food Stores</t>
        </is>
      </c>
      <c r="C934" t="inlineStr">
        <is>
          <t>533</t>
        </is>
      </c>
      <c r="D934" t="inlineStr">
        <is>
          <t>13</t>
        </is>
      </c>
      <c r="E934" t="inlineStr">
        <is>
          <t>29</t>
        </is>
      </c>
      <c r="F934" t="inlineStr">
        <is>
          <t>D</t>
        </is>
      </c>
      <c r="G934" t="inlineStr">
        <is>
          <t>Good</t>
        </is>
      </c>
      <c r="H934" t="n">
        <v>115</v>
      </c>
      <c r="I934">
        <f>B934&amp;"~"&amp;F934&amp;"~"&amp;G934</f>
        <v/>
      </c>
      <c r="J934" t="inlineStr">
        <is>
          <t>MVS Sec.13 p.29</t>
        </is>
      </c>
    </row>
    <row r="935">
      <c r="B935" t="inlineStr">
        <is>
          <t>Warehouse Food Stores</t>
        </is>
      </c>
      <c r="C935" t="inlineStr">
        <is>
          <t>533</t>
        </is>
      </c>
      <c r="D935" t="inlineStr">
        <is>
          <t>13</t>
        </is>
      </c>
      <c r="E935" t="inlineStr">
        <is>
          <t>29</t>
        </is>
      </c>
      <c r="F935" t="inlineStr">
        <is>
          <t>D</t>
        </is>
      </c>
      <c r="G935" t="inlineStr">
        <is>
          <t>Average</t>
        </is>
      </c>
      <c r="H935" t="n">
        <v>88.5</v>
      </c>
      <c r="I935">
        <f>B935&amp;"~"&amp;F935&amp;"~"&amp;G935</f>
        <v/>
      </c>
      <c r="J935" t="inlineStr">
        <is>
          <t>MVS Sec.13 p.29</t>
        </is>
      </c>
    </row>
    <row r="936">
      <c r="B936" t="inlineStr">
        <is>
          <t>Warehouse Food Stores</t>
        </is>
      </c>
      <c r="C936" t="inlineStr">
        <is>
          <t>533</t>
        </is>
      </c>
      <c r="D936" t="inlineStr">
        <is>
          <t>13</t>
        </is>
      </c>
      <c r="E936" t="inlineStr">
        <is>
          <t>29</t>
        </is>
      </c>
      <c r="F936" t="inlineStr">
        <is>
          <t>D</t>
        </is>
      </c>
      <c r="G936" t="inlineStr">
        <is>
          <t>Low Cost</t>
        </is>
      </c>
      <c r="H936" t="n">
        <v>68.5</v>
      </c>
      <c r="I936">
        <f>B936&amp;"~"&amp;F936&amp;"~"&amp;G936</f>
        <v/>
      </c>
      <c r="J936" t="inlineStr">
        <is>
          <t>MVS Sec.13 p.29</t>
        </is>
      </c>
    </row>
    <row r="937">
      <c r="B937" t="inlineStr">
        <is>
          <t>Warehouse Food Stores</t>
        </is>
      </c>
      <c r="C937" t="inlineStr">
        <is>
          <t>533</t>
        </is>
      </c>
      <c r="D937" t="inlineStr">
        <is>
          <t>13</t>
        </is>
      </c>
      <c r="E937" t="inlineStr">
        <is>
          <t>29</t>
        </is>
      </c>
      <c r="F937" t="inlineStr">
        <is>
          <t>DPOLE</t>
        </is>
      </c>
      <c r="G937" t="inlineStr">
        <is>
          <t>Low Cost</t>
        </is>
      </c>
      <c r="H937" t="n">
        <v>63.5</v>
      </c>
      <c r="I937">
        <f>B937&amp;"~"&amp;F937&amp;"~"&amp;G937</f>
        <v/>
      </c>
      <c r="J937" t="inlineStr">
        <is>
          <t>MVS Sec.13 p.29</t>
        </is>
      </c>
    </row>
    <row r="938">
      <c r="B938" t="inlineStr">
        <is>
          <t>Warehouse Food Stores</t>
        </is>
      </c>
      <c r="C938" t="inlineStr">
        <is>
          <t>533</t>
        </is>
      </c>
      <c r="D938" t="inlineStr">
        <is>
          <t>13</t>
        </is>
      </c>
      <c r="E938" t="inlineStr">
        <is>
          <t>29</t>
        </is>
      </c>
      <c r="F938" t="inlineStr">
        <is>
          <t>S</t>
        </is>
      </c>
      <c r="G938" t="inlineStr">
        <is>
          <t>Good</t>
        </is>
      </c>
      <c r="H938" t="n">
        <v>114</v>
      </c>
      <c r="I938">
        <f>B938&amp;"~"&amp;F938&amp;"~"&amp;G938</f>
        <v/>
      </c>
      <c r="J938" t="inlineStr">
        <is>
          <t>MVS Sec.13 p.29</t>
        </is>
      </c>
    </row>
    <row r="939">
      <c r="B939" t="inlineStr">
        <is>
          <t>Warehouse Food Stores</t>
        </is>
      </c>
      <c r="C939" t="inlineStr">
        <is>
          <t>533</t>
        </is>
      </c>
      <c r="D939" t="inlineStr">
        <is>
          <t>13</t>
        </is>
      </c>
      <c r="E939" t="inlineStr">
        <is>
          <t>29</t>
        </is>
      </c>
      <c r="F939" t="inlineStr">
        <is>
          <t>S</t>
        </is>
      </c>
      <c r="G939" t="inlineStr">
        <is>
          <t>Average</t>
        </is>
      </c>
      <c r="H939" t="n">
        <v>86.5</v>
      </c>
      <c r="I939">
        <f>B939&amp;"~"&amp;F939&amp;"~"&amp;G939</f>
        <v/>
      </c>
      <c r="J939" t="inlineStr">
        <is>
          <t>MVS Sec.13 p.29</t>
        </is>
      </c>
    </row>
    <row r="940">
      <c r="B940" t="inlineStr">
        <is>
          <t>Warehouse Food Stores</t>
        </is>
      </c>
      <c r="C940" t="inlineStr">
        <is>
          <t>533</t>
        </is>
      </c>
      <c r="D940" t="inlineStr">
        <is>
          <t>13</t>
        </is>
      </c>
      <c r="E940" t="inlineStr">
        <is>
          <t>29</t>
        </is>
      </c>
      <c r="F940" t="inlineStr">
        <is>
          <t>S</t>
        </is>
      </c>
      <c r="G940" t="inlineStr">
        <is>
          <t>Low Cost</t>
        </is>
      </c>
      <c r="H940" t="n">
        <v>65.5</v>
      </c>
      <c r="I940">
        <f>B940&amp;"~"&amp;F940&amp;"~"&amp;G940</f>
        <v/>
      </c>
      <c r="J940" t="inlineStr">
        <is>
          <t>MVS Sec.13 p.29</t>
        </is>
      </c>
    </row>
    <row r="941">
      <c r="B941" t="inlineStr">
        <is>
          <t>Mega Warehouse Stores</t>
        </is>
      </c>
      <c r="C941" t="inlineStr">
        <is>
          <t>720</t>
        </is>
      </c>
      <c r="D941" t="inlineStr">
        <is>
          <t>13</t>
        </is>
      </c>
      <c r="E941" t="inlineStr">
        <is>
          <t>30</t>
        </is>
      </c>
      <c r="F941" t="inlineStr">
        <is>
          <t>C</t>
        </is>
      </c>
      <c r="G941" t="inlineStr">
        <is>
          <t>Good</t>
        </is>
      </c>
      <c r="H941" t="n">
        <v>88.5</v>
      </c>
      <c r="I941">
        <f>B941&amp;"~"&amp;F941&amp;"~"&amp;G941</f>
        <v/>
      </c>
      <c r="J941" t="inlineStr">
        <is>
          <t>MVS Sec.13 p.30</t>
        </is>
      </c>
    </row>
    <row r="942">
      <c r="B942" t="inlineStr">
        <is>
          <t>Mega Warehouse Stores</t>
        </is>
      </c>
      <c r="C942" t="inlineStr">
        <is>
          <t>720</t>
        </is>
      </c>
      <c r="D942" t="inlineStr">
        <is>
          <t>13</t>
        </is>
      </c>
      <c r="E942" t="inlineStr">
        <is>
          <t>30</t>
        </is>
      </c>
      <c r="F942" t="inlineStr">
        <is>
          <t>C</t>
        </is>
      </c>
      <c r="G942" t="inlineStr">
        <is>
          <t>Average</t>
        </is>
      </c>
      <c r="H942" t="n">
        <v>67.5</v>
      </c>
      <c r="I942">
        <f>B942&amp;"~"&amp;F942&amp;"~"&amp;G942</f>
        <v/>
      </c>
      <c r="J942" t="inlineStr">
        <is>
          <t>MVS Sec.13 p.30</t>
        </is>
      </c>
    </row>
    <row r="943">
      <c r="B943" t="inlineStr">
        <is>
          <t>Mega Warehouse Stores</t>
        </is>
      </c>
      <c r="C943" t="inlineStr">
        <is>
          <t>720</t>
        </is>
      </c>
      <c r="D943" t="inlineStr">
        <is>
          <t>13</t>
        </is>
      </c>
      <c r="E943" t="inlineStr">
        <is>
          <t>30</t>
        </is>
      </c>
      <c r="F943" t="inlineStr">
        <is>
          <t>C</t>
        </is>
      </c>
      <c r="G943" t="inlineStr">
        <is>
          <t>Low Cost</t>
        </is>
      </c>
      <c r="H943" t="n">
        <v>51.5</v>
      </c>
      <c r="I943">
        <f>B943&amp;"~"&amp;F943&amp;"~"&amp;G943</f>
        <v/>
      </c>
      <c r="J943" t="inlineStr">
        <is>
          <t>MVS Sec.13 p.30</t>
        </is>
      </c>
    </row>
    <row r="944">
      <c r="B944" t="inlineStr">
        <is>
          <t>Mega Warehouse Stores</t>
        </is>
      </c>
      <c r="C944" t="inlineStr">
        <is>
          <t>720</t>
        </is>
      </c>
      <c r="D944" t="inlineStr">
        <is>
          <t>13</t>
        </is>
      </c>
      <c r="E944" t="inlineStr">
        <is>
          <t>30</t>
        </is>
      </c>
      <c r="F944" t="inlineStr">
        <is>
          <t>S</t>
        </is>
      </c>
      <c r="G944" t="inlineStr">
        <is>
          <t>Average</t>
        </is>
      </c>
      <c r="H944" t="n">
        <v>61.5</v>
      </c>
      <c r="I944">
        <f>B944&amp;"~"&amp;F944&amp;"~"&amp;G944</f>
        <v/>
      </c>
      <c r="J944" t="inlineStr">
        <is>
          <t>MVS Sec.13 p.30</t>
        </is>
      </c>
    </row>
    <row r="945">
      <c r="B945" t="inlineStr">
        <is>
          <t>Mega Warehouse Stores</t>
        </is>
      </c>
      <c r="C945" t="inlineStr">
        <is>
          <t>720</t>
        </is>
      </c>
      <c r="D945" t="inlineStr">
        <is>
          <t>13</t>
        </is>
      </c>
      <c r="E945" t="inlineStr">
        <is>
          <t>30</t>
        </is>
      </c>
      <c r="F945" t="inlineStr">
        <is>
          <t>S</t>
        </is>
      </c>
      <c r="G945" t="inlineStr">
        <is>
          <t>Low Cost</t>
        </is>
      </c>
      <c r="H945" t="n">
        <v>48</v>
      </c>
      <c r="I945">
        <f>B945&amp;"~"&amp;F945&amp;"~"&amp;G945</f>
        <v/>
      </c>
      <c r="J945" t="inlineStr">
        <is>
          <t>MVS Sec.13 p.30</t>
        </is>
      </c>
    </row>
    <row r="946">
      <c r="B946" t="inlineStr">
        <is>
          <t>Neighborhood Shopping Centers</t>
        </is>
      </c>
      <c r="C946" t="inlineStr">
        <is>
          <t>412</t>
        </is>
      </c>
      <c r="D946" t="inlineStr">
        <is>
          <t>13</t>
        </is>
      </c>
      <c r="E946" t="inlineStr">
        <is>
          <t>33</t>
        </is>
      </c>
      <c r="F946" t="inlineStr">
        <is>
          <t>C</t>
        </is>
      </c>
      <c r="G946" t="inlineStr">
        <is>
          <t>Good</t>
        </is>
      </c>
      <c r="H946" t="n">
        <v>152</v>
      </c>
      <c r="I946">
        <f>B946&amp;"~"&amp;F946&amp;"~"&amp;G946</f>
        <v/>
      </c>
      <c r="J946" t="inlineStr">
        <is>
          <t>MVS Sec.13 p.33</t>
        </is>
      </c>
    </row>
    <row r="947">
      <c r="B947" t="inlineStr">
        <is>
          <t>Neighborhood Shopping Centers</t>
        </is>
      </c>
      <c r="C947" t="inlineStr">
        <is>
          <t>412</t>
        </is>
      </c>
      <c r="D947" t="inlineStr">
        <is>
          <t>13</t>
        </is>
      </c>
      <c r="E947" t="inlineStr">
        <is>
          <t>33</t>
        </is>
      </c>
      <c r="F947" t="inlineStr">
        <is>
          <t>C</t>
        </is>
      </c>
      <c r="G947" t="inlineStr">
        <is>
          <t>Average</t>
        </is>
      </c>
      <c r="H947" t="n">
        <v>127</v>
      </c>
      <c r="I947">
        <f>B947&amp;"~"&amp;F947&amp;"~"&amp;G947</f>
        <v/>
      </c>
      <c r="J947" t="inlineStr">
        <is>
          <t>MVS Sec.13 p.33</t>
        </is>
      </c>
    </row>
    <row r="948">
      <c r="B948" t="inlineStr">
        <is>
          <t>Neighborhood Shopping Centers</t>
        </is>
      </c>
      <c r="C948" t="inlineStr">
        <is>
          <t>412</t>
        </is>
      </c>
      <c r="D948" t="inlineStr">
        <is>
          <t>13</t>
        </is>
      </c>
      <c r="E948" t="inlineStr">
        <is>
          <t>33</t>
        </is>
      </c>
      <c r="F948" t="inlineStr">
        <is>
          <t>C</t>
        </is>
      </c>
      <c r="G948" t="inlineStr">
        <is>
          <t>Low Cost</t>
        </is>
      </c>
      <c r="H948" t="n">
        <v>100</v>
      </c>
      <c r="I948">
        <f>B948&amp;"~"&amp;F948&amp;"~"&amp;G948</f>
        <v/>
      </c>
      <c r="J948" t="inlineStr">
        <is>
          <t>MVS Sec.13 p.33</t>
        </is>
      </c>
    </row>
    <row r="949">
      <c r="B949" t="inlineStr">
        <is>
          <t>Neighborhood Shopping Centers</t>
        </is>
      </c>
      <c r="C949" t="inlineStr">
        <is>
          <t>412</t>
        </is>
      </c>
      <c r="D949" t="inlineStr">
        <is>
          <t>13</t>
        </is>
      </c>
      <c r="E949" t="inlineStr">
        <is>
          <t>33</t>
        </is>
      </c>
      <c r="F949" t="inlineStr">
        <is>
          <t>CMILL</t>
        </is>
      </c>
      <c r="G949" t="inlineStr">
        <is>
          <t>Average</t>
        </is>
      </c>
      <c r="H949" t="n">
        <v>145</v>
      </c>
      <c r="I949">
        <f>B949&amp;"~"&amp;F949&amp;"~"&amp;G949</f>
        <v/>
      </c>
      <c r="J949" t="inlineStr">
        <is>
          <t>MVS Sec.13 p.33</t>
        </is>
      </c>
    </row>
    <row r="950">
      <c r="B950" t="inlineStr">
        <is>
          <t>Neighborhood Shopping Centers</t>
        </is>
      </c>
      <c r="C950" t="inlineStr">
        <is>
          <t>412</t>
        </is>
      </c>
      <c r="D950" t="inlineStr">
        <is>
          <t>13</t>
        </is>
      </c>
      <c r="E950" t="inlineStr">
        <is>
          <t>33</t>
        </is>
      </c>
      <c r="F950" t="inlineStr">
        <is>
          <t>D</t>
        </is>
      </c>
      <c r="G950" t="inlineStr">
        <is>
          <t>Good</t>
        </is>
      </c>
      <c r="H950" t="n">
        <v>143</v>
      </c>
      <c r="I950">
        <f>B950&amp;"~"&amp;F950&amp;"~"&amp;G950</f>
        <v/>
      </c>
      <c r="J950" t="inlineStr">
        <is>
          <t>MVS Sec.13 p.33</t>
        </is>
      </c>
    </row>
    <row r="951">
      <c r="B951" t="inlineStr">
        <is>
          <t>Neighborhood Shopping Centers</t>
        </is>
      </c>
      <c r="C951" t="inlineStr">
        <is>
          <t>412</t>
        </is>
      </c>
      <c r="D951" t="inlineStr">
        <is>
          <t>13</t>
        </is>
      </c>
      <c r="E951" t="inlineStr">
        <is>
          <t>33</t>
        </is>
      </c>
      <c r="F951" t="inlineStr">
        <is>
          <t>D</t>
        </is>
      </c>
      <c r="G951" t="inlineStr">
        <is>
          <t>Average</t>
        </is>
      </c>
      <c r="H951" t="n">
        <v>119</v>
      </c>
      <c r="I951">
        <f>B951&amp;"~"&amp;F951&amp;"~"&amp;G951</f>
        <v/>
      </c>
      <c r="J951" t="inlineStr">
        <is>
          <t>MVS Sec.13 p.33</t>
        </is>
      </c>
    </row>
    <row r="952">
      <c r="B952" t="inlineStr">
        <is>
          <t>Neighborhood Shopping Centers</t>
        </is>
      </c>
      <c r="C952" t="inlineStr">
        <is>
          <t>412</t>
        </is>
      </c>
      <c r="D952" t="inlineStr">
        <is>
          <t>13</t>
        </is>
      </c>
      <c r="E952" t="inlineStr">
        <is>
          <t>33</t>
        </is>
      </c>
      <c r="F952" t="inlineStr">
        <is>
          <t>D</t>
        </is>
      </c>
      <c r="G952" t="inlineStr">
        <is>
          <t>Low Cost</t>
        </is>
      </c>
      <c r="H952" t="n">
        <v>93</v>
      </c>
      <c r="I952">
        <f>B952&amp;"~"&amp;F952&amp;"~"&amp;G952</f>
        <v/>
      </c>
      <c r="J952" t="inlineStr">
        <is>
          <t>MVS Sec.13 p.33</t>
        </is>
      </c>
    </row>
    <row r="953">
      <c r="B953" t="inlineStr">
        <is>
          <t>Neighborhood Shopping Centers</t>
        </is>
      </c>
      <c r="C953" t="inlineStr">
        <is>
          <t>412</t>
        </is>
      </c>
      <c r="D953" t="inlineStr">
        <is>
          <t>13</t>
        </is>
      </c>
      <c r="E953" t="inlineStr">
        <is>
          <t>33</t>
        </is>
      </c>
      <c r="F953" t="inlineStr">
        <is>
          <t>DPOLE</t>
        </is>
      </c>
      <c r="G953" t="inlineStr">
        <is>
          <t>Low Cost</t>
        </is>
      </c>
      <c r="H953" t="n">
        <v>88.5</v>
      </c>
      <c r="I953">
        <f>B953&amp;"~"&amp;F953&amp;"~"&amp;G953</f>
        <v/>
      </c>
      <c r="J953" t="inlineStr">
        <is>
          <t>MVS Sec.13 p.33</t>
        </is>
      </c>
    </row>
    <row r="954">
      <c r="B954" t="inlineStr">
        <is>
          <t>Neighborhood Shopping Centers</t>
        </is>
      </c>
      <c r="C954" t="inlineStr">
        <is>
          <t>412</t>
        </is>
      </c>
      <c r="D954" t="inlineStr">
        <is>
          <t>13</t>
        </is>
      </c>
      <c r="E954" t="inlineStr">
        <is>
          <t>33</t>
        </is>
      </c>
      <c r="F954" t="inlineStr">
        <is>
          <t>S</t>
        </is>
      </c>
      <c r="G954" t="inlineStr">
        <is>
          <t>Average</t>
        </is>
      </c>
      <c r="H954" t="n">
        <v>116</v>
      </c>
      <c r="I954">
        <f>B954&amp;"~"&amp;F954&amp;"~"&amp;G954</f>
        <v/>
      </c>
      <c r="J954" t="inlineStr">
        <is>
          <t>MVS Sec.13 p.33</t>
        </is>
      </c>
    </row>
    <row r="955">
      <c r="B955" t="inlineStr">
        <is>
          <t>Neighborhood Shopping Centers</t>
        </is>
      </c>
      <c r="C955" t="inlineStr">
        <is>
          <t>412</t>
        </is>
      </c>
      <c r="D955" t="inlineStr">
        <is>
          <t>13</t>
        </is>
      </c>
      <c r="E955" t="inlineStr">
        <is>
          <t>33</t>
        </is>
      </c>
      <c r="F955" t="inlineStr">
        <is>
          <t>S</t>
        </is>
      </c>
      <c r="G955" t="inlineStr">
        <is>
          <t>Low Cost</t>
        </is>
      </c>
      <c r="H955" t="n">
        <v>91</v>
      </c>
      <c r="I955">
        <f>B955&amp;"~"&amp;F955&amp;"~"&amp;G955</f>
        <v/>
      </c>
      <c r="J955" t="inlineStr">
        <is>
          <t>MVS Sec.13 p.33</t>
        </is>
      </c>
    </row>
    <row r="956">
      <c r="B956" t="inlineStr">
        <is>
          <t>Mixed Retail Centers with Residential Units</t>
        </is>
      </c>
      <c r="C956" t="inlineStr">
        <is>
          <t>459</t>
        </is>
      </c>
      <c r="D956" t="inlineStr">
        <is>
          <t>13</t>
        </is>
      </c>
      <c r="E956" t="inlineStr">
        <is>
          <t>33</t>
        </is>
      </c>
      <c r="F956" t="inlineStr">
        <is>
          <t>C</t>
        </is>
      </c>
      <c r="G956" t="inlineStr">
        <is>
          <t>Good</t>
        </is>
      </c>
      <c r="H956" t="n">
        <v>157</v>
      </c>
      <c r="I956">
        <f>B956&amp;"~"&amp;F956&amp;"~"&amp;G956</f>
        <v/>
      </c>
      <c r="J956" t="inlineStr">
        <is>
          <t>MVS Sec.13 p.33</t>
        </is>
      </c>
    </row>
    <row r="957">
      <c r="B957" t="inlineStr">
        <is>
          <t>Mixed Retail Centers with Residential Units</t>
        </is>
      </c>
      <c r="C957" t="inlineStr">
        <is>
          <t>459</t>
        </is>
      </c>
      <c r="D957" t="inlineStr">
        <is>
          <t>13</t>
        </is>
      </c>
      <c r="E957" t="inlineStr">
        <is>
          <t>33</t>
        </is>
      </c>
      <c r="F957" t="inlineStr">
        <is>
          <t>C</t>
        </is>
      </c>
      <c r="G957" t="inlineStr">
        <is>
          <t>Average</t>
        </is>
      </c>
      <c r="H957" t="n">
        <v>125</v>
      </c>
      <c r="I957">
        <f>B957&amp;"~"&amp;F957&amp;"~"&amp;G957</f>
        <v/>
      </c>
      <c r="J957" t="inlineStr">
        <is>
          <t>MVS Sec.13 p.33</t>
        </is>
      </c>
    </row>
    <row r="958">
      <c r="B958" t="inlineStr">
        <is>
          <t>Mixed Retail Centers with Residential Units</t>
        </is>
      </c>
      <c r="C958" t="inlineStr">
        <is>
          <t>459</t>
        </is>
      </c>
      <c r="D958" t="inlineStr">
        <is>
          <t>13</t>
        </is>
      </c>
      <c r="E958" t="inlineStr">
        <is>
          <t>33</t>
        </is>
      </c>
      <c r="F958" t="inlineStr">
        <is>
          <t>C</t>
        </is>
      </c>
      <c r="G958" t="inlineStr">
        <is>
          <t>Low Cost</t>
        </is>
      </c>
      <c r="H958" t="n">
        <v>95</v>
      </c>
      <c r="I958">
        <f>B958&amp;"~"&amp;F958&amp;"~"&amp;G958</f>
        <v/>
      </c>
      <c r="J958" t="inlineStr">
        <is>
          <t>MVS Sec.13 p.33</t>
        </is>
      </c>
    </row>
    <row r="959">
      <c r="B959" t="inlineStr">
        <is>
          <t>Mixed Retail Centers with Residential Units</t>
        </is>
      </c>
      <c r="C959" t="inlineStr">
        <is>
          <t>459</t>
        </is>
      </c>
      <c r="D959" t="inlineStr">
        <is>
          <t>13</t>
        </is>
      </c>
      <c r="E959" t="inlineStr">
        <is>
          <t>33</t>
        </is>
      </c>
      <c r="F959" t="inlineStr">
        <is>
          <t>CMILL</t>
        </is>
      </c>
      <c r="G959" t="inlineStr">
        <is>
          <t>Average</t>
        </is>
      </c>
      <c r="H959" t="n">
        <v>147</v>
      </c>
      <c r="I959">
        <f>B959&amp;"~"&amp;F959&amp;"~"&amp;G959</f>
        <v/>
      </c>
      <c r="J959" t="inlineStr">
        <is>
          <t>MVS Sec.13 p.33</t>
        </is>
      </c>
    </row>
    <row r="960">
      <c r="B960" t="inlineStr">
        <is>
          <t>Mixed Retail Centers with Residential Units</t>
        </is>
      </c>
      <c r="C960" t="inlineStr">
        <is>
          <t>459</t>
        </is>
      </c>
      <c r="D960" t="inlineStr">
        <is>
          <t>13</t>
        </is>
      </c>
      <c r="E960" t="inlineStr">
        <is>
          <t>33</t>
        </is>
      </c>
      <c r="F960" t="inlineStr">
        <is>
          <t>D</t>
        </is>
      </c>
      <c r="G960" t="inlineStr">
        <is>
          <t>Good</t>
        </is>
      </c>
      <c r="H960" t="n">
        <v>148</v>
      </c>
      <c r="I960">
        <f>B960&amp;"~"&amp;F960&amp;"~"&amp;G960</f>
        <v/>
      </c>
      <c r="J960" t="inlineStr">
        <is>
          <t>MVS Sec.13 p.33</t>
        </is>
      </c>
    </row>
    <row r="961">
      <c r="B961" t="inlineStr">
        <is>
          <t>Mixed Retail Centers with Residential Units</t>
        </is>
      </c>
      <c r="C961" t="inlineStr">
        <is>
          <t>459</t>
        </is>
      </c>
      <c r="D961" t="inlineStr">
        <is>
          <t>13</t>
        </is>
      </c>
      <c r="E961" t="inlineStr">
        <is>
          <t>33</t>
        </is>
      </c>
      <c r="F961" t="inlineStr">
        <is>
          <t>D</t>
        </is>
      </c>
      <c r="G961" t="inlineStr">
        <is>
          <t>Average</t>
        </is>
      </c>
      <c r="H961" t="n">
        <v>117</v>
      </c>
      <c r="I961">
        <f>B961&amp;"~"&amp;F961&amp;"~"&amp;G961</f>
        <v/>
      </c>
      <c r="J961" t="inlineStr">
        <is>
          <t>MVS Sec.13 p.33</t>
        </is>
      </c>
    </row>
    <row r="962">
      <c r="B962" t="inlineStr">
        <is>
          <t>Mixed Retail Centers with Residential Units</t>
        </is>
      </c>
      <c r="C962" t="inlineStr">
        <is>
          <t>459</t>
        </is>
      </c>
      <c r="D962" t="inlineStr">
        <is>
          <t>13</t>
        </is>
      </c>
      <c r="E962" t="inlineStr">
        <is>
          <t>33</t>
        </is>
      </c>
      <c r="F962" t="inlineStr">
        <is>
          <t>D</t>
        </is>
      </c>
      <c r="G962" t="inlineStr">
        <is>
          <t>Low Cost</t>
        </is>
      </c>
      <c r="H962" t="n">
        <v>88</v>
      </c>
      <c r="I962">
        <f>B962&amp;"~"&amp;F962&amp;"~"&amp;G962</f>
        <v/>
      </c>
      <c r="J962" t="inlineStr">
        <is>
          <t>MVS Sec.13 p.33</t>
        </is>
      </c>
    </row>
    <row r="963">
      <c r="B963" t="inlineStr">
        <is>
          <t>Mixed Retail Centers with Office Units</t>
        </is>
      </c>
      <c r="C963" t="inlineStr">
        <is>
          <t>597</t>
        </is>
      </c>
      <c r="D963" t="inlineStr">
        <is>
          <t>13</t>
        </is>
      </c>
      <c r="E963" t="inlineStr">
        <is>
          <t>34</t>
        </is>
      </c>
      <c r="F963" t="inlineStr">
        <is>
          <t>C</t>
        </is>
      </c>
      <c r="G963" t="inlineStr">
        <is>
          <t>Good</t>
        </is>
      </c>
      <c r="H963" t="n">
        <v>156</v>
      </c>
      <c r="I963">
        <f>B963&amp;"~"&amp;F963&amp;"~"&amp;G963</f>
        <v/>
      </c>
      <c r="J963" t="inlineStr">
        <is>
          <t>MVS Sec.13 p.34</t>
        </is>
      </c>
    </row>
    <row r="964">
      <c r="B964" t="inlineStr">
        <is>
          <t>Mixed Retail Centers with Office Units</t>
        </is>
      </c>
      <c r="C964" t="inlineStr">
        <is>
          <t>597</t>
        </is>
      </c>
      <c r="D964" t="inlineStr">
        <is>
          <t>13</t>
        </is>
      </c>
      <c r="E964" t="inlineStr">
        <is>
          <t>34</t>
        </is>
      </c>
      <c r="F964" t="inlineStr">
        <is>
          <t>C</t>
        </is>
      </c>
      <c r="G964" t="inlineStr">
        <is>
          <t>Average</t>
        </is>
      </c>
      <c r="H964" t="n">
        <v>128</v>
      </c>
      <c r="I964">
        <f>B964&amp;"~"&amp;F964&amp;"~"&amp;G964</f>
        <v/>
      </c>
      <c r="J964" t="inlineStr">
        <is>
          <t>MVS Sec.13 p.34</t>
        </is>
      </c>
    </row>
    <row r="965">
      <c r="B965" t="inlineStr">
        <is>
          <t>Mixed Retail Centers with Office Units</t>
        </is>
      </c>
      <c r="C965" t="inlineStr">
        <is>
          <t>597</t>
        </is>
      </c>
      <c r="D965" t="inlineStr">
        <is>
          <t>13</t>
        </is>
      </c>
      <c r="E965" t="inlineStr">
        <is>
          <t>34</t>
        </is>
      </c>
      <c r="F965" t="inlineStr">
        <is>
          <t>C</t>
        </is>
      </c>
      <c r="G965" t="inlineStr">
        <is>
          <t>Low Cost</t>
        </is>
      </c>
      <c r="H965" t="n">
        <v>100</v>
      </c>
      <c r="I965">
        <f>B965&amp;"~"&amp;F965&amp;"~"&amp;G965</f>
        <v/>
      </c>
      <c r="J965" t="inlineStr">
        <is>
          <t>MVS Sec.13 p.34</t>
        </is>
      </c>
    </row>
    <row r="966">
      <c r="B966" t="inlineStr">
        <is>
          <t>Mixed Retail Centers with Office Units</t>
        </is>
      </c>
      <c r="C966" t="inlineStr">
        <is>
          <t>597</t>
        </is>
      </c>
      <c r="D966" t="inlineStr">
        <is>
          <t>13</t>
        </is>
      </c>
      <c r="E966" t="inlineStr">
        <is>
          <t>34</t>
        </is>
      </c>
      <c r="F966" t="inlineStr">
        <is>
          <t>CMILL</t>
        </is>
      </c>
      <c r="G966" t="inlineStr">
        <is>
          <t>Average</t>
        </is>
      </c>
      <c r="H966" t="n">
        <v>148</v>
      </c>
      <c r="I966">
        <f>B966&amp;"~"&amp;F966&amp;"~"&amp;G966</f>
        <v/>
      </c>
      <c r="J966" t="inlineStr">
        <is>
          <t>MVS Sec.13 p.34</t>
        </is>
      </c>
    </row>
    <row r="967">
      <c r="B967" t="inlineStr">
        <is>
          <t>Mixed Retail Centers with Office Units</t>
        </is>
      </c>
      <c r="C967" t="inlineStr">
        <is>
          <t>597</t>
        </is>
      </c>
      <c r="D967" t="inlineStr">
        <is>
          <t>13</t>
        </is>
      </c>
      <c r="E967" t="inlineStr">
        <is>
          <t>34</t>
        </is>
      </c>
      <c r="F967" t="inlineStr">
        <is>
          <t>D</t>
        </is>
      </c>
      <c r="G967" t="inlineStr">
        <is>
          <t>Good</t>
        </is>
      </c>
      <c r="H967" t="n">
        <v>147</v>
      </c>
      <c r="I967">
        <f>B967&amp;"~"&amp;F967&amp;"~"&amp;G967</f>
        <v/>
      </c>
      <c r="J967" t="inlineStr">
        <is>
          <t>MVS Sec.13 p.34</t>
        </is>
      </c>
    </row>
    <row r="968">
      <c r="B968" t="inlineStr">
        <is>
          <t>Mixed Retail Centers with Office Units</t>
        </is>
      </c>
      <c r="C968" t="inlineStr">
        <is>
          <t>597</t>
        </is>
      </c>
      <c r="D968" t="inlineStr">
        <is>
          <t>13</t>
        </is>
      </c>
      <c r="E968" t="inlineStr">
        <is>
          <t>34</t>
        </is>
      </c>
      <c r="F968" t="inlineStr">
        <is>
          <t>D</t>
        </is>
      </c>
      <c r="G968" t="inlineStr">
        <is>
          <t>Average</t>
        </is>
      </c>
      <c r="H968" t="n">
        <v>120</v>
      </c>
      <c r="I968">
        <f>B968&amp;"~"&amp;F968&amp;"~"&amp;G968</f>
        <v/>
      </c>
      <c r="J968" t="inlineStr">
        <is>
          <t>MVS Sec.13 p.34</t>
        </is>
      </c>
    </row>
    <row r="969">
      <c r="B969" t="inlineStr">
        <is>
          <t>Mixed Retail Centers with Office Units</t>
        </is>
      </c>
      <c r="C969" t="inlineStr">
        <is>
          <t>597</t>
        </is>
      </c>
      <c r="D969" t="inlineStr">
        <is>
          <t>13</t>
        </is>
      </c>
      <c r="E969" t="inlineStr">
        <is>
          <t>34</t>
        </is>
      </c>
      <c r="F969" t="inlineStr">
        <is>
          <t>D</t>
        </is>
      </c>
      <c r="G969" t="inlineStr">
        <is>
          <t>Low Cost</t>
        </is>
      </c>
      <c r="H969" t="n">
        <v>93</v>
      </c>
      <c r="I969">
        <f>B969&amp;"~"&amp;F969&amp;"~"&amp;G969</f>
        <v/>
      </c>
      <c r="J969" t="inlineStr">
        <is>
          <t>MVS Sec.13 p.34</t>
        </is>
      </c>
    </row>
    <row r="970">
      <c r="B970" t="inlineStr">
        <is>
          <t>Community Shopping Centers</t>
        </is>
      </c>
      <c r="C970" t="inlineStr">
        <is>
          <t>413</t>
        </is>
      </c>
      <c r="D970" t="inlineStr">
        <is>
          <t>13</t>
        </is>
      </c>
      <c r="E970" t="inlineStr">
        <is>
          <t>34</t>
        </is>
      </c>
      <c r="F970" t="inlineStr">
        <is>
          <t>C</t>
        </is>
      </c>
      <c r="G970" t="inlineStr">
        <is>
          <t>Excellent</t>
        </is>
      </c>
      <c r="H970" t="n">
        <v>207</v>
      </c>
      <c r="I970">
        <f>B970&amp;"~"&amp;F970&amp;"~"&amp;G970</f>
        <v/>
      </c>
      <c r="J970" t="inlineStr">
        <is>
          <t>MVS Sec.13 p.34</t>
        </is>
      </c>
    </row>
    <row r="971">
      <c r="B971" t="inlineStr">
        <is>
          <t>Community Shopping Centers</t>
        </is>
      </c>
      <c r="C971" t="inlineStr">
        <is>
          <t>413</t>
        </is>
      </c>
      <c r="D971" t="inlineStr">
        <is>
          <t>13</t>
        </is>
      </c>
      <c r="E971" t="inlineStr">
        <is>
          <t>34</t>
        </is>
      </c>
      <c r="F971" t="inlineStr">
        <is>
          <t>C</t>
        </is>
      </c>
      <c r="G971" t="inlineStr">
        <is>
          <t>Good</t>
        </is>
      </c>
      <c r="H971" t="n">
        <v>169</v>
      </c>
      <c r="I971">
        <f>B971&amp;"~"&amp;F971&amp;"~"&amp;G971</f>
        <v/>
      </c>
      <c r="J971" t="inlineStr">
        <is>
          <t>MVS Sec.13 p.34</t>
        </is>
      </c>
    </row>
    <row r="972">
      <c r="B972" t="inlineStr">
        <is>
          <t>Community Shopping Centers</t>
        </is>
      </c>
      <c r="C972" t="inlineStr">
        <is>
          <t>413</t>
        </is>
      </c>
      <c r="D972" t="inlineStr">
        <is>
          <t>13</t>
        </is>
      </c>
      <c r="E972" t="inlineStr">
        <is>
          <t>34</t>
        </is>
      </c>
      <c r="F972" t="inlineStr">
        <is>
          <t>C</t>
        </is>
      </c>
      <c r="G972" t="inlineStr">
        <is>
          <t>Average</t>
        </is>
      </c>
      <c r="H972" t="n">
        <v>135</v>
      </c>
      <c r="I972">
        <f>B972&amp;"~"&amp;F972&amp;"~"&amp;G972</f>
        <v/>
      </c>
      <c r="J972" t="inlineStr">
        <is>
          <t>MVS Sec.13 p.34</t>
        </is>
      </c>
    </row>
    <row r="973">
      <c r="B973" t="inlineStr">
        <is>
          <t>Community Shopping Centers</t>
        </is>
      </c>
      <c r="C973" t="inlineStr">
        <is>
          <t>413</t>
        </is>
      </c>
      <c r="D973" t="inlineStr">
        <is>
          <t>13</t>
        </is>
      </c>
      <c r="E973" t="inlineStr">
        <is>
          <t>34</t>
        </is>
      </c>
      <c r="F973" t="inlineStr">
        <is>
          <t>C</t>
        </is>
      </c>
      <c r="G973" t="inlineStr">
        <is>
          <t>Low Cost</t>
        </is>
      </c>
      <c r="H973" t="n">
        <v>111</v>
      </c>
      <c r="I973">
        <f>B973&amp;"~"&amp;F973&amp;"~"&amp;G973</f>
        <v/>
      </c>
      <c r="J973" t="inlineStr">
        <is>
          <t>MVS Sec.13 p.34</t>
        </is>
      </c>
    </row>
    <row r="974">
      <c r="B974" t="inlineStr">
        <is>
          <t>Community Shopping Centers</t>
        </is>
      </c>
      <c r="C974" t="inlineStr">
        <is>
          <t>413</t>
        </is>
      </c>
      <c r="D974" t="inlineStr">
        <is>
          <t>13</t>
        </is>
      </c>
      <c r="E974" t="inlineStr">
        <is>
          <t>34</t>
        </is>
      </c>
      <c r="F974" t="inlineStr">
        <is>
          <t>D</t>
        </is>
      </c>
      <c r="G974" t="inlineStr">
        <is>
          <t>Excellent</t>
        </is>
      </c>
      <c r="H974" t="n">
        <v>195</v>
      </c>
      <c r="I974">
        <f>B974&amp;"~"&amp;F974&amp;"~"&amp;G974</f>
        <v/>
      </c>
      <c r="J974" t="inlineStr">
        <is>
          <t>MVS Sec.13 p.34</t>
        </is>
      </c>
    </row>
    <row r="975">
      <c r="B975" t="inlineStr">
        <is>
          <t>Community Shopping Centers</t>
        </is>
      </c>
      <c r="C975" t="inlineStr">
        <is>
          <t>413</t>
        </is>
      </c>
      <c r="D975" t="inlineStr">
        <is>
          <t>13</t>
        </is>
      </c>
      <c r="E975" t="inlineStr">
        <is>
          <t>34</t>
        </is>
      </c>
      <c r="F975" t="inlineStr">
        <is>
          <t>D</t>
        </is>
      </c>
      <c r="G975" t="inlineStr">
        <is>
          <t>Good</t>
        </is>
      </c>
      <c r="H975" t="n">
        <v>159</v>
      </c>
      <c r="I975">
        <f>B975&amp;"~"&amp;F975&amp;"~"&amp;G975</f>
        <v/>
      </c>
      <c r="J975" t="inlineStr">
        <is>
          <t>MVS Sec.13 p.34</t>
        </is>
      </c>
    </row>
    <row r="976">
      <c r="B976" t="inlineStr">
        <is>
          <t>Community Shopping Centers</t>
        </is>
      </c>
      <c r="C976" t="inlineStr">
        <is>
          <t>413</t>
        </is>
      </c>
      <c r="D976" t="inlineStr">
        <is>
          <t>13</t>
        </is>
      </c>
      <c r="E976" t="inlineStr">
        <is>
          <t>34</t>
        </is>
      </c>
      <c r="F976" t="inlineStr">
        <is>
          <t>D</t>
        </is>
      </c>
      <c r="G976" t="inlineStr">
        <is>
          <t>Average</t>
        </is>
      </c>
      <c r="H976" t="n">
        <v>126</v>
      </c>
      <c r="I976">
        <f>B976&amp;"~"&amp;F976&amp;"~"&amp;G976</f>
        <v/>
      </c>
      <c r="J976" t="inlineStr">
        <is>
          <t>MVS Sec.13 p.34</t>
        </is>
      </c>
    </row>
    <row r="977">
      <c r="B977" t="inlineStr">
        <is>
          <t>Community Shopping Centers</t>
        </is>
      </c>
      <c r="C977" t="inlineStr">
        <is>
          <t>413</t>
        </is>
      </c>
      <c r="D977" t="inlineStr">
        <is>
          <t>13</t>
        </is>
      </c>
      <c r="E977" t="inlineStr">
        <is>
          <t>34</t>
        </is>
      </c>
      <c r="F977" t="inlineStr">
        <is>
          <t>S</t>
        </is>
      </c>
      <c r="G977" t="inlineStr">
        <is>
          <t>Average</t>
        </is>
      </c>
      <c r="H977" t="n">
        <v>124</v>
      </c>
      <c r="I977">
        <f>B977&amp;"~"&amp;F977&amp;"~"&amp;G977</f>
        <v/>
      </c>
      <c r="J977" t="inlineStr">
        <is>
          <t>MVS Sec.13 p.34</t>
        </is>
      </c>
    </row>
    <row r="978">
      <c r="B978" t="inlineStr">
        <is>
          <t>Regional Discount Shopping Centers</t>
        </is>
      </c>
      <c r="C978" t="inlineStr">
        <is>
          <t>513</t>
        </is>
      </c>
      <c r="D978" t="inlineStr">
        <is>
          <t>13</t>
        </is>
      </c>
      <c r="E978" t="inlineStr">
        <is>
          <t>35</t>
        </is>
      </c>
      <c r="F978" t="inlineStr">
        <is>
          <t>A-B</t>
        </is>
      </c>
      <c r="G978" t="inlineStr">
        <is>
          <t>Good</t>
        </is>
      </c>
      <c r="H978" t="n">
        <v>176</v>
      </c>
      <c r="I978">
        <f>B978&amp;"~"&amp;F978&amp;"~"&amp;G978</f>
        <v/>
      </c>
      <c r="J978" t="inlineStr">
        <is>
          <t>MVS Sec.13 p.35</t>
        </is>
      </c>
    </row>
    <row r="979">
      <c r="B979" t="inlineStr">
        <is>
          <t>Regional Discount Shopping Centers</t>
        </is>
      </c>
      <c r="C979" t="inlineStr">
        <is>
          <t>513</t>
        </is>
      </c>
      <c r="D979" t="inlineStr">
        <is>
          <t>13</t>
        </is>
      </c>
      <c r="E979" t="inlineStr">
        <is>
          <t>35</t>
        </is>
      </c>
      <c r="F979" t="inlineStr">
        <is>
          <t>A-B</t>
        </is>
      </c>
      <c r="G979" t="inlineStr">
        <is>
          <t>Average</t>
        </is>
      </c>
      <c r="H979" t="n">
        <v>145</v>
      </c>
      <c r="I979">
        <f>B979&amp;"~"&amp;F979&amp;"~"&amp;G979</f>
        <v/>
      </c>
      <c r="J979" t="inlineStr">
        <is>
          <t>MVS Sec.13 p.35</t>
        </is>
      </c>
    </row>
    <row r="980">
      <c r="B980" t="inlineStr">
        <is>
          <t>Regional Discount Shopping Centers</t>
        </is>
      </c>
      <c r="C980" t="inlineStr">
        <is>
          <t>513</t>
        </is>
      </c>
      <c r="D980" t="inlineStr">
        <is>
          <t>13</t>
        </is>
      </c>
      <c r="E980" t="inlineStr">
        <is>
          <t>35</t>
        </is>
      </c>
      <c r="F980" t="inlineStr">
        <is>
          <t>C</t>
        </is>
      </c>
      <c r="G980" t="inlineStr">
        <is>
          <t>Excellent</t>
        </is>
      </c>
      <c r="H980" t="n">
        <v>157</v>
      </c>
      <c r="I980">
        <f>B980&amp;"~"&amp;F980&amp;"~"&amp;G980</f>
        <v/>
      </c>
      <c r="J980" t="inlineStr">
        <is>
          <t>MVS Sec.13 p.35</t>
        </is>
      </c>
    </row>
    <row r="981">
      <c r="B981" t="inlineStr">
        <is>
          <t>Regional Discount Shopping Centers</t>
        </is>
      </c>
      <c r="C981" t="inlineStr">
        <is>
          <t>513</t>
        </is>
      </c>
      <c r="D981" t="inlineStr">
        <is>
          <t>13</t>
        </is>
      </c>
      <c r="E981" t="inlineStr">
        <is>
          <t>35</t>
        </is>
      </c>
      <c r="F981" t="inlineStr">
        <is>
          <t>C</t>
        </is>
      </c>
      <c r="G981" t="inlineStr">
        <is>
          <t>Good</t>
        </is>
      </c>
      <c r="H981" t="n">
        <v>129</v>
      </c>
      <c r="I981">
        <f>B981&amp;"~"&amp;F981&amp;"~"&amp;G981</f>
        <v/>
      </c>
      <c r="J981" t="inlineStr">
        <is>
          <t>MVS Sec.13 p.35</t>
        </is>
      </c>
    </row>
    <row r="982">
      <c r="B982" t="inlineStr">
        <is>
          <t>Regional Discount Shopping Centers</t>
        </is>
      </c>
      <c r="C982" t="inlineStr">
        <is>
          <t>513</t>
        </is>
      </c>
      <c r="D982" t="inlineStr">
        <is>
          <t>13</t>
        </is>
      </c>
      <c r="E982" t="inlineStr">
        <is>
          <t>35</t>
        </is>
      </c>
      <c r="F982" t="inlineStr">
        <is>
          <t>C</t>
        </is>
      </c>
      <c r="G982" t="inlineStr">
        <is>
          <t>Average</t>
        </is>
      </c>
      <c r="H982" t="n">
        <v>110</v>
      </c>
      <c r="I982">
        <f>B982&amp;"~"&amp;F982&amp;"~"&amp;G982</f>
        <v/>
      </c>
      <c r="J982" t="inlineStr">
        <is>
          <t>MVS Sec.13 p.35</t>
        </is>
      </c>
    </row>
    <row r="983">
      <c r="B983" t="inlineStr">
        <is>
          <t>Regional Discount Shopping Centers</t>
        </is>
      </c>
      <c r="C983" t="inlineStr">
        <is>
          <t>513</t>
        </is>
      </c>
      <c r="D983" t="inlineStr">
        <is>
          <t>13</t>
        </is>
      </c>
      <c r="E983" t="inlineStr">
        <is>
          <t>35</t>
        </is>
      </c>
      <c r="F983" t="inlineStr">
        <is>
          <t>D</t>
        </is>
      </c>
      <c r="G983" t="inlineStr">
        <is>
          <t>Good</t>
        </is>
      </c>
      <c r="H983" t="n">
        <v>120</v>
      </c>
      <c r="I983">
        <f>B983&amp;"~"&amp;F983&amp;"~"&amp;G983</f>
        <v/>
      </c>
      <c r="J983" t="inlineStr">
        <is>
          <t>MVS Sec.13 p.35</t>
        </is>
      </c>
    </row>
    <row r="984">
      <c r="B984" t="inlineStr">
        <is>
          <t>Regional Discount Shopping Centers</t>
        </is>
      </c>
      <c r="C984" t="inlineStr">
        <is>
          <t>513</t>
        </is>
      </c>
      <c r="D984" t="inlineStr">
        <is>
          <t>13</t>
        </is>
      </c>
      <c r="E984" t="inlineStr">
        <is>
          <t>35</t>
        </is>
      </c>
      <c r="F984" t="inlineStr">
        <is>
          <t>D</t>
        </is>
      </c>
      <c r="G984" t="inlineStr">
        <is>
          <t>Average</t>
        </is>
      </c>
      <c r="H984" t="n">
        <v>101</v>
      </c>
      <c r="I984">
        <f>B984&amp;"~"&amp;F984&amp;"~"&amp;G984</f>
        <v/>
      </c>
      <c r="J984" t="inlineStr">
        <is>
          <t>MVS Sec.13 p.35</t>
        </is>
      </c>
    </row>
    <row r="985">
      <c r="B985" t="inlineStr">
        <is>
          <t>Regional Discount Shopping Centers</t>
        </is>
      </c>
      <c r="C985" t="inlineStr">
        <is>
          <t>513</t>
        </is>
      </c>
      <c r="D985" t="inlineStr">
        <is>
          <t>13</t>
        </is>
      </c>
      <c r="E985" t="inlineStr">
        <is>
          <t>35</t>
        </is>
      </c>
      <c r="F985" t="inlineStr">
        <is>
          <t>S</t>
        </is>
      </c>
      <c r="G985" t="inlineStr">
        <is>
          <t>Average</t>
        </is>
      </c>
      <c r="H985" t="n">
        <v>100</v>
      </c>
      <c r="I985">
        <f>B985&amp;"~"&amp;F985&amp;"~"&amp;G985</f>
        <v/>
      </c>
      <c r="J985" t="inlineStr">
        <is>
          <t>MVS Sec.13 p.35</t>
        </is>
      </c>
    </row>
    <row r="986">
      <c r="B986" t="inlineStr">
        <is>
          <t>Regional Shopping Centers</t>
        </is>
      </c>
      <c r="C986" t="inlineStr">
        <is>
          <t>414</t>
        </is>
      </c>
      <c r="D986" t="inlineStr">
        <is>
          <t>13</t>
        </is>
      </c>
      <c r="E986" t="inlineStr">
        <is>
          <t>35</t>
        </is>
      </c>
      <c r="F986" t="inlineStr">
        <is>
          <t>A-B</t>
        </is>
      </c>
      <c r="G986" t="inlineStr">
        <is>
          <t>Excellent</t>
        </is>
      </c>
      <c r="H986" t="n">
        <v>284</v>
      </c>
      <c r="I986">
        <f>B986&amp;"~"&amp;F986&amp;"~"&amp;G986</f>
        <v/>
      </c>
      <c r="J986" t="inlineStr">
        <is>
          <t>MVS Sec.13 p.35</t>
        </is>
      </c>
    </row>
    <row r="987">
      <c r="B987" t="inlineStr">
        <is>
          <t>Regional Shopping Centers</t>
        </is>
      </c>
      <c r="C987" t="inlineStr">
        <is>
          <t>414</t>
        </is>
      </c>
      <c r="D987" t="inlineStr">
        <is>
          <t>13</t>
        </is>
      </c>
      <c r="E987" t="inlineStr">
        <is>
          <t>35</t>
        </is>
      </c>
      <c r="F987" t="inlineStr">
        <is>
          <t>A-B</t>
        </is>
      </c>
      <c r="G987" t="inlineStr">
        <is>
          <t>Good</t>
        </is>
      </c>
      <c r="H987" t="n">
        <v>233</v>
      </c>
      <c r="I987">
        <f>B987&amp;"~"&amp;F987&amp;"~"&amp;G987</f>
        <v/>
      </c>
      <c r="J987" t="inlineStr">
        <is>
          <t>MVS Sec.13 p.35</t>
        </is>
      </c>
    </row>
    <row r="988">
      <c r="B988" t="inlineStr">
        <is>
          <t>Regional Shopping Centers</t>
        </is>
      </c>
      <c r="C988" t="inlineStr">
        <is>
          <t>414</t>
        </is>
      </c>
      <c r="D988" t="inlineStr">
        <is>
          <t>13</t>
        </is>
      </c>
      <c r="E988" t="inlineStr">
        <is>
          <t>35</t>
        </is>
      </c>
      <c r="F988" t="inlineStr">
        <is>
          <t>C</t>
        </is>
      </c>
      <c r="G988" t="inlineStr">
        <is>
          <t>Excellent</t>
        </is>
      </c>
      <c r="H988" t="n">
        <v>238</v>
      </c>
      <c r="I988">
        <f>B988&amp;"~"&amp;F988&amp;"~"&amp;G988</f>
        <v/>
      </c>
      <c r="J988" t="inlineStr">
        <is>
          <t>MVS Sec.13 p.35</t>
        </is>
      </c>
    </row>
    <row r="989">
      <c r="B989" t="inlineStr">
        <is>
          <t>Regional Shopping Centers</t>
        </is>
      </c>
      <c r="C989" t="inlineStr">
        <is>
          <t>414</t>
        </is>
      </c>
      <c r="D989" t="inlineStr">
        <is>
          <t>13</t>
        </is>
      </c>
      <c r="E989" t="inlineStr">
        <is>
          <t>35</t>
        </is>
      </c>
      <c r="F989" t="inlineStr">
        <is>
          <t>C</t>
        </is>
      </c>
      <c r="G989" t="inlineStr">
        <is>
          <t>Good</t>
        </is>
      </c>
      <c r="H989" t="n">
        <v>189</v>
      </c>
      <c r="I989">
        <f>B989&amp;"~"&amp;F989&amp;"~"&amp;G989</f>
        <v/>
      </c>
      <c r="J989" t="inlineStr">
        <is>
          <t>MVS Sec.13 p.35</t>
        </is>
      </c>
    </row>
    <row r="990">
      <c r="B990" t="inlineStr">
        <is>
          <t>Regional Shopping Centers</t>
        </is>
      </c>
      <c r="C990" t="inlineStr">
        <is>
          <t>414</t>
        </is>
      </c>
      <c r="D990" t="inlineStr">
        <is>
          <t>13</t>
        </is>
      </c>
      <c r="E990" t="inlineStr">
        <is>
          <t>35</t>
        </is>
      </c>
      <c r="F990" t="inlineStr">
        <is>
          <t>C</t>
        </is>
      </c>
      <c r="G990" t="inlineStr">
        <is>
          <t>Average</t>
        </is>
      </c>
      <c r="H990" t="n">
        <v>153</v>
      </c>
      <c r="I990">
        <f>B990&amp;"~"&amp;F990&amp;"~"&amp;G990</f>
        <v/>
      </c>
      <c r="J990" t="inlineStr">
        <is>
          <t>MVS Sec.13 p.35</t>
        </is>
      </c>
    </row>
    <row r="991">
      <c r="B991" t="inlineStr">
        <is>
          <t>Regional Shopping Centers</t>
        </is>
      </c>
      <c r="C991" t="inlineStr">
        <is>
          <t>414</t>
        </is>
      </c>
      <c r="D991" t="inlineStr">
        <is>
          <t>13</t>
        </is>
      </c>
      <c r="E991" t="inlineStr">
        <is>
          <t>35</t>
        </is>
      </c>
      <c r="F991" t="inlineStr">
        <is>
          <t>D</t>
        </is>
      </c>
      <c r="G991" t="inlineStr">
        <is>
          <t>Excellent</t>
        </is>
      </c>
      <c r="H991" t="n">
        <v>223</v>
      </c>
      <c r="I991">
        <f>B991&amp;"~"&amp;F991&amp;"~"&amp;G991</f>
        <v/>
      </c>
      <c r="J991" t="inlineStr">
        <is>
          <t>MVS Sec.13 p.35</t>
        </is>
      </c>
    </row>
    <row r="992">
      <c r="B992" t="inlineStr">
        <is>
          <t>Regional Shopping Centers</t>
        </is>
      </c>
      <c r="C992" t="inlineStr">
        <is>
          <t>414</t>
        </is>
      </c>
      <c r="D992" t="inlineStr">
        <is>
          <t>13</t>
        </is>
      </c>
      <c r="E992" t="inlineStr">
        <is>
          <t>35</t>
        </is>
      </c>
      <c r="F992" t="inlineStr">
        <is>
          <t>D</t>
        </is>
      </c>
      <c r="G992" t="inlineStr">
        <is>
          <t>Good</t>
        </is>
      </c>
      <c r="H992" t="n">
        <v>176</v>
      </c>
      <c r="I992">
        <f>B992&amp;"~"&amp;F992&amp;"~"&amp;G992</f>
        <v/>
      </c>
      <c r="J992" t="inlineStr">
        <is>
          <t>MVS Sec.13 p.35</t>
        </is>
      </c>
    </row>
    <row r="993">
      <c r="B993" t="inlineStr">
        <is>
          <t>Regional Shopping Centers</t>
        </is>
      </c>
      <c r="C993" t="inlineStr">
        <is>
          <t>414</t>
        </is>
      </c>
      <c r="D993" t="inlineStr">
        <is>
          <t>13</t>
        </is>
      </c>
      <c r="E993" t="inlineStr">
        <is>
          <t>35</t>
        </is>
      </c>
      <c r="F993" t="inlineStr">
        <is>
          <t>D</t>
        </is>
      </c>
      <c r="G993" t="inlineStr">
        <is>
          <t>Average</t>
        </is>
      </c>
      <c r="H993" t="n">
        <v>142</v>
      </c>
      <c r="I993">
        <f>B993&amp;"~"&amp;F993&amp;"~"&amp;G993</f>
        <v/>
      </c>
      <c r="J993" t="inlineStr">
        <is>
          <t>MVS Sec.13 p.35</t>
        </is>
      </c>
    </row>
    <row r="994">
      <c r="B994" t="inlineStr">
        <is>
          <t>Regional Shopping Centers</t>
        </is>
      </c>
      <c r="C994" t="inlineStr">
        <is>
          <t>414</t>
        </is>
      </c>
      <c r="D994" t="inlineStr">
        <is>
          <t>13</t>
        </is>
      </c>
      <c r="E994" t="inlineStr">
        <is>
          <t>35</t>
        </is>
      </c>
      <c r="F994" t="inlineStr">
        <is>
          <t>S</t>
        </is>
      </c>
      <c r="G994" t="inlineStr">
        <is>
          <t>Average</t>
        </is>
      </c>
      <c r="H994" t="n">
        <v>142</v>
      </c>
      <c r="I994">
        <f>B994&amp;"~"&amp;F994&amp;"~"&amp;G994</f>
        <v/>
      </c>
      <c r="J994" t="inlineStr">
        <is>
          <t>MVS Sec.13 p.35</t>
        </is>
      </c>
    </row>
    <row r="995">
      <c r="B995" t="inlineStr">
        <is>
          <t>Regional Shopping Center Shell Buildings</t>
        </is>
      </c>
      <c r="C995" t="inlineStr">
        <is>
          <t>462</t>
        </is>
      </c>
      <c r="D995" t="inlineStr">
        <is>
          <t>13</t>
        </is>
      </c>
      <c r="E995" t="inlineStr">
        <is>
          <t>37</t>
        </is>
      </c>
      <c r="F995" t="inlineStr">
        <is>
          <t>A-B</t>
        </is>
      </c>
      <c r="G995" t="inlineStr">
        <is>
          <t>Excellent</t>
        </is>
      </c>
      <c r="H995" t="n">
        <v>118</v>
      </c>
      <c r="I995">
        <f>B995&amp;"~"&amp;F995&amp;"~"&amp;G995</f>
        <v/>
      </c>
      <c r="J995" t="inlineStr">
        <is>
          <t>MVS Sec.13 p.37</t>
        </is>
      </c>
    </row>
    <row r="996">
      <c r="B996" t="inlineStr">
        <is>
          <t>Regional Shopping Center Shell Buildings</t>
        </is>
      </c>
      <c r="C996" t="inlineStr">
        <is>
          <t>462</t>
        </is>
      </c>
      <c r="D996" t="inlineStr">
        <is>
          <t>13</t>
        </is>
      </c>
      <c r="E996" t="inlineStr">
        <is>
          <t>37</t>
        </is>
      </c>
      <c r="F996" t="inlineStr">
        <is>
          <t>A-B</t>
        </is>
      </c>
      <c r="G996" t="inlineStr">
        <is>
          <t>Good</t>
        </is>
      </c>
      <c r="H996" t="n">
        <v>108</v>
      </c>
      <c r="I996">
        <f>B996&amp;"~"&amp;F996&amp;"~"&amp;G996</f>
        <v/>
      </c>
      <c r="J996" t="inlineStr">
        <is>
          <t>MVS Sec.13 p.37</t>
        </is>
      </c>
    </row>
    <row r="997">
      <c r="B997" t="inlineStr">
        <is>
          <t>Regional Shopping Center Shell Buildings</t>
        </is>
      </c>
      <c r="C997" t="inlineStr">
        <is>
          <t>462</t>
        </is>
      </c>
      <c r="D997" t="inlineStr">
        <is>
          <t>13</t>
        </is>
      </c>
      <c r="E997" t="inlineStr">
        <is>
          <t>37</t>
        </is>
      </c>
      <c r="F997" t="inlineStr">
        <is>
          <t>C</t>
        </is>
      </c>
      <c r="G997" t="inlineStr">
        <is>
          <t>Excellent</t>
        </is>
      </c>
      <c r="H997" t="n">
        <v>79</v>
      </c>
      <c r="I997">
        <f>B997&amp;"~"&amp;F997&amp;"~"&amp;G997</f>
        <v/>
      </c>
      <c r="J997" t="inlineStr">
        <is>
          <t>MVS Sec.13 p.37</t>
        </is>
      </c>
    </row>
    <row r="998">
      <c r="B998" t="inlineStr">
        <is>
          <t>Regional Shopping Center Shell Buildings</t>
        </is>
      </c>
      <c r="C998" t="inlineStr">
        <is>
          <t>462</t>
        </is>
      </c>
      <c r="D998" t="inlineStr">
        <is>
          <t>13</t>
        </is>
      </c>
      <c r="E998" t="inlineStr">
        <is>
          <t>37</t>
        </is>
      </c>
      <c r="F998" t="inlineStr">
        <is>
          <t>C</t>
        </is>
      </c>
      <c r="G998" t="inlineStr">
        <is>
          <t>Good</t>
        </is>
      </c>
      <c r="H998" t="n">
        <v>70</v>
      </c>
      <c r="I998">
        <f>B998&amp;"~"&amp;F998&amp;"~"&amp;G998</f>
        <v/>
      </c>
      <c r="J998" t="inlineStr">
        <is>
          <t>MVS Sec.13 p.37</t>
        </is>
      </c>
    </row>
    <row r="999">
      <c r="B999" t="inlineStr">
        <is>
          <t>Regional Shopping Center Shell Buildings</t>
        </is>
      </c>
      <c r="C999" t="inlineStr">
        <is>
          <t>462</t>
        </is>
      </c>
      <c r="D999" t="inlineStr">
        <is>
          <t>13</t>
        </is>
      </c>
      <c r="E999" t="inlineStr">
        <is>
          <t>37</t>
        </is>
      </c>
      <c r="F999" t="inlineStr">
        <is>
          <t>C</t>
        </is>
      </c>
      <c r="G999" t="inlineStr">
        <is>
          <t>Average</t>
        </is>
      </c>
      <c r="H999" t="n">
        <v>62</v>
      </c>
      <c r="I999">
        <f>B999&amp;"~"&amp;F999&amp;"~"&amp;G999</f>
        <v/>
      </c>
      <c r="J999" t="inlineStr">
        <is>
          <t>MVS Sec.13 p.37</t>
        </is>
      </c>
    </row>
    <row r="1000">
      <c r="B1000" t="inlineStr">
        <is>
          <t>Regional Shopping Center Shell Buildings</t>
        </is>
      </c>
      <c r="C1000" t="inlineStr">
        <is>
          <t>462</t>
        </is>
      </c>
      <c r="D1000" t="inlineStr">
        <is>
          <t>13</t>
        </is>
      </c>
      <c r="E1000" t="inlineStr">
        <is>
          <t>37</t>
        </is>
      </c>
      <c r="F1000" t="inlineStr">
        <is>
          <t>D</t>
        </is>
      </c>
      <c r="G1000" t="inlineStr">
        <is>
          <t>Good</t>
        </is>
      </c>
      <c r="H1000" t="n">
        <v>60</v>
      </c>
      <c r="I1000">
        <f>B1000&amp;"~"&amp;F1000&amp;"~"&amp;G1000</f>
        <v/>
      </c>
      <c r="J1000" t="inlineStr">
        <is>
          <t>MVS Sec.13 p.37</t>
        </is>
      </c>
    </row>
    <row r="1001">
      <c r="B1001" t="inlineStr">
        <is>
          <t>Regional Shopping Center Shell Buildings</t>
        </is>
      </c>
      <c r="C1001" t="inlineStr">
        <is>
          <t>462</t>
        </is>
      </c>
      <c r="D1001" t="inlineStr">
        <is>
          <t>13</t>
        </is>
      </c>
      <c r="E1001" t="inlineStr">
        <is>
          <t>37</t>
        </is>
      </c>
      <c r="F1001" t="inlineStr">
        <is>
          <t>D</t>
        </is>
      </c>
      <c r="G1001" t="inlineStr">
        <is>
          <t>Average</t>
        </is>
      </c>
      <c r="H1001" t="n">
        <v>53</v>
      </c>
      <c r="I1001">
        <f>B1001&amp;"~"&amp;F1001&amp;"~"&amp;G1001</f>
        <v/>
      </c>
      <c r="J1001" t="inlineStr">
        <is>
          <t>MVS Sec.13 p.37</t>
        </is>
      </c>
    </row>
    <row r="1002">
      <c r="B1002" t="inlineStr">
        <is>
          <t>Regional Shopping Center Shell Buildings</t>
        </is>
      </c>
      <c r="C1002" t="inlineStr">
        <is>
          <t>462</t>
        </is>
      </c>
      <c r="D1002" t="inlineStr">
        <is>
          <t>13</t>
        </is>
      </c>
      <c r="E1002" t="inlineStr">
        <is>
          <t>37</t>
        </is>
      </c>
      <c r="F1002" t="inlineStr">
        <is>
          <t>S</t>
        </is>
      </c>
      <c r="G1002" t="inlineStr">
        <is>
          <t>Average</t>
        </is>
      </c>
      <c r="H1002" t="n">
        <v>50.5</v>
      </c>
      <c r="I1002">
        <f>B1002&amp;"~"&amp;F1002&amp;"~"&amp;G1002</f>
        <v/>
      </c>
      <c r="J1002" t="inlineStr">
        <is>
          <t>MVS Sec.13 p.37</t>
        </is>
      </c>
    </row>
    <row r="1003">
      <c r="B1003" t="inlineStr">
        <is>
          <t>Community Shopping Center Shell Buildings</t>
        </is>
      </c>
      <c r="C1003" t="inlineStr">
        <is>
          <t>461</t>
        </is>
      </c>
      <c r="D1003" t="inlineStr">
        <is>
          <t>13</t>
        </is>
      </c>
      <c r="E1003" t="inlineStr">
        <is>
          <t>37</t>
        </is>
      </c>
      <c r="F1003" t="inlineStr">
        <is>
          <t>C</t>
        </is>
      </c>
      <c r="G1003" t="inlineStr">
        <is>
          <t>Excellent</t>
        </is>
      </c>
      <c r="H1003" t="n">
        <v>107</v>
      </c>
      <c r="I1003">
        <f>B1003&amp;"~"&amp;F1003&amp;"~"&amp;G1003</f>
        <v/>
      </c>
      <c r="J1003" t="inlineStr">
        <is>
          <t>MVS Sec.13 p.37</t>
        </is>
      </c>
    </row>
    <row r="1004">
      <c r="B1004" t="inlineStr">
        <is>
          <t>Community Shopping Center Shell Buildings</t>
        </is>
      </c>
      <c r="C1004" t="inlineStr">
        <is>
          <t>461</t>
        </is>
      </c>
      <c r="D1004" t="inlineStr">
        <is>
          <t>13</t>
        </is>
      </c>
      <c r="E1004" t="inlineStr">
        <is>
          <t>37</t>
        </is>
      </c>
      <c r="F1004" t="inlineStr">
        <is>
          <t>C</t>
        </is>
      </c>
      <c r="G1004" t="inlineStr">
        <is>
          <t>Good</t>
        </is>
      </c>
      <c r="H1004" t="n">
        <v>86</v>
      </c>
      <c r="I1004">
        <f>B1004&amp;"~"&amp;F1004&amp;"~"&amp;G1004</f>
        <v/>
      </c>
      <c r="J1004" t="inlineStr">
        <is>
          <t>MVS Sec.13 p.37</t>
        </is>
      </c>
    </row>
    <row r="1005">
      <c r="B1005" t="inlineStr">
        <is>
          <t>Community Shopping Center Shell Buildings</t>
        </is>
      </c>
      <c r="C1005" t="inlineStr">
        <is>
          <t>461</t>
        </is>
      </c>
      <c r="D1005" t="inlineStr">
        <is>
          <t>13</t>
        </is>
      </c>
      <c r="E1005" t="inlineStr">
        <is>
          <t>37</t>
        </is>
      </c>
      <c r="F1005" t="inlineStr">
        <is>
          <t>C</t>
        </is>
      </c>
      <c r="G1005" t="inlineStr">
        <is>
          <t>Average</t>
        </is>
      </c>
      <c r="H1005" t="n">
        <v>69</v>
      </c>
      <c r="I1005">
        <f>B1005&amp;"~"&amp;F1005&amp;"~"&amp;G1005</f>
        <v/>
      </c>
      <c r="J1005" t="inlineStr">
        <is>
          <t>MVS Sec.13 p.37</t>
        </is>
      </c>
    </row>
    <row r="1006">
      <c r="B1006" t="inlineStr">
        <is>
          <t>Community Shopping Center Shell Buildings</t>
        </is>
      </c>
      <c r="C1006" t="inlineStr">
        <is>
          <t>461</t>
        </is>
      </c>
      <c r="D1006" t="inlineStr">
        <is>
          <t>13</t>
        </is>
      </c>
      <c r="E1006" t="inlineStr">
        <is>
          <t>37</t>
        </is>
      </c>
      <c r="F1006" t="inlineStr">
        <is>
          <t>D</t>
        </is>
      </c>
      <c r="G1006" t="inlineStr">
        <is>
          <t>Excellent</t>
        </is>
      </c>
      <c r="H1006" t="n">
        <v>98</v>
      </c>
      <c r="I1006">
        <f>B1006&amp;"~"&amp;F1006&amp;"~"&amp;G1006</f>
        <v/>
      </c>
      <c r="J1006" t="inlineStr">
        <is>
          <t>MVS Sec.13 p.37</t>
        </is>
      </c>
    </row>
    <row r="1007">
      <c r="B1007" t="inlineStr">
        <is>
          <t>Community Shopping Center Shell Buildings</t>
        </is>
      </c>
      <c r="C1007" t="inlineStr">
        <is>
          <t>461</t>
        </is>
      </c>
      <c r="D1007" t="inlineStr">
        <is>
          <t>13</t>
        </is>
      </c>
      <c r="E1007" t="inlineStr">
        <is>
          <t>37</t>
        </is>
      </c>
      <c r="F1007" t="inlineStr">
        <is>
          <t>D</t>
        </is>
      </c>
      <c r="G1007" t="inlineStr">
        <is>
          <t>Good</t>
        </is>
      </c>
      <c r="H1007" t="n">
        <v>78</v>
      </c>
      <c r="I1007">
        <f>B1007&amp;"~"&amp;F1007&amp;"~"&amp;G1007</f>
        <v/>
      </c>
      <c r="J1007" t="inlineStr">
        <is>
          <t>MVS Sec.13 p.37</t>
        </is>
      </c>
    </row>
    <row r="1008">
      <c r="B1008" t="inlineStr">
        <is>
          <t>Community Shopping Center Shell Buildings</t>
        </is>
      </c>
      <c r="C1008" t="inlineStr">
        <is>
          <t>461</t>
        </is>
      </c>
      <c r="D1008" t="inlineStr">
        <is>
          <t>13</t>
        </is>
      </c>
      <c r="E1008" t="inlineStr">
        <is>
          <t>37</t>
        </is>
      </c>
      <c r="F1008" t="inlineStr">
        <is>
          <t>D</t>
        </is>
      </c>
      <c r="G1008" t="inlineStr">
        <is>
          <t>Average</t>
        </is>
      </c>
      <c r="H1008" t="n">
        <v>62</v>
      </c>
      <c r="I1008">
        <f>B1008&amp;"~"&amp;F1008&amp;"~"&amp;G1008</f>
        <v/>
      </c>
      <c r="J1008" t="inlineStr">
        <is>
          <t>MVS Sec.13 p.37</t>
        </is>
      </c>
    </row>
    <row r="1009">
      <c r="B1009" t="inlineStr">
        <is>
          <t>Community Shopping Center Shell Buildings</t>
        </is>
      </c>
      <c r="C1009" t="inlineStr">
        <is>
          <t>461</t>
        </is>
      </c>
      <c r="D1009" t="inlineStr">
        <is>
          <t>13</t>
        </is>
      </c>
      <c r="E1009" t="inlineStr">
        <is>
          <t>37</t>
        </is>
      </c>
      <c r="F1009" t="inlineStr">
        <is>
          <t>S</t>
        </is>
      </c>
      <c r="G1009" t="inlineStr">
        <is>
          <t>Average</t>
        </is>
      </c>
      <c r="H1009" t="n">
        <v>58</v>
      </c>
      <c r="I1009">
        <f>B1009&amp;"~"&amp;F1009&amp;"~"&amp;G1009</f>
        <v/>
      </c>
      <c r="J1009" t="inlineStr">
        <is>
          <t>MVS Sec.13 p.37</t>
        </is>
      </c>
    </row>
    <row r="1010">
      <c r="B1010" t="inlineStr">
        <is>
          <t>Neighborhood Shopping Center Shell Buildings</t>
        </is>
      </c>
      <c r="C1010" t="inlineStr">
        <is>
          <t>460</t>
        </is>
      </c>
      <c r="D1010" t="inlineStr">
        <is>
          <t>13</t>
        </is>
      </c>
      <c r="E1010" t="inlineStr">
        <is>
          <t>38</t>
        </is>
      </c>
      <c r="F1010" t="inlineStr">
        <is>
          <t>C</t>
        </is>
      </c>
      <c r="G1010" t="inlineStr">
        <is>
          <t>Good</t>
        </is>
      </c>
      <c r="H1010" t="n">
        <v>76</v>
      </c>
      <c r="I1010">
        <f>B1010&amp;"~"&amp;F1010&amp;"~"&amp;G1010</f>
        <v/>
      </c>
      <c r="J1010" t="inlineStr">
        <is>
          <t>MVS Sec.13 p.38</t>
        </is>
      </c>
    </row>
    <row r="1011">
      <c r="B1011" t="inlineStr">
        <is>
          <t>Neighborhood Shopping Center Shell Buildings</t>
        </is>
      </c>
      <c r="C1011" t="inlineStr">
        <is>
          <t>460</t>
        </is>
      </c>
      <c r="D1011" t="inlineStr">
        <is>
          <t>13</t>
        </is>
      </c>
      <c r="E1011" t="inlineStr">
        <is>
          <t>38</t>
        </is>
      </c>
      <c r="F1011" t="inlineStr">
        <is>
          <t>C</t>
        </is>
      </c>
      <c r="G1011" t="inlineStr">
        <is>
          <t>Average</t>
        </is>
      </c>
      <c r="H1011" t="n">
        <v>62</v>
      </c>
      <c r="I1011">
        <f>B1011&amp;"~"&amp;F1011&amp;"~"&amp;G1011</f>
        <v/>
      </c>
      <c r="J1011" t="inlineStr">
        <is>
          <t>MVS Sec.13 p.38</t>
        </is>
      </c>
    </row>
    <row r="1012">
      <c r="B1012" t="inlineStr">
        <is>
          <t>Neighborhood Shopping Center Shell Buildings</t>
        </is>
      </c>
      <c r="C1012" t="inlineStr">
        <is>
          <t>460</t>
        </is>
      </c>
      <c r="D1012" t="inlineStr">
        <is>
          <t>13</t>
        </is>
      </c>
      <c r="E1012" t="inlineStr">
        <is>
          <t>38</t>
        </is>
      </c>
      <c r="F1012" t="inlineStr">
        <is>
          <t>C</t>
        </is>
      </c>
      <c r="G1012" t="inlineStr">
        <is>
          <t>Low Cost</t>
        </is>
      </c>
      <c r="H1012" t="n">
        <v>50.5</v>
      </c>
      <c r="I1012">
        <f>B1012&amp;"~"&amp;F1012&amp;"~"&amp;G1012</f>
        <v/>
      </c>
      <c r="J1012" t="inlineStr">
        <is>
          <t>MVS Sec.13 p.38</t>
        </is>
      </c>
    </row>
    <row r="1013">
      <c r="B1013" t="inlineStr">
        <is>
          <t>Neighborhood Shopping Center Shell Buildings</t>
        </is>
      </c>
      <c r="C1013" t="inlineStr">
        <is>
          <t>460</t>
        </is>
      </c>
      <c r="D1013" t="inlineStr">
        <is>
          <t>13</t>
        </is>
      </c>
      <c r="E1013" t="inlineStr">
        <is>
          <t>38</t>
        </is>
      </c>
      <c r="F1013" t="inlineStr">
        <is>
          <t>C</t>
        </is>
      </c>
      <c r="G1013" t="inlineStr">
        <is>
          <t>Cheap</t>
        </is>
      </c>
      <c r="H1013" t="n">
        <v>37.25</v>
      </c>
      <c r="I1013">
        <f>B1013&amp;"~"&amp;F1013&amp;"~"&amp;G1013</f>
        <v/>
      </c>
      <c r="J1013" t="inlineStr">
        <is>
          <t>MVS Sec.13 p.38</t>
        </is>
      </c>
    </row>
    <row r="1014">
      <c r="B1014" t="inlineStr">
        <is>
          <t>Neighborhood Shopping Center Shell Buildings</t>
        </is>
      </c>
      <c r="C1014" t="inlineStr">
        <is>
          <t>460</t>
        </is>
      </c>
      <c r="D1014" t="inlineStr">
        <is>
          <t>13</t>
        </is>
      </c>
      <c r="E1014" t="inlineStr">
        <is>
          <t>38</t>
        </is>
      </c>
      <c r="F1014" t="inlineStr">
        <is>
          <t>D</t>
        </is>
      </c>
      <c r="G1014" t="inlineStr">
        <is>
          <t>Average</t>
        </is>
      </c>
      <c r="H1014" t="n">
        <v>55</v>
      </c>
      <c r="I1014">
        <f>B1014&amp;"~"&amp;F1014&amp;"~"&amp;G1014</f>
        <v/>
      </c>
      <c r="J1014" t="inlineStr">
        <is>
          <t>MVS Sec.13 p.38</t>
        </is>
      </c>
    </row>
    <row r="1015">
      <c r="B1015" t="inlineStr">
        <is>
          <t>Neighborhood Shopping Center Shell Buildings</t>
        </is>
      </c>
      <c r="C1015" t="inlineStr">
        <is>
          <t>460</t>
        </is>
      </c>
      <c r="D1015" t="inlineStr">
        <is>
          <t>13</t>
        </is>
      </c>
      <c r="E1015" t="inlineStr">
        <is>
          <t>38</t>
        </is>
      </c>
      <c r="F1015" t="inlineStr">
        <is>
          <t>D</t>
        </is>
      </c>
      <c r="G1015" t="inlineStr">
        <is>
          <t>Low Cost</t>
        </is>
      </c>
      <c r="H1015" t="n">
        <v>44.25</v>
      </c>
      <c r="I1015">
        <f>B1015&amp;"~"&amp;F1015&amp;"~"&amp;G1015</f>
        <v/>
      </c>
      <c r="J1015" t="inlineStr">
        <is>
          <t>MVS Sec.13 p.38</t>
        </is>
      </c>
    </row>
    <row r="1016">
      <c r="B1016" t="inlineStr">
        <is>
          <t>Neighborhood Shopping Center Shell Buildings</t>
        </is>
      </c>
      <c r="C1016" t="inlineStr">
        <is>
          <t>460</t>
        </is>
      </c>
      <c r="D1016" t="inlineStr">
        <is>
          <t>13</t>
        </is>
      </c>
      <c r="E1016" t="inlineStr">
        <is>
          <t>38</t>
        </is>
      </c>
      <c r="F1016" t="inlineStr">
        <is>
          <t>D</t>
        </is>
      </c>
      <c r="G1016" t="inlineStr">
        <is>
          <t>Cheap</t>
        </is>
      </c>
      <c r="H1016" t="n">
        <v>31.5</v>
      </c>
      <c r="I1016">
        <f>B1016&amp;"~"&amp;F1016&amp;"~"&amp;G1016</f>
        <v/>
      </c>
      <c r="J1016" t="inlineStr">
        <is>
          <t>MVS Sec.13 p.38</t>
        </is>
      </c>
    </row>
    <row r="1017">
      <c r="B1017" t="inlineStr">
        <is>
          <t>Neighborhood Shopping Center Shell Buildings</t>
        </is>
      </c>
      <c r="C1017" t="inlineStr">
        <is>
          <t>460</t>
        </is>
      </c>
      <c r="D1017" t="inlineStr">
        <is>
          <t>13</t>
        </is>
      </c>
      <c r="E1017" t="inlineStr">
        <is>
          <t>38</t>
        </is>
      </c>
      <c r="F1017" t="inlineStr">
        <is>
          <t>DPOLE</t>
        </is>
      </c>
      <c r="G1017" t="inlineStr">
        <is>
          <t>Low Cost</t>
        </is>
      </c>
      <c r="H1017" t="n">
        <v>38.5</v>
      </c>
      <c r="I1017">
        <f>B1017&amp;"~"&amp;F1017&amp;"~"&amp;G1017</f>
        <v/>
      </c>
      <c r="J1017" t="inlineStr">
        <is>
          <t>MVS Sec.13 p.38</t>
        </is>
      </c>
    </row>
    <row r="1018">
      <c r="B1018" t="inlineStr">
        <is>
          <t>Neighborhood Shopping Center Shell Buildings</t>
        </is>
      </c>
      <c r="C1018" t="inlineStr">
        <is>
          <t>460</t>
        </is>
      </c>
      <c r="D1018" t="inlineStr">
        <is>
          <t>13</t>
        </is>
      </c>
      <c r="E1018" t="inlineStr">
        <is>
          <t>38</t>
        </is>
      </c>
      <c r="F1018" t="inlineStr">
        <is>
          <t>DPOLE</t>
        </is>
      </c>
      <c r="G1018" t="inlineStr">
        <is>
          <t>Cheap</t>
        </is>
      </c>
      <c r="H1018" t="n">
        <v>25.5</v>
      </c>
      <c r="I1018">
        <f>B1018&amp;"~"&amp;F1018&amp;"~"&amp;G1018</f>
        <v/>
      </c>
      <c r="J1018" t="inlineStr">
        <is>
          <t>MVS Sec.13 p.38</t>
        </is>
      </c>
    </row>
    <row r="1019">
      <c r="B1019" t="inlineStr">
        <is>
          <t>Neighborhood Shopping Center Shell Buildings</t>
        </is>
      </c>
      <c r="C1019" t="inlineStr">
        <is>
          <t>460</t>
        </is>
      </c>
      <c r="D1019" t="inlineStr">
        <is>
          <t>13</t>
        </is>
      </c>
      <c r="E1019" t="inlineStr">
        <is>
          <t>38</t>
        </is>
      </c>
      <c r="F1019" t="inlineStr">
        <is>
          <t>S</t>
        </is>
      </c>
      <c r="G1019" t="inlineStr">
        <is>
          <t>Average</t>
        </is>
      </c>
      <c r="H1019" t="n">
        <v>51</v>
      </c>
      <c r="I1019">
        <f>B1019&amp;"~"&amp;F1019&amp;"~"&amp;G1019</f>
        <v/>
      </c>
      <c r="J1019" t="inlineStr">
        <is>
          <t>MVS Sec.13 p.38</t>
        </is>
      </c>
    </row>
    <row r="1020">
      <c r="B1020" t="inlineStr">
        <is>
          <t>Neighborhood Shopping Center Shell Buildings</t>
        </is>
      </c>
      <c r="C1020" t="inlineStr">
        <is>
          <t>460</t>
        </is>
      </c>
      <c r="D1020" t="inlineStr">
        <is>
          <t>13</t>
        </is>
      </c>
      <c r="E1020" t="inlineStr">
        <is>
          <t>38</t>
        </is>
      </c>
      <c r="F1020" t="inlineStr">
        <is>
          <t>S</t>
        </is>
      </c>
      <c r="G1020" t="inlineStr">
        <is>
          <t>Low Cost</t>
        </is>
      </c>
      <c r="H1020" t="n">
        <v>41.25</v>
      </c>
      <c r="I1020">
        <f>B1020&amp;"~"&amp;F1020&amp;"~"&amp;G1020</f>
        <v/>
      </c>
      <c r="J1020" t="inlineStr">
        <is>
          <t>MVS Sec.13 p.38</t>
        </is>
      </c>
    </row>
    <row r="1021">
      <c r="B1021" t="inlineStr">
        <is>
          <t>Neighborhood Shopping Center Shell Buildings</t>
        </is>
      </c>
      <c r="C1021" t="inlineStr">
        <is>
          <t>460</t>
        </is>
      </c>
      <c r="D1021" t="inlineStr">
        <is>
          <t>13</t>
        </is>
      </c>
      <c r="E1021" t="inlineStr">
        <is>
          <t>38</t>
        </is>
      </c>
      <c r="F1021" t="inlineStr">
        <is>
          <t>S</t>
        </is>
      </c>
      <c r="G1021" t="inlineStr">
        <is>
          <t>Cheap</t>
        </is>
      </c>
      <c r="H1021" t="n">
        <v>27.75</v>
      </c>
      <c r="I1021">
        <f>B1021&amp;"~"&amp;F1021&amp;"~"&amp;G1021</f>
        <v/>
      </c>
      <c r="J1021" t="inlineStr">
        <is>
          <t>MVS Sec.13 p.38</t>
        </is>
      </c>
    </row>
    <row r="1022">
      <c r="B1022" t="inlineStr">
        <is>
          <t>Lofts</t>
        </is>
      </c>
      <c r="C1022" t="inlineStr">
        <is>
          <t>338</t>
        </is>
      </c>
      <c r="D1022" t="inlineStr">
        <is>
          <t>14</t>
        </is>
      </c>
      <c r="E1022" t="inlineStr">
        <is>
          <t>13</t>
        </is>
      </c>
      <c r="F1022" t="inlineStr">
        <is>
          <t>A-B</t>
        </is>
      </c>
      <c r="G1022" t="inlineStr">
        <is>
          <t>Excellent</t>
        </is>
      </c>
      <c r="H1022" t="n">
        <v>228</v>
      </c>
      <c r="I1022">
        <f>B1022&amp;"~"&amp;F1022&amp;"~"&amp;G1022</f>
        <v/>
      </c>
      <c r="J1022" t="inlineStr">
        <is>
          <t>MVS Sec.14 p.13</t>
        </is>
      </c>
    </row>
    <row r="1023">
      <c r="B1023" t="inlineStr">
        <is>
          <t>Lofts</t>
        </is>
      </c>
      <c r="C1023" t="inlineStr">
        <is>
          <t>338</t>
        </is>
      </c>
      <c r="D1023" t="inlineStr">
        <is>
          <t>14</t>
        </is>
      </c>
      <c r="E1023" t="inlineStr">
        <is>
          <t>13</t>
        </is>
      </c>
      <c r="F1023" t="inlineStr">
        <is>
          <t>A-B</t>
        </is>
      </c>
      <c r="G1023" t="inlineStr">
        <is>
          <t>Good</t>
        </is>
      </c>
      <c r="H1023" t="n">
        <v>174</v>
      </c>
      <c r="I1023">
        <f>B1023&amp;"~"&amp;F1023&amp;"~"&amp;G1023</f>
        <v/>
      </c>
      <c r="J1023" t="inlineStr">
        <is>
          <t>MVS Sec.14 p.13</t>
        </is>
      </c>
    </row>
    <row r="1024">
      <c r="B1024" t="inlineStr">
        <is>
          <t>Lofts</t>
        </is>
      </c>
      <c r="C1024" t="inlineStr">
        <is>
          <t>338</t>
        </is>
      </c>
      <c r="D1024" t="inlineStr">
        <is>
          <t>14</t>
        </is>
      </c>
      <c r="E1024" t="inlineStr">
        <is>
          <t>13</t>
        </is>
      </c>
      <c r="F1024" t="inlineStr">
        <is>
          <t>A-B</t>
        </is>
      </c>
      <c r="G1024" t="inlineStr">
        <is>
          <t>Average</t>
        </is>
      </c>
      <c r="H1024" t="n">
        <v>135</v>
      </c>
      <c r="I1024">
        <f>B1024&amp;"~"&amp;F1024&amp;"~"&amp;G1024</f>
        <v/>
      </c>
      <c r="J1024" t="inlineStr">
        <is>
          <t>MVS Sec.14 p.13</t>
        </is>
      </c>
    </row>
    <row r="1025">
      <c r="B1025" t="inlineStr">
        <is>
          <t>Lofts</t>
        </is>
      </c>
      <c r="C1025" t="inlineStr">
        <is>
          <t>338</t>
        </is>
      </c>
      <c r="D1025" t="inlineStr">
        <is>
          <t>14</t>
        </is>
      </c>
      <c r="E1025" t="inlineStr">
        <is>
          <t>13</t>
        </is>
      </c>
      <c r="F1025" t="inlineStr">
        <is>
          <t>A-B</t>
        </is>
      </c>
      <c r="G1025" t="inlineStr">
        <is>
          <t>Low Cost</t>
        </is>
      </c>
      <c r="H1025" t="n">
        <v>106</v>
      </c>
      <c r="I1025">
        <f>B1025&amp;"~"&amp;F1025&amp;"~"&amp;G1025</f>
        <v/>
      </c>
      <c r="J1025" t="inlineStr">
        <is>
          <t>MVS Sec.14 p.13</t>
        </is>
      </c>
    </row>
    <row r="1026">
      <c r="B1026" t="inlineStr">
        <is>
          <t>Lofts</t>
        </is>
      </c>
      <c r="C1026" t="inlineStr">
        <is>
          <t>338</t>
        </is>
      </c>
      <c r="D1026" t="inlineStr">
        <is>
          <t>14</t>
        </is>
      </c>
      <c r="E1026" t="inlineStr">
        <is>
          <t>13</t>
        </is>
      </c>
      <c r="F1026" t="inlineStr">
        <is>
          <t>C</t>
        </is>
      </c>
      <c r="G1026" t="inlineStr">
        <is>
          <t>Good</t>
        </is>
      </c>
      <c r="H1026" t="n">
        <v>141</v>
      </c>
      <c r="I1026">
        <f>B1026&amp;"~"&amp;F1026&amp;"~"&amp;G1026</f>
        <v/>
      </c>
      <c r="J1026" t="inlineStr">
        <is>
          <t>MVS Sec.14 p.13</t>
        </is>
      </c>
    </row>
    <row r="1027">
      <c r="B1027" t="inlineStr">
        <is>
          <t>Lofts</t>
        </is>
      </c>
      <c r="C1027" t="inlineStr">
        <is>
          <t>338</t>
        </is>
      </c>
      <c r="D1027" t="inlineStr">
        <is>
          <t>14</t>
        </is>
      </c>
      <c r="E1027" t="inlineStr">
        <is>
          <t>13</t>
        </is>
      </c>
      <c r="F1027" t="inlineStr">
        <is>
          <t>C</t>
        </is>
      </c>
      <c r="G1027" t="inlineStr">
        <is>
          <t>Average</t>
        </is>
      </c>
      <c r="H1027" t="n">
        <v>102</v>
      </c>
      <c r="I1027">
        <f>B1027&amp;"~"&amp;F1027&amp;"~"&amp;G1027</f>
        <v/>
      </c>
      <c r="J1027" t="inlineStr">
        <is>
          <t>MVS Sec.14 p.13</t>
        </is>
      </c>
    </row>
    <row r="1028">
      <c r="B1028" t="inlineStr">
        <is>
          <t>Lofts</t>
        </is>
      </c>
      <c r="C1028" t="inlineStr">
        <is>
          <t>338</t>
        </is>
      </c>
      <c r="D1028" t="inlineStr">
        <is>
          <t>14</t>
        </is>
      </c>
      <c r="E1028" t="inlineStr">
        <is>
          <t>13</t>
        </is>
      </c>
      <c r="F1028" t="inlineStr">
        <is>
          <t>C</t>
        </is>
      </c>
      <c r="G1028" t="inlineStr">
        <is>
          <t>Low Cost</t>
        </is>
      </c>
      <c r="H1028" t="n">
        <v>69</v>
      </c>
      <c r="I1028">
        <f>B1028&amp;"~"&amp;F1028&amp;"~"&amp;G1028</f>
        <v/>
      </c>
      <c r="J1028" t="inlineStr">
        <is>
          <t>MVS Sec.14 p.13</t>
        </is>
      </c>
    </row>
    <row r="1029">
      <c r="B1029" t="inlineStr">
        <is>
          <t>Lofts</t>
        </is>
      </c>
      <c r="C1029" t="inlineStr">
        <is>
          <t>338</t>
        </is>
      </c>
      <c r="D1029" t="inlineStr">
        <is>
          <t>14</t>
        </is>
      </c>
      <c r="E1029" t="inlineStr">
        <is>
          <t>13</t>
        </is>
      </c>
      <c r="F1029" t="inlineStr">
        <is>
          <t>CMILL</t>
        </is>
      </c>
      <c r="G1029" t="inlineStr">
        <is>
          <t>Average</t>
        </is>
      </c>
      <c r="H1029" t="n">
        <v>128</v>
      </c>
      <c r="I1029">
        <f>B1029&amp;"~"&amp;F1029&amp;"~"&amp;G1029</f>
        <v/>
      </c>
      <c r="J1029" t="inlineStr">
        <is>
          <t>MVS Sec.14 p.13</t>
        </is>
      </c>
    </row>
    <row r="1030">
      <c r="B1030" t="inlineStr">
        <is>
          <t>Lofts</t>
        </is>
      </c>
      <c r="C1030" t="inlineStr">
        <is>
          <t>338</t>
        </is>
      </c>
      <c r="D1030" t="inlineStr">
        <is>
          <t>14</t>
        </is>
      </c>
      <c r="E1030" t="inlineStr">
        <is>
          <t>13</t>
        </is>
      </c>
      <c r="F1030" t="inlineStr">
        <is>
          <t>D</t>
        </is>
      </c>
      <c r="G1030" t="inlineStr">
        <is>
          <t>Average</t>
        </is>
      </c>
      <c r="H1030" t="n">
        <v>94.5</v>
      </c>
      <c r="I1030">
        <f>B1030&amp;"~"&amp;F1030&amp;"~"&amp;G1030</f>
        <v/>
      </c>
      <c r="J1030" t="inlineStr">
        <is>
          <t>MVS Sec.14 p.13</t>
        </is>
      </c>
    </row>
    <row r="1031">
      <c r="B1031" t="inlineStr">
        <is>
          <t>Lofts</t>
        </is>
      </c>
      <c r="C1031" t="inlineStr">
        <is>
          <t>338</t>
        </is>
      </c>
      <c r="D1031" t="inlineStr">
        <is>
          <t>14</t>
        </is>
      </c>
      <c r="E1031" t="inlineStr">
        <is>
          <t>13</t>
        </is>
      </c>
      <c r="F1031" t="inlineStr">
        <is>
          <t>D</t>
        </is>
      </c>
      <c r="G1031" t="inlineStr">
        <is>
          <t>Low Cost</t>
        </is>
      </c>
      <c r="H1031" t="n">
        <v>63.5</v>
      </c>
      <c r="I1031">
        <f>B1031&amp;"~"&amp;F1031&amp;"~"&amp;G1031</f>
        <v/>
      </c>
      <c r="J1031" t="inlineStr">
        <is>
          <t>MVS Sec.14 p.13</t>
        </is>
      </c>
    </row>
    <row r="1032">
      <c r="B1032" t="inlineStr">
        <is>
          <t>Lofts</t>
        </is>
      </c>
      <c r="C1032" t="inlineStr">
        <is>
          <t>338</t>
        </is>
      </c>
      <c r="D1032" t="inlineStr">
        <is>
          <t>14</t>
        </is>
      </c>
      <c r="E1032" t="inlineStr">
        <is>
          <t>13</t>
        </is>
      </c>
      <c r="F1032" t="inlineStr">
        <is>
          <t>S</t>
        </is>
      </c>
      <c r="G1032" t="inlineStr">
        <is>
          <t>Average</t>
        </is>
      </c>
      <c r="H1032" t="n">
        <v>96</v>
      </c>
      <c r="I1032">
        <f>B1032&amp;"~"&amp;F1032&amp;"~"&amp;G1032</f>
        <v/>
      </c>
      <c r="J1032" t="inlineStr">
        <is>
          <t>MVS Sec.14 p.13</t>
        </is>
      </c>
    </row>
    <row r="1033">
      <c r="B1033" t="inlineStr">
        <is>
          <t>Industrial Flex (Mall) Buildings</t>
        </is>
      </c>
      <c r="C1033" t="inlineStr">
        <is>
          <t>453</t>
        </is>
      </c>
      <c r="D1033" t="inlineStr">
        <is>
          <t>14</t>
        </is>
      </c>
      <c r="E1033" t="inlineStr">
        <is>
          <t>13</t>
        </is>
      </c>
      <c r="F1033" t="inlineStr">
        <is>
          <t>C</t>
        </is>
      </c>
      <c r="G1033" t="inlineStr">
        <is>
          <t>Good</t>
        </is>
      </c>
      <c r="H1033" t="n">
        <v>102</v>
      </c>
      <c r="I1033">
        <f>B1033&amp;"~"&amp;F1033&amp;"~"&amp;G1033</f>
        <v/>
      </c>
      <c r="J1033" t="inlineStr">
        <is>
          <t>MVS Sec.14 p.13</t>
        </is>
      </c>
    </row>
    <row r="1034">
      <c r="B1034" t="inlineStr">
        <is>
          <t>Industrial Flex (Mall) Buildings</t>
        </is>
      </c>
      <c r="C1034" t="inlineStr">
        <is>
          <t>453</t>
        </is>
      </c>
      <c r="D1034" t="inlineStr">
        <is>
          <t>14</t>
        </is>
      </c>
      <c r="E1034" t="inlineStr">
        <is>
          <t>13</t>
        </is>
      </c>
      <c r="F1034" t="inlineStr">
        <is>
          <t>C</t>
        </is>
      </c>
      <c r="G1034" t="inlineStr">
        <is>
          <t>Average</t>
        </is>
      </c>
      <c r="H1034" t="n">
        <v>72</v>
      </c>
      <c r="I1034">
        <f>B1034&amp;"~"&amp;F1034&amp;"~"&amp;G1034</f>
        <v/>
      </c>
      <c r="J1034" t="inlineStr">
        <is>
          <t>MVS Sec.14 p.13</t>
        </is>
      </c>
    </row>
    <row r="1035">
      <c r="B1035" t="inlineStr">
        <is>
          <t>Industrial Flex (Mall) Buildings</t>
        </is>
      </c>
      <c r="C1035" t="inlineStr">
        <is>
          <t>453</t>
        </is>
      </c>
      <c r="D1035" t="inlineStr">
        <is>
          <t>14</t>
        </is>
      </c>
      <c r="E1035" t="inlineStr">
        <is>
          <t>13</t>
        </is>
      </c>
      <c r="F1035" t="inlineStr">
        <is>
          <t>C</t>
        </is>
      </c>
      <c r="G1035" t="inlineStr">
        <is>
          <t>Low Cost</t>
        </is>
      </c>
      <c r="H1035" t="n">
        <v>51</v>
      </c>
      <c r="I1035">
        <f>B1035&amp;"~"&amp;F1035&amp;"~"&amp;G1035</f>
        <v/>
      </c>
      <c r="J1035" t="inlineStr">
        <is>
          <t>MVS Sec.14 p.13</t>
        </is>
      </c>
    </row>
    <row r="1036">
      <c r="B1036" t="inlineStr">
        <is>
          <t>Industrial Flex (Mall) Buildings</t>
        </is>
      </c>
      <c r="C1036" t="inlineStr">
        <is>
          <t>453</t>
        </is>
      </c>
      <c r="D1036" t="inlineStr">
        <is>
          <t>14</t>
        </is>
      </c>
      <c r="E1036" t="inlineStr">
        <is>
          <t>13</t>
        </is>
      </c>
      <c r="F1036" t="inlineStr">
        <is>
          <t>D</t>
        </is>
      </c>
      <c r="G1036" t="inlineStr">
        <is>
          <t>Average</t>
        </is>
      </c>
      <c r="H1036" t="n">
        <v>66.5</v>
      </c>
      <c r="I1036">
        <f>B1036&amp;"~"&amp;F1036&amp;"~"&amp;G1036</f>
        <v/>
      </c>
      <c r="J1036" t="inlineStr">
        <is>
          <t>MVS Sec.14 p.13</t>
        </is>
      </c>
    </row>
    <row r="1037">
      <c r="B1037" t="inlineStr">
        <is>
          <t>Industrial Flex (Mall) Buildings</t>
        </is>
      </c>
      <c r="C1037" t="inlineStr">
        <is>
          <t>453</t>
        </is>
      </c>
      <c r="D1037" t="inlineStr">
        <is>
          <t>14</t>
        </is>
      </c>
      <c r="E1037" t="inlineStr">
        <is>
          <t>13</t>
        </is>
      </c>
      <c r="F1037" t="inlineStr">
        <is>
          <t>D</t>
        </is>
      </c>
      <c r="G1037" t="inlineStr">
        <is>
          <t>Low Cost</t>
        </is>
      </c>
      <c r="H1037" t="n">
        <v>46.5</v>
      </c>
      <c r="I1037">
        <f>B1037&amp;"~"&amp;F1037&amp;"~"&amp;G1037</f>
        <v/>
      </c>
      <c r="J1037" t="inlineStr">
        <is>
          <t>MVS Sec.14 p.13</t>
        </is>
      </c>
    </row>
    <row r="1038">
      <c r="B1038" t="inlineStr">
        <is>
          <t>Industrial Flex (Mall) Buildings</t>
        </is>
      </c>
      <c r="C1038" t="inlineStr">
        <is>
          <t>453</t>
        </is>
      </c>
      <c r="D1038" t="inlineStr">
        <is>
          <t>14</t>
        </is>
      </c>
      <c r="E1038" t="inlineStr">
        <is>
          <t>13</t>
        </is>
      </c>
      <c r="F1038" t="inlineStr">
        <is>
          <t>DPOLE</t>
        </is>
      </c>
      <c r="G1038" t="inlineStr">
        <is>
          <t>Average</t>
        </is>
      </c>
      <c r="H1038" t="n">
        <v>62</v>
      </c>
      <c r="I1038">
        <f>B1038&amp;"~"&amp;F1038&amp;"~"&amp;G1038</f>
        <v/>
      </c>
      <c r="J1038" t="inlineStr">
        <is>
          <t>MVS Sec.14 p.13</t>
        </is>
      </c>
    </row>
    <row r="1039">
      <c r="B1039" t="inlineStr">
        <is>
          <t>Industrial Flex (Mall) Buildings</t>
        </is>
      </c>
      <c r="C1039" t="inlineStr">
        <is>
          <t>453</t>
        </is>
      </c>
      <c r="D1039" t="inlineStr">
        <is>
          <t>14</t>
        </is>
      </c>
      <c r="E1039" t="inlineStr">
        <is>
          <t>13</t>
        </is>
      </c>
      <c r="F1039" t="inlineStr">
        <is>
          <t>DPOLE</t>
        </is>
      </c>
      <c r="G1039" t="inlineStr">
        <is>
          <t>Low Cost</t>
        </is>
      </c>
      <c r="H1039" t="n">
        <v>43</v>
      </c>
      <c r="I1039">
        <f>B1039&amp;"~"&amp;F1039&amp;"~"&amp;G1039</f>
        <v/>
      </c>
      <c r="J1039" t="inlineStr">
        <is>
          <t>MVS Sec.14 p.13</t>
        </is>
      </c>
    </row>
    <row r="1040">
      <c r="B1040" t="inlineStr">
        <is>
          <t>Industrial Flex (Mall) Buildings</t>
        </is>
      </c>
      <c r="C1040" t="inlineStr">
        <is>
          <t>453</t>
        </is>
      </c>
      <c r="D1040" t="inlineStr">
        <is>
          <t>14</t>
        </is>
      </c>
      <c r="E1040" t="inlineStr">
        <is>
          <t>13</t>
        </is>
      </c>
      <c r="F1040" t="inlineStr">
        <is>
          <t>S</t>
        </is>
      </c>
      <c r="G1040" t="inlineStr">
        <is>
          <t>Good</t>
        </is>
      </c>
      <c r="H1040" t="n">
        <v>96.5</v>
      </c>
      <c r="I1040">
        <f>B1040&amp;"~"&amp;F1040&amp;"~"&amp;G1040</f>
        <v/>
      </c>
      <c r="J1040" t="inlineStr">
        <is>
          <t>MVS Sec.14 p.13</t>
        </is>
      </c>
    </row>
    <row r="1041">
      <c r="B1041" t="inlineStr">
        <is>
          <t>Industrial Flex (Mall) Buildings</t>
        </is>
      </c>
      <c r="C1041" t="inlineStr">
        <is>
          <t>453</t>
        </is>
      </c>
      <c r="D1041" t="inlineStr">
        <is>
          <t>14</t>
        </is>
      </c>
      <c r="E1041" t="inlineStr">
        <is>
          <t>13</t>
        </is>
      </c>
      <c r="F1041" t="inlineStr">
        <is>
          <t>S</t>
        </is>
      </c>
      <c r="G1041" t="inlineStr">
        <is>
          <t>Average</t>
        </is>
      </c>
      <c r="H1041" t="n">
        <v>67</v>
      </c>
      <c r="I1041">
        <f>B1041&amp;"~"&amp;F1041&amp;"~"&amp;G1041</f>
        <v/>
      </c>
      <c r="J1041" t="inlineStr">
        <is>
          <t>MVS Sec.14 p.13</t>
        </is>
      </c>
    </row>
    <row r="1042">
      <c r="B1042" t="inlineStr">
        <is>
          <t>Industrial Flex (Mall) Buildings</t>
        </is>
      </c>
      <c r="C1042" t="inlineStr">
        <is>
          <t>453</t>
        </is>
      </c>
      <c r="D1042" t="inlineStr">
        <is>
          <t>14</t>
        </is>
      </c>
      <c r="E1042" t="inlineStr">
        <is>
          <t>13</t>
        </is>
      </c>
      <c r="F1042" t="inlineStr">
        <is>
          <t>S</t>
        </is>
      </c>
      <c r="G1042" t="inlineStr">
        <is>
          <t>Low Cost</t>
        </is>
      </c>
      <c r="H1042" t="n">
        <v>46.25</v>
      </c>
      <c r="I1042">
        <f>B1042&amp;"~"&amp;F1042&amp;"~"&amp;G1042</f>
        <v/>
      </c>
      <c r="J1042" t="inlineStr">
        <is>
          <t>MVS Sec.14 p.13</t>
        </is>
      </c>
    </row>
    <row r="1043">
      <c r="B1043" t="inlineStr">
        <is>
          <t>Industrials, Light Manufacturing</t>
        </is>
      </c>
      <c r="C1043" t="inlineStr">
        <is>
          <t>494</t>
        </is>
      </c>
      <c r="D1043" t="inlineStr">
        <is>
          <t>14</t>
        </is>
      </c>
      <c r="E1043" t="inlineStr">
        <is>
          <t>14</t>
        </is>
      </c>
      <c r="F1043" t="inlineStr">
        <is>
          <t>A</t>
        </is>
      </c>
      <c r="G1043" t="inlineStr">
        <is>
          <t>Average</t>
        </is>
      </c>
      <c r="H1043" t="n">
        <v>122</v>
      </c>
      <c r="I1043">
        <f>B1043&amp;"~"&amp;F1043&amp;"~"&amp;G1043</f>
        <v/>
      </c>
      <c r="J1043" t="inlineStr">
        <is>
          <t>MVS Sec.14 p.14</t>
        </is>
      </c>
    </row>
    <row r="1044">
      <c r="B1044" t="inlineStr">
        <is>
          <t>Industrials, Light Manufacturing</t>
        </is>
      </c>
      <c r="C1044" t="inlineStr">
        <is>
          <t>494</t>
        </is>
      </c>
      <c r="D1044" t="inlineStr">
        <is>
          <t>14</t>
        </is>
      </c>
      <c r="E1044" t="inlineStr">
        <is>
          <t>14</t>
        </is>
      </c>
      <c r="F1044" t="inlineStr">
        <is>
          <t>A</t>
        </is>
      </c>
      <c r="G1044" t="inlineStr">
        <is>
          <t>Low Cost</t>
        </is>
      </c>
      <c r="H1044" t="n">
        <v>84.5</v>
      </c>
      <c r="I1044">
        <f>B1044&amp;"~"&amp;F1044&amp;"~"&amp;G1044</f>
        <v/>
      </c>
      <c r="J1044" t="inlineStr">
        <is>
          <t>MVS Sec.14 p.14</t>
        </is>
      </c>
    </row>
    <row r="1045">
      <c r="B1045" t="inlineStr">
        <is>
          <t>Industrials, Light Manufacturing</t>
        </is>
      </c>
      <c r="C1045" t="inlineStr">
        <is>
          <t>494</t>
        </is>
      </c>
      <c r="D1045" t="inlineStr">
        <is>
          <t>14</t>
        </is>
      </c>
      <c r="E1045" t="inlineStr">
        <is>
          <t>14</t>
        </is>
      </c>
      <c r="F1045" t="inlineStr">
        <is>
          <t>B</t>
        </is>
      </c>
      <c r="G1045" t="inlineStr">
        <is>
          <t>Average</t>
        </is>
      </c>
      <c r="H1045" t="n">
        <v>107</v>
      </c>
      <c r="I1045">
        <f>B1045&amp;"~"&amp;F1045&amp;"~"&amp;G1045</f>
        <v/>
      </c>
      <c r="J1045" t="inlineStr">
        <is>
          <t>MVS Sec.14 p.14</t>
        </is>
      </c>
    </row>
    <row r="1046">
      <c r="B1046" t="inlineStr">
        <is>
          <t>Industrials, Light Manufacturing</t>
        </is>
      </c>
      <c r="C1046" t="inlineStr">
        <is>
          <t>494</t>
        </is>
      </c>
      <c r="D1046" t="inlineStr">
        <is>
          <t>14</t>
        </is>
      </c>
      <c r="E1046" t="inlineStr">
        <is>
          <t>14</t>
        </is>
      </c>
      <c r="F1046" t="inlineStr">
        <is>
          <t>B</t>
        </is>
      </c>
      <c r="G1046" t="inlineStr">
        <is>
          <t>Low Cost</t>
        </is>
      </c>
      <c r="H1046" t="n">
        <v>74</v>
      </c>
      <c r="I1046">
        <f>B1046&amp;"~"&amp;F1046&amp;"~"&amp;G1046</f>
        <v/>
      </c>
      <c r="J1046" t="inlineStr">
        <is>
          <t>MVS Sec.14 p.14</t>
        </is>
      </c>
    </row>
    <row r="1047">
      <c r="B1047" t="inlineStr">
        <is>
          <t>Industrials, Light Manufacturing</t>
        </is>
      </c>
      <c r="C1047" t="inlineStr">
        <is>
          <t>494</t>
        </is>
      </c>
      <c r="D1047" t="inlineStr">
        <is>
          <t>14</t>
        </is>
      </c>
      <c r="E1047" t="inlineStr">
        <is>
          <t>14</t>
        </is>
      </c>
      <c r="F1047" t="inlineStr">
        <is>
          <t>C</t>
        </is>
      </c>
      <c r="G1047" t="inlineStr">
        <is>
          <t>Good</t>
        </is>
      </c>
      <c r="H1047" t="n">
        <v>100</v>
      </c>
      <c r="I1047">
        <f>B1047&amp;"~"&amp;F1047&amp;"~"&amp;G1047</f>
        <v/>
      </c>
      <c r="J1047" t="inlineStr">
        <is>
          <t>MVS Sec.14 p.14</t>
        </is>
      </c>
    </row>
    <row r="1048">
      <c r="B1048" t="inlineStr">
        <is>
          <t>Industrials, Light Manufacturing</t>
        </is>
      </c>
      <c r="C1048" t="inlineStr">
        <is>
          <t>494</t>
        </is>
      </c>
      <c r="D1048" t="inlineStr">
        <is>
          <t>14</t>
        </is>
      </c>
      <c r="E1048" t="inlineStr">
        <is>
          <t>14</t>
        </is>
      </c>
      <c r="F1048" t="inlineStr">
        <is>
          <t>C</t>
        </is>
      </c>
      <c r="G1048" t="inlineStr">
        <is>
          <t>Average</t>
        </is>
      </c>
      <c r="H1048" t="n">
        <v>72</v>
      </c>
      <c r="I1048">
        <f>B1048&amp;"~"&amp;F1048&amp;"~"&amp;G1048</f>
        <v/>
      </c>
      <c r="J1048" t="inlineStr">
        <is>
          <t>MVS Sec.14 p.14</t>
        </is>
      </c>
    </row>
    <row r="1049">
      <c r="B1049" t="inlineStr">
        <is>
          <t>Industrials, Light Manufacturing</t>
        </is>
      </c>
      <c r="C1049" t="inlineStr">
        <is>
          <t>494</t>
        </is>
      </c>
      <c r="D1049" t="inlineStr">
        <is>
          <t>14</t>
        </is>
      </c>
      <c r="E1049" t="inlineStr">
        <is>
          <t>14</t>
        </is>
      </c>
      <c r="F1049" t="inlineStr">
        <is>
          <t>C</t>
        </is>
      </c>
      <c r="G1049" t="inlineStr">
        <is>
          <t>Low Cost</t>
        </is>
      </c>
      <c r="H1049" t="n">
        <v>52.5</v>
      </c>
      <c r="I1049">
        <f>B1049&amp;"~"&amp;F1049&amp;"~"&amp;G1049</f>
        <v/>
      </c>
      <c r="J1049" t="inlineStr">
        <is>
          <t>MVS Sec.14 p.14</t>
        </is>
      </c>
    </row>
    <row r="1050">
      <c r="B1050" t="inlineStr">
        <is>
          <t>Industrials, Light Manufacturing</t>
        </is>
      </c>
      <c r="C1050" t="inlineStr">
        <is>
          <t>494</t>
        </is>
      </c>
      <c r="D1050" t="inlineStr">
        <is>
          <t>14</t>
        </is>
      </c>
      <c r="E1050" t="inlineStr">
        <is>
          <t>14</t>
        </is>
      </c>
      <c r="F1050" t="inlineStr">
        <is>
          <t>D</t>
        </is>
      </c>
      <c r="G1050" t="inlineStr">
        <is>
          <t>Good</t>
        </is>
      </c>
      <c r="H1050" t="n">
        <v>92</v>
      </c>
      <c r="I1050">
        <f>B1050&amp;"~"&amp;F1050&amp;"~"&amp;G1050</f>
        <v/>
      </c>
      <c r="J1050" t="inlineStr">
        <is>
          <t>MVS Sec.14 p.14</t>
        </is>
      </c>
    </row>
    <row r="1051">
      <c r="B1051" t="inlineStr">
        <is>
          <t>Industrials, Light Manufacturing</t>
        </is>
      </c>
      <c r="C1051" t="inlineStr">
        <is>
          <t>494</t>
        </is>
      </c>
      <c r="D1051" t="inlineStr">
        <is>
          <t>14</t>
        </is>
      </c>
      <c r="E1051" t="inlineStr">
        <is>
          <t>14</t>
        </is>
      </c>
      <c r="F1051" t="inlineStr">
        <is>
          <t>D</t>
        </is>
      </c>
      <c r="G1051" t="inlineStr">
        <is>
          <t>Average</t>
        </is>
      </c>
      <c r="H1051" t="n">
        <v>65.5</v>
      </c>
      <c r="I1051">
        <f>B1051&amp;"~"&amp;F1051&amp;"~"&amp;G1051</f>
        <v/>
      </c>
      <c r="J1051" t="inlineStr">
        <is>
          <t>MVS Sec.14 p.14</t>
        </is>
      </c>
    </row>
    <row r="1052">
      <c r="B1052" t="inlineStr">
        <is>
          <t>Industrials, Light Manufacturing</t>
        </is>
      </c>
      <c r="C1052" t="inlineStr">
        <is>
          <t>494</t>
        </is>
      </c>
      <c r="D1052" t="inlineStr">
        <is>
          <t>14</t>
        </is>
      </c>
      <c r="E1052" t="inlineStr">
        <is>
          <t>14</t>
        </is>
      </c>
      <c r="F1052" t="inlineStr">
        <is>
          <t>D</t>
        </is>
      </c>
      <c r="G1052" t="inlineStr">
        <is>
          <t>Low Cost</t>
        </is>
      </c>
      <c r="H1052" t="n">
        <v>47</v>
      </c>
      <c r="I1052">
        <f>B1052&amp;"~"&amp;F1052&amp;"~"&amp;G1052</f>
        <v/>
      </c>
      <c r="J1052" t="inlineStr">
        <is>
          <t>MVS Sec.14 p.14</t>
        </is>
      </c>
    </row>
    <row r="1053">
      <c r="B1053" t="inlineStr">
        <is>
          <t>Industrials, Light Manufacturing</t>
        </is>
      </c>
      <c r="C1053" t="inlineStr">
        <is>
          <t>494</t>
        </is>
      </c>
      <c r="D1053" t="inlineStr">
        <is>
          <t>14</t>
        </is>
      </c>
      <c r="E1053" t="inlineStr">
        <is>
          <t>14</t>
        </is>
      </c>
      <c r="F1053" t="inlineStr">
        <is>
          <t>DPOLE</t>
        </is>
      </c>
      <c r="G1053" t="inlineStr">
        <is>
          <t>Good</t>
        </is>
      </c>
      <c r="H1053" t="n">
        <v>84</v>
      </c>
      <c r="I1053">
        <f>B1053&amp;"~"&amp;F1053&amp;"~"&amp;G1053</f>
        <v/>
      </c>
      <c r="J1053" t="inlineStr">
        <is>
          <t>MVS Sec.14 p.14</t>
        </is>
      </c>
    </row>
    <row r="1054">
      <c r="B1054" t="inlineStr">
        <is>
          <t>Industrials, Light Manufacturing</t>
        </is>
      </c>
      <c r="C1054" t="inlineStr">
        <is>
          <t>494</t>
        </is>
      </c>
      <c r="D1054" t="inlineStr">
        <is>
          <t>14</t>
        </is>
      </c>
      <c r="E1054" t="inlineStr">
        <is>
          <t>14</t>
        </is>
      </c>
      <c r="F1054" t="inlineStr">
        <is>
          <t>DPOLE</t>
        </is>
      </c>
      <c r="G1054" t="inlineStr">
        <is>
          <t>Average</t>
        </is>
      </c>
      <c r="H1054" t="n">
        <v>60.5</v>
      </c>
      <c r="I1054">
        <f>B1054&amp;"~"&amp;F1054&amp;"~"&amp;G1054</f>
        <v/>
      </c>
      <c r="J1054" t="inlineStr">
        <is>
          <t>MVS Sec.14 p.14</t>
        </is>
      </c>
    </row>
    <row r="1055">
      <c r="B1055" t="inlineStr">
        <is>
          <t>Industrials, Light Manufacturing</t>
        </is>
      </c>
      <c r="C1055" t="inlineStr">
        <is>
          <t>494</t>
        </is>
      </c>
      <c r="D1055" t="inlineStr">
        <is>
          <t>14</t>
        </is>
      </c>
      <c r="E1055" t="inlineStr">
        <is>
          <t>14</t>
        </is>
      </c>
      <c r="F1055" t="inlineStr">
        <is>
          <t>DPOLE</t>
        </is>
      </c>
      <c r="G1055" t="inlineStr">
        <is>
          <t>Low Cost</t>
        </is>
      </c>
      <c r="H1055" t="n">
        <v>43.5</v>
      </c>
      <c r="I1055">
        <f>B1055&amp;"~"&amp;F1055&amp;"~"&amp;G1055</f>
        <v/>
      </c>
      <c r="J1055" t="inlineStr">
        <is>
          <t>MVS Sec.14 p.14</t>
        </is>
      </c>
    </row>
    <row r="1056">
      <c r="B1056" t="inlineStr">
        <is>
          <t>Industrials, Light Manufacturing</t>
        </is>
      </c>
      <c r="C1056" t="inlineStr">
        <is>
          <t>494</t>
        </is>
      </c>
      <c r="D1056" t="inlineStr">
        <is>
          <t>14</t>
        </is>
      </c>
      <c r="E1056" t="inlineStr">
        <is>
          <t>14</t>
        </is>
      </c>
      <c r="F1056" t="inlineStr">
        <is>
          <t>S</t>
        </is>
      </c>
      <c r="G1056" t="inlineStr">
        <is>
          <t>Good</t>
        </is>
      </c>
      <c r="H1056" t="n">
        <v>93</v>
      </c>
      <c r="I1056">
        <f>B1056&amp;"~"&amp;F1056&amp;"~"&amp;G1056</f>
        <v/>
      </c>
      <c r="J1056" t="inlineStr">
        <is>
          <t>MVS Sec.14 p.14</t>
        </is>
      </c>
    </row>
    <row r="1057">
      <c r="B1057" t="inlineStr">
        <is>
          <t>Industrials, Light Manufacturing</t>
        </is>
      </c>
      <c r="C1057" t="inlineStr">
        <is>
          <t>494</t>
        </is>
      </c>
      <c r="D1057" t="inlineStr">
        <is>
          <t>14</t>
        </is>
      </c>
      <c r="E1057" t="inlineStr">
        <is>
          <t>14</t>
        </is>
      </c>
      <c r="F1057" t="inlineStr">
        <is>
          <t>S</t>
        </is>
      </c>
      <c r="G1057" t="inlineStr">
        <is>
          <t>Average</t>
        </is>
      </c>
      <c r="H1057" t="n">
        <v>66</v>
      </c>
      <c r="I1057">
        <f>B1057&amp;"~"&amp;F1057&amp;"~"&amp;G1057</f>
        <v/>
      </c>
      <c r="J1057" t="inlineStr">
        <is>
          <t>MVS Sec.14 p.14</t>
        </is>
      </c>
    </row>
    <row r="1058">
      <c r="B1058" t="inlineStr">
        <is>
          <t>Industrials, Light Manufacturing</t>
        </is>
      </c>
      <c r="C1058" t="inlineStr">
        <is>
          <t>494</t>
        </is>
      </c>
      <c r="D1058" t="inlineStr">
        <is>
          <t>14</t>
        </is>
      </c>
      <c r="E1058" t="inlineStr">
        <is>
          <t>14</t>
        </is>
      </c>
      <c r="F1058" t="inlineStr">
        <is>
          <t>S</t>
        </is>
      </c>
      <c r="G1058" t="inlineStr">
        <is>
          <t>Low Cost</t>
        </is>
      </c>
      <c r="H1058" t="n">
        <v>46.75</v>
      </c>
      <c r="I1058">
        <f>B1058&amp;"~"&amp;F1058&amp;"~"&amp;G1058</f>
        <v/>
      </c>
      <c r="J1058" t="inlineStr">
        <is>
          <t>MVS Sec.14 p.14</t>
        </is>
      </c>
    </row>
    <row r="1059">
      <c r="B1059" t="inlineStr">
        <is>
          <t>Industrials, Heavy (Process) Manufacturing</t>
        </is>
      </c>
      <c r="C1059" t="inlineStr">
        <is>
          <t>495</t>
        </is>
      </c>
      <c r="D1059" t="inlineStr">
        <is>
          <t>14</t>
        </is>
      </c>
      <c r="E1059" t="inlineStr">
        <is>
          <t>15</t>
        </is>
      </c>
      <c r="F1059" t="inlineStr">
        <is>
          <t>A</t>
        </is>
      </c>
      <c r="G1059" t="inlineStr">
        <is>
          <t>Excellent</t>
        </is>
      </c>
      <c r="H1059" t="n">
        <v>376</v>
      </c>
      <c r="I1059">
        <f>B1059&amp;"~"&amp;F1059&amp;"~"&amp;G1059</f>
        <v/>
      </c>
      <c r="J1059" t="inlineStr">
        <is>
          <t>MVS Sec.14 p.15</t>
        </is>
      </c>
    </row>
    <row r="1060">
      <c r="B1060" t="inlineStr">
        <is>
          <t>Industrials, Heavy (Process) Manufacturing</t>
        </is>
      </c>
      <c r="C1060" t="inlineStr">
        <is>
          <t>495</t>
        </is>
      </c>
      <c r="D1060" t="inlineStr">
        <is>
          <t>14</t>
        </is>
      </c>
      <c r="E1060" t="inlineStr">
        <is>
          <t>15</t>
        </is>
      </c>
      <c r="F1060" t="inlineStr">
        <is>
          <t>A</t>
        </is>
      </c>
      <c r="G1060" t="inlineStr">
        <is>
          <t>Good</t>
        </is>
      </c>
      <c r="H1060" t="n">
        <v>302</v>
      </c>
      <c r="I1060">
        <f>B1060&amp;"~"&amp;F1060&amp;"~"&amp;G1060</f>
        <v/>
      </c>
      <c r="J1060" t="inlineStr">
        <is>
          <t>MVS Sec.14 p.15</t>
        </is>
      </c>
    </row>
    <row r="1061">
      <c r="B1061" t="inlineStr">
        <is>
          <t>Industrials, Heavy (Process) Manufacturing</t>
        </is>
      </c>
      <c r="C1061" t="inlineStr">
        <is>
          <t>495</t>
        </is>
      </c>
      <c r="D1061" t="inlineStr">
        <is>
          <t>14</t>
        </is>
      </c>
      <c r="E1061" t="inlineStr">
        <is>
          <t>15</t>
        </is>
      </c>
      <c r="F1061" t="inlineStr">
        <is>
          <t>A</t>
        </is>
      </c>
      <c r="G1061" t="inlineStr">
        <is>
          <t>Average</t>
        </is>
      </c>
      <c r="H1061" t="n">
        <v>232</v>
      </c>
      <c r="I1061">
        <f>B1061&amp;"~"&amp;F1061&amp;"~"&amp;G1061</f>
        <v/>
      </c>
      <c r="J1061" t="inlineStr">
        <is>
          <t>MVS Sec.14 p.15</t>
        </is>
      </c>
    </row>
    <row r="1062">
      <c r="B1062" t="inlineStr">
        <is>
          <t>Industrials, Heavy (Process) Manufacturing</t>
        </is>
      </c>
      <c r="C1062" t="inlineStr">
        <is>
          <t>495</t>
        </is>
      </c>
      <c r="D1062" t="inlineStr">
        <is>
          <t>14</t>
        </is>
      </c>
      <c r="E1062" t="inlineStr">
        <is>
          <t>15</t>
        </is>
      </c>
      <c r="F1062" t="inlineStr">
        <is>
          <t>A</t>
        </is>
      </c>
      <c r="G1062" t="inlineStr">
        <is>
          <t>Low Cost</t>
        </is>
      </c>
      <c r="H1062" t="n">
        <v>180</v>
      </c>
      <c r="I1062">
        <f>B1062&amp;"~"&amp;F1062&amp;"~"&amp;G1062</f>
        <v/>
      </c>
      <c r="J1062" t="inlineStr">
        <is>
          <t>MVS Sec.14 p.15</t>
        </is>
      </c>
    </row>
    <row r="1063">
      <c r="B1063" t="inlineStr">
        <is>
          <t>Industrials, Heavy (Process) Manufacturing</t>
        </is>
      </c>
      <c r="C1063" t="inlineStr">
        <is>
          <t>495</t>
        </is>
      </c>
      <c r="D1063" t="inlineStr">
        <is>
          <t>14</t>
        </is>
      </c>
      <c r="E1063" t="inlineStr">
        <is>
          <t>15</t>
        </is>
      </c>
      <c r="F1063" t="inlineStr">
        <is>
          <t>B</t>
        </is>
      </c>
      <c r="G1063" t="inlineStr">
        <is>
          <t>Excellent</t>
        </is>
      </c>
      <c r="H1063" t="n">
        <v>339</v>
      </c>
      <c r="I1063">
        <f>B1063&amp;"~"&amp;F1063&amp;"~"&amp;G1063</f>
        <v/>
      </c>
      <c r="J1063" t="inlineStr">
        <is>
          <t>MVS Sec.14 p.15</t>
        </is>
      </c>
    </row>
    <row r="1064">
      <c r="B1064" t="inlineStr">
        <is>
          <t>Industrials, Heavy (Process) Manufacturing</t>
        </is>
      </c>
      <c r="C1064" t="inlineStr">
        <is>
          <t>495</t>
        </is>
      </c>
      <c r="D1064" t="inlineStr">
        <is>
          <t>14</t>
        </is>
      </c>
      <c r="E1064" t="inlineStr">
        <is>
          <t>15</t>
        </is>
      </c>
      <c r="F1064" t="inlineStr">
        <is>
          <t>B</t>
        </is>
      </c>
      <c r="G1064" t="inlineStr">
        <is>
          <t>Good</t>
        </is>
      </c>
      <c r="H1064" t="n">
        <v>272</v>
      </c>
      <c r="I1064">
        <f>B1064&amp;"~"&amp;F1064&amp;"~"&amp;G1064</f>
        <v/>
      </c>
      <c r="J1064" t="inlineStr">
        <is>
          <t>MVS Sec.14 p.15</t>
        </is>
      </c>
    </row>
    <row r="1065">
      <c r="B1065" t="inlineStr">
        <is>
          <t>Industrials, Heavy (Process) Manufacturing</t>
        </is>
      </c>
      <c r="C1065" t="inlineStr">
        <is>
          <t>495</t>
        </is>
      </c>
      <c r="D1065" t="inlineStr">
        <is>
          <t>14</t>
        </is>
      </c>
      <c r="E1065" t="inlineStr">
        <is>
          <t>15</t>
        </is>
      </c>
      <c r="F1065" t="inlineStr">
        <is>
          <t>B</t>
        </is>
      </c>
      <c r="G1065" t="inlineStr">
        <is>
          <t>Average</t>
        </is>
      </c>
      <c r="H1065" t="n">
        <v>208</v>
      </c>
      <c r="I1065">
        <f>B1065&amp;"~"&amp;F1065&amp;"~"&amp;G1065</f>
        <v/>
      </c>
      <c r="J1065" t="inlineStr">
        <is>
          <t>MVS Sec.14 p.15</t>
        </is>
      </c>
    </row>
    <row r="1066">
      <c r="B1066" t="inlineStr">
        <is>
          <t>Industrials, Heavy (Process) Manufacturing</t>
        </is>
      </c>
      <c r="C1066" t="inlineStr">
        <is>
          <t>495</t>
        </is>
      </c>
      <c r="D1066" t="inlineStr">
        <is>
          <t>14</t>
        </is>
      </c>
      <c r="E1066" t="inlineStr">
        <is>
          <t>15</t>
        </is>
      </c>
      <c r="F1066" t="inlineStr">
        <is>
          <t>B</t>
        </is>
      </c>
      <c r="G1066" t="inlineStr">
        <is>
          <t>Low Cost</t>
        </is>
      </c>
      <c r="H1066" t="n">
        <v>161</v>
      </c>
      <c r="I1066">
        <f>B1066&amp;"~"&amp;F1066&amp;"~"&amp;G1066</f>
        <v/>
      </c>
      <c r="J1066" t="inlineStr">
        <is>
          <t>MVS Sec.14 p.15</t>
        </is>
      </c>
    </row>
    <row r="1067">
      <c r="B1067" t="inlineStr">
        <is>
          <t>Industrials, Heavy (Process) Manufacturing</t>
        </is>
      </c>
      <c r="C1067" t="inlineStr">
        <is>
          <t>495</t>
        </is>
      </c>
      <c r="D1067" t="inlineStr">
        <is>
          <t>14</t>
        </is>
      </c>
      <c r="E1067" t="inlineStr">
        <is>
          <t>15</t>
        </is>
      </c>
      <c r="F1067" t="inlineStr">
        <is>
          <t>C</t>
        </is>
      </c>
      <c r="G1067" t="inlineStr">
        <is>
          <t>Good</t>
        </is>
      </c>
      <c r="H1067" t="n">
        <v>217</v>
      </c>
      <c r="I1067">
        <f>B1067&amp;"~"&amp;F1067&amp;"~"&amp;G1067</f>
        <v/>
      </c>
      <c r="J1067" t="inlineStr">
        <is>
          <t>MVS Sec.14 p.15</t>
        </is>
      </c>
    </row>
    <row r="1068">
      <c r="B1068" t="inlineStr">
        <is>
          <t>Industrials, Heavy (Process) Manufacturing</t>
        </is>
      </c>
      <c r="C1068" t="inlineStr">
        <is>
          <t>495</t>
        </is>
      </c>
      <c r="D1068" t="inlineStr">
        <is>
          <t>14</t>
        </is>
      </c>
      <c r="E1068" t="inlineStr">
        <is>
          <t>15</t>
        </is>
      </c>
      <c r="F1068" t="inlineStr">
        <is>
          <t>C</t>
        </is>
      </c>
      <c r="G1068" t="inlineStr">
        <is>
          <t>Average</t>
        </is>
      </c>
      <c r="H1068" t="n">
        <v>162</v>
      </c>
      <c r="I1068">
        <f>B1068&amp;"~"&amp;F1068&amp;"~"&amp;G1068</f>
        <v/>
      </c>
      <c r="J1068" t="inlineStr">
        <is>
          <t>MVS Sec.14 p.15</t>
        </is>
      </c>
    </row>
    <row r="1069">
      <c r="B1069" t="inlineStr">
        <is>
          <t>Industrials, Heavy (Process) Manufacturing</t>
        </is>
      </c>
      <c r="C1069" t="inlineStr">
        <is>
          <t>495</t>
        </is>
      </c>
      <c r="D1069" t="inlineStr">
        <is>
          <t>14</t>
        </is>
      </c>
      <c r="E1069" t="inlineStr">
        <is>
          <t>15</t>
        </is>
      </c>
      <c r="F1069" t="inlineStr">
        <is>
          <t>C</t>
        </is>
      </c>
      <c r="G1069" t="inlineStr">
        <is>
          <t>Low Cost</t>
        </is>
      </c>
      <c r="H1069" t="n">
        <v>117</v>
      </c>
      <c r="I1069">
        <f>B1069&amp;"~"&amp;F1069&amp;"~"&amp;G1069</f>
        <v/>
      </c>
      <c r="J1069" t="inlineStr">
        <is>
          <t>MVS Sec.14 p.15</t>
        </is>
      </c>
    </row>
    <row r="1070">
      <c r="B1070" t="inlineStr">
        <is>
          <t>Industrials, Heavy (Process) Manufacturing</t>
        </is>
      </c>
      <c r="C1070" t="inlineStr">
        <is>
          <t>495</t>
        </is>
      </c>
      <c r="D1070" t="inlineStr">
        <is>
          <t>14</t>
        </is>
      </c>
      <c r="E1070" t="inlineStr">
        <is>
          <t>15</t>
        </is>
      </c>
      <c r="F1070" t="inlineStr">
        <is>
          <t>CMILL</t>
        </is>
      </c>
      <c r="G1070" t="inlineStr">
        <is>
          <t>Good</t>
        </is>
      </c>
      <c r="H1070" t="n">
        <v>139</v>
      </c>
      <c r="I1070">
        <f>B1070&amp;"~"&amp;F1070&amp;"~"&amp;G1070</f>
        <v/>
      </c>
      <c r="J1070" t="inlineStr">
        <is>
          <t>MVS Sec.14 p.15</t>
        </is>
      </c>
    </row>
    <row r="1071">
      <c r="B1071" t="inlineStr">
        <is>
          <t>Industrials, Heavy (Process) Manufacturing</t>
        </is>
      </c>
      <c r="C1071" t="inlineStr">
        <is>
          <t>495</t>
        </is>
      </c>
      <c r="D1071" t="inlineStr">
        <is>
          <t>14</t>
        </is>
      </c>
      <c r="E1071" t="inlineStr">
        <is>
          <t>15</t>
        </is>
      </c>
      <c r="F1071" t="inlineStr">
        <is>
          <t>CMILL</t>
        </is>
      </c>
      <c r="G1071" t="inlineStr">
        <is>
          <t>Average</t>
        </is>
      </c>
      <c r="H1071" t="n">
        <v>106</v>
      </c>
      <c r="I1071">
        <f>B1071&amp;"~"&amp;F1071&amp;"~"&amp;G1071</f>
        <v/>
      </c>
      <c r="J1071" t="inlineStr">
        <is>
          <t>MVS Sec.14 p.15</t>
        </is>
      </c>
    </row>
    <row r="1072">
      <c r="B1072" t="inlineStr">
        <is>
          <t>Industrials, Heavy (Process) Manufacturing</t>
        </is>
      </c>
      <c r="C1072" t="inlineStr">
        <is>
          <t>495</t>
        </is>
      </c>
      <c r="D1072" t="inlineStr">
        <is>
          <t>14</t>
        </is>
      </c>
      <c r="E1072" t="inlineStr">
        <is>
          <t>15</t>
        </is>
      </c>
      <c r="F1072" t="inlineStr">
        <is>
          <t>D</t>
        </is>
      </c>
      <c r="G1072" t="inlineStr">
        <is>
          <t>Average</t>
        </is>
      </c>
      <c r="H1072" t="n">
        <v>144</v>
      </c>
      <c r="I1072">
        <f>B1072&amp;"~"&amp;F1072&amp;"~"&amp;G1072</f>
        <v/>
      </c>
      <c r="J1072" t="inlineStr">
        <is>
          <t>MVS Sec.14 p.15</t>
        </is>
      </c>
    </row>
    <row r="1073">
      <c r="B1073" t="inlineStr">
        <is>
          <t>Industrials, Heavy (Process) Manufacturing</t>
        </is>
      </c>
      <c r="C1073" t="inlineStr">
        <is>
          <t>495</t>
        </is>
      </c>
      <c r="D1073" t="inlineStr">
        <is>
          <t>14</t>
        </is>
      </c>
      <c r="E1073" t="inlineStr">
        <is>
          <t>15</t>
        </is>
      </c>
      <c r="F1073" t="inlineStr">
        <is>
          <t>D</t>
        </is>
      </c>
      <c r="G1073" t="inlineStr">
        <is>
          <t>Low Cost</t>
        </is>
      </c>
      <c r="H1073" t="n">
        <v>111</v>
      </c>
      <c r="I1073">
        <f>B1073&amp;"~"&amp;F1073&amp;"~"&amp;G1073</f>
        <v/>
      </c>
      <c r="J1073" t="inlineStr">
        <is>
          <t>MVS Sec.14 p.15</t>
        </is>
      </c>
    </row>
    <row r="1074">
      <c r="B1074" t="inlineStr">
        <is>
          <t>Industrials, Heavy (Process) Manufacturing</t>
        </is>
      </c>
      <c r="C1074" t="inlineStr">
        <is>
          <t>495</t>
        </is>
      </c>
      <c r="D1074" t="inlineStr">
        <is>
          <t>14</t>
        </is>
      </c>
      <c r="E1074" t="inlineStr">
        <is>
          <t>15</t>
        </is>
      </c>
      <c r="F1074" t="inlineStr">
        <is>
          <t>S</t>
        </is>
      </c>
      <c r="G1074" t="inlineStr">
        <is>
          <t>Good</t>
        </is>
      </c>
      <c r="H1074" t="n">
        <v>209</v>
      </c>
      <c r="I1074">
        <f>B1074&amp;"~"&amp;F1074&amp;"~"&amp;G1074</f>
        <v/>
      </c>
      <c r="J1074" t="inlineStr">
        <is>
          <t>MVS Sec.14 p.15</t>
        </is>
      </c>
    </row>
    <row r="1075">
      <c r="B1075" t="inlineStr">
        <is>
          <t>Industrials, Heavy (Process) Manufacturing</t>
        </is>
      </c>
      <c r="C1075" t="inlineStr">
        <is>
          <t>495</t>
        </is>
      </c>
      <c r="D1075" t="inlineStr">
        <is>
          <t>14</t>
        </is>
      </c>
      <c r="E1075" t="inlineStr">
        <is>
          <t>15</t>
        </is>
      </c>
      <c r="F1075" t="inlineStr">
        <is>
          <t>S</t>
        </is>
      </c>
      <c r="G1075" t="inlineStr">
        <is>
          <t>Average</t>
        </is>
      </c>
      <c r="H1075" t="n">
        <v>149</v>
      </c>
      <c r="I1075">
        <f>B1075&amp;"~"&amp;F1075&amp;"~"&amp;G1075</f>
        <v/>
      </c>
      <c r="J1075" t="inlineStr">
        <is>
          <t>MVS Sec.14 p.15</t>
        </is>
      </c>
    </row>
    <row r="1076">
      <c r="B1076" t="inlineStr">
        <is>
          <t>Industrials, Heavy (Process) Manufacturing</t>
        </is>
      </c>
      <c r="C1076" t="inlineStr">
        <is>
          <t>495</t>
        </is>
      </c>
      <c r="D1076" t="inlineStr">
        <is>
          <t>14</t>
        </is>
      </c>
      <c r="E1076" t="inlineStr">
        <is>
          <t>15</t>
        </is>
      </c>
      <c r="F1076" t="inlineStr">
        <is>
          <t>S</t>
        </is>
      </c>
      <c r="G1076" t="inlineStr">
        <is>
          <t>Low Cost</t>
        </is>
      </c>
      <c r="H1076" t="n">
        <v>113</v>
      </c>
      <c r="I1076">
        <f>B1076&amp;"~"&amp;F1076&amp;"~"&amp;G1076</f>
        <v/>
      </c>
      <c r="J1076" t="inlineStr">
        <is>
          <t>MVS Sec.14 p.15</t>
        </is>
      </c>
    </row>
    <row r="1077">
      <c r="B1077" t="inlineStr">
        <is>
          <t>Industrial, Engineering (R&amp;D) Buildings</t>
        </is>
      </c>
      <c r="C1077" t="inlineStr">
        <is>
          <t>392</t>
        </is>
      </c>
      <c r="D1077" t="inlineStr">
        <is>
          <t>14</t>
        </is>
      </c>
      <c r="E1077" t="inlineStr">
        <is>
          <t>16</t>
        </is>
      </c>
      <c r="F1077" t="inlineStr">
        <is>
          <t>A</t>
        </is>
      </c>
      <c r="G1077" t="inlineStr">
        <is>
          <t>Excellent</t>
        </is>
      </c>
      <c r="H1077" t="n">
        <v>278</v>
      </c>
      <c r="I1077">
        <f>B1077&amp;"~"&amp;F1077&amp;"~"&amp;G1077</f>
        <v/>
      </c>
      <c r="J1077" t="inlineStr">
        <is>
          <t>MVS Sec.14 p.16</t>
        </is>
      </c>
    </row>
    <row r="1078">
      <c r="B1078" t="inlineStr">
        <is>
          <t>Industrial, Engineering (R&amp;D) Buildings</t>
        </is>
      </c>
      <c r="C1078" t="inlineStr">
        <is>
          <t>392</t>
        </is>
      </c>
      <c r="D1078" t="inlineStr">
        <is>
          <t>14</t>
        </is>
      </c>
      <c r="E1078" t="inlineStr">
        <is>
          <t>16</t>
        </is>
      </c>
      <c r="F1078" t="inlineStr">
        <is>
          <t>A</t>
        </is>
      </c>
      <c r="G1078" t="inlineStr">
        <is>
          <t>Good</t>
        </is>
      </c>
      <c r="H1078" t="n">
        <v>199</v>
      </c>
      <c r="I1078">
        <f>B1078&amp;"~"&amp;F1078&amp;"~"&amp;G1078</f>
        <v/>
      </c>
      <c r="J1078" t="inlineStr">
        <is>
          <t>MVS Sec.14 p.16</t>
        </is>
      </c>
    </row>
    <row r="1079">
      <c r="B1079" t="inlineStr">
        <is>
          <t>Industrial, Engineering (R&amp;D) Buildings</t>
        </is>
      </c>
      <c r="C1079" t="inlineStr">
        <is>
          <t>392</t>
        </is>
      </c>
      <c r="D1079" t="inlineStr">
        <is>
          <t>14</t>
        </is>
      </c>
      <c r="E1079" t="inlineStr">
        <is>
          <t>16</t>
        </is>
      </c>
      <c r="F1079" t="inlineStr">
        <is>
          <t>A</t>
        </is>
      </c>
      <c r="G1079" t="inlineStr">
        <is>
          <t>Average</t>
        </is>
      </c>
      <c r="H1079" t="n">
        <v>147</v>
      </c>
      <c r="I1079">
        <f>B1079&amp;"~"&amp;F1079&amp;"~"&amp;G1079</f>
        <v/>
      </c>
      <c r="J1079" t="inlineStr">
        <is>
          <t>MVS Sec.14 p.16</t>
        </is>
      </c>
    </row>
    <row r="1080">
      <c r="B1080" t="inlineStr">
        <is>
          <t>Industrial, Engineering (R&amp;D) Buildings</t>
        </is>
      </c>
      <c r="C1080" t="inlineStr">
        <is>
          <t>392</t>
        </is>
      </c>
      <c r="D1080" t="inlineStr">
        <is>
          <t>14</t>
        </is>
      </c>
      <c r="E1080" t="inlineStr">
        <is>
          <t>16</t>
        </is>
      </c>
      <c r="F1080" t="inlineStr">
        <is>
          <t>A</t>
        </is>
      </c>
      <c r="G1080" t="inlineStr">
        <is>
          <t>Low Cost</t>
        </is>
      </c>
      <c r="H1080" t="n">
        <v>111</v>
      </c>
      <c r="I1080">
        <f>B1080&amp;"~"&amp;F1080&amp;"~"&amp;G1080</f>
        <v/>
      </c>
      <c r="J1080" t="inlineStr">
        <is>
          <t>MVS Sec.14 p.16</t>
        </is>
      </c>
    </row>
    <row r="1081">
      <c r="B1081" t="inlineStr">
        <is>
          <t>Industrial, Engineering (R&amp;D) Buildings</t>
        </is>
      </c>
      <c r="C1081" t="inlineStr">
        <is>
          <t>392</t>
        </is>
      </c>
      <c r="D1081" t="inlineStr">
        <is>
          <t>14</t>
        </is>
      </c>
      <c r="E1081" t="inlineStr">
        <is>
          <t>16</t>
        </is>
      </c>
      <c r="F1081" t="inlineStr">
        <is>
          <t>B</t>
        </is>
      </c>
      <c r="G1081" t="inlineStr">
        <is>
          <t>Excellent</t>
        </is>
      </c>
      <c r="H1081" t="n">
        <v>250</v>
      </c>
      <c r="I1081">
        <f>B1081&amp;"~"&amp;F1081&amp;"~"&amp;G1081</f>
        <v/>
      </c>
      <c r="J1081" t="inlineStr">
        <is>
          <t>MVS Sec.14 p.16</t>
        </is>
      </c>
    </row>
    <row r="1082">
      <c r="B1082" t="inlineStr">
        <is>
          <t>Industrial, Engineering (R&amp;D) Buildings</t>
        </is>
      </c>
      <c r="C1082" t="inlineStr">
        <is>
          <t>392</t>
        </is>
      </c>
      <c r="D1082" t="inlineStr">
        <is>
          <t>14</t>
        </is>
      </c>
      <c r="E1082" t="inlineStr">
        <is>
          <t>16</t>
        </is>
      </c>
      <c r="F1082" t="inlineStr">
        <is>
          <t>B</t>
        </is>
      </c>
      <c r="G1082" t="inlineStr">
        <is>
          <t>Good</t>
        </is>
      </c>
      <c r="H1082" t="n">
        <v>178</v>
      </c>
      <c r="I1082">
        <f>B1082&amp;"~"&amp;F1082&amp;"~"&amp;G1082</f>
        <v/>
      </c>
      <c r="J1082" t="inlineStr">
        <is>
          <t>MVS Sec.14 p.16</t>
        </is>
      </c>
    </row>
    <row r="1083">
      <c r="B1083" t="inlineStr">
        <is>
          <t>Industrial, Engineering (R&amp;D) Buildings</t>
        </is>
      </c>
      <c r="C1083" t="inlineStr">
        <is>
          <t>392</t>
        </is>
      </c>
      <c r="D1083" t="inlineStr">
        <is>
          <t>14</t>
        </is>
      </c>
      <c r="E1083" t="inlineStr">
        <is>
          <t>16</t>
        </is>
      </c>
      <c r="F1083" t="inlineStr">
        <is>
          <t>B</t>
        </is>
      </c>
      <c r="G1083" t="inlineStr">
        <is>
          <t>Average</t>
        </is>
      </c>
      <c r="H1083" t="n">
        <v>131</v>
      </c>
      <c r="I1083">
        <f>B1083&amp;"~"&amp;F1083&amp;"~"&amp;G1083</f>
        <v/>
      </c>
      <c r="J1083" t="inlineStr">
        <is>
          <t>MVS Sec.14 p.16</t>
        </is>
      </c>
    </row>
    <row r="1084">
      <c r="B1084" t="inlineStr">
        <is>
          <t>Industrial, Engineering (R&amp;D) Buildings</t>
        </is>
      </c>
      <c r="C1084" t="inlineStr">
        <is>
          <t>392</t>
        </is>
      </c>
      <c r="D1084" t="inlineStr">
        <is>
          <t>14</t>
        </is>
      </c>
      <c r="E1084" t="inlineStr">
        <is>
          <t>16</t>
        </is>
      </c>
      <c r="F1084" t="inlineStr">
        <is>
          <t>B</t>
        </is>
      </c>
      <c r="G1084" t="inlineStr">
        <is>
          <t>Low Cost</t>
        </is>
      </c>
      <c r="H1084" t="n">
        <v>99.5</v>
      </c>
      <c r="I1084">
        <f>B1084&amp;"~"&amp;F1084&amp;"~"&amp;G1084</f>
        <v/>
      </c>
      <c r="J1084" t="inlineStr">
        <is>
          <t>MVS Sec.14 p.16</t>
        </is>
      </c>
    </row>
    <row r="1085">
      <c r="B1085" t="inlineStr">
        <is>
          <t>Industrial, Engineering (R&amp;D) Buildings</t>
        </is>
      </c>
      <c r="C1085" t="inlineStr">
        <is>
          <t>392</t>
        </is>
      </c>
      <c r="D1085" t="inlineStr">
        <is>
          <t>14</t>
        </is>
      </c>
      <c r="E1085" t="inlineStr">
        <is>
          <t>16</t>
        </is>
      </c>
      <c r="F1085" t="inlineStr">
        <is>
          <t>C</t>
        </is>
      </c>
      <c r="G1085" t="inlineStr">
        <is>
          <t>Excellent</t>
        </is>
      </c>
      <c r="H1085" t="n">
        <v>224</v>
      </c>
      <c r="I1085">
        <f>B1085&amp;"~"&amp;F1085&amp;"~"&amp;G1085</f>
        <v/>
      </c>
      <c r="J1085" t="inlineStr">
        <is>
          <t>MVS Sec.14 p.16</t>
        </is>
      </c>
    </row>
    <row r="1086">
      <c r="B1086" t="inlineStr">
        <is>
          <t>Industrial, Engineering (R&amp;D) Buildings</t>
        </is>
      </c>
      <c r="C1086" t="inlineStr">
        <is>
          <t>392</t>
        </is>
      </c>
      <c r="D1086" t="inlineStr">
        <is>
          <t>14</t>
        </is>
      </c>
      <c r="E1086" t="inlineStr">
        <is>
          <t>16</t>
        </is>
      </c>
      <c r="F1086" t="inlineStr">
        <is>
          <t>C</t>
        </is>
      </c>
      <c r="G1086" t="inlineStr">
        <is>
          <t>Good</t>
        </is>
      </c>
      <c r="H1086" t="n">
        <v>148</v>
      </c>
      <c r="I1086">
        <f>B1086&amp;"~"&amp;F1086&amp;"~"&amp;G1086</f>
        <v/>
      </c>
      <c r="J1086" t="inlineStr">
        <is>
          <t>MVS Sec.14 p.16</t>
        </is>
      </c>
    </row>
    <row r="1087">
      <c r="B1087" t="inlineStr">
        <is>
          <t>Industrial, Engineering (R&amp;D) Buildings</t>
        </is>
      </c>
      <c r="C1087" t="inlineStr">
        <is>
          <t>392</t>
        </is>
      </c>
      <c r="D1087" t="inlineStr">
        <is>
          <t>14</t>
        </is>
      </c>
      <c r="E1087" t="inlineStr">
        <is>
          <t>16</t>
        </is>
      </c>
      <c r="F1087" t="inlineStr">
        <is>
          <t>C</t>
        </is>
      </c>
      <c r="G1087" t="inlineStr">
        <is>
          <t>Average</t>
        </is>
      </c>
      <c r="H1087" t="n">
        <v>101</v>
      </c>
      <c r="I1087">
        <f>B1087&amp;"~"&amp;F1087&amp;"~"&amp;G1087</f>
        <v/>
      </c>
      <c r="J1087" t="inlineStr">
        <is>
          <t>MVS Sec.14 p.16</t>
        </is>
      </c>
    </row>
    <row r="1088">
      <c r="B1088" t="inlineStr">
        <is>
          <t>Industrial, Engineering (R&amp;D) Buildings</t>
        </is>
      </c>
      <c r="C1088" t="inlineStr">
        <is>
          <t>392</t>
        </is>
      </c>
      <c r="D1088" t="inlineStr">
        <is>
          <t>14</t>
        </is>
      </c>
      <c r="E1088" t="inlineStr">
        <is>
          <t>16</t>
        </is>
      </c>
      <c r="F1088" t="inlineStr">
        <is>
          <t>C</t>
        </is>
      </c>
      <c r="G1088" t="inlineStr">
        <is>
          <t>Low Cost</t>
        </is>
      </c>
      <c r="H1088" t="n">
        <v>72.5</v>
      </c>
      <c r="I1088">
        <f>B1088&amp;"~"&amp;F1088&amp;"~"&amp;G1088</f>
        <v/>
      </c>
      <c r="J1088" t="inlineStr">
        <is>
          <t>MVS Sec.14 p.16</t>
        </is>
      </c>
    </row>
    <row r="1089">
      <c r="B1089" t="inlineStr">
        <is>
          <t>Industrial, Engineering (R&amp;D) Buildings</t>
        </is>
      </c>
      <c r="C1089" t="inlineStr">
        <is>
          <t>392</t>
        </is>
      </c>
      <c r="D1089" t="inlineStr">
        <is>
          <t>14</t>
        </is>
      </c>
      <c r="E1089" t="inlineStr">
        <is>
          <t>16</t>
        </is>
      </c>
      <c r="F1089" t="inlineStr">
        <is>
          <t>D</t>
        </is>
      </c>
      <c r="G1089" t="inlineStr">
        <is>
          <t>Excellent</t>
        </is>
      </c>
      <c r="H1089" t="n">
        <v>201</v>
      </c>
      <c r="I1089">
        <f>B1089&amp;"~"&amp;F1089&amp;"~"&amp;G1089</f>
        <v/>
      </c>
      <c r="J1089" t="inlineStr">
        <is>
          <t>MVS Sec.14 p.16</t>
        </is>
      </c>
    </row>
    <row r="1090">
      <c r="B1090" t="inlineStr">
        <is>
          <t>Industrial, Engineering (R&amp;D) Buildings</t>
        </is>
      </c>
      <c r="C1090" t="inlineStr">
        <is>
          <t>392</t>
        </is>
      </c>
      <c r="D1090" t="inlineStr">
        <is>
          <t>14</t>
        </is>
      </c>
      <c r="E1090" t="inlineStr">
        <is>
          <t>16</t>
        </is>
      </c>
      <c r="F1090" t="inlineStr">
        <is>
          <t>D</t>
        </is>
      </c>
      <c r="G1090" t="inlineStr">
        <is>
          <t>Good</t>
        </is>
      </c>
      <c r="H1090" t="n">
        <v>140</v>
      </c>
      <c r="I1090">
        <f>B1090&amp;"~"&amp;F1090&amp;"~"&amp;G1090</f>
        <v/>
      </c>
      <c r="J1090" t="inlineStr">
        <is>
          <t>MVS Sec.14 p.16</t>
        </is>
      </c>
    </row>
    <row r="1091">
      <c r="B1091" t="inlineStr">
        <is>
          <t>Industrial, Engineering (R&amp;D) Buildings</t>
        </is>
      </c>
      <c r="C1091" t="inlineStr">
        <is>
          <t>392</t>
        </is>
      </c>
      <c r="D1091" t="inlineStr">
        <is>
          <t>14</t>
        </is>
      </c>
      <c r="E1091" t="inlineStr">
        <is>
          <t>16</t>
        </is>
      </c>
      <c r="F1091" t="inlineStr">
        <is>
          <t>D</t>
        </is>
      </c>
      <c r="G1091" t="inlineStr">
        <is>
          <t>Average</t>
        </is>
      </c>
      <c r="H1091" t="n">
        <v>94.5</v>
      </c>
      <c r="I1091">
        <f>B1091&amp;"~"&amp;F1091&amp;"~"&amp;G1091</f>
        <v/>
      </c>
      <c r="J1091" t="inlineStr">
        <is>
          <t>MVS Sec.14 p.16</t>
        </is>
      </c>
    </row>
    <row r="1092">
      <c r="B1092" t="inlineStr">
        <is>
          <t>Industrial, Engineering (R&amp;D) Buildings</t>
        </is>
      </c>
      <c r="C1092" t="inlineStr">
        <is>
          <t>392</t>
        </is>
      </c>
      <c r="D1092" t="inlineStr">
        <is>
          <t>14</t>
        </is>
      </c>
      <c r="E1092" t="inlineStr">
        <is>
          <t>16</t>
        </is>
      </c>
      <c r="F1092" t="inlineStr">
        <is>
          <t>D</t>
        </is>
      </c>
      <c r="G1092" t="inlineStr">
        <is>
          <t>Low Cost</t>
        </is>
      </c>
      <c r="H1092" t="n">
        <v>67</v>
      </c>
      <c r="I1092">
        <f>B1092&amp;"~"&amp;F1092&amp;"~"&amp;G1092</f>
        <v/>
      </c>
      <c r="J1092" t="inlineStr">
        <is>
          <t>MVS Sec.14 p.16</t>
        </is>
      </c>
    </row>
    <row r="1093">
      <c r="B1093" t="inlineStr">
        <is>
          <t>Industrial, Engineering (R&amp;D) Buildings</t>
        </is>
      </c>
      <c r="C1093" t="inlineStr">
        <is>
          <t>392</t>
        </is>
      </c>
      <c r="D1093" t="inlineStr">
        <is>
          <t>14</t>
        </is>
      </c>
      <c r="E1093" t="inlineStr">
        <is>
          <t>16</t>
        </is>
      </c>
      <c r="F1093" t="inlineStr">
        <is>
          <t>S</t>
        </is>
      </c>
      <c r="G1093" t="inlineStr">
        <is>
          <t>Excellent</t>
        </is>
      </c>
      <c r="H1093" t="n">
        <v>207</v>
      </c>
      <c r="I1093">
        <f>B1093&amp;"~"&amp;F1093&amp;"~"&amp;G1093</f>
        <v/>
      </c>
      <c r="J1093" t="inlineStr">
        <is>
          <t>MVS Sec.14 p.16</t>
        </is>
      </c>
    </row>
    <row r="1094">
      <c r="B1094" t="inlineStr">
        <is>
          <t>Industrial, Engineering (R&amp;D) Buildings</t>
        </is>
      </c>
      <c r="C1094" t="inlineStr">
        <is>
          <t>392</t>
        </is>
      </c>
      <c r="D1094" t="inlineStr">
        <is>
          <t>14</t>
        </is>
      </c>
      <c r="E1094" t="inlineStr">
        <is>
          <t>16</t>
        </is>
      </c>
      <c r="F1094" t="inlineStr">
        <is>
          <t>S</t>
        </is>
      </c>
      <c r="G1094" t="inlineStr">
        <is>
          <t>Good</t>
        </is>
      </c>
      <c r="H1094" t="n">
        <v>142</v>
      </c>
      <c r="I1094">
        <f>B1094&amp;"~"&amp;F1094&amp;"~"&amp;G1094</f>
        <v/>
      </c>
      <c r="J1094" t="inlineStr">
        <is>
          <t>MVS Sec.14 p.16</t>
        </is>
      </c>
    </row>
    <row r="1095">
      <c r="B1095" t="inlineStr">
        <is>
          <t>Industrial, Engineering (R&amp;D) Buildings</t>
        </is>
      </c>
      <c r="C1095" t="inlineStr">
        <is>
          <t>392</t>
        </is>
      </c>
      <c r="D1095" t="inlineStr">
        <is>
          <t>14</t>
        </is>
      </c>
      <c r="E1095" t="inlineStr">
        <is>
          <t>16</t>
        </is>
      </c>
      <c r="F1095" t="inlineStr">
        <is>
          <t>S</t>
        </is>
      </c>
      <c r="G1095" t="inlineStr">
        <is>
          <t>Average</t>
        </is>
      </c>
      <c r="H1095" t="n">
        <v>95.5</v>
      </c>
      <c r="I1095">
        <f>B1095&amp;"~"&amp;F1095&amp;"~"&amp;G1095</f>
        <v/>
      </c>
      <c r="J1095" t="inlineStr">
        <is>
          <t>MVS Sec.14 p.16</t>
        </is>
      </c>
    </row>
    <row r="1096">
      <c r="B1096" t="inlineStr">
        <is>
          <t>Industrial, Engineering (R&amp;D) Buildings</t>
        </is>
      </c>
      <c r="C1096" t="inlineStr">
        <is>
          <t>392</t>
        </is>
      </c>
      <c r="D1096" t="inlineStr">
        <is>
          <t>14</t>
        </is>
      </c>
      <c r="E1096" t="inlineStr">
        <is>
          <t>16</t>
        </is>
      </c>
      <c r="F1096" t="inlineStr">
        <is>
          <t>S</t>
        </is>
      </c>
      <c r="G1096" t="inlineStr">
        <is>
          <t>Low Cost</t>
        </is>
      </c>
      <c r="H1096" t="n">
        <v>67.5</v>
      </c>
      <c r="I1096">
        <f>B1096&amp;"~"&amp;F1096&amp;"~"&amp;G1096</f>
        <v/>
      </c>
      <c r="J1096" t="inlineStr">
        <is>
          <t>MVS Sec.14 p.16</t>
        </is>
      </c>
    </row>
    <row r="1097">
      <c r="B1097" t="inlineStr">
        <is>
          <t>Laboratory Buildings</t>
        </is>
      </c>
      <c r="C1097" t="inlineStr">
        <is>
          <t>496</t>
        </is>
      </c>
      <c r="D1097" t="inlineStr">
        <is>
          <t>14</t>
        </is>
      </c>
      <c r="E1097" t="inlineStr">
        <is>
          <t>17</t>
        </is>
      </c>
      <c r="F1097" t="inlineStr">
        <is>
          <t>A-B</t>
        </is>
      </c>
      <c r="G1097" t="inlineStr">
        <is>
          <t>Excellent</t>
        </is>
      </c>
      <c r="H1097" t="n">
        <v>575</v>
      </c>
      <c r="I1097">
        <f>B1097&amp;"~"&amp;F1097&amp;"~"&amp;G1097</f>
        <v/>
      </c>
      <c r="J1097" t="inlineStr">
        <is>
          <t>MVS Sec.14 p.17</t>
        </is>
      </c>
    </row>
    <row r="1098">
      <c r="B1098" t="inlineStr">
        <is>
          <t>Laboratory Buildings</t>
        </is>
      </c>
      <c r="C1098" t="inlineStr">
        <is>
          <t>496</t>
        </is>
      </c>
      <c r="D1098" t="inlineStr">
        <is>
          <t>14</t>
        </is>
      </c>
      <c r="E1098" t="inlineStr">
        <is>
          <t>17</t>
        </is>
      </c>
      <c r="F1098" t="inlineStr">
        <is>
          <t>A-B</t>
        </is>
      </c>
      <c r="G1098" t="inlineStr">
        <is>
          <t>Good</t>
        </is>
      </c>
      <c r="H1098" t="n">
        <v>438</v>
      </c>
      <c r="I1098">
        <f>B1098&amp;"~"&amp;F1098&amp;"~"&amp;G1098</f>
        <v/>
      </c>
      <c r="J1098" t="inlineStr">
        <is>
          <t>MVS Sec.14 p.17</t>
        </is>
      </c>
    </row>
    <row r="1099">
      <c r="B1099" t="inlineStr">
        <is>
          <t>Laboratory Buildings</t>
        </is>
      </c>
      <c r="C1099" t="inlineStr">
        <is>
          <t>496</t>
        </is>
      </c>
      <c r="D1099" t="inlineStr">
        <is>
          <t>14</t>
        </is>
      </c>
      <c r="E1099" t="inlineStr">
        <is>
          <t>17</t>
        </is>
      </c>
      <c r="F1099" t="inlineStr">
        <is>
          <t>A-B</t>
        </is>
      </c>
      <c r="G1099" t="inlineStr">
        <is>
          <t>Average</t>
        </is>
      </c>
      <c r="H1099" t="n">
        <v>333</v>
      </c>
      <c r="I1099">
        <f>B1099&amp;"~"&amp;F1099&amp;"~"&amp;G1099</f>
        <v/>
      </c>
      <c r="J1099" t="inlineStr">
        <is>
          <t>MVS Sec.14 p.17</t>
        </is>
      </c>
    </row>
    <row r="1100">
      <c r="B1100" t="inlineStr">
        <is>
          <t>Laboratory Buildings</t>
        </is>
      </c>
      <c r="C1100" t="inlineStr">
        <is>
          <t>496</t>
        </is>
      </c>
      <c r="D1100" t="inlineStr">
        <is>
          <t>14</t>
        </is>
      </c>
      <c r="E1100" t="inlineStr">
        <is>
          <t>17</t>
        </is>
      </c>
      <c r="F1100" t="inlineStr">
        <is>
          <t>A-B</t>
        </is>
      </c>
      <c r="G1100" t="inlineStr">
        <is>
          <t>Low Cost</t>
        </is>
      </c>
      <c r="H1100" t="n">
        <v>253</v>
      </c>
      <c r="I1100">
        <f>B1100&amp;"~"&amp;F1100&amp;"~"&amp;G1100</f>
        <v/>
      </c>
      <c r="J1100" t="inlineStr">
        <is>
          <t>MVS Sec.14 p.17</t>
        </is>
      </c>
    </row>
    <row r="1101">
      <c r="B1101" t="inlineStr">
        <is>
          <t>Laboratory Buildings</t>
        </is>
      </c>
      <c r="C1101" t="inlineStr">
        <is>
          <t>496</t>
        </is>
      </c>
      <c r="D1101" t="inlineStr">
        <is>
          <t>14</t>
        </is>
      </c>
      <c r="E1101" t="inlineStr">
        <is>
          <t>17</t>
        </is>
      </c>
      <c r="F1101" t="inlineStr">
        <is>
          <t>C</t>
        </is>
      </c>
      <c r="G1101" t="inlineStr">
        <is>
          <t>Excellent</t>
        </is>
      </c>
      <c r="H1101" t="n">
        <v>421</v>
      </c>
      <c r="I1101">
        <f>B1101&amp;"~"&amp;F1101&amp;"~"&amp;G1101</f>
        <v/>
      </c>
      <c r="J1101" t="inlineStr">
        <is>
          <t>MVS Sec.14 p.17</t>
        </is>
      </c>
    </row>
    <row r="1102">
      <c r="B1102" t="inlineStr">
        <is>
          <t>Laboratory Buildings</t>
        </is>
      </c>
      <c r="C1102" t="inlineStr">
        <is>
          <t>496</t>
        </is>
      </c>
      <c r="D1102" t="inlineStr">
        <is>
          <t>14</t>
        </is>
      </c>
      <c r="E1102" t="inlineStr">
        <is>
          <t>17</t>
        </is>
      </c>
      <c r="F1102" t="inlineStr">
        <is>
          <t>C</t>
        </is>
      </c>
      <c r="G1102" t="inlineStr">
        <is>
          <t>Good</t>
        </is>
      </c>
      <c r="H1102" t="n">
        <v>326</v>
      </c>
      <c r="I1102">
        <f>B1102&amp;"~"&amp;F1102&amp;"~"&amp;G1102</f>
        <v/>
      </c>
      <c r="J1102" t="inlineStr">
        <is>
          <t>MVS Sec.14 p.17</t>
        </is>
      </c>
    </row>
    <row r="1103">
      <c r="B1103" t="inlineStr">
        <is>
          <t>Laboratory Buildings</t>
        </is>
      </c>
      <c r="C1103" t="inlineStr">
        <is>
          <t>496</t>
        </is>
      </c>
      <c r="D1103" t="inlineStr">
        <is>
          <t>14</t>
        </is>
      </c>
      <c r="E1103" t="inlineStr">
        <is>
          <t>17</t>
        </is>
      </c>
      <c r="F1103" t="inlineStr">
        <is>
          <t>C</t>
        </is>
      </c>
      <c r="G1103" t="inlineStr">
        <is>
          <t>Average</t>
        </is>
      </c>
      <c r="H1103" t="n">
        <v>255</v>
      </c>
      <c r="I1103">
        <f>B1103&amp;"~"&amp;F1103&amp;"~"&amp;G1103</f>
        <v/>
      </c>
      <c r="J1103" t="inlineStr">
        <is>
          <t>MVS Sec.14 p.17</t>
        </is>
      </c>
    </row>
    <row r="1104">
      <c r="B1104" t="inlineStr">
        <is>
          <t>Laboratory Buildings</t>
        </is>
      </c>
      <c r="C1104" t="inlineStr">
        <is>
          <t>496</t>
        </is>
      </c>
      <c r="D1104" t="inlineStr">
        <is>
          <t>14</t>
        </is>
      </c>
      <c r="E1104" t="inlineStr">
        <is>
          <t>17</t>
        </is>
      </c>
      <c r="F1104" t="inlineStr">
        <is>
          <t>C</t>
        </is>
      </c>
      <c r="G1104" t="inlineStr">
        <is>
          <t>Low Cost</t>
        </is>
      </c>
      <c r="H1104" t="n">
        <v>201</v>
      </c>
      <c r="I1104">
        <f>B1104&amp;"~"&amp;F1104&amp;"~"&amp;G1104</f>
        <v/>
      </c>
      <c r="J1104" t="inlineStr">
        <is>
          <t>MVS Sec.14 p.17</t>
        </is>
      </c>
    </row>
    <row r="1105">
      <c r="B1105" t="inlineStr">
        <is>
          <t>Laboratory Buildings</t>
        </is>
      </c>
      <c r="C1105" t="inlineStr">
        <is>
          <t>496</t>
        </is>
      </c>
      <c r="D1105" t="inlineStr">
        <is>
          <t>14</t>
        </is>
      </c>
      <c r="E1105" t="inlineStr">
        <is>
          <t>17</t>
        </is>
      </c>
      <c r="F1105" t="inlineStr">
        <is>
          <t>D</t>
        </is>
      </c>
      <c r="G1105" t="inlineStr">
        <is>
          <t>Excellent</t>
        </is>
      </c>
      <c r="H1105" t="n">
        <v>407</v>
      </c>
      <c r="I1105">
        <f>B1105&amp;"~"&amp;F1105&amp;"~"&amp;G1105</f>
        <v/>
      </c>
      <c r="J1105" t="inlineStr">
        <is>
          <t>MVS Sec.14 p.17</t>
        </is>
      </c>
    </row>
    <row r="1106">
      <c r="B1106" t="inlineStr">
        <is>
          <t>Laboratory Buildings</t>
        </is>
      </c>
      <c r="C1106" t="inlineStr">
        <is>
          <t>496</t>
        </is>
      </c>
      <c r="D1106" t="inlineStr">
        <is>
          <t>14</t>
        </is>
      </c>
      <c r="E1106" t="inlineStr">
        <is>
          <t>17</t>
        </is>
      </c>
      <c r="F1106" t="inlineStr">
        <is>
          <t>D</t>
        </is>
      </c>
      <c r="G1106" t="inlineStr">
        <is>
          <t>Good</t>
        </is>
      </c>
      <c r="H1106" t="n">
        <v>315</v>
      </c>
      <c r="I1106">
        <f>B1106&amp;"~"&amp;F1106&amp;"~"&amp;G1106</f>
        <v/>
      </c>
      <c r="J1106" t="inlineStr">
        <is>
          <t>MVS Sec.14 p.17</t>
        </is>
      </c>
    </row>
    <row r="1107">
      <c r="B1107" t="inlineStr">
        <is>
          <t>Laboratory Buildings</t>
        </is>
      </c>
      <c r="C1107" t="inlineStr">
        <is>
          <t>496</t>
        </is>
      </c>
      <c r="D1107" t="inlineStr">
        <is>
          <t>14</t>
        </is>
      </c>
      <c r="E1107" t="inlineStr">
        <is>
          <t>17</t>
        </is>
      </c>
      <c r="F1107" t="inlineStr">
        <is>
          <t>D</t>
        </is>
      </c>
      <c r="G1107" t="inlineStr">
        <is>
          <t>Average</t>
        </is>
      </c>
      <c r="H1107" t="n">
        <v>246</v>
      </c>
      <c r="I1107">
        <f>B1107&amp;"~"&amp;F1107&amp;"~"&amp;G1107</f>
        <v/>
      </c>
      <c r="J1107" t="inlineStr">
        <is>
          <t>MVS Sec.14 p.17</t>
        </is>
      </c>
    </row>
    <row r="1108">
      <c r="B1108" t="inlineStr">
        <is>
          <t>Laboratory Buildings</t>
        </is>
      </c>
      <c r="C1108" t="inlineStr">
        <is>
          <t>496</t>
        </is>
      </c>
      <c r="D1108" t="inlineStr">
        <is>
          <t>14</t>
        </is>
      </c>
      <c r="E1108" t="inlineStr">
        <is>
          <t>17</t>
        </is>
      </c>
      <c r="F1108" t="inlineStr">
        <is>
          <t>D</t>
        </is>
      </c>
      <c r="G1108" t="inlineStr">
        <is>
          <t>Low Cost</t>
        </is>
      </c>
      <c r="H1108" t="n">
        <v>193</v>
      </c>
      <c r="I1108">
        <f>B1108&amp;"~"&amp;F1108&amp;"~"&amp;G1108</f>
        <v/>
      </c>
      <c r="J1108" t="inlineStr">
        <is>
          <t>MVS Sec.14 p.17</t>
        </is>
      </c>
    </row>
    <row r="1109">
      <c r="B1109" t="inlineStr">
        <is>
          <t>Laboratory Buildings</t>
        </is>
      </c>
      <c r="C1109" t="inlineStr">
        <is>
          <t>496</t>
        </is>
      </c>
      <c r="D1109" t="inlineStr">
        <is>
          <t>14</t>
        </is>
      </c>
      <c r="E1109" t="inlineStr">
        <is>
          <t>17</t>
        </is>
      </c>
      <c r="F1109" t="inlineStr">
        <is>
          <t>S</t>
        </is>
      </c>
      <c r="G1109" t="inlineStr">
        <is>
          <t>Good</t>
        </is>
      </c>
      <c r="H1109" t="n">
        <v>318</v>
      </c>
      <c r="I1109">
        <f>B1109&amp;"~"&amp;F1109&amp;"~"&amp;G1109</f>
        <v/>
      </c>
      <c r="J1109" t="inlineStr">
        <is>
          <t>MVS Sec.14 p.17</t>
        </is>
      </c>
    </row>
    <row r="1110">
      <c r="B1110" t="inlineStr">
        <is>
          <t>Laboratory Buildings</t>
        </is>
      </c>
      <c r="C1110" t="inlineStr">
        <is>
          <t>496</t>
        </is>
      </c>
      <c r="D1110" t="inlineStr">
        <is>
          <t>14</t>
        </is>
      </c>
      <c r="E1110" t="inlineStr">
        <is>
          <t>17</t>
        </is>
      </c>
      <c r="F1110" t="inlineStr">
        <is>
          <t>S</t>
        </is>
      </c>
      <c r="G1110" t="inlineStr">
        <is>
          <t>Average</t>
        </is>
      </c>
      <c r="H1110" t="n">
        <v>249</v>
      </c>
      <c r="I1110">
        <f>B1110&amp;"~"&amp;F1110&amp;"~"&amp;G1110</f>
        <v/>
      </c>
      <c r="J1110" t="inlineStr">
        <is>
          <t>MVS Sec.14 p.17</t>
        </is>
      </c>
    </row>
    <row r="1111">
      <c r="B1111" t="inlineStr">
        <is>
          <t>Laboratory Buildings</t>
        </is>
      </c>
      <c r="C1111" t="inlineStr">
        <is>
          <t>496</t>
        </is>
      </c>
      <c r="D1111" t="inlineStr">
        <is>
          <t>14</t>
        </is>
      </c>
      <c r="E1111" t="inlineStr">
        <is>
          <t>17</t>
        </is>
      </c>
      <c r="F1111" t="inlineStr">
        <is>
          <t>S</t>
        </is>
      </c>
      <c r="G1111" t="inlineStr">
        <is>
          <t>Low Cost</t>
        </is>
      </c>
      <c r="H1111" t="n">
        <v>195</v>
      </c>
      <c r="I1111">
        <f>B1111&amp;"~"&amp;F1111&amp;"~"&amp;G1111</f>
        <v/>
      </c>
      <c r="J1111" t="inlineStr">
        <is>
          <t>MVS Sec.14 p.17</t>
        </is>
      </c>
    </row>
    <row r="1112">
      <c r="B1112" t="inlineStr">
        <is>
          <t>Computer (Data) Centers</t>
        </is>
      </c>
      <c r="C1112" t="inlineStr">
        <is>
          <t>497</t>
        </is>
      </c>
      <c r="D1112" t="inlineStr">
        <is>
          <t>14</t>
        </is>
      </c>
      <c r="E1112" t="inlineStr">
        <is>
          <t>18</t>
        </is>
      </c>
      <c r="F1112" t="inlineStr">
        <is>
          <t>A-B</t>
        </is>
      </c>
      <c r="G1112" t="inlineStr">
        <is>
          <t>Excellent</t>
        </is>
      </c>
      <c r="H1112" t="n">
        <v>387</v>
      </c>
      <c r="I1112">
        <f>B1112&amp;"~"&amp;F1112&amp;"~"&amp;G1112</f>
        <v/>
      </c>
      <c r="J1112" t="inlineStr">
        <is>
          <t>MVS Sec.14 p.18</t>
        </is>
      </c>
    </row>
    <row r="1113">
      <c r="B1113" t="inlineStr">
        <is>
          <t>Computer (Data) Centers</t>
        </is>
      </c>
      <c r="C1113" t="inlineStr">
        <is>
          <t>497</t>
        </is>
      </c>
      <c r="D1113" t="inlineStr">
        <is>
          <t>14</t>
        </is>
      </c>
      <c r="E1113" t="inlineStr">
        <is>
          <t>18</t>
        </is>
      </c>
      <c r="F1113" t="inlineStr">
        <is>
          <t>A-B</t>
        </is>
      </c>
      <c r="G1113" t="inlineStr">
        <is>
          <t>Good</t>
        </is>
      </c>
      <c r="H1113" t="n">
        <v>316</v>
      </c>
      <c r="I1113">
        <f>B1113&amp;"~"&amp;F1113&amp;"~"&amp;G1113</f>
        <v/>
      </c>
      <c r="J1113" t="inlineStr">
        <is>
          <t>MVS Sec.14 p.18</t>
        </is>
      </c>
    </row>
    <row r="1114">
      <c r="B1114" t="inlineStr">
        <is>
          <t>Computer (Data) Centers</t>
        </is>
      </c>
      <c r="C1114" t="inlineStr">
        <is>
          <t>497</t>
        </is>
      </c>
      <c r="D1114" t="inlineStr">
        <is>
          <t>14</t>
        </is>
      </c>
      <c r="E1114" t="inlineStr">
        <is>
          <t>18</t>
        </is>
      </c>
      <c r="F1114" t="inlineStr">
        <is>
          <t>A-B</t>
        </is>
      </c>
      <c r="G1114" t="inlineStr">
        <is>
          <t>Average</t>
        </is>
      </c>
      <c r="H1114" t="n">
        <v>258</v>
      </c>
      <c r="I1114">
        <f>B1114&amp;"~"&amp;F1114&amp;"~"&amp;G1114</f>
        <v/>
      </c>
      <c r="J1114" t="inlineStr">
        <is>
          <t>MVS Sec.14 p.18</t>
        </is>
      </c>
    </row>
    <row r="1115">
      <c r="B1115" t="inlineStr">
        <is>
          <t>Computer (Data) Centers</t>
        </is>
      </c>
      <c r="C1115" t="inlineStr">
        <is>
          <t>497</t>
        </is>
      </c>
      <c r="D1115" t="inlineStr">
        <is>
          <t>14</t>
        </is>
      </c>
      <c r="E1115" t="inlineStr">
        <is>
          <t>18</t>
        </is>
      </c>
      <c r="F1115" t="inlineStr">
        <is>
          <t>A-B</t>
        </is>
      </c>
      <c r="G1115" t="inlineStr">
        <is>
          <t>Low Cost</t>
        </is>
      </c>
      <c r="H1115" t="n">
        <v>200</v>
      </c>
      <c r="I1115">
        <f>B1115&amp;"~"&amp;F1115&amp;"~"&amp;G1115</f>
        <v/>
      </c>
      <c r="J1115" t="inlineStr">
        <is>
          <t>MVS Sec.14 p.18</t>
        </is>
      </c>
    </row>
    <row r="1116">
      <c r="B1116" t="inlineStr">
        <is>
          <t>Computer (Data) Centers</t>
        </is>
      </c>
      <c r="C1116" t="inlineStr">
        <is>
          <t>497</t>
        </is>
      </c>
      <c r="D1116" t="inlineStr">
        <is>
          <t>14</t>
        </is>
      </c>
      <c r="E1116" t="inlineStr">
        <is>
          <t>18</t>
        </is>
      </c>
      <c r="F1116" t="inlineStr">
        <is>
          <t>C</t>
        </is>
      </c>
      <c r="G1116" t="inlineStr">
        <is>
          <t>Good</t>
        </is>
      </c>
      <c r="H1116" t="n">
        <v>234</v>
      </c>
      <c r="I1116">
        <f>B1116&amp;"~"&amp;F1116&amp;"~"&amp;G1116</f>
        <v/>
      </c>
      <c r="J1116" t="inlineStr">
        <is>
          <t>MVS Sec.14 p.18</t>
        </is>
      </c>
    </row>
    <row r="1117">
      <c r="B1117" t="inlineStr">
        <is>
          <t>Computer (Data) Centers</t>
        </is>
      </c>
      <c r="C1117" t="inlineStr">
        <is>
          <t>497</t>
        </is>
      </c>
      <c r="D1117" t="inlineStr">
        <is>
          <t>14</t>
        </is>
      </c>
      <c r="E1117" t="inlineStr">
        <is>
          <t>18</t>
        </is>
      </c>
      <c r="F1117" t="inlineStr">
        <is>
          <t>C</t>
        </is>
      </c>
      <c r="G1117" t="inlineStr">
        <is>
          <t>Average</t>
        </is>
      </c>
      <c r="H1117" t="n">
        <v>192</v>
      </c>
      <c r="I1117">
        <f>B1117&amp;"~"&amp;F1117&amp;"~"&amp;G1117</f>
        <v/>
      </c>
      <c r="J1117" t="inlineStr">
        <is>
          <t>MVS Sec.14 p.18</t>
        </is>
      </c>
    </row>
    <row r="1118">
      <c r="B1118" t="inlineStr">
        <is>
          <t>Computer (Data) Centers</t>
        </is>
      </c>
      <c r="C1118" t="inlineStr">
        <is>
          <t>497</t>
        </is>
      </c>
      <c r="D1118" t="inlineStr">
        <is>
          <t>14</t>
        </is>
      </c>
      <c r="E1118" t="inlineStr">
        <is>
          <t>18</t>
        </is>
      </c>
      <c r="F1118" t="inlineStr">
        <is>
          <t>C</t>
        </is>
      </c>
      <c r="G1118" t="inlineStr">
        <is>
          <t>Low Cost</t>
        </is>
      </c>
      <c r="H1118" t="n">
        <v>154</v>
      </c>
      <c r="I1118">
        <f>B1118&amp;"~"&amp;F1118&amp;"~"&amp;G1118</f>
        <v/>
      </c>
      <c r="J1118" t="inlineStr">
        <is>
          <t>MVS Sec.14 p.18</t>
        </is>
      </c>
    </row>
    <row r="1119">
      <c r="B1119" t="inlineStr">
        <is>
          <t>Computer (Data) Centers</t>
        </is>
      </c>
      <c r="C1119" t="inlineStr">
        <is>
          <t>497</t>
        </is>
      </c>
      <c r="D1119" t="inlineStr">
        <is>
          <t>14</t>
        </is>
      </c>
      <c r="E1119" t="inlineStr">
        <is>
          <t>18</t>
        </is>
      </c>
      <c r="F1119" t="inlineStr">
        <is>
          <t>D</t>
        </is>
      </c>
      <c r="G1119" t="inlineStr">
        <is>
          <t>Average</t>
        </is>
      </c>
      <c r="H1119" t="n">
        <v>183</v>
      </c>
      <c r="I1119">
        <f>B1119&amp;"~"&amp;F1119&amp;"~"&amp;G1119</f>
        <v/>
      </c>
      <c r="J1119" t="inlineStr">
        <is>
          <t>MVS Sec.14 p.18</t>
        </is>
      </c>
    </row>
    <row r="1120">
      <c r="B1120" t="inlineStr">
        <is>
          <t>Computer (Data) Centers</t>
        </is>
      </c>
      <c r="C1120" t="inlineStr">
        <is>
          <t>497</t>
        </is>
      </c>
      <c r="D1120" t="inlineStr">
        <is>
          <t>14</t>
        </is>
      </c>
      <c r="E1120" t="inlineStr">
        <is>
          <t>18</t>
        </is>
      </c>
      <c r="F1120" t="inlineStr">
        <is>
          <t>D</t>
        </is>
      </c>
      <c r="G1120" t="inlineStr">
        <is>
          <t>Low Cost</t>
        </is>
      </c>
      <c r="H1120" t="n">
        <v>147</v>
      </c>
      <c r="I1120">
        <f>B1120&amp;"~"&amp;F1120&amp;"~"&amp;G1120</f>
        <v/>
      </c>
      <c r="J1120" t="inlineStr">
        <is>
          <t>MVS Sec.14 p.18</t>
        </is>
      </c>
    </row>
    <row r="1121">
      <c r="B1121" t="inlineStr">
        <is>
          <t>Computer (Data) Centers</t>
        </is>
      </c>
      <c r="C1121" t="inlineStr">
        <is>
          <t>497</t>
        </is>
      </c>
      <c r="D1121" t="inlineStr">
        <is>
          <t>14</t>
        </is>
      </c>
      <c r="E1121" t="inlineStr">
        <is>
          <t>18</t>
        </is>
      </c>
      <c r="F1121" t="inlineStr">
        <is>
          <t>S</t>
        </is>
      </c>
      <c r="G1121" t="inlineStr">
        <is>
          <t>Average</t>
        </is>
      </c>
      <c r="H1121" t="n">
        <v>187</v>
      </c>
      <c r="I1121">
        <f>B1121&amp;"~"&amp;F1121&amp;"~"&amp;G1121</f>
        <v/>
      </c>
      <c r="J1121" t="inlineStr">
        <is>
          <t>MVS Sec.14 p.18</t>
        </is>
      </c>
    </row>
    <row r="1122">
      <c r="B1122" t="inlineStr">
        <is>
          <t>Broadcasting Facilities</t>
        </is>
      </c>
      <c r="C1122" t="inlineStr">
        <is>
          <t>498</t>
        </is>
      </c>
      <c r="D1122" t="inlineStr">
        <is>
          <t>14</t>
        </is>
      </c>
      <c r="E1122" t="inlineStr">
        <is>
          <t>19</t>
        </is>
      </c>
      <c r="F1122" t="inlineStr">
        <is>
          <t>A-B</t>
        </is>
      </c>
      <c r="G1122" t="inlineStr">
        <is>
          <t>Good</t>
        </is>
      </c>
      <c r="H1122" t="n">
        <v>386</v>
      </c>
      <c r="I1122">
        <f>B1122&amp;"~"&amp;F1122&amp;"~"&amp;G1122</f>
        <v/>
      </c>
      <c r="J1122" t="inlineStr">
        <is>
          <t>MVS Sec.14 p.19</t>
        </is>
      </c>
    </row>
    <row r="1123">
      <c r="B1123" t="inlineStr">
        <is>
          <t>Broadcasting Facilities</t>
        </is>
      </c>
      <c r="C1123" t="inlineStr">
        <is>
          <t>498</t>
        </is>
      </c>
      <c r="D1123" t="inlineStr">
        <is>
          <t>14</t>
        </is>
      </c>
      <c r="E1123" t="inlineStr">
        <is>
          <t>19</t>
        </is>
      </c>
      <c r="F1123" t="inlineStr">
        <is>
          <t>A-B</t>
        </is>
      </c>
      <c r="G1123" t="inlineStr">
        <is>
          <t>Average</t>
        </is>
      </c>
      <c r="H1123" t="n">
        <v>295</v>
      </c>
      <c r="I1123">
        <f>B1123&amp;"~"&amp;F1123&amp;"~"&amp;G1123</f>
        <v/>
      </c>
      <c r="J1123" t="inlineStr">
        <is>
          <t>MVS Sec.14 p.19</t>
        </is>
      </c>
    </row>
    <row r="1124">
      <c r="B1124" t="inlineStr">
        <is>
          <t>Broadcasting Facilities</t>
        </is>
      </c>
      <c r="C1124" t="inlineStr">
        <is>
          <t>498</t>
        </is>
      </c>
      <c r="D1124" t="inlineStr">
        <is>
          <t>14</t>
        </is>
      </c>
      <c r="E1124" t="inlineStr">
        <is>
          <t>19</t>
        </is>
      </c>
      <c r="F1124" t="inlineStr">
        <is>
          <t>A-B</t>
        </is>
      </c>
      <c r="G1124" t="inlineStr">
        <is>
          <t>Low Cost</t>
        </is>
      </c>
      <c r="H1124" t="n">
        <v>214</v>
      </c>
      <c r="I1124">
        <f>B1124&amp;"~"&amp;F1124&amp;"~"&amp;G1124</f>
        <v/>
      </c>
      <c r="J1124" t="inlineStr">
        <is>
          <t>MVS Sec.14 p.19</t>
        </is>
      </c>
    </row>
    <row r="1125">
      <c r="B1125" t="inlineStr">
        <is>
          <t>Broadcasting Facilities</t>
        </is>
      </c>
      <c r="C1125" t="inlineStr">
        <is>
          <t>498</t>
        </is>
      </c>
      <c r="D1125" t="inlineStr">
        <is>
          <t>14</t>
        </is>
      </c>
      <c r="E1125" t="inlineStr">
        <is>
          <t>19</t>
        </is>
      </c>
      <c r="F1125" t="inlineStr">
        <is>
          <t>C</t>
        </is>
      </c>
      <c r="G1125" t="inlineStr">
        <is>
          <t>Excellent</t>
        </is>
      </c>
      <c r="H1125" t="n">
        <v>353</v>
      </c>
      <c r="I1125">
        <f>B1125&amp;"~"&amp;F1125&amp;"~"&amp;G1125</f>
        <v/>
      </c>
      <c r="J1125" t="inlineStr">
        <is>
          <t>MVS Sec.14 p.19</t>
        </is>
      </c>
    </row>
    <row r="1126">
      <c r="B1126" t="inlineStr">
        <is>
          <t>Broadcasting Facilities</t>
        </is>
      </c>
      <c r="C1126" t="inlineStr">
        <is>
          <t>498</t>
        </is>
      </c>
      <c r="D1126" t="inlineStr">
        <is>
          <t>14</t>
        </is>
      </c>
      <c r="E1126" t="inlineStr">
        <is>
          <t>19</t>
        </is>
      </c>
      <c r="F1126" t="inlineStr">
        <is>
          <t>C</t>
        </is>
      </c>
      <c r="G1126" t="inlineStr">
        <is>
          <t>Good</t>
        </is>
      </c>
      <c r="H1126" t="n">
        <v>253</v>
      </c>
      <c r="I1126">
        <f>B1126&amp;"~"&amp;F1126&amp;"~"&amp;G1126</f>
        <v/>
      </c>
      <c r="J1126" t="inlineStr">
        <is>
          <t>MVS Sec.14 p.19</t>
        </is>
      </c>
    </row>
    <row r="1127">
      <c r="B1127" t="inlineStr">
        <is>
          <t>Broadcasting Facilities</t>
        </is>
      </c>
      <c r="C1127" t="inlineStr">
        <is>
          <t>498</t>
        </is>
      </c>
      <c r="D1127" t="inlineStr">
        <is>
          <t>14</t>
        </is>
      </c>
      <c r="E1127" t="inlineStr">
        <is>
          <t>19</t>
        </is>
      </c>
      <c r="F1127" t="inlineStr">
        <is>
          <t>C</t>
        </is>
      </c>
      <c r="G1127" t="inlineStr">
        <is>
          <t>Average</t>
        </is>
      </c>
      <c r="H1127" t="n">
        <v>187</v>
      </c>
      <c r="I1127">
        <f>B1127&amp;"~"&amp;F1127&amp;"~"&amp;G1127</f>
        <v/>
      </c>
      <c r="J1127" t="inlineStr">
        <is>
          <t>MVS Sec.14 p.19</t>
        </is>
      </c>
    </row>
    <row r="1128">
      <c r="B1128" t="inlineStr">
        <is>
          <t>Broadcasting Facilities</t>
        </is>
      </c>
      <c r="C1128" t="inlineStr">
        <is>
          <t>498</t>
        </is>
      </c>
      <c r="D1128" t="inlineStr">
        <is>
          <t>14</t>
        </is>
      </c>
      <c r="E1128" t="inlineStr">
        <is>
          <t>19</t>
        </is>
      </c>
      <c r="F1128" t="inlineStr">
        <is>
          <t>C</t>
        </is>
      </c>
      <c r="G1128" t="inlineStr">
        <is>
          <t>Low Cost</t>
        </is>
      </c>
      <c r="H1128" t="n">
        <v>138</v>
      </c>
      <c r="I1128">
        <f>B1128&amp;"~"&amp;F1128&amp;"~"&amp;G1128</f>
        <v/>
      </c>
      <c r="J1128" t="inlineStr">
        <is>
          <t>MVS Sec.14 p.19</t>
        </is>
      </c>
    </row>
    <row r="1129">
      <c r="B1129" t="inlineStr">
        <is>
          <t>Broadcasting Facilities</t>
        </is>
      </c>
      <c r="C1129" t="inlineStr">
        <is>
          <t>498</t>
        </is>
      </c>
      <c r="D1129" t="inlineStr">
        <is>
          <t>14</t>
        </is>
      </c>
      <c r="E1129" t="inlineStr">
        <is>
          <t>19</t>
        </is>
      </c>
      <c r="F1129" t="inlineStr">
        <is>
          <t>D</t>
        </is>
      </c>
      <c r="G1129" t="inlineStr">
        <is>
          <t>Excellent</t>
        </is>
      </c>
      <c r="H1129" t="n">
        <v>340</v>
      </c>
      <c r="I1129">
        <f>B1129&amp;"~"&amp;F1129&amp;"~"&amp;G1129</f>
        <v/>
      </c>
      <c r="J1129" t="inlineStr">
        <is>
          <t>MVS Sec.14 p.19</t>
        </is>
      </c>
    </row>
    <row r="1130">
      <c r="B1130" t="inlineStr">
        <is>
          <t>Broadcasting Facilities</t>
        </is>
      </c>
      <c r="C1130" t="inlineStr">
        <is>
          <t>498</t>
        </is>
      </c>
      <c r="D1130" t="inlineStr">
        <is>
          <t>14</t>
        </is>
      </c>
      <c r="E1130" t="inlineStr">
        <is>
          <t>19</t>
        </is>
      </c>
      <c r="F1130" t="inlineStr">
        <is>
          <t>D</t>
        </is>
      </c>
      <c r="G1130" t="inlineStr">
        <is>
          <t>Good</t>
        </is>
      </c>
      <c r="H1130" t="n">
        <v>243</v>
      </c>
      <c r="I1130">
        <f>B1130&amp;"~"&amp;F1130&amp;"~"&amp;G1130</f>
        <v/>
      </c>
      <c r="J1130" t="inlineStr">
        <is>
          <t>MVS Sec.14 p.19</t>
        </is>
      </c>
    </row>
    <row r="1131">
      <c r="B1131" t="inlineStr">
        <is>
          <t>Broadcasting Facilities</t>
        </is>
      </c>
      <c r="C1131" t="inlineStr">
        <is>
          <t>498</t>
        </is>
      </c>
      <c r="D1131" t="inlineStr">
        <is>
          <t>14</t>
        </is>
      </c>
      <c r="E1131" t="inlineStr">
        <is>
          <t>19</t>
        </is>
      </c>
      <c r="F1131" t="inlineStr">
        <is>
          <t>D</t>
        </is>
      </c>
      <c r="G1131" t="inlineStr">
        <is>
          <t>Average</t>
        </is>
      </c>
      <c r="H1131" t="n">
        <v>179</v>
      </c>
      <c r="I1131">
        <f>B1131&amp;"~"&amp;F1131&amp;"~"&amp;G1131</f>
        <v/>
      </c>
      <c r="J1131" t="inlineStr">
        <is>
          <t>MVS Sec.14 p.19</t>
        </is>
      </c>
    </row>
    <row r="1132">
      <c r="B1132" t="inlineStr">
        <is>
          <t>Broadcasting Facilities</t>
        </is>
      </c>
      <c r="C1132" t="inlineStr">
        <is>
          <t>498</t>
        </is>
      </c>
      <c r="D1132" t="inlineStr">
        <is>
          <t>14</t>
        </is>
      </c>
      <c r="E1132" t="inlineStr">
        <is>
          <t>19</t>
        </is>
      </c>
      <c r="F1132" t="inlineStr">
        <is>
          <t>D</t>
        </is>
      </c>
      <c r="G1132" t="inlineStr">
        <is>
          <t>Low Cost</t>
        </is>
      </c>
      <c r="H1132" t="n">
        <v>132</v>
      </c>
      <c r="I1132">
        <f>B1132&amp;"~"&amp;F1132&amp;"~"&amp;G1132</f>
        <v/>
      </c>
      <c r="J1132" t="inlineStr">
        <is>
          <t>MVS Sec.14 p.19</t>
        </is>
      </c>
    </row>
    <row r="1133">
      <c r="B1133" t="inlineStr">
        <is>
          <t>Broadcasting Facilities</t>
        </is>
      </c>
      <c r="C1133" t="inlineStr">
        <is>
          <t>498</t>
        </is>
      </c>
      <c r="D1133" t="inlineStr">
        <is>
          <t>14</t>
        </is>
      </c>
      <c r="E1133" t="inlineStr">
        <is>
          <t>19</t>
        </is>
      </c>
      <c r="F1133" t="inlineStr">
        <is>
          <t>DPOLE</t>
        </is>
      </c>
      <c r="G1133" t="inlineStr">
        <is>
          <t>Average</t>
        </is>
      </c>
      <c r="H1133" t="n">
        <v>174</v>
      </c>
      <c r="I1133">
        <f>B1133&amp;"~"&amp;F1133&amp;"~"&amp;G1133</f>
        <v/>
      </c>
      <c r="J1133" t="inlineStr">
        <is>
          <t>MVS Sec.14 p.19</t>
        </is>
      </c>
    </row>
    <row r="1134">
      <c r="B1134" t="inlineStr">
        <is>
          <t>Broadcasting Facilities</t>
        </is>
      </c>
      <c r="C1134" t="inlineStr">
        <is>
          <t>498</t>
        </is>
      </c>
      <c r="D1134" t="inlineStr">
        <is>
          <t>14</t>
        </is>
      </c>
      <c r="E1134" t="inlineStr">
        <is>
          <t>19</t>
        </is>
      </c>
      <c r="F1134" t="inlineStr">
        <is>
          <t>DPOLE</t>
        </is>
      </c>
      <c r="G1134" t="inlineStr">
        <is>
          <t>Low Cost</t>
        </is>
      </c>
      <c r="H1134" t="n">
        <v>128</v>
      </c>
      <c r="I1134">
        <f>B1134&amp;"~"&amp;F1134&amp;"~"&amp;G1134</f>
        <v/>
      </c>
      <c r="J1134" t="inlineStr">
        <is>
          <t>MVS Sec.14 p.19</t>
        </is>
      </c>
    </row>
    <row r="1135">
      <c r="B1135" t="inlineStr">
        <is>
          <t>Broadcasting Facilities</t>
        </is>
      </c>
      <c r="C1135" t="inlineStr">
        <is>
          <t>498</t>
        </is>
      </c>
      <c r="D1135" t="inlineStr">
        <is>
          <t>14</t>
        </is>
      </c>
      <c r="E1135" t="inlineStr">
        <is>
          <t>19</t>
        </is>
      </c>
      <c r="F1135" t="inlineStr">
        <is>
          <t>S</t>
        </is>
      </c>
      <c r="G1135" t="inlineStr">
        <is>
          <t>Good</t>
        </is>
      </c>
      <c r="H1135" t="n">
        <v>247</v>
      </c>
      <c r="I1135">
        <f>B1135&amp;"~"&amp;F1135&amp;"~"&amp;G1135</f>
        <v/>
      </c>
      <c r="J1135" t="inlineStr">
        <is>
          <t>MVS Sec.14 p.19</t>
        </is>
      </c>
    </row>
    <row r="1136">
      <c r="B1136" t="inlineStr">
        <is>
          <t>Broadcasting Facilities</t>
        </is>
      </c>
      <c r="C1136" t="inlineStr">
        <is>
          <t>498</t>
        </is>
      </c>
      <c r="D1136" t="inlineStr">
        <is>
          <t>14</t>
        </is>
      </c>
      <c r="E1136" t="inlineStr">
        <is>
          <t>19</t>
        </is>
      </c>
      <c r="F1136" t="inlineStr">
        <is>
          <t>S</t>
        </is>
      </c>
      <c r="G1136" t="inlineStr">
        <is>
          <t>Average</t>
        </is>
      </c>
      <c r="H1136" t="n">
        <v>181</v>
      </c>
      <c r="I1136">
        <f>B1136&amp;"~"&amp;F1136&amp;"~"&amp;G1136</f>
        <v/>
      </c>
      <c r="J1136" t="inlineStr">
        <is>
          <t>MVS Sec.14 p.19</t>
        </is>
      </c>
    </row>
    <row r="1137">
      <c r="B1137" t="inlineStr">
        <is>
          <t>Broadcasting Facilities</t>
        </is>
      </c>
      <c r="C1137" t="inlineStr">
        <is>
          <t>498</t>
        </is>
      </c>
      <c r="D1137" t="inlineStr">
        <is>
          <t>14</t>
        </is>
      </c>
      <c r="E1137" t="inlineStr">
        <is>
          <t>19</t>
        </is>
      </c>
      <c r="F1137" t="inlineStr">
        <is>
          <t>S</t>
        </is>
      </c>
      <c r="G1137" t="inlineStr">
        <is>
          <t>Low Cost</t>
        </is>
      </c>
      <c r="H1137" t="n">
        <v>133</v>
      </c>
      <c r="I1137">
        <f>B1137&amp;"~"&amp;F1137&amp;"~"&amp;G1137</f>
        <v/>
      </c>
      <c r="J1137" t="inlineStr">
        <is>
          <t>MVS Sec.14 p.19</t>
        </is>
      </c>
    </row>
    <row r="1138">
      <c r="B1138" t="inlineStr">
        <is>
          <t>Passenger Terminals</t>
        </is>
      </c>
      <c r="C1138" t="inlineStr">
        <is>
          <t>571</t>
        </is>
      </c>
      <c r="D1138" t="inlineStr">
        <is>
          <t>14</t>
        </is>
      </c>
      <c r="E1138" t="inlineStr">
        <is>
          <t>20</t>
        </is>
      </c>
      <c r="F1138" t="inlineStr">
        <is>
          <t>A-B</t>
        </is>
      </c>
      <c r="G1138" t="inlineStr">
        <is>
          <t>Excellent</t>
        </is>
      </c>
      <c r="H1138" t="n">
        <v>650</v>
      </c>
      <c r="I1138">
        <f>B1138&amp;"~"&amp;F1138&amp;"~"&amp;G1138</f>
        <v/>
      </c>
      <c r="J1138" t="inlineStr">
        <is>
          <t>MVS Sec.14 p.20</t>
        </is>
      </c>
    </row>
    <row r="1139">
      <c r="B1139" t="inlineStr">
        <is>
          <t>Passenger Terminals</t>
        </is>
      </c>
      <c r="C1139" t="inlineStr">
        <is>
          <t>571</t>
        </is>
      </c>
      <c r="D1139" t="inlineStr">
        <is>
          <t>14</t>
        </is>
      </c>
      <c r="E1139" t="inlineStr">
        <is>
          <t>20</t>
        </is>
      </c>
      <c r="F1139" t="inlineStr">
        <is>
          <t>A-B</t>
        </is>
      </c>
      <c r="G1139" t="inlineStr">
        <is>
          <t>Good</t>
        </is>
      </c>
      <c r="H1139" t="n">
        <v>458</v>
      </c>
      <c r="I1139">
        <f>B1139&amp;"~"&amp;F1139&amp;"~"&amp;G1139</f>
        <v/>
      </c>
      <c r="J1139" t="inlineStr">
        <is>
          <t>MVS Sec.14 p.20</t>
        </is>
      </c>
    </row>
    <row r="1140">
      <c r="B1140" t="inlineStr">
        <is>
          <t>Passenger Terminals</t>
        </is>
      </c>
      <c r="C1140" t="inlineStr">
        <is>
          <t>571</t>
        </is>
      </c>
      <c r="D1140" t="inlineStr">
        <is>
          <t>14</t>
        </is>
      </c>
      <c r="E1140" t="inlineStr">
        <is>
          <t>20</t>
        </is>
      </c>
      <c r="F1140" t="inlineStr">
        <is>
          <t>A-B</t>
        </is>
      </c>
      <c r="G1140" t="inlineStr">
        <is>
          <t>Average</t>
        </is>
      </c>
      <c r="H1140" t="n">
        <v>323</v>
      </c>
      <c r="I1140">
        <f>B1140&amp;"~"&amp;F1140&amp;"~"&amp;G1140</f>
        <v/>
      </c>
      <c r="J1140" t="inlineStr">
        <is>
          <t>MVS Sec.14 p.20</t>
        </is>
      </c>
    </row>
    <row r="1141">
      <c r="B1141" t="inlineStr">
        <is>
          <t>Passenger Terminals</t>
        </is>
      </c>
      <c r="C1141" t="inlineStr">
        <is>
          <t>571</t>
        </is>
      </c>
      <c r="D1141" t="inlineStr">
        <is>
          <t>14</t>
        </is>
      </c>
      <c r="E1141" t="inlineStr">
        <is>
          <t>20</t>
        </is>
      </c>
      <c r="F1141" t="inlineStr">
        <is>
          <t>A-B</t>
        </is>
      </c>
      <c r="G1141" t="inlineStr">
        <is>
          <t>Low Cost</t>
        </is>
      </c>
      <c r="H1141" t="n">
        <v>227</v>
      </c>
      <c r="I1141">
        <f>B1141&amp;"~"&amp;F1141&amp;"~"&amp;G1141</f>
        <v/>
      </c>
      <c r="J1141" t="inlineStr">
        <is>
          <t>MVS Sec.14 p.20</t>
        </is>
      </c>
    </row>
    <row r="1142">
      <c r="B1142" t="inlineStr">
        <is>
          <t>Passenger Terminals</t>
        </is>
      </c>
      <c r="C1142" t="inlineStr">
        <is>
          <t>571</t>
        </is>
      </c>
      <c r="D1142" t="inlineStr">
        <is>
          <t>14</t>
        </is>
      </c>
      <c r="E1142" t="inlineStr">
        <is>
          <t>20</t>
        </is>
      </c>
      <c r="F1142" t="inlineStr">
        <is>
          <t>C</t>
        </is>
      </c>
      <c r="G1142" t="inlineStr">
        <is>
          <t>Excellent</t>
        </is>
      </c>
      <c r="H1142" t="n">
        <v>440</v>
      </c>
      <c r="I1142">
        <f>B1142&amp;"~"&amp;F1142&amp;"~"&amp;G1142</f>
        <v/>
      </c>
      <c r="J1142" t="inlineStr">
        <is>
          <t>MVS Sec.14 p.20</t>
        </is>
      </c>
    </row>
    <row r="1143">
      <c r="B1143" t="inlineStr">
        <is>
          <t>Passenger Terminals</t>
        </is>
      </c>
      <c r="C1143" t="inlineStr">
        <is>
          <t>571</t>
        </is>
      </c>
      <c r="D1143" t="inlineStr">
        <is>
          <t>14</t>
        </is>
      </c>
      <c r="E1143" t="inlineStr">
        <is>
          <t>20</t>
        </is>
      </c>
      <c r="F1143" t="inlineStr">
        <is>
          <t>C</t>
        </is>
      </c>
      <c r="G1143" t="inlineStr">
        <is>
          <t>Very Good</t>
        </is>
      </c>
      <c r="H1143" t="n">
        <v>345</v>
      </c>
      <c r="I1143">
        <f>B1143&amp;"~"&amp;F1143&amp;"~"&amp;G1143</f>
        <v/>
      </c>
      <c r="J1143" t="inlineStr">
        <is>
          <t>MVS Sec.14 p.20</t>
        </is>
      </c>
    </row>
    <row r="1144">
      <c r="B1144" t="inlineStr">
        <is>
          <t>Passenger Terminals</t>
        </is>
      </c>
      <c r="C1144" t="inlineStr">
        <is>
          <t>571</t>
        </is>
      </c>
      <c r="D1144" t="inlineStr">
        <is>
          <t>14</t>
        </is>
      </c>
      <c r="E1144" t="inlineStr">
        <is>
          <t>20</t>
        </is>
      </c>
      <c r="F1144" t="inlineStr">
        <is>
          <t>C</t>
        </is>
      </c>
      <c r="G1144" t="inlineStr">
        <is>
          <t>Good</t>
        </is>
      </c>
      <c r="H1144" t="n">
        <v>262</v>
      </c>
      <c r="I1144">
        <f>B1144&amp;"~"&amp;F1144&amp;"~"&amp;G1144</f>
        <v/>
      </c>
      <c r="J1144" t="inlineStr">
        <is>
          <t>MVS Sec.14 p.20</t>
        </is>
      </c>
    </row>
    <row r="1145">
      <c r="B1145" t="inlineStr">
        <is>
          <t>Passenger Terminals</t>
        </is>
      </c>
      <c r="C1145" t="inlineStr">
        <is>
          <t>571</t>
        </is>
      </c>
      <c r="D1145" t="inlineStr">
        <is>
          <t>14</t>
        </is>
      </c>
      <c r="E1145" t="inlineStr">
        <is>
          <t>20</t>
        </is>
      </c>
      <c r="F1145" t="inlineStr">
        <is>
          <t>C</t>
        </is>
      </c>
      <c r="G1145" t="inlineStr">
        <is>
          <t>Average</t>
        </is>
      </c>
      <c r="H1145" t="n">
        <v>161</v>
      </c>
      <c r="I1145">
        <f>B1145&amp;"~"&amp;F1145&amp;"~"&amp;G1145</f>
        <v/>
      </c>
      <c r="J1145" t="inlineStr">
        <is>
          <t>MVS Sec.14 p.20</t>
        </is>
      </c>
    </row>
    <row r="1146">
      <c r="B1146" t="inlineStr">
        <is>
          <t>Passenger Terminals</t>
        </is>
      </c>
      <c r="C1146" t="inlineStr">
        <is>
          <t>571</t>
        </is>
      </c>
      <c r="D1146" t="inlineStr">
        <is>
          <t>14</t>
        </is>
      </c>
      <c r="E1146" t="inlineStr">
        <is>
          <t>20</t>
        </is>
      </c>
      <c r="F1146" t="inlineStr">
        <is>
          <t>C</t>
        </is>
      </c>
      <c r="G1146" t="inlineStr">
        <is>
          <t>Fair</t>
        </is>
      </c>
      <c r="H1146" t="n">
        <v>128</v>
      </c>
      <c r="I1146">
        <f>B1146&amp;"~"&amp;F1146&amp;"~"&amp;G1146</f>
        <v/>
      </c>
      <c r="J1146" t="inlineStr">
        <is>
          <t>MVS Sec.14 p.20</t>
        </is>
      </c>
    </row>
    <row r="1147">
      <c r="B1147" t="inlineStr">
        <is>
          <t>Passenger Terminals</t>
        </is>
      </c>
      <c r="C1147" t="inlineStr">
        <is>
          <t>571</t>
        </is>
      </c>
      <c r="D1147" t="inlineStr">
        <is>
          <t>14</t>
        </is>
      </c>
      <c r="E1147" t="inlineStr">
        <is>
          <t>20</t>
        </is>
      </c>
      <c r="F1147" t="inlineStr">
        <is>
          <t>C</t>
        </is>
      </c>
      <c r="G1147" t="inlineStr">
        <is>
          <t>Low Cost</t>
        </is>
      </c>
      <c r="H1147" t="n">
        <v>102</v>
      </c>
      <c r="I1147">
        <f>B1147&amp;"~"&amp;F1147&amp;"~"&amp;G1147</f>
        <v/>
      </c>
      <c r="J1147" t="inlineStr">
        <is>
          <t>MVS Sec.14 p.20</t>
        </is>
      </c>
    </row>
    <row r="1148">
      <c r="B1148" t="inlineStr">
        <is>
          <t>Passenger Terminals</t>
        </is>
      </c>
      <c r="C1148" t="inlineStr">
        <is>
          <t>571</t>
        </is>
      </c>
      <c r="D1148" t="inlineStr">
        <is>
          <t>14</t>
        </is>
      </c>
      <c r="E1148" t="inlineStr">
        <is>
          <t>20</t>
        </is>
      </c>
      <c r="F1148" t="inlineStr">
        <is>
          <t>D</t>
        </is>
      </c>
      <c r="G1148" t="inlineStr">
        <is>
          <t>Very Good</t>
        </is>
      </c>
      <c r="H1148" t="n">
        <v>325</v>
      </c>
      <c r="I1148">
        <f>B1148&amp;"~"&amp;F1148&amp;"~"&amp;G1148</f>
        <v/>
      </c>
      <c r="J1148" t="inlineStr">
        <is>
          <t>MVS Sec.14 p.20</t>
        </is>
      </c>
    </row>
    <row r="1149">
      <c r="B1149" t="inlineStr">
        <is>
          <t>Passenger Terminals</t>
        </is>
      </c>
      <c r="C1149" t="inlineStr">
        <is>
          <t>571</t>
        </is>
      </c>
      <c r="D1149" t="inlineStr">
        <is>
          <t>14</t>
        </is>
      </c>
      <c r="E1149" t="inlineStr">
        <is>
          <t>20</t>
        </is>
      </c>
      <c r="F1149" t="inlineStr">
        <is>
          <t>D</t>
        </is>
      </c>
      <c r="G1149" t="inlineStr">
        <is>
          <t>Good</t>
        </is>
      </c>
      <c r="H1149" t="n">
        <v>245</v>
      </c>
      <c r="I1149">
        <f>B1149&amp;"~"&amp;F1149&amp;"~"&amp;G1149</f>
        <v/>
      </c>
      <c r="J1149" t="inlineStr">
        <is>
          <t>MVS Sec.14 p.20</t>
        </is>
      </c>
    </row>
    <row r="1150">
      <c r="B1150" t="inlineStr">
        <is>
          <t>Passenger Terminals</t>
        </is>
      </c>
      <c r="C1150" t="inlineStr">
        <is>
          <t>571</t>
        </is>
      </c>
      <c r="D1150" t="inlineStr">
        <is>
          <t>14</t>
        </is>
      </c>
      <c r="E1150" t="inlineStr">
        <is>
          <t>20</t>
        </is>
      </c>
      <c r="F1150" t="inlineStr">
        <is>
          <t>D</t>
        </is>
      </c>
      <c r="G1150" t="inlineStr">
        <is>
          <t>Average</t>
        </is>
      </c>
      <c r="H1150" t="n">
        <v>150</v>
      </c>
      <c r="I1150">
        <f>B1150&amp;"~"&amp;F1150&amp;"~"&amp;G1150</f>
        <v/>
      </c>
      <c r="J1150" t="inlineStr">
        <is>
          <t>MVS Sec.14 p.20</t>
        </is>
      </c>
    </row>
    <row r="1151">
      <c r="B1151" t="inlineStr">
        <is>
          <t>Passenger Terminals</t>
        </is>
      </c>
      <c r="C1151" t="inlineStr">
        <is>
          <t>571</t>
        </is>
      </c>
      <c r="D1151" t="inlineStr">
        <is>
          <t>14</t>
        </is>
      </c>
      <c r="E1151" t="inlineStr">
        <is>
          <t>20</t>
        </is>
      </c>
      <c r="F1151" t="inlineStr">
        <is>
          <t>D</t>
        </is>
      </c>
      <c r="G1151" t="inlineStr">
        <is>
          <t>Fair</t>
        </is>
      </c>
      <c r="H1151" t="n">
        <v>119</v>
      </c>
      <c r="I1151">
        <f>B1151&amp;"~"&amp;F1151&amp;"~"&amp;G1151</f>
        <v/>
      </c>
      <c r="J1151" t="inlineStr">
        <is>
          <t>MVS Sec.14 p.20</t>
        </is>
      </c>
    </row>
    <row r="1152">
      <c r="B1152" t="inlineStr">
        <is>
          <t>Passenger Terminals</t>
        </is>
      </c>
      <c r="C1152" t="inlineStr">
        <is>
          <t>571</t>
        </is>
      </c>
      <c r="D1152" t="inlineStr">
        <is>
          <t>14</t>
        </is>
      </c>
      <c r="E1152" t="inlineStr">
        <is>
          <t>20</t>
        </is>
      </c>
      <c r="F1152" t="inlineStr">
        <is>
          <t>D</t>
        </is>
      </c>
      <c r="G1152" t="inlineStr">
        <is>
          <t>Low Cost</t>
        </is>
      </c>
      <c r="H1152" t="n">
        <v>95</v>
      </c>
      <c r="I1152">
        <f>B1152&amp;"~"&amp;F1152&amp;"~"&amp;G1152</f>
        <v/>
      </c>
      <c r="J1152" t="inlineStr">
        <is>
          <t>MVS Sec.14 p.20</t>
        </is>
      </c>
    </row>
    <row r="1153">
      <c r="B1153" t="inlineStr">
        <is>
          <t>Passenger Terminals</t>
        </is>
      </c>
      <c r="C1153" t="inlineStr">
        <is>
          <t>571</t>
        </is>
      </c>
      <c r="D1153" t="inlineStr">
        <is>
          <t>14</t>
        </is>
      </c>
      <c r="E1153" t="inlineStr">
        <is>
          <t>20</t>
        </is>
      </c>
      <c r="F1153" t="inlineStr">
        <is>
          <t>DPOLE</t>
        </is>
      </c>
      <c r="G1153" t="inlineStr">
        <is>
          <t>Fair</t>
        </is>
      </c>
      <c r="H1153" t="n">
        <v>114</v>
      </c>
      <c r="I1153">
        <f>B1153&amp;"~"&amp;F1153&amp;"~"&amp;G1153</f>
        <v/>
      </c>
      <c r="J1153" t="inlineStr">
        <is>
          <t>MVS Sec.14 p.20</t>
        </is>
      </c>
    </row>
    <row r="1154">
      <c r="B1154" t="inlineStr">
        <is>
          <t>Passenger Terminals</t>
        </is>
      </c>
      <c r="C1154" t="inlineStr">
        <is>
          <t>571</t>
        </is>
      </c>
      <c r="D1154" t="inlineStr">
        <is>
          <t>14</t>
        </is>
      </c>
      <c r="E1154" t="inlineStr">
        <is>
          <t>20</t>
        </is>
      </c>
      <c r="F1154" t="inlineStr">
        <is>
          <t>DPOLE</t>
        </is>
      </c>
      <c r="G1154" t="inlineStr">
        <is>
          <t>Low Cost</t>
        </is>
      </c>
      <c r="H1154" t="n">
        <v>90.5</v>
      </c>
      <c r="I1154">
        <f>B1154&amp;"~"&amp;F1154&amp;"~"&amp;G1154</f>
        <v/>
      </c>
      <c r="J1154" t="inlineStr">
        <is>
          <t>MVS Sec.14 p.20</t>
        </is>
      </c>
    </row>
    <row r="1155">
      <c r="B1155" t="inlineStr">
        <is>
          <t>Passenger Terminals</t>
        </is>
      </c>
      <c r="C1155" t="inlineStr">
        <is>
          <t>571</t>
        </is>
      </c>
      <c r="D1155" t="inlineStr">
        <is>
          <t>14</t>
        </is>
      </c>
      <c r="E1155" t="inlineStr">
        <is>
          <t>20</t>
        </is>
      </c>
      <c r="F1155" t="inlineStr">
        <is>
          <t>S</t>
        </is>
      </c>
      <c r="G1155" t="inlineStr">
        <is>
          <t>Average</t>
        </is>
      </c>
      <c r="H1155" t="n">
        <v>150</v>
      </c>
      <c r="I1155">
        <f>B1155&amp;"~"&amp;F1155&amp;"~"&amp;G1155</f>
        <v/>
      </c>
      <c r="J1155" t="inlineStr">
        <is>
          <t>MVS Sec.14 p.20</t>
        </is>
      </c>
    </row>
    <row r="1156">
      <c r="B1156" t="inlineStr">
        <is>
          <t>Passenger Terminals</t>
        </is>
      </c>
      <c r="C1156" t="inlineStr">
        <is>
          <t>571</t>
        </is>
      </c>
      <c r="D1156" t="inlineStr">
        <is>
          <t>14</t>
        </is>
      </c>
      <c r="E1156" t="inlineStr">
        <is>
          <t>20</t>
        </is>
      </c>
      <c r="F1156" t="inlineStr">
        <is>
          <t>S</t>
        </is>
      </c>
      <c r="G1156" t="inlineStr">
        <is>
          <t>Fair</t>
        </is>
      </c>
      <c r="H1156" t="n">
        <v>119</v>
      </c>
      <c r="I1156">
        <f>B1156&amp;"~"&amp;F1156&amp;"~"&amp;G1156</f>
        <v/>
      </c>
      <c r="J1156" t="inlineStr">
        <is>
          <t>MVS Sec.14 p.20</t>
        </is>
      </c>
    </row>
    <row r="1157">
      <c r="B1157" t="inlineStr">
        <is>
          <t>Passenger Terminals</t>
        </is>
      </c>
      <c r="C1157" t="inlineStr">
        <is>
          <t>571</t>
        </is>
      </c>
      <c r="D1157" t="inlineStr">
        <is>
          <t>14</t>
        </is>
      </c>
      <c r="E1157" t="inlineStr">
        <is>
          <t>20</t>
        </is>
      </c>
      <c r="F1157" t="inlineStr">
        <is>
          <t>S</t>
        </is>
      </c>
      <c r="G1157" t="inlineStr">
        <is>
          <t>Low Cost</t>
        </is>
      </c>
      <c r="H1157" t="n">
        <v>94.5</v>
      </c>
      <c r="I1157">
        <f>B1157&amp;"~"&amp;F1157&amp;"~"&amp;G1157</f>
        <v/>
      </c>
      <c r="J1157" t="inlineStr">
        <is>
          <t>MVS Sec.14 p.20</t>
        </is>
      </c>
    </row>
    <row r="1158">
      <c r="B1158" t="inlineStr">
        <is>
          <t>Main Post Offices</t>
        </is>
      </c>
      <c r="C1158" t="inlineStr">
        <is>
          <t>581</t>
        </is>
      </c>
      <c r="D1158" t="inlineStr">
        <is>
          <t>14</t>
        </is>
      </c>
      <c r="E1158" t="inlineStr">
        <is>
          <t>21</t>
        </is>
      </c>
      <c r="F1158" t="inlineStr">
        <is>
          <t>A-B</t>
        </is>
      </c>
      <c r="G1158" t="inlineStr">
        <is>
          <t>Good</t>
        </is>
      </c>
      <c r="H1158" t="n">
        <v>374</v>
      </c>
      <c r="I1158">
        <f>B1158&amp;"~"&amp;F1158&amp;"~"&amp;G1158</f>
        <v/>
      </c>
      <c r="J1158" t="inlineStr">
        <is>
          <t>MVS Sec.14 p.21</t>
        </is>
      </c>
    </row>
    <row r="1159">
      <c r="B1159" t="inlineStr">
        <is>
          <t>Main Post Offices</t>
        </is>
      </c>
      <c r="C1159" t="inlineStr">
        <is>
          <t>581</t>
        </is>
      </c>
      <c r="D1159" t="inlineStr">
        <is>
          <t>14</t>
        </is>
      </c>
      <c r="E1159" t="inlineStr">
        <is>
          <t>21</t>
        </is>
      </c>
      <c r="F1159" t="inlineStr">
        <is>
          <t>A-B</t>
        </is>
      </c>
      <c r="G1159" t="inlineStr">
        <is>
          <t>Average</t>
        </is>
      </c>
      <c r="H1159" t="n">
        <v>282</v>
      </c>
      <c r="I1159">
        <f>B1159&amp;"~"&amp;F1159&amp;"~"&amp;G1159</f>
        <v/>
      </c>
      <c r="J1159" t="inlineStr">
        <is>
          <t>MVS Sec.14 p.21</t>
        </is>
      </c>
    </row>
    <row r="1160">
      <c r="B1160" t="inlineStr">
        <is>
          <t>Main Post Offices</t>
        </is>
      </c>
      <c r="C1160" t="inlineStr">
        <is>
          <t>581</t>
        </is>
      </c>
      <c r="D1160" t="inlineStr">
        <is>
          <t>14</t>
        </is>
      </c>
      <c r="E1160" t="inlineStr">
        <is>
          <t>21</t>
        </is>
      </c>
      <c r="F1160" t="inlineStr">
        <is>
          <t>C</t>
        </is>
      </c>
      <c r="G1160" t="inlineStr">
        <is>
          <t>Excellent</t>
        </is>
      </c>
      <c r="H1160" t="n">
        <v>344</v>
      </c>
      <c r="I1160">
        <f>B1160&amp;"~"&amp;F1160&amp;"~"&amp;G1160</f>
        <v/>
      </c>
      <c r="J1160" t="inlineStr">
        <is>
          <t>MVS Sec.14 p.21</t>
        </is>
      </c>
    </row>
    <row r="1161">
      <c r="B1161" t="inlineStr">
        <is>
          <t>Main Post Offices</t>
        </is>
      </c>
      <c r="C1161" t="inlineStr">
        <is>
          <t>581</t>
        </is>
      </c>
      <c r="D1161" t="inlineStr">
        <is>
          <t>14</t>
        </is>
      </c>
      <c r="E1161" t="inlineStr">
        <is>
          <t>21</t>
        </is>
      </c>
      <c r="F1161" t="inlineStr">
        <is>
          <t>C</t>
        </is>
      </c>
      <c r="G1161" t="inlineStr">
        <is>
          <t>Good</t>
        </is>
      </c>
      <c r="H1161" t="n">
        <v>253</v>
      </c>
      <c r="I1161">
        <f>B1161&amp;"~"&amp;F1161&amp;"~"&amp;G1161</f>
        <v/>
      </c>
      <c r="J1161" t="inlineStr">
        <is>
          <t>MVS Sec.14 p.21</t>
        </is>
      </c>
    </row>
    <row r="1162">
      <c r="B1162" t="inlineStr">
        <is>
          <t>Main Post Offices</t>
        </is>
      </c>
      <c r="C1162" t="inlineStr">
        <is>
          <t>581</t>
        </is>
      </c>
      <c r="D1162" t="inlineStr">
        <is>
          <t>14</t>
        </is>
      </c>
      <c r="E1162" t="inlineStr">
        <is>
          <t>21</t>
        </is>
      </c>
      <c r="F1162" t="inlineStr">
        <is>
          <t>C</t>
        </is>
      </c>
      <c r="G1162" t="inlineStr">
        <is>
          <t>Average</t>
        </is>
      </c>
      <c r="H1162" t="n">
        <v>192</v>
      </c>
      <c r="I1162">
        <f>B1162&amp;"~"&amp;F1162&amp;"~"&amp;G1162</f>
        <v/>
      </c>
      <c r="J1162" t="inlineStr">
        <is>
          <t>MVS Sec.14 p.21</t>
        </is>
      </c>
    </row>
    <row r="1163">
      <c r="B1163" t="inlineStr">
        <is>
          <t>Main Post Offices</t>
        </is>
      </c>
      <c r="C1163" t="inlineStr">
        <is>
          <t>581</t>
        </is>
      </c>
      <c r="D1163" t="inlineStr">
        <is>
          <t>14</t>
        </is>
      </c>
      <c r="E1163" t="inlineStr">
        <is>
          <t>21</t>
        </is>
      </c>
      <c r="F1163" t="inlineStr">
        <is>
          <t>DMASVEN</t>
        </is>
      </c>
      <c r="G1163" t="inlineStr">
        <is>
          <t>Excellent</t>
        </is>
      </c>
      <c r="H1163" t="n">
        <v>319</v>
      </c>
      <c r="I1163">
        <f>B1163&amp;"~"&amp;F1163&amp;"~"&amp;G1163</f>
        <v/>
      </c>
      <c r="J1163" t="inlineStr">
        <is>
          <t>MVS Sec.14 p.21</t>
        </is>
      </c>
    </row>
    <row r="1164">
      <c r="B1164" t="inlineStr">
        <is>
          <t>Main Post Offices</t>
        </is>
      </c>
      <c r="C1164" t="inlineStr">
        <is>
          <t>581</t>
        </is>
      </c>
      <c r="D1164" t="inlineStr">
        <is>
          <t>14</t>
        </is>
      </c>
      <c r="E1164" t="inlineStr">
        <is>
          <t>21</t>
        </is>
      </c>
      <c r="F1164" t="inlineStr">
        <is>
          <t>DMASVEN</t>
        </is>
      </c>
      <c r="G1164" t="inlineStr">
        <is>
          <t>Good</t>
        </is>
      </c>
      <c r="H1164" t="n">
        <v>244</v>
      </c>
      <c r="I1164">
        <f>B1164&amp;"~"&amp;F1164&amp;"~"&amp;G1164</f>
        <v/>
      </c>
      <c r="J1164" t="inlineStr">
        <is>
          <t>MVS Sec.14 p.21</t>
        </is>
      </c>
    </row>
    <row r="1165">
      <c r="B1165" t="inlineStr">
        <is>
          <t>Main Post Offices</t>
        </is>
      </c>
      <c r="C1165" t="inlineStr">
        <is>
          <t>581</t>
        </is>
      </c>
      <c r="D1165" t="inlineStr">
        <is>
          <t>14</t>
        </is>
      </c>
      <c r="E1165" t="inlineStr">
        <is>
          <t>21</t>
        </is>
      </c>
      <c r="F1165" t="inlineStr">
        <is>
          <t>DMASVEN</t>
        </is>
      </c>
      <c r="G1165" t="inlineStr">
        <is>
          <t>Average</t>
        </is>
      </c>
      <c r="H1165" t="n">
        <v>185</v>
      </c>
      <c r="I1165">
        <f>B1165&amp;"~"&amp;F1165&amp;"~"&amp;G1165</f>
        <v/>
      </c>
      <c r="J1165" t="inlineStr">
        <is>
          <t>MVS Sec.14 p.21</t>
        </is>
      </c>
    </row>
    <row r="1166">
      <c r="B1166" t="inlineStr">
        <is>
          <t>Main Post Offices</t>
        </is>
      </c>
      <c r="C1166" t="inlineStr">
        <is>
          <t>581</t>
        </is>
      </c>
      <c r="D1166" t="inlineStr">
        <is>
          <t>14</t>
        </is>
      </c>
      <c r="E1166" t="inlineStr">
        <is>
          <t>21</t>
        </is>
      </c>
      <c r="F1166" t="inlineStr">
        <is>
          <t>D</t>
        </is>
      </c>
      <c r="G1166" t="inlineStr">
        <is>
          <t>Very Good</t>
        </is>
      </c>
      <c r="H1166" t="n">
        <v>268</v>
      </c>
      <c r="I1166">
        <f>B1166&amp;"~"&amp;F1166&amp;"~"&amp;G1166</f>
        <v/>
      </c>
      <c r="J1166" t="inlineStr">
        <is>
          <t>MVS Sec.14 p.21</t>
        </is>
      </c>
    </row>
    <row r="1167">
      <c r="B1167" t="inlineStr">
        <is>
          <t>Main Post Offices</t>
        </is>
      </c>
      <c r="C1167" t="inlineStr">
        <is>
          <t>581</t>
        </is>
      </c>
      <c r="D1167" t="inlineStr">
        <is>
          <t>14</t>
        </is>
      </c>
      <c r="E1167" t="inlineStr">
        <is>
          <t>21</t>
        </is>
      </c>
      <c r="F1167" t="inlineStr">
        <is>
          <t>D</t>
        </is>
      </c>
      <c r="G1167" t="inlineStr">
        <is>
          <t>Good</t>
        </is>
      </c>
      <c r="H1167" t="n">
        <v>235</v>
      </c>
      <c r="I1167">
        <f>B1167&amp;"~"&amp;F1167&amp;"~"&amp;G1167</f>
        <v/>
      </c>
      <c r="J1167" t="inlineStr">
        <is>
          <t>MVS Sec.14 p.21</t>
        </is>
      </c>
    </row>
    <row r="1168">
      <c r="B1168" t="inlineStr">
        <is>
          <t>Main Post Offices</t>
        </is>
      </c>
      <c r="C1168" t="inlineStr">
        <is>
          <t>581</t>
        </is>
      </c>
      <c r="D1168" t="inlineStr">
        <is>
          <t>14</t>
        </is>
      </c>
      <c r="E1168" t="inlineStr">
        <is>
          <t>21</t>
        </is>
      </c>
      <c r="F1168" t="inlineStr">
        <is>
          <t>D</t>
        </is>
      </c>
      <c r="G1168" t="inlineStr">
        <is>
          <t>Average</t>
        </is>
      </c>
      <c r="H1168" t="n">
        <v>180</v>
      </c>
      <c r="I1168">
        <f>B1168&amp;"~"&amp;F1168&amp;"~"&amp;G1168</f>
        <v/>
      </c>
      <c r="J1168" t="inlineStr">
        <is>
          <t>MVS Sec.14 p.21</t>
        </is>
      </c>
    </row>
    <row r="1169">
      <c r="B1169" t="inlineStr">
        <is>
          <t>Main Post Offices</t>
        </is>
      </c>
      <c r="C1169" t="inlineStr">
        <is>
          <t>581</t>
        </is>
      </c>
      <c r="D1169" t="inlineStr">
        <is>
          <t>14</t>
        </is>
      </c>
      <c r="E1169" t="inlineStr">
        <is>
          <t>21</t>
        </is>
      </c>
      <c r="F1169" t="inlineStr">
        <is>
          <t>S</t>
        </is>
      </c>
      <c r="G1169" t="inlineStr">
        <is>
          <t>Average</t>
        </is>
      </c>
      <c r="H1169" t="n">
        <v>184</v>
      </c>
      <c r="I1169">
        <f>B1169&amp;"~"&amp;F1169&amp;"~"&amp;G1169</f>
        <v/>
      </c>
      <c r="J1169" t="inlineStr">
        <is>
          <t>MVS Sec.14 p.21</t>
        </is>
      </c>
    </row>
    <row r="1170">
      <c r="B1170" t="inlineStr">
        <is>
          <t>Mail - Processing Facilities</t>
        </is>
      </c>
      <c r="C1170" t="inlineStr">
        <is>
          <t>583</t>
        </is>
      </c>
      <c r="D1170" t="inlineStr">
        <is>
          <t>14</t>
        </is>
      </c>
      <c r="E1170" t="inlineStr">
        <is>
          <t>21</t>
        </is>
      </c>
      <c r="F1170" t="inlineStr">
        <is>
          <t>A-B</t>
        </is>
      </c>
      <c r="G1170" t="inlineStr">
        <is>
          <t>Average</t>
        </is>
      </c>
      <c r="H1170" t="n">
        <v>210</v>
      </c>
      <c r="I1170">
        <f>B1170&amp;"~"&amp;F1170&amp;"~"&amp;G1170</f>
        <v/>
      </c>
      <c r="J1170" t="inlineStr">
        <is>
          <t>MVS Sec.14 p.21</t>
        </is>
      </c>
    </row>
    <row r="1171">
      <c r="B1171" t="inlineStr">
        <is>
          <t>Mail - Processing Facilities</t>
        </is>
      </c>
      <c r="C1171" t="inlineStr">
        <is>
          <t>583</t>
        </is>
      </c>
      <c r="D1171" t="inlineStr">
        <is>
          <t>14</t>
        </is>
      </c>
      <c r="E1171" t="inlineStr">
        <is>
          <t>21</t>
        </is>
      </c>
      <c r="F1171" t="inlineStr">
        <is>
          <t>C</t>
        </is>
      </c>
      <c r="G1171" t="inlineStr">
        <is>
          <t>Good</t>
        </is>
      </c>
      <c r="H1171" t="n">
        <v>179</v>
      </c>
      <c r="I1171">
        <f>B1171&amp;"~"&amp;F1171&amp;"~"&amp;G1171</f>
        <v/>
      </c>
      <c r="J1171" t="inlineStr">
        <is>
          <t>MVS Sec.14 p.21</t>
        </is>
      </c>
    </row>
    <row r="1172">
      <c r="B1172" t="inlineStr">
        <is>
          <t>Mail - Processing Facilities</t>
        </is>
      </c>
      <c r="C1172" t="inlineStr">
        <is>
          <t>583</t>
        </is>
      </c>
      <c r="D1172" t="inlineStr">
        <is>
          <t>14</t>
        </is>
      </c>
      <c r="E1172" t="inlineStr">
        <is>
          <t>21</t>
        </is>
      </c>
      <c r="F1172" t="inlineStr">
        <is>
          <t>C</t>
        </is>
      </c>
      <c r="G1172" t="inlineStr">
        <is>
          <t>Average</t>
        </is>
      </c>
      <c r="H1172" t="n">
        <v>125</v>
      </c>
      <c r="I1172">
        <f>B1172&amp;"~"&amp;F1172&amp;"~"&amp;G1172</f>
        <v/>
      </c>
      <c r="J1172" t="inlineStr">
        <is>
          <t>MVS Sec.14 p.21</t>
        </is>
      </c>
    </row>
    <row r="1173">
      <c r="B1173" t="inlineStr">
        <is>
          <t>Mail - Processing Facilities</t>
        </is>
      </c>
      <c r="C1173" t="inlineStr">
        <is>
          <t>583</t>
        </is>
      </c>
      <c r="D1173" t="inlineStr">
        <is>
          <t>14</t>
        </is>
      </c>
      <c r="E1173" t="inlineStr">
        <is>
          <t>21</t>
        </is>
      </c>
      <c r="F1173" t="inlineStr">
        <is>
          <t>S</t>
        </is>
      </c>
      <c r="G1173" t="inlineStr">
        <is>
          <t>Good</t>
        </is>
      </c>
      <c r="H1173" t="n">
        <v>174</v>
      </c>
      <c r="I1173">
        <f>B1173&amp;"~"&amp;F1173&amp;"~"&amp;G1173</f>
        <v/>
      </c>
      <c r="J1173" t="inlineStr">
        <is>
          <t>MVS Sec.14 p.21</t>
        </is>
      </c>
    </row>
    <row r="1174">
      <c r="B1174" t="inlineStr">
        <is>
          <t>Mail - Processing Facilities</t>
        </is>
      </c>
      <c r="C1174" t="inlineStr">
        <is>
          <t>583</t>
        </is>
      </c>
      <c r="D1174" t="inlineStr">
        <is>
          <t>14</t>
        </is>
      </c>
      <c r="E1174" t="inlineStr">
        <is>
          <t>21</t>
        </is>
      </c>
      <c r="F1174" t="inlineStr">
        <is>
          <t>S</t>
        </is>
      </c>
      <c r="G1174" t="inlineStr">
        <is>
          <t>Average</t>
        </is>
      </c>
      <c r="H1174" t="n">
        <v>122</v>
      </c>
      <c r="I1174">
        <f>B1174&amp;"~"&amp;F1174&amp;"~"&amp;G1174</f>
        <v/>
      </c>
      <c r="J1174" t="inlineStr">
        <is>
          <t>MVS Sec.14 p.21</t>
        </is>
      </c>
    </row>
    <row r="1175">
      <c r="B1175" t="inlineStr">
        <is>
          <t>Branch Post Offices</t>
        </is>
      </c>
      <c r="C1175" t="inlineStr">
        <is>
          <t>582</t>
        </is>
      </c>
      <c r="D1175" t="inlineStr">
        <is>
          <t>14</t>
        </is>
      </c>
      <c r="E1175" t="inlineStr">
        <is>
          <t>22</t>
        </is>
      </c>
      <c r="F1175" t="inlineStr">
        <is>
          <t>A-B</t>
        </is>
      </c>
      <c r="G1175" t="inlineStr">
        <is>
          <t>Average</t>
        </is>
      </c>
      <c r="H1175" t="n">
        <v>213</v>
      </c>
      <c r="I1175">
        <f>B1175&amp;"~"&amp;F1175&amp;"~"&amp;G1175</f>
        <v/>
      </c>
      <c r="J1175" t="inlineStr">
        <is>
          <t>MVS Sec.14 p.22</t>
        </is>
      </c>
    </row>
    <row r="1176">
      <c r="B1176" t="inlineStr">
        <is>
          <t>Branch Post Offices</t>
        </is>
      </c>
      <c r="C1176" t="inlineStr">
        <is>
          <t>582</t>
        </is>
      </c>
      <c r="D1176" t="inlineStr">
        <is>
          <t>14</t>
        </is>
      </c>
      <c r="E1176" t="inlineStr">
        <is>
          <t>22</t>
        </is>
      </c>
      <c r="F1176" t="inlineStr">
        <is>
          <t>C</t>
        </is>
      </c>
      <c r="G1176" t="inlineStr">
        <is>
          <t>Excellent</t>
        </is>
      </c>
      <c r="H1176" t="n">
        <v>306</v>
      </c>
      <c r="I1176">
        <f>B1176&amp;"~"&amp;F1176&amp;"~"&amp;G1176</f>
        <v/>
      </c>
      <c r="J1176" t="inlineStr">
        <is>
          <t>MVS Sec.14 p.22</t>
        </is>
      </c>
    </row>
    <row r="1177">
      <c r="B1177" t="inlineStr">
        <is>
          <t>Branch Post Offices</t>
        </is>
      </c>
      <c r="C1177" t="inlineStr">
        <is>
          <t>582</t>
        </is>
      </c>
      <c r="D1177" t="inlineStr">
        <is>
          <t>14</t>
        </is>
      </c>
      <c r="E1177" t="inlineStr">
        <is>
          <t>22</t>
        </is>
      </c>
      <c r="F1177" t="inlineStr">
        <is>
          <t>C</t>
        </is>
      </c>
      <c r="G1177" t="inlineStr">
        <is>
          <t>Good</t>
        </is>
      </c>
      <c r="H1177" t="n">
        <v>226</v>
      </c>
      <c r="I1177">
        <f>B1177&amp;"~"&amp;F1177&amp;"~"&amp;G1177</f>
        <v/>
      </c>
      <c r="J1177" t="inlineStr">
        <is>
          <t>MVS Sec.14 p.22</t>
        </is>
      </c>
    </row>
    <row r="1178">
      <c r="B1178" t="inlineStr">
        <is>
          <t>Branch Post Offices</t>
        </is>
      </c>
      <c r="C1178" t="inlineStr">
        <is>
          <t>582</t>
        </is>
      </c>
      <c r="D1178" t="inlineStr">
        <is>
          <t>14</t>
        </is>
      </c>
      <c r="E1178" t="inlineStr">
        <is>
          <t>22</t>
        </is>
      </c>
      <c r="F1178" t="inlineStr">
        <is>
          <t>C</t>
        </is>
      </c>
      <c r="G1178" t="inlineStr">
        <is>
          <t>Average</t>
        </is>
      </c>
      <c r="H1178" t="n">
        <v>168</v>
      </c>
      <c r="I1178">
        <f>B1178&amp;"~"&amp;F1178&amp;"~"&amp;G1178</f>
        <v/>
      </c>
      <c r="J1178" t="inlineStr">
        <is>
          <t>MVS Sec.14 p.22</t>
        </is>
      </c>
    </row>
    <row r="1179">
      <c r="B1179" t="inlineStr">
        <is>
          <t>Branch Post Offices</t>
        </is>
      </c>
      <c r="C1179" t="inlineStr">
        <is>
          <t>582</t>
        </is>
      </c>
      <c r="D1179" t="inlineStr">
        <is>
          <t>14</t>
        </is>
      </c>
      <c r="E1179" t="inlineStr">
        <is>
          <t>22</t>
        </is>
      </c>
      <c r="F1179" t="inlineStr">
        <is>
          <t>C</t>
        </is>
      </c>
      <c r="G1179" t="inlineStr">
        <is>
          <t>Low Cost</t>
        </is>
      </c>
      <c r="H1179" t="n">
        <v>120</v>
      </c>
      <c r="I1179">
        <f>B1179&amp;"~"&amp;F1179&amp;"~"&amp;G1179</f>
        <v/>
      </c>
      <c r="J1179" t="inlineStr">
        <is>
          <t>MVS Sec.14 p.22</t>
        </is>
      </c>
    </row>
    <row r="1180">
      <c r="B1180" t="inlineStr">
        <is>
          <t>Branch Post Offices</t>
        </is>
      </c>
      <c r="C1180" t="inlineStr">
        <is>
          <t>582</t>
        </is>
      </c>
      <c r="D1180" t="inlineStr">
        <is>
          <t>14</t>
        </is>
      </c>
      <c r="E1180" t="inlineStr">
        <is>
          <t>22</t>
        </is>
      </c>
      <c r="F1180" t="inlineStr">
        <is>
          <t>DMASVEN</t>
        </is>
      </c>
      <c r="G1180" t="inlineStr">
        <is>
          <t>Excellent</t>
        </is>
      </c>
      <c r="H1180" t="n">
        <v>293</v>
      </c>
      <c r="I1180">
        <f>B1180&amp;"~"&amp;F1180&amp;"~"&amp;G1180</f>
        <v/>
      </c>
      <c r="J1180" t="inlineStr">
        <is>
          <t>MVS Sec.14 p.22</t>
        </is>
      </c>
    </row>
    <row r="1181">
      <c r="B1181" t="inlineStr">
        <is>
          <t>Branch Post Offices</t>
        </is>
      </c>
      <c r="C1181" t="inlineStr">
        <is>
          <t>582</t>
        </is>
      </c>
      <c r="D1181" t="inlineStr">
        <is>
          <t>14</t>
        </is>
      </c>
      <c r="E1181" t="inlineStr">
        <is>
          <t>22</t>
        </is>
      </c>
      <c r="F1181" t="inlineStr">
        <is>
          <t>DMASVEN</t>
        </is>
      </c>
      <c r="G1181" t="inlineStr">
        <is>
          <t>Good</t>
        </is>
      </c>
      <c r="H1181" t="n">
        <v>218</v>
      </c>
      <c r="I1181">
        <f>B1181&amp;"~"&amp;F1181&amp;"~"&amp;G1181</f>
        <v/>
      </c>
      <c r="J1181" t="inlineStr">
        <is>
          <t>MVS Sec.14 p.22</t>
        </is>
      </c>
    </row>
    <row r="1182">
      <c r="B1182" t="inlineStr">
        <is>
          <t>Branch Post Offices</t>
        </is>
      </c>
      <c r="C1182" t="inlineStr">
        <is>
          <t>582</t>
        </is>
      </c>
      <c r="D1182" t="inlineStr">
        <is>
          <t>14</t>
        </is>
      </c>
      <c r="E1182" t="inlineStr">
        <is>
          <t>22</t>
        </is>
      </c>
      <c r="F1182" t="inlineStr">
        <is>
          <t>DMASVEN</t>
        </is>
      </c>
      <c r="G1182" t="inlineStr">
        <is>
          <t>Average</t>
        </is>
      </c>
      <c r="H1182" t="n">
        <v>163</v>
      </c>
      <c r="I1182">
        <f>B1182&amp;"~"&amp;F1182&amp;"~"&amp;G1182</f>
        <v/>
      </c>
      <c r="J1182" t="inlineStr">
        <is>
          <t>MVS Sec.14 p.22</t>
        </is>
      </c>
    </row>
    <row r="1183">
      <c r="B1183" t="inlineStr">
        <is>
          <t>Branch Post Offices</t>
        </is>
      </c>
      <c r="C1183" t="inlineStr">
        <is>
          <t>582</t>
        </is>
      </c>
      <c r="D1183" t="inlineStr">
        <is>
          <t>14</t>
        </is>
      </c>
      <c r="E1183" t="inlineStr">
        <is>
          <t>22</t>
        </is>
      </c>
      <c r="F1183" t="inlineStr">
        <is>
          <t>DMASVEN</t>
        </is>
      </c>
      <c r="G1183" t="inlineStr">
        <is>
          <t>Low Cost</t>
        </is>
      </c>
      <c r="H1183" t="n">
        <v>117</v>
      </c>
      <c r="I1183">
        <f>B1183&amp;"~"&amp;F1183&amp;"~"&amp;G1183</f>
        <v/>
      </c>
      <c r="J1183" t="inlineStr">
        <is>
          <t>MVS Sec.14 p.22</t>
        </is>
      </c>
    </row>
    <row r="1184">
      <c r="B1184" t="inlineStr">
        <is>
          <t>Branch Post Offices</t>
        </is>
      </c>
      <c r="C1184" t="inlineStr">
        <is>
          <t>582</t>
        </is>
      </c>
      <c r="D1184" t="inlineStr">
        <is>
          <t>14</t>
        </is>
      </c>
      <c r="E1184" t="inlineStr">
        <is>
          <t>22</t>
        </is>
      </c>
      <c r="F1184" t="inlineStr">
        <is>
          <t>D</t>
        </is>
      </c>
      <c r="G1184" t="inlineStr">
        <is>
          <t>Excellent</t>
        </is>
      </c>
      <c r="H1184" t="n">
        <v>278</v>
      </c>
      <c r="I1184">
        <f>B1184&amp;"~"&amp;F1184&amp;"~"&amp;G1184</f>
        <v/>
      </c>
      <c r="J1184" t="inlineStr">
        <is>
          <t>MVS Sec.14 p.22</t>
        </is>
      </c>
    </row>
    <row r="1185">
      <c r="B1185" t="inlineStr">
        <is>
          <t>Branch Post Offices</t>
        </is>
      </c>
      <c r="C1185" t="inlineStr">
        <is>
          <t>582</t>
        </is>
      </c>
      <c r="D1185" t="inlineStr">
        <is>
          <t>14</t>
        </is>
      </c>
      <c r="E1185" t="inlineStr">
        <is>
          <t>22</t>
        </is>
      </c>
      <c r="F1185" t="inlineStr">
        <is>
          <t>D</t>
        </is>
      </c>
      <c r="G1185" t="inlineStr">
        <is>
          <t>Good</t>
        </is>
      </c>
      <c r="H1185" t="n">
        <v>208</v>
      </c>
      <c r="I1185">
        <f>B1185&amp;"~"&amp;F1185&amp;"~"&amp;G1185</f>
        <v/>
      </c>
      <c r="J1185" t="inlineStr">
        <is>
          <t>MVS Sec.14 p.22</t>
        </is>
      </c>
    </row>
    <row r="1186">
      <c r="B1186" t="inlineStr">
        <is>
          <t>Branch Post Offices</t>
        </is>
      </c>
      <c r="C1186" t="inlineStr">
        <is>
          <t>582</t>
        </is>
      </c>
      <c r="D1186" t="inlineStr">
        <is>
          <t>14</t>
        </is>
      </c>
      <c r="E1186" t="inlineStr">
        <is>
          <t>22</t>
        </is>
      </c>
      <c r="F1186" t="inlineStr">
        <is>
          <t>D</t>
        </is>
      </c>
      <c r="G1186" t="inlineStr">
        <is>
          <t>Average</t>
        </is>
      </c>
      <c r="H1186" t="n">
        <v>158</v>
      </c>
      <c r="I1186">
        <f>B1186&amp;"~"&amp;F1186&amp;"~"&amp;G1186</f>
        <v/>
      </c>
      <c r="J1186" t="inlineStr">
        <is>
          <t>MVS Sec.14 p.22</t>
        </is>
      </c>
    </row>
    <row r="1187">
      <c r="B1187" t="inlineStr">
        <is>
          <t>Branch Post Offices</t>
        </is>
      </c>
      <c r="C1187" t="inlineStr">
        <is>
          <t>582</t>
        </is>
      </c>
      <c r="D1187" t="inlineStr">
        <is>
          <t>14</t>
        </is>
      </c>
      <c r="E1187" t="inlineStr">
        <is>
          <t>22</t>
        </is>
      </c>
      <c r="F1187" t="inlineStr">
        <is>
          <t>D</t>
        </is>
      </c>
      <c r="G1187" t="inlineStr">
        <is>
          <t>Low Cost</t>
        </is>
      </c>
      <c r="H1187" t="n">
        <v>114</v>
      </c>
      <c r="I1187">
        <f>B1187&amp;"~"&amp;F1187&amp;"~"&amp;G1187</f>
        <v/>
      </c>
      <c r="J1187" t="inlineStr">
        <is>
          <t>MVS Sec.14 p.22</t>
        </is>
      </c>
    </row>
    <row r="1188">
      <c r="B1188" t="inlineStr">
        <is>
          <t>Branch Post Offices</t>
        </is>
      </c>
      <c r="C1188" t="inlineStr">
        <is>
          <t>582</t>
        </is>
      </c>
      <c r="D1188" t="inlineStr">
        <is>
          <t>14</t>
        </is>
      </c>
      <c r="E1188" t="inlineStr">
        <is>
          <t>22</t>
        </is>
      </c>
      <c r="F1188" t="inlineStr">
        <is>
          <t>S</t>
        </is>
      </c>
      <c r="G1188" t="inlineStr">
        <is>
          <t>Average</t>
        </is>
      </c>
      <c r="H1188" t="n">
        <v>162</v>
      </c>
      <c r="I1188">
        <f>B1188&amp;"~"&amp;F1188&amp;"~"&amp;G1188</f>
        <v/>
      </c>
      <c r="J1188" t="inlineStr">
        <is>
          <t>MVS Sec.14 p.22</t>
        </is>
      </c>
    </row>
    <row r="1189">
      <c r="B1189" t="inlineStr">
        <is>
          <t>Armories</t>
        </is>
      </c>
      <c r="C1189" t="inlineStr">
        <is>
          <t>301</t>
        </is>
      </c>
      <c r="D1189" t="inlineStr">
        <is>
          <t>14</t>
        </is>
      </c>
      <c r="E1189" t="inlineStr">
        <is>
          <t>22</t>
        </is>
      </c>
      <c r="F1189" t="inlineStr">
        <is>
          <t>C</t>
        </is>
      </c>
      <c r="G1189" t="inlineStr">
        <is>
          <t>Excellent</t>
        </is>
      </c>
      <c r="H1189" t="n">
        <v>231</v>
      </c>
      <c r="I1189">
        <f>B1189&amp;"~"&amp;F1189&amp;"~"&amp;G1189</f>
        <v/>
      </c>
      <c r="J1189" t="inlineStr">
        <is>
          <t>MVS Sec.14 p.22</t>
        </is>
      </c>
    </row>
    <row r="1190">
      <c r="B1190" t="inlineStr">
        <is>
          <t>Armories</t>
        </is>
      </c>
      <c r="C1190" t="inlineStr">
        <is>
          <t>301</t>
        </is>
      </c>
      <c r="D1190" t="inlineStr">
        <is>
          <t>14</t>
        </is>
      </c>
      <c r="E1190" t="inlineStr">
        <is>
          <t>22</t>
        </is>
      </c>
      <c r="F1190" t="inlineStr">
        <is>
          <t>C</t>
        </is>
      </c>
      <c r="G1190" t="inlineStr">
        <is>
          <t>Good</t>
        </is>
      </c>
      <c r="H1190" t="n">
        <v>174</v>
      </c>
      <c r="I1190">
        <f>B1190&amp;"~"&amp;F1190&amp;"~"&amp;G1190</f>
        <v/>
      </c>
      <c r="J1190" t="inlineStr">
        <is>
          <t>MVS Sec.14 p.22</t>
        </is>
      </c>
    </row>
    <row r="1191">
      <c r="B1191" t="inlineStr">
        <is>
          <t>Armories</t>
        </is>
      </c>
      <c r="C1191" t="inlineStr">
        <is>
          <t>301</t>
        </is>
      </c>
      <c r="D1191" t="inlineStr">
        <is>
          <t>14</t>
        </is>
      </c>
      <c r="E1191" t="inlineStr">
        <is>
          <t>22</t>
        </is>
      </c>
      <c r="F1191" t="inlineStr">
        <is>
          <t>C</t>
        </is>
      </c>
      <c r="G1191" t="inlineStr">
        <is>
          <t>Average</t>
        </is>
      </c>
      <c r="H1191" t="n">
        <v>131</v>
      </c>
      <c r="I1191">
        <f>B1191&amp;"~"&amp;F1191&amp;"~"&amp;G1191</f>
        <v/>
      </c>
      <c r="J1191" t="inlineStr">
        <is>
          <t>MVS Sec.14 p.22</t>
        </is>
      </c>
    </row>
    <row r="1192">
      <c r="B1192" t="inlineStr">
        <is>
          <t>Armories</t>
        </is>
      </c>
      <c r="C1192" t="inlineStr">
        <is>
          <t>301</t>
        </is>
      </c>
      <c r="D1192" t="inlineStr">
        <is>
          <t>14</t>
        </is>
      </c>
      <c r="E1192" t="inlineStr">
        <is>
          <t>22</t>
        </is>
      </c>
      <c r="F1192" t="inlineStr">
        <is>
          <t>D</t>
        </is>
      </c>
      <c r="G1192" t="inlineStr">
        <is>
          <t>Excellent</t>
        </is>
      </c>
      <c r="H1192" t="n">
        <v>215</v>
      </c>
      <c r="I1192">
        <f>B1192&amp;"~"&amp;F1192&amp;"~"&amp;G1192</f>
        <v/>
      </c>
      <c r="J1192" t="inlineStr">
        <is>
          <t>MVS Sec.14 p.22</t>
        </is>
      </c>
    </row>
    <row r="1193">
      <c r="B1193" t="inlineStr">
        <is>
          <t>Armories</t>
        </is>
      </c>
      <c r="C1193" t="inlineStr">
        <is>
          <t>301</t>
        </is>
      </c>
      <c r="D1193" t="inlineStr">
        <is>
          <t>14</t>
        </is>
      </c>
      <c r="E1193" t="inlineStr">
        <is>
          <t>22</t>
        </is>
      </c>
      <c r="F1193" t="inlineStr">
        <is>
          <t>D</t>
        </is>
      </c>
      <c r="G1193" t="inlineStr">
        <is>
          <t>Good</t>
        </is>
      </c>
      <c r="H1193" t="n">
        <v>163</v>
      </c>
      <c r="I1193">
        <f>B1193&amp;"~"&amp;F1193&amp;"~"&amp;G1193</f>
        <v/>
      </c>
      <c r="J1193" t="inlineStr">
        <is>
          <t>MVS Sec.14 p.22</t>
        </is>
      </c>
    </row>
    <row r="1194">
      <c r="B1194" t="inlineStr">
        <is>
          <t>Armories</t>
        </is>
      </c>
      <c r="C1194" t="inlineStr">
        <is>
          <t>301</t>
        </is>
      </c>
      <c r="D1194" t="inlineStr">
        <is>
          <t>14</t>
        </is>
      </c>
      <c r="E1194" t="inlineStr">
        <is>
          <t>22</t>
        </is>
      </c>
      <c r="F1194" t="inlineStr">
        <is>
          <t>D</t>
        </is>
      </c>
      <c r="G1194" t="inlineStr">
        <is>
          <t>Average</t>
        </is>
      </c>
      <c r="H1194" t="n">
        <v>123</v>
      </c>
      <c r="I1194">
        <f>B1194&amp;"~"&amp;F1194&amp;"~"&amp;G1194</f>
        <v/>
      </c>
      <c r="J1194" t="inlineStr">
        <is>
          <t>MVS Sec.14 p.22</t>
        </is>
      </c>
    </row>
    <row r="1195">
      <c r="B1195" t="inlineStr">
        <is>
          <t>Armories</t>
        </is>
      </c>
      <c r="C1195" t="inlineStr">
        <is>
          <t>301</t>
        </is>
      </c>
      <c r="D1195" t="inlineStr">
        <is>
          <t>14</t>
        </is>
      </c>
      <c r="E1195" t="inlineStr">
        <is>
          <t>22</t>
        </is>
      </c>
      <c r="F1195" t="inlineStr">
        <is>
          <t>S</t>
        </is>
      </c>
      <c r="G1195" t="inlineStr">
        <is>
          <t>Average</t>
        </is>
      </c>
      <c r="H1195" t="n">
        <v>125</v>
      </c>
      <c r="I1195">
        <f>B1195&amp;"~"&amp;F1195&amp;"~"&amp;G1195</f>
        <v/>
      </c>
      <c r="J1195" t="inlineStr">
        <is>
          <t>MVS Sec.14 p.22</t>
        </is>
      </c>
    </row>
    <row r="1196">
      <c r="B1196" t="inlineStr">
        <is>
          <t>Armories</t>
        </is>
      </c>
      <c r="C1196" t="inlineStr">
        <is>
          <t>301</t>
        </is>
      </c>
      <c r="D1196" t="inlineStr">
        <is>
          <t>14</t>
        </is>
      </c>
      <c r="E1196" t="inlineStr">
        <is>
          <t>22</t>
        </is>
      </c>
      <c r="F1196" t="inlineStr">
        <is>
          <t>CDS</t>
        </is>
      </c>
      <c r="G1196" t="inlineStr">
        <is>
          <t>Average</t>
        </is>
      </c>
      <c r="H1196" t="n">
        <v>65</v>
      </c>
      <c r="I1196">
        <f>B1196&amp;"~"&amp;F1196&amp;"~"&amp;G1196</f>
        <v/>
      </c>
      <c r="J1196" t="inlineStr">
        <is>
          <t>MVS Sec.14 p.22</t>
        </is>
      </c>
    </row>
    <row r="1197">
      <c r="B1197" t="inlineStr">
        <is>
          <t>Distribution Warehouses</t>
        </is>
      </c>
      <c r="C1197" t="inlineStr">
        <is>
          <t>407</t>
        </is>
      </c>
      <c r="D1197" t="inlineStr">
        <is>
          <t>14</t>
        </is>
      </c>
      <c r="E1197" t="inlineStr">
        <is>
          <t>23</t>
        </is>
      </c>
      <c r="F1197" t="inlineStr">
        <is>
          <t>A</t>
        </is>
      </c>
      <c r="G1197" t="inlineStr">
        <is>
          <t>Good</t>
        </is>
      </c>
      <c r="H1197" t="n">
        <v>161</v>
      </c>
      <c r="I1197">
        <f>B1197&amp;"~"&amp;F1197&amp;"~"&amp;G1197</f>
        <v/>
      </c>
      <c r="J1197" t="inlineStr">
        <is>
          <t>MVS Sec.14 p.23</t>
        </is>
      </c>
    </row>
    <row r="1198">
      <c r="B1198" t="inlineStr">
        <is>
          <t>Distribution Warehouses</t>
        </is>
      </c>
      <c r="C1198" t="inlineStr">
        <is>
          <t>407</t>
        </is>
      </c>
      <c r="D1198" t="inlineStr">
        <is>
          <t>14</t>
        </is>
      </c>
      <c r="E1198" t="inlineStr">
        <is>
          <t>23</t>
        </is>
      </c>
      <c r="F1198" t="inlineStr">
        <is>
          <t>A</t>
        </is>
      </c>
      <c r="G1198" t="inlineStr">
        <is>
          <t>Average</t>
        </is>
      </c>
      <c r="H1198" t="n">
        <v>123</v>
      </c>
      <c r="I1198">
        <f>B1198&amp;"~"&amp;F1198&amp;"~"&amp;G1198</f>
        <v/>
      </c>
      <c r="J1198" t="inlineStr">
        <is>
          <t>MVS Sec.14 p.23</t>
        </is>
      </c>
    </row>
    <row r="1199">
      <c r="B1199" t="inlineStr">
        <is>
          <t>Distribution Warehouses</t>
        </is>
      </c>
      <c r="C1199" t="inlineStr">
        <is>
          <t>407</t>
        </is>
      </c>
      <c r="D1199" t="inlineStr">
        <is>
          <t>14</t>
        </is>
      </c>
      <c r="E1199" t="inlineStr">
        <is>
          <t>23</t>
        </is>
      </c>
      <c r="F1199" t="inlineStr">
        <is>
          <t>B</t>
        </is>
      </c>
      <c r="G1199" t="inlineStr">
        <is>
          <t>Good</t>
        </is>
      </c>
      <c r="H1199" t="n">
        <v>144</v>
      </c>
      <c r="I1199">
        <f>B1199&amp;"~"&amp;F1199&amp;"~"&amp;G1199</f>
        <v/>
      </c>
      <c r="J1199" t="inlineStr">
        <is>
          <t>MVS Sec.14 p.23</t>
        </is>
      </c>
    </row>
    <row r="1200">
      <c r="B1200" t="inlineStr">
        <is>
          <t>Distribution Warehouses</t>
        </is>
      </c>
      <c r="C1200" t="inlineStr">
        <is>
          <t>407</t>
        </is>
      </c>
      <c r="D1200" t="inlineStr">
        <is>
          <t>14</t>
        </is>
      </c>
      <c r="E1200" t="inlineStr">
        <is>
          <t>23</t>
        </is>
      </c>
      <c r="F1200" t="inlineStr">
        <is>
          <t>B</t>
        </is>
      </c>
      <c r="G1200" t="inlineStr">
        <is>
          <t>Average</t>
        </is>
      </c>
      <c r="H1200" t="n">
        <v>108</v>
      </c>
      <c r="I1200">
        <f>B1200&amp;"~"&amp;F1200&amp;"~"&amp;G1200</f>
        <v/>
      </c>
      <c r="J1200" t="inlineStr">
        <is>
          <t>MVS Sec.14 p.23</t>
        </is>
      </c>
    </row>
    <row r="1201">
      <c r="B1201" t="inlineStr">
        <is>
          <t>Distribution Warehouses</t>
        </is>
      </c>
      <c r="C1201" t="inlineStr">
        <is>
          <t>407</t>
        </is>
      </c>
      <c r="D1201" t="inlineStr">
        <is>
          <t>14</t>
        </is>
      </c>
      <c r="E1201" t="inlineStr">
        <is>
          <t>23</t>
        </is>
      </c>
      <c r="F1201" t="inlineStr">
        <is>
          <t>C</t>
        </is>
      </c>
      <c r="G1201" t="inlineStr">
        <is>
          <t>Excellent</t>
        </is>
      </c>
      <c r="H1201" t="n">
        <v>150</v>
      </c>
      <c r="I1201">
        <f>B1201&amp;"~"&amp;F1201&amp;"~"&amp;G1201</f>
        <v/>
      </c>
      <c r="J1201" t="inlineStr">
        <is>
          <t>MVS Sec.14 p.23</t>
        </is>
      </c>
    </row>
    <row r="1202">
      <c r="B1202" t="inlineStr">
        <is>
          <t>Distribution Warehouses</t>
        </is>
      </c>
      <c r="C1202" t="inlineStr">
        <is>
          <t>407</t>
        </is>
      </c>
      <c r="D1202" t="inlineStr">
        <is>
          <t>14</t>
        </is>
      </c>
      <c r="E1202" t="inlineStr">
        <is>
          <t>23</t>
        </is>
      </c>
      <c r="F1202" t="inlineStr">
        <is>
          <t>C</t>
        </is>
      </c>
      <c r="G1202" t="inlineStr">
        <is>
          <t>Good</t>
        </is>
      </c>
      <c r="H1202" t="n">
        <v>103</v>
      </c>
      <c r="I1202">
        <f>B1202&amp;"~"&amp;F1202&amp;"~"&amp;G1202</f>
        <v/>
      </c>
      <c r="J1202" t="inlineStr">
        <is>
          <t>MVS Sec.14 p.23</t>
        </is>
      </c>
    </row>
    <row r="1203">
      <c r="B1203" t="inlineStr">
        <is>
          <t>Distribution Warehouses</t>
        </is>
      </c>
      <c r="C1203" t="inlineStr">
        <is>
          <t>407</t>
        </is>
      </c>
      <c r="D1203" t="inlineStr">
        <is>
          <t>14</t>
        </is>
      </c>
      <c r="E1203" t="inlineStr">
        <is>
          <t>23</t>
        </is>
      </c>
      <c r="F1203" t="inlineStr">
        <is>
          <t>C</t>
        </is>
      </c>
      <c r="G1203" t="inlineStr">
        <is>
          <t>Average</t>
        </is>
      </c>
      <c r="H1203" t="n">
        <v>70.5</v>
      </c>
      <c r="I1203">
        <f>B1203&amp;"~"&amp;F1203&amp;"~"&amp;G1203</f>
        <v/>
      </c>
      <c r="J1203" t="inlineStr">
        <is>
          <t>MVS Sec.14 p.23</t>
        </is>
      </c>
    </row>
    <row r="1204">
      <c r="B1204" t="inlineStr">
        <is>
          <t>Distribution Warehouses</t>
        </is>
      </c>
      <c r="C1204" t="inlineStr">
        <is>
          <t>407</t>
        </is>
      </c>
      <c r="D1204" t="inlineStr">
        <is>
          <t>14</t>
        </is>
      </c>
      <c r="E1204" t="inlineStr">
        <is>
          <t>23</t>
        </is>
      </c>
      <c r="F1204" t="inlineStr">
        <is>
          <t>C</t>
        </is>
      </c>
      <c r="G1204" t="inlineStr">
        <is>
          <t>Low Cost</t>
        </is>
      </c>
      <c r="H1204" t="n">
        <v>50.5</v>
      </c>
      <c r="I1204">
        <f>B1204&amp;"~"&amp;F1204&amp;"~"&amp;G1204</f>
        <v/>
      </c>
      <c r="J1204" t="inlineStr">
        <is>
          <t>MVS Sec.14 p.23</t>
        </is>
      </c>
    </row>
    <row r="1205">
      <c r="B1205" t="inlineStr">
        <is>
          <t>Distribution Warehouses</t>
        </is>
      </c>
      <c r="C1205" t="inlineStr">
        <is>
          <t>407</t>
        </is>
      </c>
      <c r="D1205" t="inlineStr">
        <is>
          <t>14</t>
        </is>
      </c>
      <c r="E1205" t="inlineStr">
        <is>
          <t>23</t>
        </is>
      </c>
      <c r="F1205" t="inlineStr">
        <is>
          <t>D</t>
        </is>
      </c>
      <c r="G1205" t="inlineStr">
        <is>
          <t>Good</t>
        </is>
      </c>
      <c r="H1205" t="n">
        <v>92.5</v>
      </c>
      <c r="I1205">
        <f>B1205&amp;"~"&amp;F1205&amp;"~"&amp;G1205</f>
        <v/>
      </c>
      <c r="J1205" t="inlineStr">
        <is>
          <t>MVS Sec.14 p.23</t>
        </is>
      </c>
    </row>
    <row r="1206">
      <c r="B1206" t="inlineStr">
        <is>
          <t>Distribution Warehouses</t>
        </is>
      </c>
      <c r="C1206" t="inlineStr">
        <is>
          <t>407</t>
        </is>
      </c>
      <c r="D1206" t="inlineStr">
        <is>
          <t>14</t>
        </is>
      </c>
      <c r="E1206" t="inlineStr">
        <is>
          <t>23</t>
        </is>
      </c>
      <c r="F1206" t="inlineStr">
        <is>
          <t>D</t>
        </is>
      </c>
      <c r="G1206" t="inlineStr">
        <is>
          <t>Average</t>
        </is>
      </c>
      <c r="H1206" t="n">
        <v>63</v>
      </c>
      <c r="I1206">
        <f>B1206&amp;"~"&amp;F1206&amp;"~"&amp;G1206</f>
        <v/>
      </c>
      <c r="J1206" t="inlineStr">
        <is>
          <t>MVS Sec.14 p.23</t>
        </is>
      </c>
    </row>
    <row r="1207">
      <c r="B1207" t="inlineStr">
        <is>
          <t>Distribution Warehouses</t>
        </is>
      </c>
      <c r="C1207" t="inlineStr">
        <is>
          <t>407</t>
        </is>
      </c>
      <c r="D1207" t="inlineStr">
        <is>
          <t>14</t>
        </is>
      </c>
      <c r="E1207" t="inlineStr">
        <is>
          <t>23</t>
        </is>
      </c>
      <c r="F1207" t="inlineStr">
        <is>
          <t>DPOLE</t>
        </is>
      </c>
      <c r="G1207" t="inlineStr">
        <is>
          <t>Average</t>
        </is>
      </c>
      <c r="H1207" t="n">
        <v>57</v>
      </c>
      <c r="I1207">
        <f>B1207&amp;"~"&amp;F1207&amp;"~"&amp;G1207</f>
        <v/>
      </c>
      <c r="J1207" t="inlineStr">
        <is>
          <t>MVS Sec.14 p.23</t>
        </is>
      </c>
    </row>
    <row r="1208">
      <c r="B1208" t="inlineStr">
        <is>
          <t>Distribution Warehouses</t>
        </is>
      </c>
      <c r="C1208" t="inlineStr">
        <is>
          <t>407</t>
        </is>
      </c>
      <c r="D1208" t="inlineStr">
        <is>
          <t>14</t>
        </is>
      </c>
      <c r="E1208" t="inlineStr">
        <is>
          <t>23</t>
        </is>
      </c>
      <c r="F1208" t="inlineStr">
        <is>
          <t>DPOLE</t>
        </is>
      </c>
      <c r="G1208" t="inlineStr">
        <is>
          <t>Low Cost</t>
        </is>
      </c>
      <c r="H1208" t="n">
        <v>41.25</v>
      </c>
      <c r="I1208">
        <f>B1208&amp;"~"&amp;F1208&amp;"~"&amp;G1208</f>
        <v/>
      </c>
      <c r="J1208" t="inlineStr">
        <is>
          <t>MVS Sec.14 p.23</t>
        </is>
      </c>
    </row>
    <row r="1209">
      <c r="B1209" t="inlineStr">
        <is>
          <t>Distribution Warehouses</t>
        </is>
      </c>
      <c r="C1209" t="inlineStr">
        <is>
          <t>407</t>
        </is>
      </c>
      <c r="D1209" t="inlineStr">
        <is>
          <t>14</t>
        </is>
      </c>
      <c r="E1209" t="inlineStr">
        <is>
          <t>23</t>
        </is>
      </c>
      <c r="F1209" t="inlineStr">
        <is>
          <t>S</t>
        </is>
      </c>
      <c r="G1209" t="inlineStr">
        <is>
          <t>Excellent</t>
        </is>
      </c>
      <c r="H1209" t="n">
        <v>139</v>
      </c>
      <c r="I1209">
        <f>B1209&amp;"~"&amp;F1209&amp;"~"&amp;G1209</f>
        <v/>
      </c>
      <c r="J1209" t="inlineStr">
        <is>
          <t>MVS Sec.14 p.23</t>
        </is>
      </c>
    </row>
    <row r="1210">
      <c r="B1210" t="inlineStr">
        <is>
          <t>Distribution Warehouses</t>
        </is>
      </c>
      <c r="C1210" t="inlineStr">
        <is>
          <t>407</t>
        </is>
      </c>
      <c r="D1210" t="inlineStr">
        <is>
          <t>14</t>
        </is>
      </c>
      <c r="E1210" t="inlineStr">
        <is>
          <t>23</t>
        </is>
      </c>
      <c r="F1210" t="inlineStr">
        <is>
          <t>S</t>
        </is>
      </c>
      <c r="G1210" t="inlineStr">
        <is>
          <t>Good</t>
        </is>
      </c>
      <c r="H1210" t="n">
        <v>94.5</v>
      </c>
      <c r="I1210">
        <f>B1210&amp;"~"&amp;F1210&amp;"~"&amp;G1210</f>
        <v/>
      </c>
      <c r="J1210" t="inlineStr">
        <is>
          <t>MVS Sec.14 p.23</t>
        </is>
      </c>
    </row>
    <row r="1211">
      <c r="B1211" t="inlineStr">
        <is>
          <t>Distribution Warehouses</t>
        </is>
      </c>
      <c r="C1211" t="inlineStr">
        <is>
          <t>407</t>
        </is>
      </c>
      <c r="D1211" t="inlineStr">
        <is>
          <t>14</t>
        </is>
      </c>
      <c r="E1211" t="inlineStr">
        <is>
          <t>23</t>
        </is>
      </c>
      <c r="F1211" t="inlineStr">
        <is>
          <t>S</t>
        </is>
      </c>
      <c r="G1211" t="inlineStr">
        <is>
          <t>Average</t>
        </is>
      </c>
      <c r="H1211" t="n">
        <v>64</v>
      </c>
      <c r="I1211">
        <f>B1211&amp;"~"&amp;F1211&amp;"~"&amp;G1211</f>
        <v/>
      </c>
      <c r="J1211" t="inlineStr">
        <is>
          <t>MVS Sec.14 p.23</t>
        </is>
      </c>
    </row>
    <row r="1212">
      <c r="B1212" t="inlineStr">
        <is>
          <t>Distribution Warehouses</t>
        </is>
      </c>
      <c r="C1212" t="inlineStr">
        <is>
          <t>407</t>
        </is>
      </c>
      <c r="D1212" t="inlineStr">
        <is>
          <t>14</t>
        </is>
      </c>
      <c r="E1212" t="inlineStr">
        <is>
          <t>23</t>
        </is>
      </c>
      <c r="F1212" t="inlineStr">
        <is>
          <t>S</t>
        </is>
      </c>
      <c r="G1212" t="inlineStr">
        <is>
          <t>Low Cost</t>
        </is>
      </c>
      <c r="H1212" t="n">
        <v>45.5</v>
      </c>
      <c r="I1212">
        <f>B1212&amp;"~"&amp;F1212&amp;"~"&amp;G1212</f>
        <v/>
      </c>
      <c r="J1212" t="inlineStr">
        <is>
          <t>MVS Sec.14 p.23</t>
        </is>
      </c>
    </row>
    <row r="1213">
      <c r="B1213" t="inlineStr">
        <is>
          <t>Transit Warehouses</t>
        </is>
      </c>
      <c r="C1213" t="inlineStr">
        <is>
          <t>387</t>
        </is>
      </c>
      <c r="D1213" t="inlineStr">
        <is>
          <t>14</t>
        </is>
      </c>
      <c r="E1213" t="inlineStr">
        <is>
          <t>23</t>
        </is>
      </c>
      <c r="F1213" t="inlineStr">
        <is>
          <t>C</t>
        </is>
      </c>
      <c r="G1213" t="inlineStr">
        <is>
          <t>Good</t>
        </is>
      </c>
      <c r="H1213" t="n">
        <v>136</v>
      </c>
      <c r="I1213">
        <f>B1213&amp;"~"&amp;F1213&amp;"~"&amp;G1213</f>
        <v/>
      </c>
      <c r="J1213" t="inlineStr">
        <is>
          <t>MVS Sec.14 p.23</t>
        </is>
      </c>
    </row>
    <row r="1214">
      <c r="B1214" t="inlineStr">
        <is>
          <t>Transit Warehouses</t>
        </is>
      </c>
      <c r="C1214" t="inlineStr">
        <is>
          <t>387</t>
        </is>
      </c>
      <c r="D1214" t="inlineStr">
        <is>
          <t>14</t>
        </is>
      </c>
      <c r="E1214" t="inlineStr">
        <is>
          <t>23</t>
        </is>
      </c>
      <c r="F1214" t="inlineStr">
        <is>
          <t>C</t>
        </is>
      </c>
      <c r="G1214" t="inlineStr">
        <is>
          <t>Average</t>
        </is>
      </c>
      <c r="H1214" t="n">
        <v>95</v>
      </c>
      <c r="I1214">
        <f>B1214&amp;"~"&amp;F1214&amp;"~"&amp;G1214</f>
        <v/>
      </c>
      <c r="J1214" t="inlineStr">
        <is>
          <t>MVS Sec.14 p.23</t>
        </is>
      </c>
    </row>
    <row r="1215">
      <c r="B1215" t="inlineStr">
        <is>
          <t>Transit Warehouses</t>
        </is>
      </c>
      <c r="C1215" t="inlineStr">
        <is>
          <t>387</t>
        </is>
      </c>
      <c r="D1215" t="inlineStr">
        <is>
          <t>14</t>
        </is>
      </c>
      <c r="E1215" t="inlineStr">
        <is>
          <t>23</t>
        </is>
      </c>
      <c r="F1215" t="inlineStr">
        <is>
          <t>D</t>
        </is>
      </c>
      <c r="G1215" t="inlineStr">
        <is>
          <t>Average</t>
        </is>
      </c>
      <c r="H1215" t="n">
        <v>85.5</v>
      </c>
      <c r="I1215">
        <f>B1215&amp;"~"&amp;F1215&amp;"~"&amp;G1215</f>
        <v/>
      </c>
      <c r="J1215" t="inlineStr">
        <is>
          <t>MVS Sec.14 p.23</t>
        </is>
      </c>
    </row>
    <row r="1216">
      <c r="B1216" t="inlineStr">
        <is>
          <t>Transit Warehouses</t>
        </is>
      </c>
      <c r="C1216" t="inlineStr">
        <is>
          <t>387</t>
        </is>
      </c>
      <c r="D1216" t="inlineStr">
        <is>
          <t>14</t>
        </is>
      </c>
      <c r="E1216" t="inlineStr">
        <is>
          <t>23</t>
        </is>
      </c>
      <c r="F1216" t="inlineStr">
        <is>
          <t>DPOLE</t>
        </is>
      </c>
      <c r="G1216" t="inlineStr">
        <is>
          <t>Average</t>
        </is>
      </c>
      <c r="H1216" t="n">
        <v>80.5</v>
      </c>
      <c r="I1216">
        <f>B1216&amp;"~"&amp;F1216&amp;"~"&amp;G1216</f>
        <v/>
      </c>
      <c r="J1216" t="inlineStr">
        <is>
          <t>MVS Sec.14 p.23</t>
        </is>
      </c>
    </row>
    <row r="1217">
      <c r="B1217" t="inlineStr">
        <is>
          <t>Transit Warehouses</t>
        </is>
      </c>
      <c r="C1217" t="inlineStr">
        <is>
          <t>387</t>
        </is>
      </c>
      <c r="D1217" t="inlineStr">
        <is>
          <t>14</t>
        </is>
      </c>
      <c r="E1217" t="inlineStr">
        <is>
          <t>23</t>
        </is>
      </c>
      <c r="F1217" t="inlineStr">
        <is>
          <t>S</t>
        </is>
      </c>
      <c r="G1217" t="inlineStr">
        <is>
          <t>Good</t>
        </is>
      </c>
      <c r="H1217" t="n">
        <v>124</v>
      </c>
      <c r="I1217">
        <f>B1217&amp;"~"&amp;F1217&amp;"~"&amp;G1217</f>
        <v/>
      </c>
      <c r="J1217" t="inlineStr">
        <is>
          <t>MVS Sec.14 p.23</t>
        </is>
      </c>
    </row>
    <row r="1218">
      <c r="B1218" t="inlineStr">
        <is>
          <t>Transit Warehouses</t>
        </is>
      </c>
      <c r="C1218" t="inlineStr">
        <is>
          <t>387</t>
        </is>
      </c>
      <c r="D1218" t="inlineStr">
        <is>
          <t>14</t>
        </is>
      </c>
      <c r="E1218" t="inlineStr">
        <is>
          <t>23</t>
        </is>
      </c>
      <c r="F1218" t="inlineStr">
        <is>
          <t>S</t>
        </is>
      </c>
      <c r="G1218" t="inlineStr">
        <is>
          <t>Average</t>
        </is>
      </c>
      <c r="H1218" t="n">
        <v>86.5</v>
      </c>
      <c r="I1218">
        <f>B1218&amp;"~"&amp;F1218&amp;"~"&amp;G1218</f>
        <v/>
      </c>
      <c r="J1218" t="inlineStr">
        <is>
          <t>MVS Sec.14 p.23</t>
        </is>
      </c>
    </row>
    <row r="1219">
      <c r="B1219" t="inlineStr">
        <is>
          <t>Cold Storage Facilities</t>
        </is>
      </c>
      <c r="C1219" t="inlineStr">
        <is>
          <t>447</t>
        </is>
      </c>
      <c r="D1219" t="inlineStr">
        <is>
          <t>14</t>
        </is>
      </c>
      <c r="E1219" t="inlineStr">
        <is>
          <t>24</t>
        </is>
      </c>
      <c r="F1219" t="inlineStr">
        <is>
          <t>A-B</t>
        </is>
      </c>
      <c r="G1219" t="inlineStr">
        <is>
          <t>Good</t>
        </is>
      </c>
      <c r="H1219" t="n">
        <v>166</v>
      </c>
      <c r="I1219">
        <f>B1219&amp;"~"&amp;F1219&amp;"~"&amp;G1219</f>
        <v/>
      </c>
      <c r="J1219" t="inlineStr">
        <is>
          <t>MVS Sec.14 p.24</t>
        </is>
      </c>
    </row>
    <row r="1220">
      <c r="B1220" t="inlineStr">
        <is>
          <t>Cold Storage Facilities</t>
        </is>
      </c>
      <c r="C1220" t="inlineStr">
        <is>
          <t>447</t>
        </is>
      </c>
      <c r="D1220" t="inlineStr">
        <is>
          <t>14</t>
        </is>
      </c>
      <c r="E1220" t="inlineStr">
        <is>
          <t>24</t>
        </is>
      </c>
      <c r="F1220" t="inlineStr">
        <is>
          <t>A-B</t>
        </is>
      </c>
      <c r="G1220" t="inlineStr">
        <is>
          <t>Average</t>
        </is>
      </c>
      <c r="H1220" t="n">
        <v>119</v>
      </c>
      <c r="I1220">
        <f>B1220&amp;"~"&amp;F1220&amp;"~"&amp;G1220</f>
        <v/>
      </c>
      <c r="J1220" t="inlineStr">
        <is>
          <t>MVS Sec.14 p.24</t>
        </is>
      </c>
    </row>
    <row r="1221">
      <c r="B1221" t="inlineStr">
        <is>
          <t>Cold Storage Facilities</t>
        </is>
      </c>
      <c r="C1221" t="inlineStr">
        <is>
          <t>447</t>
        </is>
      </c>
      <c r="D1221" t="inlineStr">
        <is>
          <t>14</t>
        </is>
      </c>
      <c r="E1221" t="inlineStr">
        <is>
          <t>24</t>
        </is>
      </c>
      <c r="F1221" t="inlineStr">
        <is>
          <t>C</t>
        </is>
      </c>
      <c r="G1221" t="inlineStr">
        <is>
          <t>Excellent</t>
        </is>
      </c>
      <c r="H1221" t="n">
        <v>184</v>
      </c>
      <c r="I1221">
        <f>B1221&amp;"~"&amp;F1221&amp;"~"&amp;G1221</f>
        <v/>
      </c>
      <c r="J1221" t="inlineStr">
        <is>
          <t>MVS Sec.14 p.24</t>
        </is>
      </c>
    </row>
    <row r="1222">
      <c r="B1222" t="inlineStr">
        <is>
          <t>Cold Storage Facilities</t>
        </is>
      </c>
      <c r="C1222" t="inlineStr">
        <is>
          <t>447</t>
        </is>
      </c>
      <c r="D1222" t="inlineStr">
        <is>
          <t>14</t>
        </is>
      </c>
      <c r="E1222" t="inlineStr">
        <is>
          <t>24</t>
        </is>
      </c>
      <c r="F1222" t="inlineStr">
        <is>
          <t>C</t>
        </is>
      </c>
      <c r="G1222" t="inlineStr">
        <is>
          <t>Good</t>
        </is>
      </c>
      <c r="H1222" t="n">
        <v>131</v>
      </c>
      <c r="I1222">
        <f>B1222&amp;"~"&amp;F1222&amp;"~"&amp;G1222</f>
        <v/>
      </c>
      <c r="J1222" t="inlineStr">
        <is>
          <t>MVS Sec.14 p.24</t>
        </is>
      </c>
    </row>
    <row r="1223">
      <c r="B1223" t="inlineStr">
        <is>
          <t>Cold Storage Facilities</t>
        </is>
      </c>
      <c r="C1223" t="inlineStr">
        <is>
          <t>447</t>
        </is>
      </c>
      <c r="D1223" t="inlineStr">
        <is>
          <t>14</t>
        </is>
      </c>
      <c r="E1223" t="inlineStr">
        <is>
          <t>24</t>
        </is>
      </c>
      <c r="F1223" t="inlineStr">
        <is>
          <t>C</t>
        </is>
      </c>
      <c r="G1223" t="inlineStr">
        <is>
          <t>Average</t>
        </is>
      </c>
      <c r="H1223" t="n">
        <v>94</v>
      </c>
      <c r="I1223">
        <f>B1223&amp;"~"&amp;F1223&amp;"~"&amp;G1223</f>
        <v/>
      </c>
      <c r="J1223" t="inlineStr">
        <is>
          <t>MVS Sec.14 p.24</t>
        </is>
      </c>
    </row>
    <row r="1224">
      <c r="B1224" t="inlineStr">
        <is>
          <t>Cold Storage Facilities</t>
        </is>
      </c>
      <c r="C1224" t="inlineStr">
        <is>
          <t>447</t>
        </is>
      </c>
      <c r="D1224" t="inlineStr">
        <is>
          <t>14</t>
        </is>
      </c>
      <c r="E1224" t="inlineStr">
        <is>
          <t>24</t>
        </is>
      </c>
      <c r="F1224" t="inlineStr">
        <is>
          <t>C</t>
        </is>
      </c>
      <c r="G1224" t="inlineStr">
        <is>
          <t>Fair</t>
        </is>
      </c>
      <c r="H1224" t="n">
        <v>78.5</v>
      </c>
      <c r="I1224">
        <f>B1224&amp;"~"&amp;F1224&amp;"~"&amp;G1224</f>
        <v/>
      </c>
      <c r="J1224" t="inlineStr">
        <is>
          <t>MVS Sec.14 p.24</t>
        </is>
      </c>
    </row>
    <row r="1225">
      <c r="B1225" t="inlineStr">
        <is>
          <t>Cold Storage Facilities</t>
        </is>
      </c>
      <c r="C1225" t="inlineStr">
        <is>
          <t>447</t>
        </is>
      </c>
      <c r="D1225" t="inlineStr">
        <is>
          <t>14</t>
        </is>
      </c>
      <c r="E1225" t="inlineStr">
        <is>
          <t>24</t>
        </is>
      </c>
      <c r="F1225" t="inlineStr">
        <is>
          <t>C</t>
        </is>
      </c>
      <c r="G1225" t="inlineStr">
        <is>
          <t>Low Cost</t>
        </is>
      </c>
      <c r="H1225" t="n">
        <v>68</v>
      </c>
      <c r="I1225">
        <f>B1225&amp;"~"&amp;F1225&amp;"~"&amp;G1225</f>
        <v/>
      </c>
      <c r="J1225" t="inlineStr">
        <is>
          <t>MVS Sec.14 p.24</t>
        </is>
      </c>
    </row>
    <row r="1226">
      <c r="B1226" t="inlineStr">
        <is>
          <t>Cold Storage Facilities</t>
        </is>
      </c>
      <c r="C1226" t="inlineStr">
        <is>
          <t>447</t>
        </is>
      </c>
      <c r="D1226" t="inlineStr">
        <is>
          <t>14</t>
        </is>
      </c>
      <c r="E1226" t="inlineStr">
        <is>
          <t>24</t>
        </is>
      </c>
      <c r="F1226" t="inlineStr">
        <is>
          <t>D</t>
        </is>
      </c>
      <c r="G1226" t="inlineStr">
        <is>
          <t>Average</t>
        </is>
      </c>
      <c r="H1226" t="n">
        <v>87.5</v>
      </c>
      <c r="I1226">
        <f>B1226&amp;"~"&amp;F1226&amp;"~"&amp;G1226</f>
        <v/>
      </c>
      <c r="J1226" t="inlineStr">
        <is>
          <t>MVS Sec.14 p.24</t>
        </is>
      </c>
    </row>
    <row r="1227">
      <c r="B1227" t="inlineStr">
        <is>
          <t>Cold Storage Facilities</t>
        </is>
      </c>
      <c r="C1227" t="inlineStr">
        <is>
          <t>447</t>
        </is>
      </c>
      <c r="D1227" t="inlineStr">
        <is>
          <t>14</t>
        </is>
      </c>
      <c r="E1227" t="inlineStr">
        <is>
          <t>24</t>
        </is>
      </c>
      <c r="F1227" t="inlineStr">
        <is>
          <t>D</t>
        </is>
      </c>
      <c r="G1227" t="inlineStr">
        <is>
          <t>Low Cost</t>
        </is>
      </c>
      <c r="H1227" t="n">
        <v>63</v>
      </c>
      <c r="I1227">
        <f>B1227&amp;"~"&amp;F1227&amp;"~"&amp;G1227</f>
        <v/>
      </c>
      <c r="J1227" t="inlineStr">
        <is>
          <t>MVS Sec.14 p.24</t>
        </is>
      </c>
    </row>
    <row r="1228">
      <c r="B1228" t="inlineStr">
        <is>
          <t>Cold Storage Facilities</t>
        </is>
      </c>
      <c r="C1228" t="inlineStr">
        <is>
          <t>447</t>
        </is>
      </c>
      <c r="D1228" t="inlineStr">
        <is>
          <t>14</t>
        </is>
      </c>
      <c r="E1228" t="inlineStr">
        <is>
          <t>24</t>
        </is>
      </c>
      <c r="F1228" t="inlineStr">
        <is>
          <t>DPOLE</t>
        </is>
      </c>
      <c r="G1228" t="inlineStr">
        <is>
          <t>Average</t>
        </is>
      </c>
      <c r="H1228" t="n">
        <v>82.5</v>
      </c>
      <c r="I1228">
        <f>B1228&amp;"~"&amp;F1228&amp;"~"&amp;G1228</f>
        <v/>
      </c>
      <c r="J1228" t="inlineStr">
        <is>
          <t>MVS Sec.14 p.24</t>
        </is>
      </c>
    </row>
    <row r="1229">
      <c r="B1229" t="inlineStr">
        <is>
          <t>Cold Storage Facilities</t>
        </is>
      </c>
      <c r="C1229" t="inlineStr">
        <is>
          <t>447</t>
        </is>
      </c>
      <c r="D1229" t="inlineStr">
        <is>
          <t>14</t>
        </is>
      </c>
      <c r="E1229" t="inlineStr">
        <is>
          <t>24</t>
        </is>
      </c>
      <c r="F1229" t="inlineStr">
        <is>
          <t>DPOLE</t>
        </is>
      </c>
      <c r="G1229" t="inlineStr">
        <is>
          <t>Low Cost</t>
        </is>
      </c>
      <c r="H1229" t="n">
        <v>58.5</v>
      </c>
      <c r="I1229">
        <f>B1229&amp;"~"&amp;F1229&amp;"~"&amp;G1229</f>
        <v/>
      </c>
      <c r="J1229" t="inlineStr">
        <is>
          <t>MVS Sec.14 p.24</t>
        </is>
      </c>
    </row>
    <row r="1230">
      <c r="B1230" t="inlineStr">
        <is>
          <t>Cold Storage Facilities</t>
        </is>
      </c>
      <c r="C1230" t="inlineStr">
        <is>
          <t>447</t>
        </is>
      </c>
      <c r="D1230" t="inlineStr">
        <is>
          <t>14</t>
        </is>
      </c>
      <c r="E1230" t="inlineStr">
        <is>
          <t>24</t>
        </is>
      </c>
      <c r="F1230" t="inlineStr">
        <is>
          <t>S</t>
        </is>
      </c>
      <c r="G1230" t="inlineStr">
        <is>
          <t>Excellent</t>
        </is>
      </c>
      <c r="H1230" t="n">
        <v>186</v>
      </c>
      <c r="I1230">
        <f>B1230&amp;"~"&amp;F1230&amp;"~"&amp;G1230</f>
        <v/>
      </c>
      <c r="J1230" t="inlineStr">
        <is>
          <t>MVS Sec.14 p.24</t>
        </is>
      </c>
    </row>
    <row r="1231">
      <c r="B1231" t="inlineStr">
        <is>
          <t>Cold Storage Facilities</t>
        </is>
      </c>
      <c r="C1231" t="inlineStr">
        <is>
          <t>447</t>
        </is>
      </c>
      <c r="D1231" t="inlineStr">
        <is>
          <t>14</t>
        </is>
      </c>
      <c r="E1231" t="inlineStr">
        <is>
          <t>24</t>
        </is>
      </c>
      <c r="F1231" t="inlineStr">
        <is>
          <t>S</t>
        </is>
      </c>
      <c r="G1231" t="inlineStr">
        <is>
          <t>Good</t>
        </is>
      </c>
      <c r="H1231" t="n">
        <v>128</v>
      </c>
      <c r="I1231">
        <f>B1231&amp;"~"&amp;F1231&amp;"~"&amp;G1231</f>
        <v/>
      </c>
      <c r="J1231" t="inlineStr">
        <is>
          <t>MVS Sec.14 p.24</t>
        </is>
      </c>
    </row>
    <row r="1232">
      <c r="B1232" t="inlineStr">
        <is>
          <t>Cold Storage Facilities</t>
        </is>
      </c>
      <c r="C1232" t="inlineStr">
        <is>
          <t>447</t>
        </is>
      </c>
      <c r="D1232" t="inlineStr">
        <is>
          <t>14</t>
        </is>
      </c>
      <c r="E1232" t="inlineStr">
        <is>
          <t>24</t>
        </is>
      </c>
      <c r="F1232" t="inlineStr">
        <is>
          <t>S</t>
        </is>
      </c>
      <c r="G1232" t="inlineStr">
        <is>
          <t>Average</t>
        </is>
      </c>
      <c r="H1232" t="n">
        <v>89</v>
      </c>
      <c r="I1232">
        <f>B1232&amp;"~"&amp;F1232&amp;"~"&amp;G1232</f>
        <v/>
      </c>
      <c r="J1232" t="inlineStr">
        <is>
          <t>MVS Sec.14 p.24</t>
        </is>
      </c>
    </row>
    <row r="1233">
      <c r="B1233" t="inlineStr">
        <is>
          <t>Cold Storage Facilities</t>
        </is>
      </c>
      <c r="C1233" t="inlineStr">
        <is>
          <t>447</t>
        </is>
      </c>
      <c r="D1233" t="inlineStr">
        <is>
          <t>14</t>
        </is>
      </c>
      <c r="E1233" t="inlineStr">
        <is>
          <t>24</t>
        </is>
      </c>
      <c r="F1233" t="inlineStr">
        <is>
          <t>S</t>
        </is>
      </c>
      <c r="G1233" t="inlineStr">
        <is>
          <t>Fair</t>
        </is>
      </c>
      <c r="H1233" t="n">
        <v>73.5</v>
      </c>
      <c r="I1233">
        <f>B1233&amp;"~"&amp;F1233&amp;"~"&amp;G1233</f>
        <v/>
      </c>
      <c r="J1233" t="inlineStr">
        <is>
          <t>MVS Sec.14 p.24</t>
        </is>
      </c>
    </row>
    <row r="1234">
      <c r="B1234" t="inlineStr">
        <is>
          <t>Cold Storage Facilities</t>
        </is>
      </c>
      <c r="C1234" t="inlineStr">
        <is>
          <t>447</t>
        </is>
      </c>
      <c r="D1234" t="inlineStr">
        <is>
          <t>14</t>
        </is>
      </c>
      <c r="E1234" t="inlineStr">
        <is>
          <t>24</t>
        </is>
      </c>
      <c r="F1234" t="inlineStr">
        <is>
          <t>S</t>
        </is>
      </c>
      <c r="G1234" t="inlineStr">
        <is>
          <t>Low Cost</t>
        </is>
      </c>
      <c r="H1234" t="n">
        <v>63</v>
      </c>
      <c r="I1234">
        <f>B1234&amp;"~"&amp;F1234&amp;"~"&amp;G1234</f>
        <v/>
      </c>
      <c r="J1234" t="inlineStr">
        <is>
          <t>MVS Sec.14 p.24</t>
        </is>
      </c>
    </row>
    <row r="1235">
      <c r="B1235" t="inlineStr">
        <is>
          <t>Creameries</t>
        </is>
      </c>
      <c r="C1235" t="inlineStr">
        <is>
          <t>315</t>
        </is>
      </c>
      <c r="D1235" t="inlineStr">
        <is>
          <t>14</t>
        </is>
      </c>
      <c r="E1235" t="inlineStr">
        <is>
          <t>25</t>
        </is>
      </c>
      <c r="F1235" t="inlineStr">
        <is>
          <t>A-B</t>
        </is>
      </c>
      <c r="G1235" t="inlineStr">
        <is>
          <t>Average</t>
        </is>
      </c>
      <c r="H1235" t="n">
        <v>171</v>
      </c>
      <c r="I1235">
        <f>B1235&amp;"~"&amp;F1235&amp;"~"&amp;G1235</f>
        <v/>
      </c>
      <c r="J1235" t="inlineStr">
        <is>
          <t>MVS Sec.14 p.25</t>
        </is>
      </c>
    </row>
    <row r="1236">
      <c r="B1236" t="inlineStr">
        <is>
          <t>Creameries</t>
        </is>
      </c>
      <c r="C1236" t="inlineStr">
        <is>
          <t>315</t>
        </is>
      </c>
      <c r="D1236" t="inlineStr">
        <is>
          <t>14</t>
        </is>
      </c>
      <c r="E1236" t="inlineStr">
        <is>
          <t>25</t>
        </is>
      </c>
      <c r="F1236" t="inlineStr">
        <is>
          <t>C</t>
        </is>
      </c>
      <c r="G1236" t="inlineStr">
        <is>
          <t>Good</t>
        </is>
      </c>
      <c r="H1236" t="n">
        <v>163</v>
      </c>
      <c r="I1236">
        <f>B1236&amp;"~"&amp;F1236&amp;"~"&amp;G1236</f>
        <v/>
      </c>
      <c r="J1236" t="inlineStr">
        <is>
          <t>MVS Sec.14 p.25</t>
        </is>
      </c>
    </row>
    <row r="1237">
      <c r="B1237" t="inlineStr">
        <is>
          <t>Creameries</t>
        </is>
      </c>
      <c r="C1237" t="inlineStr">
        <is>
          <t>315</t>
        </is>
      </c>
      <c r="D1237" t="inlineStr">
        <is>
          <t>14</t>
        </is>
      </c>
      <c r="E1237" t="inlineStr">
        <is>
          <t>25</t>
        </is>
      </c>
      <c r="F1237" t="inlineStr">
        <is>
          <t>C</t>
        </is>
      </c>
      <c r="G1237" t="inlineStr">
        <is>
          <t>Average</t>
        </is>
      </c>
      <c r="H1237" t="n">
        <v>120</v>
      </c>
      <c r="I1237">
        <f>B1237&amp;"~"&amp;F1237&amp;"~"&amp;G1237</f>
        <v/>
      </c>
      <c r="J1237" t="inlineStr">
        <is>
          <t>MVS Sec.14 p.25</t>
        </is>
      </c>
    </row>
    <row r="1238">
      <c r="B1238" t="inlineStr">
        <is>
          <t>Creameries</t>
        </is>
      </c>
      <c r="C1238" t="inlineStr">
        <is>
          <t>315</t>
        </is>
      </c>
      <c r="D1238" t="inlineStr">
        <is>
          <t>14</t>
        </is>
      </c>
      <c r="E1238" t="inlineStr">
        <is>
          <t>25</t>
        </is>
      </c>
      <c r="F1238" t="inlineStr">
        <is>
          <t>C</t>
        </is>
      </c>
      <c r="G1238" t="inlineStr">
        <is>
          <t>Low Cost</t>
        </is>
      </c>
      <c r="H1238" t="n">
        <v>82</v>
      </c>
      <c r="I1238">
        <f>B1238&amp;"~"&amp;F1238&amp;"~"&amp;G1238</f>
        <v/>
      </c>
      <c r="J1238" t="inlineStr">
        <is>
          <t>MVS Sec.14 p.25</t>
        </is>
      </c>
    </row>
    <row r="1239">
      <c r="B1239" t="inlineStr">
        <is>
          <t>Creameries</t>
        </is>
      </c>
      <c r="C1239" t="inlineStr">
        <is>
          <t>315</t>
        </is>
      </c>
      <c r="D1239" t="inlineStr">
        <is>
          <t>14</t>
        </is>
      </c>
      <c r="E1239" t="inlineStr">
        <is>
          <t>25</t>
        </is>
      </c>
      <c r="F1239" t="inlineStr">
        <is>
          <t>D</t>
        </is>
      </c>
      <c r="G1239" t="inlineStr">
        <is>
          <t>Good</t>
        </is>
      </c>
      <c r="H1239" t="n">
        <v>150</v>
      </c>
      <c r="I1239">
        <f>B1239&amp;"~"&amp;F1239&amp;"~"&amp;G1239</f>
        <v/>
      </c>
      <c r="J1239" t="inlineStr">
        <is>
          <t>MVS Sec.14 p.25</t>
        </is>
      </c>
    </row>
    <row r="1240">
      <c r="B1240" t="inlineStr">
        <is>
          <t>Creameries</t>
        </is>
      </c>
      <c r="C1240" t="inlineStr">
        <is>
          <t>315</t>
        </is>
      </c>
      <c r="D1240" t="inlineStr">
        <is>
          <t>14</t>
        </is>
      </c>
      <c r="E1240" t="inlineStr">
        <is>
          <t>25</t>
        </is>
      </c>
      <c r="F1240" t="inlineStr">
        <is>
          <t>D</t>
        </is>
      </c>
      <c r="G1240" t="inlineStr">
        <is>
          <t>Average</t>
        </is>
      </c>
      <c r="H1240" t="n">
        <v>109</v>
      </c>
      <c r="I1240">
        <f>B1240&amp;"~"&amp;F1240&amp;"~"&amp;G1240</f>
        <v/>
      </c>
      <c r="J1240" t="inlineStr">
        <is>
          <t>MVS Sec.14 p.25</t>
        </is>
      </c>
    </row>
    <row r="1241">
      <c r="B1241" t="inlineStr">
        <is>
          <t>Creameries</t>
        </is>
      </c>
      <c r="C1241" t="inlineStr">
        <is>
          <t>315</t>
        </is>
      </c>
      <c r="D1241" t="inlineStr">
        <is>
          <t>14</t>
        </is>
      </c>
      <c r="E1241" t="inlineStr">
        <is>
          <t>25</t>
        </is>
      </c>
      <c r="F1241" t="inlineStr">
        <is>
          <t>D</t>
        </is>
      </c>
      <c r="G1241" t="inlineStr">
        <is>
          <t>Low Cost</t>
        </is>
      </c>
      <c r="H1241" t="n">
        <v>73</v>
      </c>
      <c r="I1241">
        <f>B1241&amp;"~"&amp;F1241&amp;"~"&amp;G1241</f>
        <v/>
      </c>
      <c r="J1241" t="inlineStr">
        <is>
          <t>MVS Sec.14 p.25</t>
        </is>
      </c>
    </row>
    <row r="1242">
      <c r="B1242" t="inlineStr">
        <is>
          <t>Creameries</t>
        </is>
      </c>
      <c r="C1242" t="inlineStr">
        <is>
          <t>315</t>
        </is>
      </c>
      <c r="D1242" t="inlineStr">
        <is>
          <t>14</t>
        </is>
      </c>
      <c r="E1242" t="inlineStr">
        <is>
          <t>25</t>
        </is>
      </c>
      <c r="F1242" t="inlineStr">
        <is>
          <t>S</t>
        </is>
      </c>
      <c r="G1242" t="inlineStr">
        <is>
          <t>Good</t>
        </is>
      </c>
      <c r="H1242" t="n">
        <v>154</v>
      </c>
      <c r="I1242">
        <f>B1242&amp;"~"&amp;F1242&amp;"~"&amp;G1242</f>
        <v/>
      </c>
      <c r="J1242" t="inlineStr">
        <is>
          <t>MVS Sec.14 p.25</t>
        </is>
      </c>
    </row>
    <row r="1243">
      <c r="B1243" t="inlineStr">
        <is>
          <t>Creameries</t>
        </is>
      </c>
      <c r="C1243" t="inlineStr">
        <is>
          <t>315</t>
        </is>
      </c>
      <c r="D1243" t="inlineStr">
        <is>
          <t>14</t>
        </is>
      </c>
      <c r="E1243" t="inlineStr">
        <is>
          <t>25</t>
        </is>
      </c>
      <c r="F1243" t="inlineStr">
        <is>
          <t>S</t>
        </is>
      </c>
      <c r="G1243" t="inlineStr">
        <is>
          <t>Average</t>
        </is>
      </c>
      <c r="H1243" t="n">
        <v>112</v>
      </c>
      <c r="I1243">
        <f>B1243&amp;"~"&amp;F1243&amp;"~"&amp;G1243</f>
        <v/>
      </c>
      <c r="J1243" t="inlineStr">
        <is>
          <t>MVS Sec.14 p.25</t>
        </is>
      </c>
    </row>
    <row r="1244">
      <c r="B1244" t="inlineStr">
        <is>
          <t>Creameries</t>
        </is>
      </c>
      <c r="C1244" t="inlineStr">
        <is>
          <t>315</t>
        </is>
      </c>
      <c r="D1244" t="inlineStr">
        <is>
          <t>14</t>
        </is>
      </c>
      <c r="E1244" t="inlineStr">
        <is>
          <t>25</t>
        </is>
      </c>
      <c r="F1244" t="inlineStr">
        <is>
          <t>S</t>
        </is>
      </c>
      <c r="G1244" t="inlineStr">
        <is>
          <t>Low Cost</t>
        </is>
      </c>
      <c r="H1244" t="n">
        <v>75</v>
      </c>
      <c r="I1244">
        <f>B1244&amp;"~"&amp;F1244&amp;"~"&amp;G1244</f>
        <v/>
      </c>
      <c r="J1244" t="inlineStr">
        <is>
          <t>MVS Sec.14 p.25</t>
        </is>
      </c>
    </row>
    <row r="1245">
      <c r="B1245" t="inlineStr">
        <is>
          <t>Mega (Storage/Distribution) Warehouses</t>
        </is>
      </c>
      <c r="C1245" t="inlineStr">
        <is>
          <t>584</t>
        </is>
      </c>
      <c r="D1245" t="inlineStr">
        <is>
          <t>14</t>
        </is>
      </c>
      <c r="E1245" t="inlineStr">
        <is>
          <t>25</t>
        </is>
      </c>
      <c r="F1245" t="inlineStr">
        <is>
          <t>C</t>
        </is>
      </c>
      <c r="G1245" t="inlineStr">
        <is>
          <t>Good</t>
        </is>
      </c>
      <c r="H1245" t="n">
        <v>79.5</v>
      </c>
      <c r="I1245">
        <f>B1245&amp;"~"&amp;F1245&amp;"~"&amp;G1245</f>
        <v/>
      </c>
      <c r="J1245" t="inlineStr">
        <is>
          <t>MVS Sec.14 p.25</t>
        </is>
      </c>
    </row>
    <row r="1246">
      <c r="B1246" t="inlineStr">
        <is>
          <t>Mega (Storage/Distribution) Warehouses</t>
        </is>
      </c>
      <c r="C1246" t="inlineStr">
        <is>
          <t>584</t>
        </is>
      </c>
      <c r="D1246" t="inlineStr">
        <is>
          <t>14</t>
        </is>
      </c>
      <c r="E1246" t="inlineStr">
        <is>
          <t>25</t>
        </is>
      </c>
      <c r="F1246" t="inlineStr">
        <is>
          <t>C</t>
        </is>
      </c>
      <c r="G1246" t="inlineStr">
        <is>
          <t>Average</t>
        </is>
      </c>
      <c r="H1246" t="n">
        <v>52</v>
      </c>
      <c r="I1246">
        <f>B1246&amp;"~"&amp;F1246&amp;"~"&amp;G1246</f>
        <v/>
      </c>
      <c r="J1246" t="inlineStr">
        <is>
          <t>MVS Sec.14 p.25</t>
        </is>
      </c>
    </row>
    <row r="1247">
      <c r="B1247" t="inlineStr">
        <is>
          <t>Mega (Storage/Distribution) Warehouses</t>
        </is>
      </c>
      <c r="C1247" t="inlineStr">
        <is>
          <t>584</t>
        </is>
      </c>
      <c r="D1247" t="inlineStr">
        <is>
          <t>14</t>
        </is>
      </c>
      <c r="E1247" t="inlineStr">
        <is>
          <t>25</t>
        </is>
      </c>
      <c r="F1247" t="inlineStr">
        <is>
          <t>C</t>
        </is>
      </c>
      <c r="G1247" t="inlineStr">
        <is>
          <t>Low Cost</t>
        </is>
      </c>
      <c r="H1247" t="n">
        <v>34.75</v>
      </c>
      <c r="I1247">
        <f>B1247&amp;"~"&amp;F1247&amp;"~"&amp;G1247</f>
        <v/>
      </c>
      <c r="J1247" t="inlineStr">
        <is>
          <t>MVS Sec.14 p.25</t>
        </is>
      </c>
    </row>
    <row r="1248">
      <c r="B1248" t="inlineStr">
        <is>
          <t>Mega (Storage/Distribution) Warehouses</t>
        </is>
      </c>
      <c r="C1248" t="inlineStr">
        <is>
          <t>584</t>
        </is>
      </c>
      <c r="D1248" t="inlineStr">
        <is>
          <t>14</t>
        </is>
      </c>
      <c r="E1248" t="inlineStr">
        <is>
          <t>25</t>
        </is>
      </c>
      <c r="F1248" t="inlineStr">
        <is>
          <t>C</t>
        </is>
      </c>
      <c r="G1248" t="inlineStr">
        <is>
          <t>Cheap</t>
        </is>
      </c>
      <c r="H1248" t="n">
        <v>28.5</v>
      </c>
      <c r="I1248">
        <f>B1248&amp;"~"&amp;F1248&amp;"~"&amp;G1248</f>
        <v/>
      </c>
      <c r="J1248" t="inlineStr">
        <is>
          <t>MVS Sec.14 p.25</t>
        </is>
      </c>
    </row>
    <row r="1249">
      <c r="B1249" t="inlineStr">
        <is>
          <t>Mega (Storage/Distribution) Warehouses</t>
        </is>
      </c>
      <c r="C1249" t="inlineStr">
        <is>
          <t>584</t>
        </is>
      </c>
      <c r="D1249" t="inlineStr">
        <is>
          <t>14</t>
        </is>
      </c>
      <c r="E1249" t="inlineStr">
        <is>
          <t>25</t>
        </is>
      </c>
      <c r="F1249" t="inlineStr">
        <is>
          <t>S</t>
        </is>
      </c>
      <c r="G1249" t="inlineStr">
        <is>
          <t>Good</t>
        </is>
      </c>
      <c r="H1249" t="n">
        <v>77</v>
      </c>
      <c r="I1249">
        <f>B1249&amp;"~"&amp;F1249&amp;"~"&amp;G1249</f>
        <v/>
      </c>
      <c r="J1249" t="inlineStr">
        <is>
          <t>MVS Sec.14 p.25</t>
        </is>
      </c>
    </row>
    <row r="1250">
      <c r="B1250" t="inlineStr">
        <is>
          <t>Mega (Storage/Distribution) Warehouses</t>
        </is>
      </c>
      <c r="C1250" t="inlineStr">
        <is>
          <t>584</t>
        </is>
      </c>
      <c r="D1250" t="inlineStr">
        <is>
          <t>14</t>
        </is>
      </c>
      <c r="E1250" t="inlineStr">
        <is>
          <t>25</t>
        </is>
      </c>
      <c r="F1250" t="inlineStr">
        <is>
          <t>S</t>
        </is>
      </c>
      <c r="G1250" t="inlineStr">
        <is>
          <t>Average</t>
        </is>
      </c>
      <c r="H1250" t="n">
        <v>52.5</v>
      </c>
      <c r="I1250">
        <f>B1250&amp;"~"&amp;F1250&amp;"~"&amp;G1250</f>
        <v/>
      </c>
      <c r="J1250" t="inlineStr">
        <is>
          <t>MVS Sec.14 p.25</t>
        </is>
      </c>
    </row>
    <row r="1251">
      <c r="B1251" t="inlineStr">
        <is>
          <t>Mega (Storage/Distribution) Warehouses</t>
        </is>
      </c>
      <c r="C1251" t="inlineStr">
        <is>
          <t>584</t>
        </is>
      </c>
      <c r="D1251" t="inlineStr">
        <is>
          <t>14</t>
        </is>
      </c>
      <c r="E1251" t="inlineStr">
        <is>
          <t>25</t>
        </is>
      </c>
      <c r="F1251" t="inlineStr">
        <is>
          <t>S</t>
        </is>
      </c>
      <c r="G1251" t="inlineStr">
        <is>
          <t>Low Cost</t>
        </is>
      </c>
      <c r="H1251" t="n">
        <v>36.25</v>
      </c>
      <c r="I1251">
        <f>B1251&amp;"~"&amp;F1251&amp;"~"&amp;G1251</f>
        <v/>
      </c>
      <c r="J1251" t="inlineStr">
        <is>
          <t>MVS Sec.14 p.25</t>
        </is>
      </c>
    </row>
    <row r="1252">
      <c r="B1252" t="inlineStr">
        <is>
          <t>Mega (Storage/Distribution) Warehouses</t>
        </is>
      </c>
      <c r="C1252" t="inlineStr">
        <is>
          <t>584</t>
        </is>
      </c>
      <c r="D1252" t="inlineStr">
        <is>
          <t>14</t>
        </is>
      </c>
      <c r="E1252" t="inlineStr">
        <is>
          <t>25</t>
        </is>
      </c>
      <c r="F1252" t="inlineStr">
        <is>
          <t>S</t>
        </is>
      </c>
      <c r="G1252" t="inlineStr">
        <is>
          <t>Cheap</t>
        </is>
      </c>
      <c r="H1252" t="n">
        <v>25.5</v>
      </c>
      <c r="I1252">
        <f>B1252&amp;"~"&amp;F1252&amp;"~"&amp;G1252</f>
        <v/>
      </c>
      <c r="J1252" t="inlineStr">
        <is>
          <t>MVS Sec.14 p.25</t>
        </is>
      </c>
    </row>
    <row r="1253">
      <c r="B1253" t="inlineStr">
        <is>
          <t>Storage Warehouses</t>
        </is>
      </c>
      <c r="C1253" t="inlineStr">
        <is>
          <t>406</t>
        </is>
      </c>
      <c r="D1253" t="inlineStr">
        <is>
          <t>14</t>
        </is>
      </c>
      <c r="E1253" t="inlineStr">
        <is>
          <t>26</t>
        </is>
      </c>
      <c r="F1253" t="inlineStr">
        <is>
          <t>A</t>
        </is>
      </c>
      <c r="G1253" t="inlineStr">
        <is>
          <t>Good</t>
        </is>
      </c>
      <c r="H1253" t="n">
        <v>137</v>
      </c>
      <c r="I1253">
        <f>B1253&amp;"~"&amp;F1253&amp;"~"&amp;G1253</f>
        <v/>
      </c>
      <c r="J1253" t="inlineStr">
        <is>
          <t>MVS Sec.14 p.26</t>
        </is>
      </c>
    </row>
    <row r="1254">
      <c r="B1254" t="inlineStr">
        <is>
          <t>Storage Warehouses</t>
        </is>
      </c>
      <c r="C1254" t="inlineStr">
        <is>
          <t>406</t>
        </is>
      </c>
      <c r="D1254" t="inlineStr">
        <is>
          <t>14</t>
        </is>
      </c>
      <c r="E1254" t="inlineStr">
        <is>
          <t>26</t>
        </is>
      </c>
      <c r="F1254" t="inlineStr">
        <is>
          <t>A</t>
        </is>
      </c>
      <c r="G1254" t="inlineStr">
        <is>
          <t>Average</t>
        </is>
      </c>
      <c r="H1254" t="n">
        <v>101</v>
      </c>
      <c r="I1254">
        <f>B1254&amp;"~"&amp;F1254&amp;"~"&amp;G1254</f>
        <v/>
      </c>
      <c r="J1254" t="inlineStr">
        <is>
          <t>MVS Sec.14 p.26</t>
        </is>
      </c>
    </row>
    <row r="1255">
      <c r="B1255" t="inlineStr">
        <is>
          <t>Storage Warehouses</t>
        </is>
      </c>
      <c r="C1255" t="inlineStr">
        <is>
          <t>406</t>
        </is>
      </c>
      <c r="D1255" t="inlineStr">
        <is>
          <t>14</t>
        </is>
      </c>
      <c r="E1255" t="inlineStr">
        <is>
          <t>26</t>
        </is>
      </c>
      <c r="F1255" t="inlineStr">
        <is>
          <t>A</t>
        </is>
      </c>
      <c r="G1255" t="inlineStr">
        <is>
          <t>Low Cost</t>
        </is>
      </c>
      <c r="H1255" t="n">
        <v>79.5</v>
      </c>
      <c r="I1255">
        <f>B1255&amp;"~"&amp;F1255&amp;"~"&amp;G1255</f>
        <v/>
      </c>
      <c r="J1255" t="inlineStr">
        <is>
          <t>MVS Sec.14 p.26</t>
        </is>
      </c>
    </row>
    <row r="1256">
      <c r="B1256" t="inlineStr">
        <is>
          <t>Storage Warehouses</t>
        </is>
      </c>
      <c r="C1256" t="inlineStr">
        <is>
          <t>406</t>
        </is>
      </c>
      <c r="D1256" t="inlineStr">
        <is>
          <t>14</t>
        </is>
      </c>
      <c r="E1256" t="inlineStr">
        <is>
          <t>26</t>
        </is>
      </c>
      <c r="F1256" t="inlineStr">
        <is>
          <t>B</t>
        </is>
      </c>
      <c r="G1256" t="inlineStr">
        <is>
          <t>Good</t>
        </is>
      </c>
      <c r="H1256" t="n">
        <v>121</v>
      </c>
      <c r="I1256">
        <f>B1256&amp;"~"&amp;F1256&amp;"~"&amp;G1256</f>
        <v/>
      </c>
      <c r="J1256" t="inlineStr">
        <is>
          <t>MVS Sec.14 p.26</t>
        </is>
      </c>
    </row>
    <row r="1257">
      <c r="B1257" t="inlineStr">
        <is>
          <t>Storage Warehouses</t>
        </is>
      </c>
      <c r="C1257" t="inlineStr">
        <is>
          <t>406</t>
        </is>
      </c>
      <c r="D1257" t="inlineStr">
        <is>
          <t>14</t>
        </is>
      </c>
      <c r="E1257" t="inlineStr">
        <is>
          <t>26</t>
        </is>
      </c>
      <c r="F1257" t="inlineStr">
        <is>
          <t>B</t>
        </is>
      </c>
      <c r="G1257" t="inlineStr">
        <is>
          <t>Average</t>
        </is>
      </c>
      <c r="H1257" t="n">
        <v>88</v>
      </c>
      <c r="I1257">
        <f>B1257&amp;"~"&amp;F1257&amp;"~"&amp;G1257</f>
        <v/>
      </c>
      <c r="J1257" t="inlineStr">
        <is>
          <t>MVS Sec.14 p.26</t>
        </is>
      </c>
    </row>
    <row r="1258">
      <c r="B1258" t="inlineStr">
        <is>
          <t>Storage Warehouses</t>
        </is>
      </c>
      <c r="C1258" t="inlineStr">
        <is>
          <t>406</t>
        </is>
      </c>
      <c r="D1258" t="inlineStr">
        <is>
          <t>14</t>
        </is>
      </c>
      <c r="E1258" t="inlineStr">
        <is>
          <t>26</t>
        </is>
      </c>
      <c r="F1258" t="inlineStr">
        <is>
          <t>B</t>
        </is>
      </c>
      <c r="G1258" t="inlineStr">
        <is>
          <t>Low Cost</t>
        </is>
      </c>
      <c r="H1258" t="n">
        <v>69</v>
      </c>
      <c r="I1258">
        <f>B1258&amp;"~"&amp;F1258&amp;"~"&amp;G1258</f>
        <v/>
      </c>
      <c r="J1258" t="inlineStr">
        <is>
          <t>MVS Sec.14 p.26</t>
        </is>
      </c>
    </row>
    <row r="1259">
      <c r="B1259" t="inlineStr">
        <is>
          <t>Storage Warehouses</t>
        </is>
      </c>
      <c r="C1259" t="inlineStr">
        <is>
          <t>406</t>
        </is>
      </c>
      <c r="D1259" t="inlineStr">
        <is>
          <t>14</t>
        </is>
      </c>
      <c r="E1259" t="inlineStr">
        <is>
          <t>26</t>
        </is>
      </c>
      <c r="F1259" t="inlineStr">
        <is>
          <t>C</t>
        </is>
      </c>
      <c r="G1259" t="inlineStr">
        <is>
          <t>Excellent</t>
        </is>
      </c>
      <c r="H1259" t="n">
        <v>134</v>
      </c>
      <c r="I1259">
        <f>B1259&amp;"~"&amp;F1259&amp;"~"&amp;G1259</f>
        <v/>
      </c>
      <c r="J1259" t="inlineStr">
        <is>
          <t>MVS Sec.14 p.26</t>
        </is>
      </c>
    </row>
    <row r="1260">
      <c r="B1260" t="inlineStr">
        <is>
          <t>Storage Warehouses</t>
        </is>
      </c>
      <c r="C1260" t="inlineStr">
        <is>
          <t>406</t>
        </is>
      </c>
      <c r="D1260" t="inlineStr">
        <is>
          <t>14</t>
        </is>
      </c>
      <c r="E1260" t="inlineStr">
        <is>
          <t>26</t>
        </is>
      </c>
      <c r="F1260" t="inlineStr">
        <is>
          <t>C</t>
        </is>
      </c>
      <c r="G1260" t="inlineStr">
        <is>
          <t>Good</t>
        </is>
      </c>
      <c r="H1260" t="n">
        <v>86.5</v>
      </c>
      <c r="I1260">
        <f>B1260&amp;"~"&amp;F1260&amp;"~"&amp;G1260</f>
        <v/>
      </c>
      <c r="J1260" t="inlineStr">
        <is>
          <t>MVS Sec.14 p.26</t>
        </is>
      </c>
    </row>
    <row r="1261">
      <c r="B1261" t="inlineStr">
        <is>
          <t>Storage Warehouses</t>
        </is>
      </c>
      <c r="C1261" t="inlineStr">
        <is>
          <t>406</t>
        </is>
      </c>
      <c r="D1261" t="inlineStr">
        <is>
          <t>14</t>
        </is>
      </c>
      <c r="E1261" t="inlineStr">
        <is>
          <t>26</t>
        </is>
      </c>
      <c r="F1261" t="inlineStr">
        <is>
          <t>C</t>
        </is>
      </c>
      <c r="G1261" t="inlineStr">
        <is>
          <t>Average</t>
        </is>
      </c>
      <c r="H1261" t="n">
        <v>61</v>
      </c>
      <c r="I1261">
        <f>B1261&amp;"~"&amp;F1261&amp;"~"&amp;G1261</f>
        <v/>
      </c>
      <c r="J1261" t="inlineStr">
        <is>
          <t>MVS Sec.14 p.26</t>
        </is>
      </c>
    </row>
    <row r="1262">
      <c r="B1262" t="inlineStr">
        <is>
          <t>Storage Warehouses</t>
        </is>
      </c>
      <c r="C1262" t="inlineStr">
        <is>
          <t>406</t>
        </is>
      </c>
      <c r="D1262" t="inlineStr">
        <is>
          <t>14</t>
        </is>
      </c>
      <c r="E1262" t="inlineStr">
        <is>
          <t>26</t>
        </is>
      </c>
      <c r="F1262" t="inlineStr">
        <is>
          <t>C</t>
        </is>
      </c>
      <c r="G1262" t="inlineStr">
        <is>
          <t>Low Cost</t>
        </is>
      </c>
      <c r="H1262" t="n">
        <v>43</v>
      </c>
      <c r="I1262">
        <f>B1262&amp;"~"&amp;F1262&amp;"~"&amp;G1262</f>
        <v/>
      </c>
      <c r="J1262" t="inlineStr">
        <is>
          <t>MVS Sec.14 p.26</t>
        </is>
      </c>
    </row>
    <row r="1263">
      <c r="B1263" t="inlineStr">
        <is>
          <t>Storage Warehouses</t>
        </is>
      </c>
      <c r="C1263" t="inlineStr">
        <is>
          <t>406</t>
        </is>
      </c>
      <c r="D1263" t="inlineStr">
        <is>
          <t>14</t>
        </is>
      </c>
      <c r="E1263" t="inlineStr">
        <is>
          <t>26</t>
        </is>
      </c>
      <c r="F1263" t="inlineStr">
        <is>
          <t>CMILL</t>
        </is>
      </c>
      <c r="G1263" t="inlineStr">
        <is>
          <t>Good</t>
        </is>
      </c>
      <c r="H1263" t="n">
        <v>119</v>
      </c>
      <c r="I1263">
        <f>B1263&amp;"~"&amp;F1263&amp;"~"&amp;G1263</f>
        <v/>
      </c>
      <c r="J1263" t="inlineStr">
        <is>
          <t>MVS Sec.14 p.26</t>
        </is>
      </c>
    </row>
    <row r="1264">
      <c r="B1264" t="inlineStr">
        <is>
          <t>Storage Warehouses</t>
        </is>
      </c>
      <c r="C1264" t="inlineStr">
        <is>
          <t>406</t>
        </is>
      </c>
      <c r="D1264" t="inlineStr">
        <is>
          <t>14</t>
        </is>
      </c>
      <c r="E1264" t="inlineStr">
        <is>
          <t>26</t>
        </is>
      </c>
      <c r="F1264" t="inlineStr">
        <is>
          <t>CMILL</t>
        </is>
      </c>
      <c r="G1264" t="inlineStr">
        <is>
          <t>Average</t>
        </is>
      </c>
      <c r="H1264" t="n">
        <v>82</v>
      </c>
      <c r="I1264">
        <f>B1264&amp;"~"&amp;F1264&amp;"~"&amp;G1264</f>
        <v/>
      </c>
      <c r="J1264" t="inlineStr">
        <is>
          <t>MVS Sec.14 p.26</t>
        </is>
      </c>
    </row>
    <row r="1265">
      <c r="B1265" t="inlineStr">
        <is>
          <t>Storage Warehouses</t>
        </is>
      </c>
      <c r="C1265" t="inlineStr">
        <is>
          <t>406</t>
        </is>
      </c>
      <c r="D1265" t="inlineStr">
        <is>
          <t>14</t>
        </is>
      </c>
      <c r="E1265" t="inlineStr">
        <is>
          <t>26</t>
        </is>
      </c>
      <c r="F1265" t="inlineStr">
        <is>
          <t>D</t>
        </is>
      </c>
      <c r="G1265" t="inlineStr">
        <is>
          <t>Good</t>
        </is>
      </c>
      <c r="H1265" t="n">
        <v>78</v>
      </c>
      <c r="I1265">
        <f>B1265&amp;"~"&amp;F1265&amp;"~"&amp;G1265</f>
        <v/>
      </c>
      <c r="J1265" t="inlineStr">
        <is>
          <t>MVS Sec.14 p.26</t>
        </is>
      </c>
    </row>
    <row r="1266">
      <c r="B1266" t="inlineStr">
        <is>
          <t>Storage Warehouses</t>
        </is>
      </c>
      <c r="C1266" t="inlineStr">
        <is>
          <t>406</t>
        </is>
      </c>
      <c r="D1266" t="inlineStr">
        <is>
          <t>14</t>
        </is>
      </c>
      <c r="E1266" t="inlineStr">
        <is>
          <t>26</t>
        </is>
      </c>
      <c r="F1266" t="inlineStr">
        <is>
          <t>D</t>
        </is>
      </c>
      <c r="G1266" t="inlineStr">
        <is>
          <t>Average</t>
        </is>
      </c>
      <c r="H1266" t="n">
        <v>54.5</v>
      </c>
      <c r="I1266">
        <f>B1266&amp;"~"&amp;F1266&amp;"~"&amp;G1266</f>
        <v/>
      </c>
      <c r="J1266" t="inlineStr">
        <is>
          <t>MVS Sec.14 p.26</t>
        </is>
      </c>
    </row>
    <row r="1267">
      <c r="B1267" t="inlineStr">
        <is>
          <t>Storage Warehouses</t>
        </is>
      </c>
      <c r="C1267" t="inlineStr">
        <is>
          <t>406</t>
        </is>
      </c>
      <c r="D1267" t="inlineStr">
        <is>
          <t>14</t>
        </is>
      </c>
      <c r="E1267" t="inlineStr">
        <is>
          <t>26</t>
        </is>
      </c>
      <c r="F1267" t="inlineStr">
        <is>
          <t>D</t>
        </is>
      </c>
      <c r="G1267" t="inlineStr">
        <is>
          <t>Low Cost</t>
        </is>
      </c>
      <c r="H1267" t="n">
        <v>38.75</v>
      </c>
      <c r="I1267">
        <f>B1267&amp;"~"&amp;F1267&amp;"~"&amp;G1267</f>
        <v/>
      </c>
      <c r="J1267" t="inlineStr">
        <is>
          <t>MVS Sec.14 p.26</t>
        </is>
      </c>
    </row>
    <row r="1268">
      <c r="B1268" t="inlineStr">
        <is>
          <t>Storage Warehouses</t>
        </is>
      </c>
      <c r="C1268" t="inlineStr">
        <is>
          <t>406</t>
        </is>
      </c>
      <c r="D1268" t="inlineStr">
        <is>
          <t>14</t>
        </is>
      </c>
      <c r="E1268" t="inlineStr">
        <is>
          <t>26</t>
        </is>
      </c>
      <c r="F1268" t="inlineStr">
        <is>
          <t>DPOLE</t>
        </is>
      </c>
      <c r="G1268" t="inlineStr">
        <is>
          <t>Average</t>
        </is>
      </c>
      <c r="H1268" t="n">
        <v>48</v>
      </c>
      <c r="I1268">
        <f>B1268&amp;"~"&amp;F1268&amp;"~"&amp;G1268</f>
        <v/>
      </c>
      <c r="J1268" t="inlineStr">
        <is>
          <t>MVS Sec.14 p.26</t>
        </is>
      </c>
    </row>
    <row r="1269">
      <c r="B1269" t="inlineStr">
        <is>
          <t>Storage Warehouses</t>
        </is>
      </c>
      <c r="C1269" t="inlineStr">
        <is>
          <t>406</t>
        </is>
      </c>
      <c r="D1269" t="inlineStr">
        <is>
          <t>14</t>
        </is>
      </c>
      <c r="E1269" t="inlineStr">
        <is>
          <t>26</t>
        </is>
      </c>
      <c r="F1269" t="inlineStr">
        <is>
          <t>DPOLE</t>
        </is>
      </c>
      <c r="G1269" t="inlineStr">
        <is>
          <t>Low Cost</t>
        </is>
      </c>
      <c r="H1269" t="n">
        <v>34</v>
      </c>
      <c r="I1269">
        <f>B1269&amp;"~"&amp;F1269&amp;"~"&amp;G1269</f>
        <v/>
      </c>
      <c r="J1269" t="inlineStr">
        <is>
          <t>MVS Sec.14 p.26</t>
        </is>
      </c>
    </row>
    <row r="1270">
      <c r="B1270" t="inlineStr">
        <is>
          <t>Storage Warehouses</t>
        </is>
      </c>
      <c r="C1270" t="inlineStr">
        <is>
          <t>406</t>
        </is>
      </c>
      <c r="D1270" t="inlineStr">
        <is>
          <t>14</t>
        </is>
      </c>
      <c r="E1270" t="inlineStr">
        <is>
          <t>26</t>
        </is>
      </c>
      <c r="F1270" t="inlineStr">
        <is>
          <t>S</t>
        </is>
      </c>
      <c r="G1270" t="inlineStr">
        <is>
          <t>Excellent</t>
        </is>
      </c>
      <c r="H1270" t="n">
        <v>125</v>
      </c>
      <c r="I1270">
        <f>B1270&amp;"~"&amp;F1270&amp;"~"&amp;G1270</f>
        <v/>
      </c>
      <c r="J1270" t="inlineStr">
        <is>
          <t>MVS Sec.14 p.26</t>
        </is>
      </c>
    </row>
    <row r="1271">
      <c r="B1271" t="inlineStr">
        <is>
          <t>Storage Warehouses</t>
        </is>
      </c>
      <c r="C1271" t="inlineStr">
        <is>
          <t>406</t>
        </is>
      </c>
      <c r="D1271" t="inlineStr">
        <is>
          <t>14</t>
        </is>
      </c>
      <c r="E1271" t="inlineStr">
        <is>
          <t>26</t>
        </is>
      </c>
      <c r="F1271" t="inlineStr">
        <is>
          <t>S</t>
        </is>
      </c>
      <c r="G1271" t="inlineStr">
        <is>
          <t>Good</t>
        </is>
      </c>
      <c r="H1271" t="n">
        <v>79.5</v>
      </c>
      <c r="I1271">
        <f>B1271&amp;"~"&amp;F1271&amp;"~"&amp;G1271</f>
        <v/>
      </c>
      <c r="J1271" t="inlineStr">
        <is>
          <t>MVS Sec.14 p.26</t>
        </is>
      </c>
    </row>
    <row r="1272">
      <c r="B1272" t="inlineStr">
        <is>
          <t>Storage Warehouses</t>
        </is>
      </c>
      <c r="C1272" t="inlineStr">
        <is>
          <t>406</t>
        </is>
      </c>
      <c r="D1272" t="inlineStr">
        <is>
          <t>14</t>
        </is>
      </c>
      <c r="E1272" t="inlineStr">
        <is>
          <t>26</t>
        </is>
      </c>
      <c r="F1272" t="inlineStr">
        <is>
          <t>S</t>
        </is>
      </c>
      <c r="G1272" t="inlineStr">
        <is>
          <t>Average</t>
        </is>
      </c>
      <c r="H1272" t="n">
        <v>55.5</v>
      </c>
      <c r="I1272">
        <f>B1272&amp;"~"&amp;F1272&amp;"~"&amp;G1272</f>
        <v/>
      </c>
      <c r="J1272" t="inlineStr">
        <is>
          <t>MVS Sec.14 p.26</t>
        </is>
      </c>
    </row>
    <row r="1273">
      <c r="B1273" t="inlineStr">
        <is>
          <t>Storage Warehouses</t>
        </is>
      </c>
      <c r="C1273" t="inlineStr">
        <is>
          <t>406</t>
        </is>
      </c>
      <c r="D1273" t="inlineStr">
        <is>
          <t>14</t>
        </is>
      </c>
      <c r="E1273" t="inlineStr">
        <is>
          <t>26</t>
        </is>
      </c>
      <c r="F1273" t="inlineStr">
        <is>
          <t>S</t>
        </is>
      </c>
      <c r="G1273" t="inlineStr">
        <is>
          <t>Low Cost</t>
        </is>
      </c>
      <c r="H1273" t="n">
        <v>38.75</v>
      </c>
      <c r="I1273">
        <f>B1273&amp;"~"&amp;F1273&amp;"~"&amp;G1273</f>
        <v/>
      </c>
      <c r="J1273" t="inlineStr">
        <is>
          <t>MVS Sec.14 p.26</t>
        </is>
      </c>
    </row>
    <row r="1274">
      <c r="B1274" t="inlineStr">
        <is>
          <t>Mini-Warehouses / Self-Storage</t>
        </is>
      </c>
      <c r="C1274" t="inlineStr">
        <is>
          <t>386</t>
        </is>
      </c>
      <c r="D1274" t="inlineStr">
        <is>
          <t>14</t>
        </is>
      </c>
      <c r="E1274" t="inlineStr">
        <is>
          <t>28</t>
        </is>
      </c>
      <c r="F1274" t="inlineStr">
        <is>
          <t>C</t>
        </is>
      </c>
      <c r="G1274" t="inlineStr">
        <is>
          <t>Good</t>
        </is>
      </c>
      <c r="H1274" t="n">
        <v>68.5</v>
      </c>
      <c r="I1274">
        <f>B1274&amp;"~"&amp;F1274&amp;"~"&amp;G1274</f>
        <v/>
      </c>
      <c r="J1274" t="inlineStr">
        <is>
          <t>MVS Sec.14 p.28</t>
        </is>
      </c>
    </row>
    <row r="1275">
      <c r="B1275" t="inlineStr">
        <is>
          <t>Mini-Warehouses / Self-Storage</t>
        </is>
      </c>
      <c r="C1275" t="inlineStr">
        <is>
          <t>386</t>
        </is>
      </c>
      <c r="D1275" t="inlineStr">
        <is>
          <t>14</t>
        </is>
      </c>
      <c r="E1275" t="inlineStr">
        <is>
          <t>28</t>
        </is>
      </c>
      <c r="F1275" t="inlineStr">
        <is>
          <t>C</t>
        </is>
      </c>
      <c r="G1275" t="inlineStr">
        <is>
          <t>Average</t>
        </is>
      </c>
      <c r="H1275" t="n">
        <v>51</v>
      </c>
      <c r="I1275">
        <f>B1275&amp;"~"&amp;F1275&amp;"~"&amp;G1275</f>
        <v/>
      </c>
      <c r="J1275" t="inlineStr">
        <is>
          <t>MVS Sec.14 p.28</t>
        </is>
      </c>
    </row>
    <row r="1276">
      <c r="B1276" t="inlineStr">
        <is>
          <t>Mini-Warehouses / Self-Storage</t>
        </is>
      </c>
      <c r="C1276" t="inlineStr">
        <is>
          <t>386</t>
        </is>
      </c>
      <c r="D1276" t="inlineStr">
        <is>
          <t>14</t>
        </is>
      </c>
      <c r="E1276" t="inlineStr">
        <is>
          <t>28</t>
        </is>
      </c>
      <c r="F1276" t="inlineStr">
        <is>
          <t>C</t>
        </is>
      </c>
      <c r="G1276" t="inlineStr">
        <is>
          <t>Low Cost</t>
        </is>
      </c>
      <c r="H1276" t="n">
        <v>38.25</v>
      </c>
      <c r="I1276">
        <f>B1276&amp;"~"&amp;F1276&amp;"~"&amp;G1276</f>
        <v/>
      </c>
      <c r="J1276" t="inlineStr">
        <is>
          <t>MVS Sec.14 p.28</t>
        </is>
      </c>
    </row>
    <row r="1277">
      <c r="B1277" t="inlineStr">
        <is>
          <t>Mini-Warehouses / Self-Storage</t>
        </is>
      </c>
      <c r="C1277" t="inlineStr">
        <is>
          <t>386</t>
        </is>
      </c>
      <c r="D1277" t="inlineStr">
        <is>
          <t>14</t>
        </is>
      </c>
      <c r="E1277" t="inlineStr">
        <is>
          <t>28</t>
        </is>
      </c>
      <c r="F1277" t="inlineStr">
        <is>
          <t>D</t>
        </is>
      </c>
      <c r="G1277" t="inlineStr">
        <is>
          <t>Good</t>
        </is>
      </c>
      <c r="H1277" t="n">
        <v>63.5</v>
      </c>
      <c r="I1277">
        <f>B1277&amp;"~"&amp;F1277&amp;"~"&amp;G1277</f>
        <v/>
      </c>
      <c r="J1277" t="inlineStr">
        <is>
          <t>MVS Sec.14 p.28</t>
        </is>
      </c>
    </row>
    <row r="1278">
      <c r="B1278" t="inlineStr">
        <is>
          <t>Mini-Warehouses / Self-Storage</t>
        </is>
      </c>
      <c r="C1278" t="inlineStr">
        <is>
          <t>386</t>
        </is>
      </c>
      <c r="D1278" t="inlineStr">
        <is>
          <t>14</t>
        </is>
      </c>
      <c r="E1278" t="inlineStr">
        <is>
          <t>28</t>
        </is>
      </c>
      <c r="F1278" t="inlineStr">
        <is>
          <t>D</t>
        </is>
      </c>
      <c r="G1278" t="inlineStr">
        <is>
          <t>Average</t>
        </is>
      </c>
      <c r="H1278" t="n">
        <v>47.5</v>
      </c>
      <c r="I1278">
        <f>B1278&amp;"~"&amp;F1278&amp;"~"&amp;G1278</f>
        <v/>
      </c>
      <c r="J1278" t="inlineStr">
        <is>
          <t>MVS Sec.14 p.28</t>
        </is>
      </c>
    </row>
    <row r="1279">
      <c r="B1279" t="inlineStr">
        <is>
          <t>Mini-Warehouses / Self-Storage</t>
        </is>
      </c>
      <c r="C1279" t="inlineStr">
        <is>
          <t>386</t>
        </is>
      </c>
      <c r="D1279" t="inlineStr">
        <is>
          <t>14</t>
        </is>
      </c>
      <c r="E1279" t="inlineStr">
        <is>
          <t>28</t>
        </is>
      </c>
      <c r="F1279" t="inlineStr">
        <is>
          <t>D</t>
        </is>
      </c>
      <c r="G1279" t="inlineStr">
        <is>
          <t>Low Cost</t>
        </is>
      </c>
      <c r="H1279" t="n">
        <v>35.5</v>
      </c>
      <c r="I1279">
        <f>B1279&amp;"~"&amp;F1279&amp;"~"&amp;G1279</f>
        <v/>
      </c>
      <c r="J1279" t="inlineStr">
        <is>
          <t>MVS Sec.14 p.28</t>
        </is>
      </c>
    </row>
    <row r="1280">
      <c r="B1280" t="inlineStr">
        <is>
          <t>Mini-Warehouses / Self-Storage</t>
        </is>
      </c>
      <c r="C1280" t="inlineStr">
        <is>
          <t>386</t>
        </is>
      </c>
      <c r="D1280" t="inlineStr">
        <is>
          <t>14</t>
        </is>
      </c>
      <c r="E1280" t="inlineStr">
        <is>
          <t>28</t>
        </is>
      </c>
      <c r="F1280" t="inlineStr">
        <is>
          <t>DPOLE</t>
        </is>
      </c>
      <c r="G1280" t="inlineStr">
        <is>
          <t>Good</t>
        </is>
      </c>
      <c r="H1280" t="n">
        <v>58.5</v>
      </c>
      <c r="I1280">
        <f>B1280&amp;"~"&amp;F1280&amp;"~"&amp;G1280</f>
        <v/>
      </c>
      <c r="J1280" t="inlineStr">
        <is>
          <t>MVS Sec.14 p.28</t>
        </is>
      </c>
    </row>
    <row r="1281">
      <c r="B1281" t="inlineStr">
        <is>
          <t>Mini-Warehouses / Self-Storage</t>
        </is>
      </c>
      <c r="C1281" t="inlineStr">
        <is>
          <t>386</t>
        </is>
      </c>
      <c r="D1281" t="inlineStr">
        <is>
          <t>14</t>
        </is>
      </c>
      <c r="E1281" t="inlineStr">
        <is>
          <t>28</t>
        </is>
      </c>
      <c r="F1281" t="inlineStr">
        <is>
          <t>DPOLE</t>
        </is>
      </c>
      <c r="G1281" t="inlineStr">
        <is>
          <t>Average</t>
        </is>
      </c>
      <c r="H1281" t="n">
        <v>43.5</v>
      </c>
      <c r="I1281">
        <f>B1281&amp;"~"&amp;F1281&amp;"~"&amp;G1281</f>
        <v/>
      </c>
      <c r="J1281" t="inlineStr">
        <is>
          <t>MVS Sec.14 p.28</t>
        </is>
      </c>
    </row>
    <row r="1282">
      <c r="B1282" t="inlineStr">
        <is>
          <t>Mini-Warehouses / Self-Storage</t>
        </is>
      </c>
      <c r="C1282" t="inlineStr">
        <is>
          <t>386</t>
        </is>
      </c>
      <c r="D1282" t="inlineStr">
        <is>
          <t>14</t>
        </is>
      </c>
      <c r="E1282" t="inlineStr">
        <is>
          <t>28</t>
        </is>
      </c>
      <c r="F1282" t="inlineStr">
        <is>
          <t>DPOLE</t>
        </is>
      </c>
      <c r="G1282" t="inlineStr">
        <is>
          <t>Low Cost</t>
        </is>
      </c>
      <c r="H1282" t="n">
        <v>32.5</v>
      </c>
      <c r="I1282">
        <f>B1282&amp;"~"&amp;F1282&amp;"~"&amp;G1282</f>
        <v/>
      </c>
      <c r="J1282" t="inlineStr">
        <is>
          <t>MVS Sec.14 p.28</t>
        </is>
      </c>
    </row>
    <row r="1283">
      <c r="B1283" t="inlineStr">
        <is>
          <t>Mini-Warehouses / Self-Storage</t>
        </is>
      </c>
      <c r="C1283" t="inlineStr">
        <is>
          <t>386</t>
        </is>
      </c>
      <c r="D1283" t="inlineStr">
        <is>
          <t>14</t>
        </is>
      </c>
      <c r="E1283" t="inlineStr">
        <is>
          <t>28</t>
        </is>
      </c>
      <c r="F1283" t="inlineStr">
        <is>
          <t>S</t>
        </is>
      </c>
      <c r="G1283" t="inlineStr">
        <is>
          <t>Good</t>
        </is>
      </c>
      <c r="H1283" t="n">
        <v>63.5</v>
      </c>
      <c r="I1283">
        <f>B1283&amp;"~"&amp;F1283&amp;"~"&amp;G1283</f>
        <v/>
      </c>
      <c r="J1283" t="inlineStr">
        <is>
          <t>MVS Sec.14 p.28</t>
        </is>
      </c>
    </row>
    <row r="1284">
      <c r="B1284" t="inlineStr">
        <is>
          <t>Mini-Warehouses / Self-Storage</t>
        </is>
      </c>
      <c r="C1284" t="inlineStr">
        <is>
          <t>386</t>
        </is>
      </c>
      <c r="D1284" t="inlineStr">
        <is>
          <t>14</t>
        </is>
      </c>
      <c r="E1284" t="inlineStr">
        <is>
          <t>28</t>
        </is>
      </c>
      <c r="F1284" t="inlineStr">
        <is>
          <t>S</t>
        </is>
      </c>
      <c r="G1284" t="inlineStr">
        <is>
          <t>Average</t>
        </is>
      </c>
      <c r="H1284" t="n">
        <v>47.5</v>
      </c>
      <c r="I1284">
        <f>B1284&amp;"~"&amp;F1284&amp;"~"&amp;G1284</f>
        <v/>
      </c>
      <c r="J1284" t="inlineStr">
        <is>
          <t>MVS Sec.14 p.28</t>
        </is>
      </c>
    </row>
    <row r="1285">
      <c r="B1285" t="inlineStr">
        <is>
          <t>Mini-Warehouses / Self-Storage</t>
        </is>
      </c>
      <c r="C1285" t="inlineStr">
        <is>
          <t>386</t>
        </is>
      </c>
      <c r="D1285" t="inlineStr">
        <is>
          <t>14</t>
        </is>
      </c>
      <c r="E1285" t="inlineStr">
        <is>
          <t>28</t>
        </is>
      </c>
      <c r="F1285" t="inlineStr">
        <is>
          <t>S</t>
        </is>
      </c>
      <c r="G1285" t="inlineStr">
        <is>
          <t>Low Cost</t>
        </is>
      </c>
      <c r="H1285" t="n">
        <v>35.5</v>
      </c>
      <c r="I1285">
        <f>B1285&amp;"~"&amp;F1285&amp;"~"&amp;G1285</f>
        <v/>
      </c>
      <c r="J1285" t="inlineStr">
        <is>
          <t>MVS Sec.14 p.28</t>
        </is>
      </c>
    </row>
    <row r="1286">
      <c r="B1286" t="inlineStr">
        <is>
          <t>Mini-Warehouses / Self-Storage</t>
        </is>
      </c>
      <c r="C1286" t="inlineStr">
        <is>
          <t>386</t>
        </is>
      </c>
      <c r="D1286" t="inlineStr">
        <is>
          <t>14</t>
        </is>
      </c>
      <c r="E1286" t="inlineStr">
        <is>
          <t>28</t>
        </is>
      </c>
      <c r="F1286" t="inlineStr">
        <is>
          <t>S</t>
        </is>
      </c>
      <c r="G1286" t="inlineStr">
        <is>
          <t>Cheap</t>
        </is>
      </c>
      <c r="H1286" t="n">
        <v>26.25</v>
      </c>
      <c r="I1286">
        <f>B1286&amp;"~"&amp;F1286&amp;"~"&amp;G1286</f>
        <v/>
      </c>
      <c r="J1286" t="inlineStr">
        <is>
          <t>MVS Sec.14 p.28</t>
        </is>
      </c>
    </row>
    <row r="1287">
      <c r="B1287" t="inlineStr">
        <is>
          <t>Mini-Warehouses, High-Rise</t>
        </is>
      </c>
      <c r="C1287" t="inlineStr">
        <is>
          <t>525</t>
        </is>
      </c>
      <c r="D1287" t="inlineStr">
        <is>
          <t>14</t>
        </is>
      </c>
      <c r="E1287" t="inlineStr">
        <is>
          <t>28</t>
        </is>
      </c>
      <c r="F1287" t="inlineStr">
        <is>
          <t>A-B</t>
        </is>
      </c>
      <c r="G1287" t="inlineStr">
        <is>
          <t>Average</t>
        </is>
      </c>
      <c r="H1287" t="n">
        <v>94</v>
      </c>
      <c r="I1287">
        <f>B1287&amp;"~"&amp;F1287&amp;"~"&amp;G1287</f>
        <v/>
      </c>
      <c r="J1287" t="inlineStr">
        <is>
          <t>MVS Sec.14 p.28</t>
        </is>
      </c>
    </row>
    <row r="1288">
      <c r="B1288" t="inlineStr">
        <is>
          <t>Mini-Warehouses, High-Rise</t>
        </is>
      </c>
      <c r="C1288" t="inlineStr">
        <is>
          <t>525</t>
        </is>
      </c>
      <c r="D1288" t="inlineStr">
        <is>
          <t>14</t>
        </is>
      </c>
      <c r="E1288" t="inlineStr">
        <is>
          <t>28</t>
        </is>
      </c>
      <c r="F1288" t="inlineStr">
        <is>
          <t>C</t>
        </is>
      </c>
      <c r="G1288" t="inlineStr">
        <is>
          <t>Good</t>
        </is>
      </c>
      <c r="H1288" t="n">
        <v>86.5</v>
      </c>
      <c r="I1288">
        <f>B1288&amp;"~"&amp;F1288&amp;"~"&amp;G1288</f>
        <v/>
      </c>
      <c r="J1288" t="inlineStr">
        <is>
          <t>MVS Sec.14 p.28</t>
        </is>
      </c>
    </row>
    <row r="1289">
      <c r="B1289" t="inlineStr">
        <is>
          <t>Mini-Warehouses, High-Rise</t>
        </is>
      </c>
      <c r="C1289" t="inlineStr">
        <is>
          <t>525</t>
        </is>
      </c>
      <c r="D1289" t="inlineStr">
        <is>
          <t>14</t>
        </is>
      </c>
      <c r="E1289" t="inlineStr">
        <is>
          <t>28</t>
        </is>
      </c>
      <c r="F1289" t="inlineStr">
        <is>
          <t>C</t>
        </is>
      </c>
      <c r="G1289" t="inlineStr">
        <is>
          <t>Average</t>
        </is>
      </c>
      <c r="H1289" t="n">
        <v>66</v>
      </c>
      <c r="I1289">
        <f>B1289&amp;"~"&amp;F1289&amp;"~"&amp;G1289</f>
        <v/>
      </c>
      <c r="J1289" t="inlineStr">
        <is>
          <t>MVS Sec.14 p.28</t>
        </is>
      </c>
    </row>
    <row r="1290">
      <c r="B1290" t="inlineStr">
        <is>
          <t>Mini-Warehouses, High-Rise</t>
        </is>
      </c>
      <c r="C1290" t="inlineStr">
        <is>
          <t>525</t>
        </is>
      </c>
      <c r="D1290" t="inlineStr">
        <is>
          <t>14</t>
        </is>
      </c>
      <c r="E1290" t="inlineStr">
        <is>
          <t>28</t>
        </is>
      </c>
      <c r="F1290" t="inlineStr">
        <is>
          <t>D</t>
        </is>
      </c>
      <c r="G1290" t="inlineStr">
        <is>
          <t>Good</t>
        </is>
      </c>
      <c r="H1290" t="n">
        <v>79.5</v>
      </c>
      <c r="I1290">
        <f>B1290&amp;"~"&amp;F1290&amp;"~"&amp;G1290</f>
        <v/>
      </c>
      <c r="J1290" t="inlineStr">
        <is>
          <t>MVS Sec.14 p.28</t>
        </is>
      </c>
    </row>
    <row r="1291">
      <c r="B1291" t="inlineStr">
        <is>
          <t>Mini-Warehouses, High-Rise</t>
        </is>
      </c>
      <c r="C1291" t="inlineStr">
        <is>
          <t>525</t>
        </is>
      </c>
      <c r="D1291" t="inlineStr">
        <is>
          <t>14</t>
        </is>
      </c>
      <c r="E1291" t="inlineStr">
        <is>
          <t>28</t>
        </is>
      </c>
      <c r="F1291" t="inlineStr">
        <is>
          <t>S</t>
        </is>
      </c>
      <c r="G1291" t="inlineStr">
        <is>
          <t>Good</t>
        </is>
      </c>
      <c r="H1291" t="n">
        <v>81</v>
      </c>
      <c r="I1291">
        <f>B1291&amp;"~"&amp;F1291&amp;"~"&amp;G1291</f>
        <v/>
      </c>
      <c r="J1291" t="inlineStr">
        <is>
          <t>MVS Sec.14 p.28</t>
        </is>
      </c>
    </row>
    <row r="1292">
      <c r="B1292" t="inlineStr">
        <is>
          <t>Maintenance Hangars</t>
        </is>
      </c>
      <c r="C1292" t="inlineStr">
        <is>
          <t>329</t>
        </is>
      </c>
      <c r="D1292" t="inlineStr">
        <is>
          <t>14</t>
        </is>
      </c>
      <c r="E1292" t="inlineStr">
        <is>
          <t>29</t>
        </is>
      </c>
      <c r="F1292" t="inlineStr">
        <is>
          <t>C</t>
        </is>
      </c>
      <c r="G1292" t="inlineStr">
        <is>
          <t>Excellent</t>
        </is>
      </c>
      <c r="H1292" t="n">
        <v>165</v>
      </c>
      <c r="I1292">
        <f>B1292&amp;"~"&amp;F1292&amp;"~"&amp;G1292</f>
        <v/>
      </c>
      <c r="J1292" t="inlineStr">
        <is>
          <t>MVS Sec.14 p.29</t>
        </is>
      </c>
    </row>
    <row r="1293">
      <c r="B1293" t="inlineStr">
        <is>
          <t>Maintenance Hangars</t>
        </is>
      </c>
      <c r="C1293" t="inlineStr">
        <is>
          <t>329</t>
        </is>
      </c>
      <c r="D1293" t="inlineStr">
        <is>
          <t>14</t>
        </is>
      </c>
      <c r="E1293" t="inlineStr">
        <is>
          <t>29</t>
        </is>
      </c>
      <c r="F1293" t="inlineStr">
        <is>
          <t>C</t>
        </is>
      </c>
      <c r="G1293" t="inlineStr">
        <is>
          <t>Good</t>
        </is>
      </c>
      <c r="H1293" t="n">
        <v>111</v>
      </c>
      <c r="I1293">
        <f>B1293&amp;"~"&amp;F1293&amp;"~"&amp;G1293</f>
        <v/>
      </c>
      <c r="J1293" t="inlineStr">
        <is>
          <t>MVS Sec.14 p.29</t>
        </is>
      </c>
    </row>
    <row r="1294">
      <c r="B1294" t="inlineStr">
        <is>
          <t>Maintenance Hangars</t>
        </is>
      </c>
      <c r="C1294" t="inlineStr">
        <is>
          <t>329</t>
        </is>
      </c>
      <c r="D1294" t="inlineStr">
        <is>
          <t>14</t>
        </is>
      </c>
      <c r="E1294" t="inlineStr">
        <is>
          <t>29</t>
        </is>
      </c>
      <c r="F1294" t="inlineStr">
        <is>
          <t>C</t>
        </is>
      </c>
      <c r="G1294" t="inlineStr">
        <is>
          <t>Average</t>
        </is>
      </c>
      <c r="H1294" t="n">
        <v>80</v>
      </c>
      <c r="I1294">
        <f>B1294&amp;"~"&amp;F1294&amp;"~"&amp;G1294</f>
        <v/>
      </c>
      <c r="J1294" t="inlineStr">
        <is>
          <t>MVS Sec.14 p.29</t>
        </is>
      </c>
    </row>
    <row r="1295">
      <c r="B1295" t="inlineStr">
        <is>
          <t>Maintenance Hangars</t>
        </is>
      </c>
      <c r="C1295" t="inlineStr">
        <is>
          <t>329</t>
        </is>
      </c>
      <c r="D1295" t="inlineStr">
        <is>
          <t>14</t>
        </is>
      </c>
      <c r="E1295" t="inlineStr">
        <is>
          <t>29</t>
        </is>
      </c>
      <c r="F1295" t="inlineStr">
        <is>
          <t>C</t>
        </is>
      </c>
      <c r="G1295" t="inlineStr">
        <is>
          <t>Low Cost</t>
        </is>
      </c>
      <c r="H1295" t="n">
        <v>57.5</v>
      </c>
      <c r="I1295">
        <f>B1295&amp;"~"&amp;F1295&amp;"~"&amp;G1295</f>
        <v/>
      </c>
      <c r="J1295" t="inlineStr">
        <is>
          <t>MVS Sec.14 p.29</t>
        </is>
      </c>
    </row>
    <row r="1296">
      <c r="B1296" t="inlineStr">
        <is>
          <t>Maintenance Hangars</t>
        </is>
      </c>
      <c r="C1296" t="inlineStr">
        <is>
          <t>329</t>
        </is>
      </c>
      <c r="D1296" t="inlineStr">
        <is>
          <t>14</t>
        </is>
      </c>
      <c r="E1296" t="inlineStr">
        <is>
          <t>29</t>
        </is>
      </c>
      <c r="F1296" t="inlineStr">
        <is>
          <t>D</t>
        </is>
      </c>
      <c r="G1296" t="inlineStr">
        <is>
          <t>Average</t>
        </is>
      </c>
      <c r="H1296" t="n">
        <v>73</v>
      </c>
      <c r="I1296">
        <f>B1296&amp;"~"&amp;F1296&amp;"~"&amp;G1296</f>
        <v/>
      </c>
      <c r="J1296" t="inlineStr">
        <is>
          <t>MVS Sec.14 p.29</t>
        </is>
      </c>
    </row>
    <row r="1297">
      <c r="B1297" t="inlineStr">
        <is>
          <t>Maintenance Hangars</t>
        </is>
      </c>
      <c r="C1297" t="inlineStr">
        <is>
          <t>329</t>
        </is>
      </c>
      <c r="D1297" t="inlineStr">
        <is>
          <t>14</t>
        </is>
      </c>
      <c r="E1297" t="inlineStr">
        <is>
          <t>29</t>
        </is>
      </c>
      <c r="F1297" t="inlineStr">
        <is>
          <t>D</t>
        </is>
      </c>
      <c r="G1297" t="inlineStr">
        <is>
          <t>Low Cost</t>
        </is>
      </c>
      <c r="H1297" t="n">
        <v>52.5</v>
      </c>
      <c r="I1297">
        <f>B1297&amp;"~"&amp;F1297&amp;"~"&amp;G1297</f>
        <v/>
      </c>
      <c r="J1297" t="inlineStr">
        <is>
          <t>MVS Sec.14 p.29</t>
        </is>
      </c>
    </row>
    <row r="1298">
      <c r="B1298" t="inlineStr">
        <is>
          <t>Maintenance Hangars</t>
        </is>
      </c>
      <c r="C1298" t="inlineStr">
        <is>
          <t>329</t>
        </is>
      </c>
      <c r="D1298" t="inlineStr">
        <is>
          <t>14</t>
        </is>
      </c>
      <c r="E1298" t="inlineStr">
        <is>
          <t>29</t>
        </is>
      </c>
      <c r="F1298" t="inlineStr">
        <is>
          <t>S</t>
        </is>
      </c>
      <c r="G1298" t="inlineStr">
        <is>
          <t>Excellent</t>
        </is>
      </c>
      <c r="H1298" t="n">
        <v>158</v>
      </c>
      <c r="I1298">
        <f>B1298&amp;"~"&amp;F1298&amp;"~"&amp;G1298</f>
        <v/>
      </c>
      <c r="J1298" t="inlineStr">
        <is>
          <t>MVS Sec.14 p.29</t>
        </is>
      </c>
    </row>
    <row r="1299">
      <c r="B1299" t="inlineStr">
        <is>
          <t>Maintenance Hangars</t>
        </is>
      </c>
      <c r="C1299" t="inlineStr">
        <is>
          <t>329</t>
        </is>
      </c>
      <c r="D1299" t="inlineStr">
        <is>
          <t>14</t>
        </is>
      </c>
      <c r="E1299" t="inlineStr">
        <is>
          <t>29</t>
        </is>
      </c>
      <c r="F1299" t="inlineStr">
        <is>
          <t>S</t>
        </is>
      </c>
      <c r="G1299" t="inlineStr">
        <is>
          <t>Good</t>
        </is>
      </c>
      <c r="H1299" t="n">
        <v>102</v>
      </c>
      <c r="I1299">
        <f>B1299&amp;"~"&amp;F1299&amp;"~"&amp;G1299</f>
        <v/>
      </c>
      <c r="J1299" t="inlineStr">
        <is>
          <t>MVS Sec.14 p.29</t>
        </is>
      </c>
    </row>
    <row r="1300">
      <c r="B1300" t="inlineStr">
        <is>
          <t>Maintenance Hangars</t>
        </is>
      </c>
      <c r="C1300" t="inlineStr">
        <is>
          <t>329</t>
        </is>
      </c>
      <c r="D1300" t="inlineStr">
        <is>
          <t>14</t>
        </is>
      </c>
      <c r="E1300" t="inlineStr">
        <is>
          <t>29</t>
        </is>
      </c>
      <c r="F1300" t="inlineStr">
        <is>
          <t>S</t>
        </is>
      </c>
      <c r="G1300" t="inlineStr">
        <is>
          <t>Average</t>
        </is>
      </c>
      <c r="H1300" t="n">
        <v>71.5</v>
      </c>
      <c r="I1300">
        <f>B1300&amp;"~"&amp;F1300&amp;"~"&amp;G1300</f>
        <v/>
      </c>
      <c r="J1300" t="inlineStr">
        <is>
          <t>MVS Sec.14 p.29</t>
        </is>
      </c>
    </row>
    <row r="1301">
      <c r="B1301" t="inlineStr">
        <is>
          <t>Maintenance Hangars</t>
        </is>
      </c>
      <c r="C1301" t="inlineStr">
        <is>
          <t>329</t>
        </is>
      </c>
      <c r="D1301" t="inlineStr">
        <is>
          <t>14</t>
        </is>
      </c>
      <c r="E1301" t="inlineStr">
        <is>
          <t>29</t>
        </is>
      </c>
      <c r="F1301" t="inlineStr">
        <is>
          <t>S</t>
        </is>
      </c>
      <c r="G1301" t="inlineStr">
        <is>
          <t>Low Cost</t>
        </is>
      </c>
      <c r="H1301" t="n">
        <v>50</v>
      </c>
      <c r="I1301">
        <f>B1301&amp;"~"&amp;F1301&amp;"~"&amp;G1301</f>
        <v/>
      </c>
      <c r="J1301" t="inlineStr">
        <is>
          <t>MVS Sec.14 p.29</t>
        </is>
      </c>
    </row>
    <row r="1302">
      <c r="B1302" t="inlineStr">
        <is>
          <t>Storage Hangars</t>
        </is>
      </c>
      <c r="C1302" t="inlineStr">
        <is>
          <t>328</t>
        </is>
      </c>
      <c r="D1302" t="inlineStr">
        <is>
          <t>14</t>
        </is>
      </c>
      <c r="E1302" t="inlineStr">
        <is>
          <t>29</t>
        </is>
      </c>
      <c r="F1302" t="inlineStr">
        <is>
          <t>C</t>
        </is>
      </c>
      <c r="G1302" t="inlineStr">
        <is>
          <t>Excellent</t>
        </is>
      </c>
      <c r="H1302" t="n">
        <v>128</v>
      </c>
      <c r="I1302">
        <f>B1302&amp;"~"&amp;F1302&amp;"~"&amp;G1302</f>
        <v/>
      </c>
      <c r="J1302" t="inlineStr">
        <is>
          <t>MVS Sec.14 p.29</t>
        </is>
      </c>
    </row>
    <row r="1303">
      <c r="B1303" t="inlineStr">
        <is>
          <t>Storage Hangars</t>
        </is>
      </c>
      <c r="C1303" t="inlineStr">
        <is>
          <t>328</t>
        </is>
      </c>
      <c r="D1303" t="inlineStr">
        <is>
          <t>14</t>
        </is>
      </c>
      <c r="E1303" t="inlineStr">
        <is>
          <t>29</t>
        </is>
      </c>
      <c r="F1303" t="inlineStr">
        <is>
          <t>C</t>
        </is>
      </c>
      <c r="G1303" t="inlineStr">
        <is>
          <t>Good</t>
        </is>
      </c>
      <c r="H1303" t="n">
        <v>89</v>
      </c>
      <c r="I1303">
        <f>B1303&amp;"~"&amp;F1303&amp;"~"&amp;G1303</f>
        <v/>
      </c>
      <c r="J1303" t="inlineStr">
        <is>
          <t>MVS Sec.14 p.29</t>
        </is>
      </c>
    </row>
    <row r="1304">
      <c r="B1304" t="inlineStr">
        <is>
          <t>Storage Hangars</t>
        </is>
      </c>
      <c r="C1304" t="inlineStr">
        <is>
          <t>328</t>
        </is>
      </c>
      <c r="D1304" t="inlineStr">
        <is>
          <t>14</t>
        </is>
      </c>
      <c r="E1304" t="inlineStr">
        <is>
          <t>29</t>
        </is>
      </c>
      <c r="F1304" t="inlineStr">
        <is>
          <t>C</t>
        </is>
      </c>
      <c r="G1304" t="inlineStr">
        <is>
          <t>Average</t>
        </is>
      </c>
      <c r="H1304" t="n">
        <v>59.5</v>
      </c>
      <c r="I1304">
        <f>B1304&amp;"~"&amp;F1304&amp;"~"&amp;G1304</f>
        <v/>
      </c>
      <c r="J1304" t="inlineStr">
        <is>
          <t>MVS Sec.14 p.29</t>
        </is>
      </c>
    </row>
    <row r="1305">
      <c r="B1305" t="inlineStr">
        <is>
          <t>Storage Hangars</t>
        </is>
      </c>
      <c r="C1305" t="inlineStr">
        <is>
          <t>328</t>
        </is>
      </c>
      <c r="D1305" t="inlineStr">
        <is>
          <t>14</t>
        </is>
      </c>
      <c r="E1305" t="inlineStr">
        <is>
          <t>29</t>
        </is>
      </c>
      <c r="F1305" t="inlineStr">
        <is>
          <t>C</t>
        </is>
      </c>
      <c r="G1305" t="inlineStr">
        <is>
          <t>Low Cost</t>
        </is>
      </c>
      <c r="H1305" t="n">
        <v>41</v>
      </c>
      <c r="I1305">
        <f>B1305&amp;"~"&amp;F1305&amp;"~"&amp;G1305</f>
        <v/>
      </c>
      <c r="J1305" t="inlineStr">
        <is>
          <t>MVS Sec.14 p.29</t>
        </is>
      </c>
    </row>
    <row r="1306">
      <c r="B1306" t="inlineStr">
        <is>
          <t>Storage Hangars</t>
        </is>
      </c>
      <c r="C1306" t="inlineStr">
        <is>
          <t>328</t>
        </is>
      </c>
      <c r="D1306" t="inlineStr">
        <is>
          <t>14</t>
        </is>
      </c>
      <c r="E1306" t="inlineStr">
        <is>
          <t>29</t>
        </is>
      </c>
      <c r="F1306" t="inlineStr">
        <is>
          <t>D</t>
        </is>
      </c>
      <c r="G1306" t="inlineStr">
        <is>
          <t>Average</t>
        </is>
      </c>
      <c r="H1306" t="n">
        <v>53.5</v>
      </c>
      <c r="I1306">
        <f>B1306&amp;"~"&amp;F1306&amp;"~"&amp;G1306</f>
        <v/>
      </c>
      <c r="J1306" t="inlineStr">
        <is>
          <t>MVS Sec.14 p.29</t>
        </is>
      </c>
    </row>
    <row r="1307">
      <c r="B1307" t="inlineStr">
        <is>
          <t>Storage Hangars</t>
        </is>
      </c>
      <c r="C1307" t="inlineStr">
        <is>
          <t>328</t>
        </is>
      </c>
      <c r="D1307" t="inlineStr">
        <is>
          <t>14</t>
        </is>
      </c>
      <c r="E1307" t="inlineStr">
        <is>
          <t>29</t>
        </is>
      </c>
      <c r="F1307" t="inlineStr">
        <is>
          <t>D</t>
        </is>
      </c>
      <c r="G1307" t="inlineStr">
        <is>
          <t>Low Cost</t>
        </is>
      </c>
      <c r="H1307" t="n">
        <v>36.75</v>
      </c>
      <c r="I1307">
        <f>B1307&amp;"~"&amp;F1307&amp;"~"&amp;G1307</f>
        <v/>
      </c>
      <c r="J1307" t="inlineStr">
        <is>
          <t>MVS Sec.14 p.29</t>
        </is>
      </c>
    </row>
    <row r="1308">
      <c r="B1308" t="inlineStr">
        <is>
          <t>Storage Hangars</t>
        </is>
      </c>
      <c r="C1308" t="inlineStr">
        <is>
          <t>328</t>
        </is>
      </c>
      <c r="D1308" t="inlineStr">
        <is>
          <t>14</t>
        </is>
      </c>
      <c r="E1308" t="inlineStr">
        <is>
          <t>29</t>
        </is>
      </c>
      <c r="F1308" t="inlineStr">
        <is>
          <t>DPOLE</t>
        </is>
      </c>
      <c r="G1308" t="inlineStr">
        <is>
          <t>Low Cost</t>
        </is>
      </c>
      <c r="H1308" t="n">
        <v>31.75</v>
      </c>
      <c r="I1308">
        <f>B1308&amp;"~"&amp;F1308&amp;"~"&amp;G1308</f>
        <v/>
      </c>
      <c r="J1308" t="inlineStr">
        <is>
          <t>MVS Sec.14 p.29</t>
        </is>
      </c>
    </row>
    <row r="1309">
      <c r="B1309" t="inlineStr">
        <is>
          <t>Storage Hangars</t>
        </is>
      </c>
      <c r="C1309" t="inlineStr">
        <is>
          <t>328</t>
        </is>
      </c>
      <c r="D1309" t="inlineStr">
        <is>
          <t>14</t>
        </is>
      </c>
      <c r="E1309" t="inlineStr">
        <is>
          <t>29</t>
        </is>
      </c>
      <c r="F1309" t="inlineStr">
        <is>
          <t>DPOLE</t>
        </is>
      </c>
      <c r="G1309" t="inlineStr">
        <is>
          <t>Cheap</t>
        </is>
      </c>
      <c r="H1309" t="n">
        <v>23.1</v>
      </c>
      <c r="I1309">
        <f>B1309&amp;"~"&amp;F1309&amp;"~"&amp;G1309</f>
        <v/>
      </c>
      <c r="J1309" t="inlineStr">
        <is>
          <t>MVS Sec.14 p.29</t>
        </is>
      </c>
    </row>
    <row r="1310">
      <c r="B1310" t="inlineStr">
        <is>
          <t>Storage Hangars</t>
        </is>
      </c>
      <c r="C1310" t="inlineStr">
        <is>
          <t>328</t>
        </is>
      </c>
      <c r="D1310" t="inlineStr">
        <is>
          <t>14</t>
        </is>
      </c>
      <c r="E1310" t="inlineStr">
        <is>
          <t>29</t>
        </is>
      </c>
      <c r="F1310" t="inlineStr">
        <is>
          <t>S</t>
        </is>
      </c>
      <c r="G1310" t="inlineStr">
        <is>
          <t>Excellent</t>
        </is>
      </c>
      <c r="H1310" t="n">
        <v>119</v>
      </c>
      <c r="I1310">
        <f>B1310&amp;"~"&amp;F1310&amp;"~"&amp;G1310</f>
        <v/>
      </c>
      <c r="J1310" t="inlineStr">
        <is>
          <t>MVS Sec.14 p.29</t>
        </is>
      </c>
    </row>
    <row r="1311">
      <c r="B1311" t="inlineStr">
        <is>
          <t>Storage Hangars</t>
        </is>
      </c>
      <c r="C1311" t="inlineStr">
        <is>
          <t>328</t>
        </is>
      </c>
      <c r="D1311" t="inlineStr">
        <is>
          <t>14</t>
        </is>
      </c>
      <c r="E1311" t="inlineStr">
        <is>
          <t>29</t>
        </is>
      </c>
      <c r="F1311" t="inlineStr">
        <is>
          <t>S</t>
        </is>
      </c>
      <c r="G1311" t="inlineStr">
        <is>
          <t>Good</t>
        </is>
      </c>
      <c r="H1311" t="n">
        <v>81.5</v>
      </c>
      <c r="I1311">
        <f>B1311&amp;"~"&amp;F1311&amp;"~"&amp;G1311</f>
        <v/>
      </c>
      <c r="J1311" t="inlineStr">
        <is>
          <t>MVS Sec.14 p.29</t>
        </is>
      </c>
    </row>
    <row r="1312">
      <c r="B1312" t="inlineStr">
        <is>
          <t>Storage Hangars</t>
        </is>
      </c>
      <c r="C1312" t="inlineStr">
        <is>
          <t>328</t>
        </is>
      </c>
      <c r="D1312" t="inlineStr">
        <is>
          <t>14</t>
        </is>
      </c>
      <c r="E1312" t="inlineStr">
        <is>
          <t>29</t>
        </is>
      </c>
      <c r="F1312" t="inlineStr">
        <is>
          <t>S</t>
        </is>
      </c>
      <c r="G1312" t="inlineStr">
        <is>
          <t>Average</t>
        </is>
      </c>
      <c r="H1312" t="n">
        <v>53</v>
      </c>
      <c r="I1312">
        <f>B1312&amp;"~"&amp;F1312&amp;"~"&amp;G1312</f>
        <v/>
      </c>
      <c r="J1312" t="inlineStr">
        <is>
          <t>MVS Sec.14 p.29</t>
        </is>
      </c>
    </row>
    <row r="1313">
      <c r="B1313" t="inlineStr">
        <is>
          <t>Storage Hangars</t>
        </is>
      </c>
      <c r="C1313" t="inlineStr">
        <is>
          <t>328</t>
        </is>
      </c>
      <c r="D1313" t="inlineStr">
        <is>
          <t>14</t>
        </is>
      </c>
      <c r="E1313" t="inlineStr">
        <is>
          <t>29</t>
        </is>
      </c>
      <c r="F1313" t="inlineStr">
        <is>
          <t>S</t>
        </is>
      </c>
      <c r="G1313" t="inlineStr">
        <is>
          <t>Low Cost</t>
        </is>
      </c>
      <c r="H1313" t="n">
        <v>35.5</v>
      </c>
      <c r="I1313">
        <f>B1313&amp;"~"&amp;F1313&amp;"~"&amp;G1313</f>
        <v/>
      </c>
      <c r="J1313" t="inlineStr">
        <is>
          <t>MVS Sec.14 p.29</t>
        </is>
      </c>
    </row>
    <row r="1314">
      <c r="B1314" t="inlineStr">
        <is>
          <t>Storage Hangars</t>
        </is>
      </c>
      <c r="C1314" t="inlineStr">
        <is>
          <t>328</t>
        </is>
      </c>
      <c r="D1314" t="inlineStr">
        <is>
          <t>14</t>
        </is>
      </c>
      <c r="E1314" t="inlineStr">
        <is>
          <t>29</t>
        </is>
      </c>
      <c r="F1314" t="inlineStr">
        <is>
          <t>S</t>
        </is>
      </c>
      <c r="G1314" t="inlineStr">
        <is>
          <t>Cheap</t>
        </is>
      </c>
      <c r="H1314" t="n">
        <v>26</v>
      </c>
      <c r="I1314">
        <f>B1314&amp;"~"&amp;F1314&amp;"~"&amp;G1314</f>
        <v/>
      </c>
      <c r="J1314" t="inlineStr">
        <is>
          <t>MVS Sec.14 p.29</t>
        </is>
      </c>
    </row>
    <row r="1315">
      <c r="B1315" t="inlineStr">
        <is>
          <t>T-Hangars</t>
        </is>
      </c>
      <c r="C1315" t="inlineStr">
        <is>
          <t>409</t>
        </is>
      </c>
      <c r="D1315" t="inlineStr">
        <is>
          <t>14</t>
        </is>
      </c>
      <c r="E1315" t="inlineStr">
        <is>
          <t>30</t>
        </is>
      </c>
      <c r="F1315" t="inlineStr">
        <is>
          <t>C</t>
        </is>
      </c>
      <c r="G1315" t="inlineStr">
        <is>
          <t>Average</t>
        </is>
      </c>
      <c r="H1315" t="n">
        <v>53</v>
      </c>
      <c r="I1315">
        <f>B1315&amp;"~"&amp;F1315&amp;"~"&amp;G1315</f>
        <v/>
      </c>
      <c r="J1315" t="inlineStr">
        <is>
          <t>MVS Sec.14 p.30</t>
        </is>
      </c>
    </row>
    <row r="1316">
      <c r="B1316" t="inlineStr">
        <is>
          <t>T-Hangars</t>
        </is>
      </c>
      <c r="C1316" t="inlineStr">
        <is>
          <t>409</t>
        </is>
      </c>
      <c r="D1316" t="inlineStr">
        <is>
          <t>14</t>
        </is>
      </c>
      <c r="E1316" t="inlineStr">
        <is>
          <t>30</t>
        </is>
      </c>
      <c r="F1316" t="inlineStr">
        <is>
          <t>DPOLE</t>
        </is>
      </c>
      <c r="G1316" t="inlineStr">
        <is>
          <t>Low Cost</t>
        </is>
      </c>
      <c r="H1316" t="n">
        <v>34</v>
      </c>
      <c r="I1316">
        <f>B1316&amp;"~"&amp;F1316&amp;"~"&amp;G1316</f>
        <v/>
      </c>
      <c r="J1316" t="inlineStr">
        <is>
          <t>MVS Sec.14 p.30</t>
        </is>
      </c>
    </row>
    <row r="1317">
      <c r="B1317" t="inlineStr">
        <is>
          <t>T-Hangars</t>
        </is>
      </c>
      <c r="C1317" t="inlineStr">
        <is>
          <t>409</t>
        </is>
      </c>
      <c r="D1317" t="inlineStr">
        <is>
          <t>14</t>
        </is>
      </c>
      <c r="E1317" t="inlineStr">
        <is>
          <t>30</t>
        </is>
      </c>
      <c r="F1317" t="inlineStr">
        <is>
          <t>S</t>
        </is>
      </c>
      <c r="G1317" t="inlineStr">
        <is>
          <t>Average</t>
        </is>
      </c>
      <c r="H1317" t="n">
        <v>48.75</v>
      </c>
      <c r="I1317">
        <f>B1317&amp;"~"&amp;F1317&amp;"~"&amp;G1317</f>
        <v/>
      </c>
      <c r="J1317" t="inlineStr">
        <is>
          <t>MVS Sec.14 p.30</t>
        </is>
      </c>
    </row>
    <row r="1318">
      <c r="B1318" t="inlineStr">
        <is>
          <t>T-Hangars</t>
        </is>
      </c>
      <c r="C1318" t="inlineStr">
        <is>
          <t>409</t>
        </is>
      </c>
      <c r="D1318" t="inlineStr">
        <is>
          <t>14</t>
        </is>
      </c>
      <c r="E1318" t="inlineStr">
        <is>
          <t>30</t>
        </is>
      </c>
      <c r="F1318" t="inlineStr">
        <is>
          <t>S</t>
        </is>
      </c>
      <c r="G1318" t="inlineStr">
        <is>
          <t>Low Cost</t>
        </is>
      </c>
      <c r="H1318" t="n">
        <v>37.75</v>
      </c>
      <c r="I1318">
        <f>B1318&amp;"~"&amp;F1318&amp;"~"&amp;G1318</f>
        <v/>
      </c>
      <c r="J1318" t="inlineStr">
        <is>
          <t>MVS Sec.14 p.30</t>
        </is>
      </c>
    </row>
    <row r="1319">
      <c r="B1319" t="inlineStr">
        <is>
          <t>Complete Auto Dealerships</t>
        </is>
      </c>
      <c r="C1319" t="inlineStr">
        <is>
          <t>455</t>
        </is>
      </c>
      <c r="D1319" t="inlineStr">
        <is>
          <t>14</t>
        </is>
      </c>
      <c r="E1319" t="inlineStr">
        <is>
          <t>30</t>
        </is>
      </c>
      <c r="F1319" t="inlineStr">
        <is>
          <t>A-B</t>
        </is>
      </c>
      <c r="G1319" t="inlineStr">
        <is>
          <t>Average</t>
        </is>
      </c>
      <c r="H1319" t="n">
        <v>193</v>
      </c>
      <c r="I1319">
        <f>B1319&amp;"~"&amp;F1319&amp;"~"&amp;G1319</f>
        <v/>
      </c>
      <c r="J1319" t="inlineStr">
        <is>
          <t>MVS Sec.14 p.30</t>
        </is>
      </c>
    </row>
    <row r="1320">
      <c r="B1320" t="inlineStr">
        <is>
          <t>Complete Auto Dealerships</t>
        </is>
      </c>
      <c r="C1320" t="inlineStr">
        <is>
          <t>455</t>
        </is>
      </c>
      <c r="D1320" t="inlineStr">
        <is>
          <t>14</t>
        </is>
      </c>
      <c r="E1320" t="inlineStr">
        <is>
          <t>30</t>
        </is>
      </c>
      <c r="F1320" t="inlineStr">
        <is>
          <t>C</t>
        </is>
      </c>
      <c r="G1320" t="inlineStr">
        <is>
          <t>Excellent</t>
        </is>
      </c>
      <c r="H1320" t="n">
        <v>247</v>
      </c>
      <c r="I1320">
        <f>B1320&amp;"~"&amp;F1320&amp;"~"&amp;G1320</f>
        <v/>
      </c>
      <c r="J1320" t="inlineStr">
        <is>
          <t>MVS Sec.14 p.30</t>
        </is>
      </c>
    </row>
    <row r="1321">
      <c r="B1321" t="inlineStr">
        <is>
          <t>Complete Auto Dealerships</t>
        </is>
      </c>
      <c r="C1321" t="inlineStr">
        <is>
          <t>455</t>
        </is>
      </c>
      <c r="D1321" t="inlineStr">
        <is>
          <t>14</t>
        </is>
      </c>
      <c r="E1321" t="inlineStr">
        <is>
          <t>30</t>
        </is>
      </c>
      <c r="F1321" t="inlineStr">
        <is>
          <t>C</t>
        </is>
      </c>
      <c r="G1321" t="inlineStr">
        <is>
          <t>Good</t>
        </is>
      </c>
      <c r="H1321" t="n">
        <v>173</v>
      </c>
      <c r="I1321">
        <f>B1321&amp;"~"&amp;F1321&amp;"~"&amp;G1321</f>
        <v/>
      </c>
      <c r="J1321" t="inlineStr">
        <is>
          <t>MVS Sec.14 p.30</t>
        </is>
      </c>
    </row>
    <row r="1322">
      <c r="B1322" t="inlineStr">
        <is>
          <t>Complete Auto Dealerships</t>
        </is>
      </c>
      <c r="C1322" t="inlineStr">
        <is>
          <t>455</t>
        </is>
      </c>
      <c r="D1322" t="inlineStr">
        <is>
          <t>14</t>
        </is>
      </c>
      <c r="E1322" t="inlineStr">
        <is>
          <t>30</t>
        </is>
      </c>
      <c r="F1322" t="inlineStr">
        <is>
          <t>C</t>
        </is>
      </c>
      <c r="G1322" t="inlineStr">
        <is>
          <t>Average</t>
        </is>
      </c>
      <c r="H1322" t="n">
        <v>125</v>
      </c>
      <c r="I1322">
        <f>B1322&amp;"~"&amp;F1322&amp;"~"&amp;G1322</f>
        <v/>
      </c>
      <c r="J1322" t="inlineStr">
        <is>
          <t>MVS Sec.14 p.30</t>
        </is>
      </c>
    </row>
    <row r="1323">
      <c r="B1323" t="inlineStr">
        <is>
          <t>Complete Auto Dealerships</t>
        </is>
      </c>
      <c r="C1323" t="inlineStr">
        <is>
          <t>455</t>
        </is>
      </c>
      <c r="D1323" t="inlineStr">
        <is>
          <t>14</t>
        </is>
      </c>
      <c r="E1323" t="inlineStr">
        <is>
          <t>30</t>
        </is>
      </c>
      <c r="F1323" t="inlineStr">
        <is>
          <t>C</t>
        </is>
      </c>
      <c r="G1323" t="inlineStr">
        <is>
          <t>Low Cost</t>
        </is>
      </c>
      <c r="H1323" t="n">
        <v>85</v>
      </c>
      <c r="I1323">
        <f>B1323&amp;"~"&amp;F1323&amp;"~"&amp;G1323</f>
        <v/>
      </c>
      <c r="J1323" t="inlineStr">
        <is>
          <t>MVS Sec.14 p.30</t>
        </is>
      </c>
    </row>
    <row r="1324">
      <c r="B1324" t="inlineStr">
        <is>
          <t>Complete Auto Dealerships</t>
        </is>
      </c>
      <c r="C1324" t="inlineStr">
        <is>
          <t>455</t>
        </is>
      </c>
      <c r="D1324" t="inlineStr">
        <is>
          <t>14</t>
        </is>
      </c>
      <c r="E1324" t="inlineStr">
        <is>
          <t>30</t>
        </is>
      </c>
      <c r="F1324" t="inlineStr">
        <is>
          <t>D</t>
        </is>
      </c>
      <c r="G1324" t="inlineStr">
        <is>
          <t>Excellent</t>
        </is>
      </c>
      <c r="H1324" t="n">
        <v>238</v>
      </c>
      <c r="I1324">
        <f>B1324&amp;"~"&amp;F1324&amp;"~"&amp;G1324</f>
        <v/>
      </c>
      <c r="J1324" t="inlineStr">
        <is>
          <t>MVS Sec.14 p.30</t>
        </is>
      </c>
    </row>
    <row r="1325">
      <c r="B1325" t="inlineStr">
        <is>
          <t>Complete Auto Dealerships</t>
        </is>
      </c>
      <c r="C1325" t="inlineStr">
        <is>
          <t>455</t>
        </is>
      </c>
      <c r="D1325" t="inlineStr">
        <is>
          <t>14</t>
        </is>
      </c>
      <c r="E1325" t="inlineStr">
        <is>
          <t>30</t>
        </is>
      </c>
      <c r="F1325" t="inlineStr">
        <is>
          <t>D</t>
        </is>
      </c>
      <c r="G1325" t="inlineStr">
        <is>
          <t>Good</t>
        </is>
      </c>
      <c r="H1325" t="n">
        <v>165</v>
      </c>
      <c r="I1325">
        <f>B1325&amp;"~"&amp;F1325&amp;"~"&amp;G1325</f>
        <v/>
      </c>
      <c r="J1325" t="inlineStr">
        <is>
          <t>MVS Sec.14 p.30</t>
        </is>
      </c>
    </row>
    <row r="1326">
      <c r="B1326" t="inlineStr">
        <is>
          <t>Complete Auto Dealerships</t>
        </is>
      </c>
      <c r="C1326" t="inlineStr">
        <is>
          <t>455</t>
        </is>
      </c>
      <c r="D1326" t="inlineStr">
        <is>
          <t>14</t>
        </is>
      </c>
      <c r="E1326" t="inlineStr">
        <is>
          <t>30</t>
        </is>
      </c>
      <c r="F1326" t="inlineStr">
        <is>
          <t>D</t>
        </is>
      </c>
      <c r="G1326" t="inlineStr">
        <is>
          <t>Average</t>
        </is>
      </c>
      <c r="H1326" t="n">
        <v>117</v>
      </c>
      <c r="I1326">
        <f>B1326&amp;"~"&amp;F1326&amp;"~"&amp;G1326</f>
        <v/>
      </c>
      <c r="J1326" t="inlineStr">
        <is>
          <t>MVS Sec.14 p.30</t>
        </is>
      </c>
    </row>
    <row r="1327">
      <c r="B1327" t="inlineStr">
        <is>
          <t>Complete Auto Dealerships</t>
        </is>
      </c>
      <c r="C1327" t="inlineStr">
        <is>
          <t>455</t>
        </is>
      </c>
      <c r="D1327" t="inlineStr">
        <is>
          <t>14</t>
        </is>
      </c>
      <c r="E1327" t="inlineStr">
        <is>
          <t>30</t>
        </is>
      </c>
      <c r="F1327" t="inlineStr">
        <is>
          <t>D</t>
        </is>
      </c>
      <c r="G1327" t="inlineStr">
        <is>
          <t>Low Cost</t>
        </is>
      </c>
      <c r="H1327" t="n">
        <v>78.5</v>
      </c>
      <c r="I1327">
        <f>B1327&amp;"~"&amp;F1327&amp;"~"&amp;G1327</f>
        <v/>
      </c>
      <c r="J1327" t="inlineStr">
        <is>
          <t>MVS Sec.14 p.30</t>
        </is>
      </c>
    </row>
    <row r="1328">
      <c r="B1328" t="inlineStr">
        <is>
          <t>Complete Auto Dealerships</t>
        </is>
      </c>
      <c r="C1328" t="inlineStr">
        <is>
          <t>455</t>
        </is>
      </c>
      <c r="D1328" t="inlineStr">
        <is>
          <t>14</t>
        </is>
      </c>
      <c r="E1328" t="inlineStr">
        <is>
          <t>30</t>
        </is>
      </c>
      <c r="F1328" t="inlineStr">
        <is>
          <t>DPOLE</t>
        </is>
      </c>
      <c r="G1328" t="inlineStr">
        <is>
          <t>Average</t>
        </is>
      </c>
      <c r="H1328" t="n">
        <v>111</v>
      </c>
      <c r="I1328">
        <f>B1328&amp;"~"&amp;F1328&amp;"~"&amp;G1328</f>
        <v/>
      </c>
      <c r="J1328" t="inlineStr">
        <is>
          <t>MVS Sec.14 p.30</t>
        </is>
      </c>
    </row>
    <row r="1329">
      <c r="B1329" t="inlineStr">
        <is>
          <t>Complete Auto Dealerships</t>
        </is>
      </c>
      <c r="C1329" t="inlineStr">
        <is>
          <t>455</t>
        </is>
      </c>
      <c r="D1329" t="inlineStr">
        <is>
          <t>14</t>
        </is>
      </c>
      <c r="E1329" t="inlineStr">
        <is>
          <t>30</t>
        </is>
      </c>
      <c r="F1329" t="inlineStr">
        <is>
          <t>DPOLE</t>
        </is>
      </c>
      <c r="G1329" t="inlineStr">
        <is>
          <t>Low Cost</t>
        </is>
      </c>
      <c r="H1329" t="n">
        <v>73.5</v>
      </c>
      <c r="I1329">
        <f>B1329&amp;"~"&amp;F1329&amp;"~"&amp;G1329</f>
        <v/>
      </c>
      <c r="J1329" t="inlineStr">
        <is>
          <t>MVS Sec.14 p.30</t>
        </is>
      </c>
    </row>
    <row r="1330">
      <c r="B1330" t="inlineStr">
        <is>
          <t>Complete Auto Dealerships</t>
        </is>
      </c>
      <c r="C1330" t="inlineStr">
        <is>
          <t>455</t>
        </is>
      </c>
      <c r="D1330" t="inlineStr">
        <is>
          <t>14</t>
        </is>
      </c>
      <c r="E1330" t="inlineStr">
        <is>
          <t>30</t>
        </is>
      </c>
      <c r="F1330" t="inlineStr">
        <is>
          <t>S</t>
        </is>
      </c>
      <c r="G1330" t="inlineStr">
        <is>
          <t>Good</t>
        </is>
      </c>
      <c r="H1330" t="n">
        <v>167</v>
      </c>
      <c r="I1330">
        <f>B1330&amp;"~"&amp;F1330&amp;"~"&amp;G1330</f>
        <v/>
      </c>
      <c r="J1330" t="inlineStr">
        <is>
          <t>MVS Sec.14 p.30</t>
        </is>
      </c>
    </row>
    <row r="1331">
      <c r="B1331" t="inlineStr">
        <is>
          <t>Complete Auto Dealerships</t>
        </is>
      </c>
      <c r="C1331" t="inlineStr">
        <is>
          <t>455</t>
        </is>
      </c>
      <c r="D1331" t="inlineStr">
        <is>
          <t>14</t>
        </is>
      </c>
      <c r="E1331" t="inlineStr">
        <is>
          <t>30</t>
        </is>
      </c>
      <c r="F1331" t="inlineStr">
        <is>
          <t>S</t>
        </is>
      </c>
      <c r="G1331" t="inlineStr">
        <is>
          <t>Average</t>
        </is>
      </c>
      <c r="H1331" t="n">
        <v>118</v>
      </c>
      <c r="I1331">
        <f>B1331&amp;"~"&amp;F1331&amp;"~"&amp;G1331</f>
        <v/>
      </c>
      <c r="J1331" t="inlineStr">
        <is>
          <t>MVS Sec.14 p.30</t>
        </is>
      </c>
    </row>
    <row r="1332">
      <c r="B1332" t="inlineStr">
        <is>
          <t>Complete Auto Dealerships</t>
        </is>
      </c>
      <c r="C1332" t="inlineStr">
        <is>
          <t>455</t>
        </is>
      </c>
      <c r="D1332" t="inlineStr">
        <is>
          <t>14</t>
        </is>
      </c>
      <c r="E1332" t="inlineStr">
        <is>
          <t>30</t>
        </is>
      </c>
      <c r="F1332" t="inlineStr">
        <is>
          <t>S</t>
        </is>
      </c>
      <c r="G1332" t="inlineStr">
        <is>
          <t>Low Cost</t>
        </is>
      </c>
      <c r="H1332" t="n">
        <v>78.5</v>
      </c>
      <c r="I1332">
        <f>B1332&amp;"~"&amp;F1332&amp;"~"&amp;G1332</f>
        <v/>
      </c>
      <c r="J1332" t="inlineStr">
        <is>
          <t>MVS Sec.14 p.30</t>
        </is>
      </c>
    </row>
    <row r="1333">
      <c r="B1333" t="inlineStr">
        <is>
          <t>Automotive Service Centers</t>
        </is>
      </c>
      <c r="C1333" t="inlineStr">
        <is>
          <t>410</t>
        </is>
      </c>
      <c r="D1333" t="inlineStr">
        <is>
          <t>14</t>
        </is>
      </c>
      <c r="E1333" t="inlineStr">
        <is>
          <t>31</t>
        </is>
      </c>
      <c r="F1333" t="inlineStr">
        <is>
          <t>C</t>
        </is>
      </c>
      <c r="G1333" t="inlineStr">
        <is>
          <t>Good</t>
        </is>
      </c>
      <c r="H1333" t="n">
        <v>131</v>
      </c>
      <c r="I1333">
        <f>B1333&amp;"~"&amp;F1333&amp;"~"&amp;G1333</f>
        <v/>
      </c>
      <c r="J1333" t="inlineStr">
        <is>
          <t>MVS Sec.14 p.31</t>
        </is>
      </c>
    </row>
    <row r="1334">
      <c r="B1334" t="inlineStr">
        <is>
          <t>Automotive Service Centers</t>
        </is>
      </c>
      <c r="C1334" t="inlineStr">
        <is>
          <t>410</t>
        </is>
      </c>
      <c r="D1334" t="inlineStr">
        <is>
          <t>14</t>
        </is>
      </c>
      <c r="E1334" t="inlineStr">
        <is>
          <t>31</t>
        </is>
      </c>
      <c r="F1334" t="inlineStr">
        <is>
          <t>C</t>
        </is>
      </c>
      <c r="G1334" t="inlineStr">
        <is>
          <t>Average</t>
        </is>
      </c>
      <c r="H1334" t="n">
        <v>105</v>
      </c>
      <c r="I1334">
        <f>B1334&amp;"~"&amp;F1334&amp;"~"&amp;G1334</f>
        <v/>
      </c>
      <c r="J1334" t="inlineStr">
        <is>
          <t>MVS Sec.14 p.31</t>
        </is>
      </c>
    </row>
    <row r="1335">
      <c r="B1335" t="inlineStr">
        <is>
          <t>Automotive Service Centers</t>
        </is>
      </c>
      <c r="C1335" t="inlineStr">
        <is>
          <t>410</t>
        </is>
      </c>
      <c r="D1335" t="inlineStr">
        <is>
          <t>14</t>
        </is>
      </c>
      <c r="E1335" t="inlineStr">
        <is>
          <t>31</t>
        </is>
      </c>
      <c r="F1335" t="inlineStr">
        <is>
          <t>C</t>
        </is>
      </c>
      <c r="G1335" t="inlineStr">
        <is>
          <t>Low Cost</t>
        </is>
      </c>
      <c r="H1335" t="n">
        <v>84.5</v>
      </c>
      <c r="I1335">
        <f>B1335&amp;"~"&amp;F1335&amp;"~"&amp;G1335</f>
        <v/>
      </c>
      <c r="J1335" t="inlineStr">
        <is>
          <t>MVS Sec.14 p.31</t>
        </is>
      </c>
    </row>
    <row r="1336">
      <c r="B1336" t="inlineStr">
        <is>
          <t>Automotive Service Centers</t>
        </is>
      </c>
      <c r="C1336" t="inlineStr">
        <is>
          <t>410</t>
        </is>
      </c>
      <c r="D1336" t="inlineStr">
        <is>
          <t>14</t>
        </is>
      </c>
      <c r="E1336" t="inlineStr">
        <is>
          <t>31</t>
        </is>
      </c>
      <c r="F1336" t="inlineStr">
        <is>
          <t>D</t>
        </is>
      </c>
      <c r="G1336" t="inlineStr">
        <is>
          <t>Good</t>
        </is>
      </c>
      <c r="H1336" t="n">
        <v>122</v>
      </c>
      <c r="I1336">
        <f>B1336&amp;"~"&amp;F1336&amp;"~"&amp;G1336</f>
        <v/>
      </c>
      <c r="J1336" t="inlineStr">
        <is>
          <t>MVS Sec.14 p.31</t>
        </is>
      </c>
    </row>
    <row r="1337">
      <c r="B1337" t="inlineStr">
        <is>
          <t>Automotive Service Centers</t>
        </is>
      </c>
      <c r="C1337" t="inlineStr">
        <is>
          <t>410</t>
        </is>
      </c>
      <c r="D1337" t="inlineStr">
        <is>
          <t>14</t>
        </is>
      </c>
      <c r="E1337" t="inlineStr">
        <is>
          <t>31</t>
        </is>
      </c>
      <c r="F1337" t="inlineStr">
        <is>
          <t>D</t>
        </is>
      </c>
      <c r="G1337" t="inlineStr">
        <is>
          <t>Average</t>
        </is>
      </c>
      <c r="H1337" t="n">
        <v>98</v>
      </c>
      <c r="I1337">
        <f>B1337&amp;"~"&amp;F1337&amp;"~"&amp;G1337</f>
        <v/>
      </c>
      <c r="J1337" t="inlineStr">
        <is>
          <t>MVS Sec.14 p.31</t>
        </is>
      </c>
    </row>
    <row r="1338">
      <c r="B1338" t="inlineStr">
        <is>
          <t>Automotive Service Centers</t>
        </is>
      </c>
      <c r="C1338" t="inlineStr">
        <is>
          <t>410</t>
        </is>
      </c>
      <c r="D1338" t="inlineStr">
        <is>
          <t>14</t>
        </is>
      </c>
      <c r="E1338" t="inlineStr">
        <is>
          <t>31</t>
        </is>
      </c>
      <c r="F1338" t="inlineStr">
        <is>
          <t>DPOLE</t>
        </is>
      </c>
      <c r="G1338" t="inlineStr">
        <is>
          <t>Low Cost</t>
        </is>
      </c>
      <c r="H1338" t="n">
        <v>73</v>
      </c>
      <c r="I1338">
        <f>B1338&amp;"~"&amp;F1338&amp;"~"&amp;G1338</f>
        <v/>
      </c>
      <c r="J1338" t="inlineStr">
        <is>
          <t>MVS Sec.14 p.31</t>
        </is>
      </c>
    </row>
    <row r="1339">
      <c r="B1339" t="inlineStr">
        <is>
          <t>Automotive Service Centers</t>
        </is>
      </c>
      <c r="C1339" t="inlineStr">
        <is>
          <t>410</t>
        </is>
      </c>
      <c r="D1339" t="inlineStr">
        <is>
          <t>14</t>
        </is>
      </c>
      <c r="E1339" t="inlineStr">
        <is>
          <t>31</t>
        </is>
      </c>
      <c r="F1339" t="inlineStr">
        <is>
          <t>S</t>
        </is>
      </c>
      <c r="G1339" t="inlineStr">
        <is>
          <t>Average</t>
        </is>
      </c>
      <c r="H1339" t="n">
        <v>97.5</v>
      </c>
      <c r="I1339">
        <f>B1339&amp;"~"&amp;F1339&amp;"~"&amp;G1339</f>
        <v/>
      </c>
      <c r="J1339" t="inlineStr">
        <is>
          <t>MVS Sec.14 p.31</t>
        </is>
      </c>
    </row>
    <row r="1340">
      <c r="B1340" t="inlineStr">
        <is>
          <t>Automotive Service Centers</t>
        </is>
      </c>
      <c r="C1340" t="inlineStr">
        <is>
          <t>410</t>
        </is>
      </c>
      <c r="D1340" t="inlineStr">
        <is>
          <t>14</t>
        </is>
      </c>
      <c r="E1340" t="inlineStr">
        <is>
          <t>31</t>
        </is>
      </c>
      <c r="F1340" t="inlineStr">
        <is>
          <t>S</t>
        </is>
      </c>
      <c r="G1340" t="inlineStr">
        <is>
          <t>Low Cost</t>
        </is>
      </c>
      <c r="H1340" t="n">
        <v>78</v>
      </c>
      <c r="I1340">
        <f>B1340&amp;"~"&amp;F1340&amp;"~"&amp;G1340</f>
        <v/>
      </c>
      <c r="J1340" t="inlineStr">
        <is>
          <t>MVS Sec.14 p.31</t>
        </is>
      </c>
    </row>
    <row r="1341">
      <c r="B1341" t="inlineStr">
        <is>
          <t>Showrooms</t>
        </is>
      </c>
      <c r="C1341" t="inlineStr">
        <is>
          <t>303</t>
        </is>
      </c>
      <c r="D1341" t="inlineStr">
        <is>
          <t>14</t>
        </is>
      </c>
      <c r="E1341" t="inlineStr">
        <is>
          <t>31</t>
        </is>
      </c>
      <c r="F1341" t="inlineStr">
        <is>
          <t>A-B</t>
        </is>
      </c>
      <c r="G1341" t="inlineStr">
        <is>
          <t>Average</t>
        </is>
      </c>
      <c r="H1341" t="n">
        <v>218</v>
      </c>
      <c r="I1341">
        <f>B1341&amp;"~"&amp;F1341&amp;"~"&amp;G1341</f>
        <v/>
      </c>
      <c r="J1341" t="inlineStr">
        <is>
          <t>MVS Sec.14 p.31</t>
        </is>
      </c>
    </row>
    <row r="1342">
      <c r="B1342" t="inlineStr">
        <is>
          <t>Showrooms</t>
        </is>
      </c>
      <c r="C1342" t="inlineStr">
        <is>
          <t>303</t>
        </is>
      </c>
      <c r="D1342" t="inlineStr">
        <is>
          <t>14</t>
        </is>
      </c>
      <c r="E1342" t="inlineStr">
        <is>
          <t>31</t>
        </is>
      </c>
      <c r="F1342" t="inlineStr">
        <is>
          <t>C</t>
        </is>
      </c>
      <c r="G1342" t="inlineStr">
        <is>
          <t>Excellent</t>
        </is>
      </c>
      <c r="H1342" t="n">
        <v>274</v>
      </c>
      <c r="I1342">
        <f>B1342&amp;"~"&amp;F1342&amp;"~"&amp;G1342</f>
        <v/>
      </c>
      <c r="J1342" t="inlineStr">
        <is>
          <t>MVS Sec.14 p.31</t>
        </is>
      </c>
    </row>
    <row r="1343">
      <c r="B1343" t="inlineStr">
        <is>
          <t>Showrooms</t>
        </is>
      </c>
      <c r="C1343" t="inlineStr">
        <is>
          <t>303</t>
        </is>
      </c>
      <c r="D1343" t="inlineStr">
        <is>
          <t>14</t>
        </is>
      </c>
      <c r="E1343" t="inlineStr">
        <is>
          <t>31</t>
        </is>
      </c>
      <c r="F1343" t="inlineStr">
        <is>
          <t>C</t>
        </is>
      </c>
      <c r="G1343" t="inlineStr">
        <is>
          <t>Good</t>
        </is>
      </c>
      <c r="H1343" t="n">
        <v>194</v>
      </c>
      <c r="I1343">
        <f>B1343&amp;"~"&amp;F1343&amp;"~"&amp;G1343</f>
        <v/>
      </c>
      <c r="J1343" t="inlineStr">
        <is>
          <t>MVS Sec.14 p.31</t>
        </is>
      </c>
    </row>
    <row r="1344">
      <c r="B1344" t="inlineStr">
        <is>
          <t>Showrooms</t>
        </is>
      </c>
      <c r="C1344" t="inlineStr">
        <is>
          <t>303</t>
        </is>
      </c>
      <c r="D1344" t="inlineStr">
        <is>
          <t>14</t>
        </is>
      </c>
      <c r="E1344" t="inlineStr">
        <is>
          <t>31</t>
        </is>
      </c>
      <c r="F1344" t="inlineStr">
        <is>
          <t>C</t>
        </is>
      </c>
      <c r="G1344" t="inlineStr">
        <is>
          <t>Average</t>
        </is>
      </c>
      <c r="H1344" t="n">
        <v>140</v>
      </c>
      <c r="I1344">
        <f>B1344&amp;"~"&amp;F1344&amp;"~"&amp;G1344</f>
        <v/>
      </c>
      <c r="J1344" t="inlineStr">
        <is>
          <t>MVS Sec.14 p.31</t>
        </is>
      </c>
    </row>
    <row r="1345">
      <c r="B1345" t="inlineStr">
        <is>
          <t>Showrooms</t>
        </is>
      </c>
      <c r="C1345" t="inlineStr">
        <is>
          <t>303</t>
        </is>
      </c>
      <c r="D1345" t="inlineStr">
        <is>
          <t>14</t>
        </is>
      </c>
      <c r="E1345" t="inlineStr">
        <is>
          <t>31</t>
        </is>
      </c>
      <c r="F1345" t="inlineStr">
        <is>
          <t>C</t>
        </is>
      </c>
      <c r="G1345" t="inlineStr">
        <is>
          <t>Low Cost</t>
        </is>
      </c>
      <c r="H1345" t="n">
        <v>97</v>
      </c>
      <c r="I1345">
        <f>B1345&amp;"~"&amp;F1345&amp;"~"&amp;G1345</f>
        <v/>
      </c>
      <c r="J1345" t="inlineStr">
        <is>
          <t>MVS Sec.14 p.31</t>
        </is>
      </c>
    </row>
    <row r="1346">
      <c r="B1346" t="inlineStr">
        <is>
          <t>Showrooms</t>
        </is>
      </c>
      <c r="C1346" t="inlineStr">
        <is>
          <t>303</t>
        </is>
      </c>
      <c r="D1346" t="inlineStr">
        <is>
          <t>14</t>
        </is>
      </c>
      <c r="E1346" t="inlineStr">
        <is>
          <t>31</t>
        </is>
      </c>
      <c r="F1346" t="inlineStr">
        <is>
          <t>D</t>
        </is>
      </c>
      <c r="G1346" t="inlineStr">
        <is>
          <t>Excellent</t>
        </is>
      </c>
      <c r="H1346" t="n">
        <v>265</v>
      </c>
      <c r="I1346">
        <f>B1346&amp;"~"&amp;F1346&amp;"~"&amp;G1346</f>
        <v/>
      </c>
      <c r="J1346" t="inlineStr">
        <is>
          <t>MVS Sec.14 p.31</t>
        </is>
      </c>
    </row>
    <row r="1347">
      <c r="B1347" t="inlineStr">
        <is>
          <t>Showrooms</t>
        </is>
      </c>
      <c r="C1347" t="inlineStr">
        <is>
          <t>303</t>
        </is>
      </c>
      <c r="D1347" t="inlineStr">
        <is>
          <t>14</t>
        </is>
      </c>
      <c r="E1347" t="inlineStr">
        <is>
          <t>31</t>
        </is>
      </c>
      <c r="F1347" t="inlineStr">
        <is>
          <t>D</t>
        </is>
      </c>
      <c r="G1347" t="inlineStr">
        <is>
          <t>Good</t>
        </is>
      </c>
      <c r="H1347" t="n">
        <v>185</v>
      </c>
      <c r="I1347">
        <f>B1347&amp;"~"&amp;F1347&amp;"~"&amp;G1347</f>
        <v/>
      </c>
      <c r="J1347" t="inlineStr">
        <is>
          <t>MVS Sec.14 p.31</t>
        </is>
      </c>
    </row>
    <row r="1348">
      <c r="B1348" t="inlineStr">
        <is>
          <t>Showrooms</t>
        </is>
      </c>
      <c r="C1348" t="inlineStr">
        <is>
          <t>303</t>
        </is>
      </c>
      <c r="D1348" t="inlineStr">
        <is>
          <t>14</t>
        </is>
      </c>
      <c r="E1348" t="inlineStr">
        <is>
          <t>31</t>
        </is>
      </c>
      <c r="F1348" t="inlineStr">
        <is>
          <t>D</t>
        </is>
      </c>
      <c r="G1348" t="inlineStr">
        <is>
          <t>Average</t>
        </is>
      </c>
      <c r="H1348" t="n">
        <v>133</v>
      </c>
      <c r="I1348">
        <f>B1348&amp;"~"&amp;F1348&amp;"~"&amp;G1348</f>
        <v/>
      </c>
      <c r="J1348" t="inlineStr">
        <is>
          <t>MVS Sec.14 p.31</t>
        </is>
      </c>
    </row>
    <row r="1349">
      <c r="B1349" t="inlineStr">
        <is>
          <t>Showrooms</t>
        </is>
      </c>
      <c r="C1349" t="inlineStr">
        <is>
          <t>303</t>
        </is>
      </c>
      <c r="D1349" t="inlineStr">
        <is>
          <t>14</t>
        </is>
      </c>
      <c r="E1349" t="inlineStr">
        <is>
          <t>31</t>
        </is>
      </c>
      <c r="F1349" t="inlineStr">
        <is>
          <t>D</t>
        </is>
      </c>
      <c r="G1349" t="inlineStr">
        <is>
          <t>Low Cost</t>
        </is>
      </c>
      <c r="H1349" t="n">
        <v>90.5</v>
      </c>
      <c r="I1349">
        <f>B1349&amp;"~"&amp;F1349&amp;"~"&amp;G1349</f>
        <v/>
      </c>
      <c r="J1349" t="inlineStr">
        <is>
          <t>MVS Sec.14 p.31</t>
        </is>
      </c>
    </row>
    <row r="1350">
      <c r="B1350" t="inlineStr">
        <is>
          <t>Showrooms</t>
        </is>
      </c>
      <c r="C1350" t="inlineStr">
        <is>
          <t>303</t>
        </is>
      </c>
      <c r="D1350" t="inlineStr">
        <is>
          <t>14</t>
        </is>
      </c>
      <c r="E1350" t="inlineStr">
        <is>
          <t>31</t>
        </is>
      </c>
      <c r="F1350" t="inlineStr">
        <is>
          <t>DPOLE</t>
        </is>
      </c>
      <c r="G1350" t="inlineStr">
        <is>
          <t>Average</t>
        </is>
      </c>
      <c r="H1350" t="n">
        <v>125</v>
      </c>
      <c r="I1350">
        <f>B1350&amp;"~"&amp;F1350&amp;"~"&amp;G1350</f>
        <v/>
      </c>
      <c r="J1350" t="inlineStr">
        <is>
          <t>MVS Sec.14 p.31</t>
        </is>
      </c>
    </row>
    <row r="1351">
      <c r="B1351" t="inlineStr">
        <is>
          <t>Showrooms</t>
        </is>
      </c>
      <c r="C1351" t="inlineStr">
        <is>
          <t>303</t>
        </is>
      </c>
      <c r="D1351" t="inlineStr">
        <is>
          <t>14</t>
        </is>
      </c>
      <c r="E1351" t="inlineStr">
        <is>
          <t>31</t>
        </is>
      </c>
      <c r="F1351" t="inlineStr">
        <is>
          <t>DPOLE</t>
        </is>
      </c>
      <c r="G1351" t="inlineStr">
        <is>
          <t>Low Cost</t>
        </is>
      </c>
      <c r="H1351" t="n">
        <v>83.5</v>
      </c>
      <c r="I1351">
        <f>B1351&amp;"~"&amp;F1351&amp;"~"&amp;G1351</f>
        <v/>
      </c>
      <c r="J1351" t="inlineStr">
        <is>
          <t>MVS Sec.14 p.31</t>
        </is>
      </c>
    </row>
    <row r="1352">
      <c r="B1352" t="inlineStr">
        <is>
          <t>Showrooms</t>
        </is>
      </c>
      <c r="C1352" t="inlineStr">
        <is>
          <t>303</t>
        </is>
      </c>
      <c r="D1352" t="inlineStr">
        <is>
          <t>14</t>
        </is>
      </c>
      <c r="E1352" t="inlineStr">
        <is>
          <t>31</t>
        </is>
      </c>
      <c r="F1352" t="inlineStr">
        <is>
          <t>S</t>
        </is>
      </c>
      <c r="G1352" t="inlineStr">
        <is>
          <t>Good</t>
        </is>
      </c>
      <c r="H1352" t="n">
        <v>187</v>
      </c>
      <c r="I1352">
        <f>B1352&amp;"~"&amp;F1352&amp;"~"&amp;G1352</f>
        <v/>
      </c>
      <c r="J1352" t="inlineStr">
        <is>
          <t>MVS Sec.14 p.31</t>
        </is>
      </c>
    </row>
    <row r="1353">
      <c r="B1353" t="inlineStr">
        <is>
          <t>Showrooms</t>
        </is>
      </c>
      <c r="C1353" t="inlineStr">
        <is>
          <t>303</t>
        </is>
      </c>
      <c r="D1353" t="inlineStr">
        <is>
          <t>14</t>
        </is>
      </c>
      <c r="E1353" t="inlineStr">
        <is>
          <t>31</t>
        </is>
      </c>
      <c r="F1353" t="inlineStr">
        <is>
          <t>S</t>
        </is>
      </c>
      <c r="G1353" t="inlineStr">
        <is>
          <t>Average</t>
        </is>
      </c>
      <c r="H1353" t="n">
        <v>133</v>
      </c>
      <c r="I1353">
        <f>B1353&amp;"~"&amp;F1353&amp;"~"&amp;G1353</f>
        <v/>
      </c>
      <c r="J1353" t="inlineStr">
        <is>
          <t>MVS Sec.14 p.31</t>
        </is>
      </c>
    </row>
    <row r="1354">
      <c r="B1354" t="inlineStr">
        <is>
          <t>Showrooms</t>
        </is>
      </c>
      <c r="C1354" t="inlineStr">
        <is>
          <t>303</t>
        </is>
      </c>
      <c r="D1354" t="inlineStr">
        <is>
          <t>14</t>
        </is>
      </c>
      <c r="E1354" t="inlineStr">
        <is>
          <t>31</t>
        </is>
      </c>
      <c r="F1354" t="inlineStr">
        <is>
          <t>S</t>
        </is>
      </c>
      <c r="G1354" t="inlineStr">
        <is>
          <t>Low Cost</t>
        </is>
      </c>
      <c r="H1354" t="n">
        <v>89.5</v>
      </c>
      <c r="I1354">
        <f>B1354&amp;"~"&amp;F1354&amp;"~"&amp;G1354</f>
        <v/>
      </c>
      <c r="J1354" t="inlineStr">
        <is>
          <t>MVS Sec.14 p.31</t>
        </is>
      </c>
    </row>
    <row r="1355">
      <c r="B1355" t="inlineStr">
        <is>
          <t>Service Garages (Commercial/Repair)</t>
        </is>
      </c>
      <c r="C1355" t="inlineStr">
        <is>
          <t>528</t>
        </is>
      </c>
      <c r="D1355" t="inlineStr">
        <is>
          <t>14</t>
        </is>
      </c>
      <c r="E1355" t="inlineStr">
        <is>
          <t>32</t>
        </is>
      </c>
      <c r="F1355" t="inlineStr">
        <is>
          <t>A-B</t>
        </is>
      </c>
      <c r="G1355" t="inlineStr">
        <is>
          <t>Average</t>
        </is>
      </c>
      <c r="H1355" t="n">
        <v>122</v>
      </c>
      <c r="I1355">
        <f>B1355&amp;"~"&amp;F1355&amp;"~"&amp;G1355</f>
        <v/>
      </c>
      <c r="J1355" t="inlineStr">
        <is>
          <t>MVS Sec.14 p.32</t>
        </is>
      </c>
    </row>
    <row r="1356">
      <c r="B1356" t="inlineStr">
        <is>
          <t>Service Garages (Commercial/Repair)</t>
        </is>
      </c>
      <c r="C1356" t="inlineStr">
        <is>
          <t>528</t>
        </is>
      </c>
      <c r="D1356" t="inlineStr">
        <is>
          <t>14</t>
        </is>
      </c>
      <c r="E1356" t="inlineStr">
        <is>
          <t>32</t>
        </is>
      </c>
      <c r="F1356" t="inlineStr">
        <is>
          <t>C</t>
        </is>
      </c>
      <c r="G1356" t="inlineStr">
        <is>
          <t>Excellent</t>
        </is>
      </c>
      <c r="H1356" t="n">
        <v>156</v>
      </c>
      <c r="I1356">
        <f>B1356&amp;"~"&amp;F1356&amp;"~"&amp;G1356</f>
        <v/>
      </c>
      <c r="J1356" t="inlineStr">
        <is>
          <t>MVS Sec.14 p.32</t>
        </is>
      </c>
    </row>
    <row r="1357">
      <c r="B1357" t="inlineStr">
        <is>
          <t>Service Garages (Commercial/Repair)</t>
        </is>
      </c>
      <c r="C1357" t="inlineStr">
        <is>
          <t>528</t>
        </is>
      </c>
      <c r="D1357" t="inlineStr">
        <is>
          <t>14</t>
        </is>
      </c>
      <c r="E1357" t="inlineStr">
        <is>
          <t>32</t>
        </is>
      </c>
      <c r="F1357" t="inlineStr">
        <is>
          <t>C</t>
        </is>
      </c>
      <c r="G1357" t="inlineStr">
        <is>
          <t>Good</t>
        </is>
      </c>
      <c r="H1357" t="n">
        <v>109</v>
      </c>
      <c r="I1357">
        <f>B1357&amp;"~"&amp;F1357&amp;"~"&amp;G1357</f>
        <v/>
      </c>
      <c r="J1357" t="inlineStr">
        <is>
          <t>MVS Sec.14 p.32</t>
        </is>
      </c>
    </row>
    <row r="1358">
      <c r="B1358" t="inlineStr">
        <is>
          <t>Service Garages (Commercial/Repair)</t>
        </is>
      </c>
      <c r="C1358" t="inlineStr">
        <is>
          <t>528</t>
        </is>
      </c>
      <c r="D1358" t="inlineStr">
        <is>
          <t>14</t>
        </is>
      </c>
      <c r="E1358" t="inlineStr">
        <is>
          <t>32</t>
        </is>
      </c>
      <c r="F1358" t="inlineStr">
        <is>
          <t>C</t>
        </is>
      </c>
      <c r="G1358" t="inlineStr">
        <is>
          <t>Average</t>
        </is>
      </c>
      <c r="H1358" t="n">
        <v>79.5</v>
      </c>
      <c r="I1358">
        <f>B1358&amp;"~"&amp;F1358&amp;"~"&amp;G1358</f>
        <v/>
      </c>
      <c r="J1358" t="inlineStr">
        <is>
          <t>MVS Sec.14 p.32</t>
        </is>
      </c>
    </row>
    <row r="1359">
      <c r="B1359" t="inlineStr">
        <is>
          <t>Service Garages (Commercial/Repair)</t>
        </is>
      </c>
      <c r="C1359" t="inlineStr">
        <is>
          <t>528</t>
        </is>
      </c>
      <c r="D1359" t="inlineStr">
        <is>
          <t>14</t>
        </is>
      </c>
      <c r="E1359" t="inlineStr">
        <is>
          <t>32</t>
        </is>
      </c>
      <c r="F1359" t="inlineStr">
        <is>
          <t>C</t>
        </is>
      </c>
      <c r="G1359" t="inlineStr">
        <is>
          <t>Low Cost</t>
        </is>
      </c>
      <c r="H1359" t="n">
        <v>57.5</v>
      </c>
      <c r="I1359">
        <f>B1359&amp;"~"&amp;F1359&amp;"~"&amp;G1359</f>
        <v/>
      </c>
      <c r="J1359" t="inlineStr">
        <is>
          <t>MVS Sec.14 p.32</t>
        </is>
      </c>
    </row>
    <row r="1360">
      <c r="B1360" t="inlineStr">
        <is>
          <t>Service Garages (Commercial/Repair)</t>
        </is>
      </c>
      <c r="C1360" t="inlineStr">
        <is>
          <t>528</t>
        </is>
      </c>
      <c r="D1360" t="inlineStr">
        <is>
          <t>14</t>
        </is>
      </c>
      <c r="E1360" t="inlineStr">
        <is>
          <t>32</t>
        </is>
      </c>
      <c r="F1360" t="inlineStr">
        <is>
          <t>D</t>
        </is>
      </c>
      <c r="G1360" t="inlineStr">
        <is>
          <t>Good</t>
        </is>
      </c>
      <c r="H1360" t="n">
        <v>96</v>
      </c>
      <c r="I1360">
        <f>B1360&amp;"~"&amp;F1360&amp;"~"&amp;G1360</f>
        <v/>
      </c>
      <c r="J1360" t="inlineStr">
        <is>
          <t>MVS Sec.14 p.32</t>
        </is>
      </c>
    </row>
    <row r="1361">
      <c r="B1361" t="inlineStr">
        <is>
          <t>Service Garages (Commercial/Repair)</t>
        </is>
      </c>
      <c r="C1361" t="inlineStr">
        <is>
          <t>528</t>
        </is>
      </c>
      <c r="D1361" t="inlineStr">
        <is>
          <t>14</t>
        </is>
      </c>
      <c r="E1361" t="inlineStr">
        <is>
          <t>32</t>
        </is>
      </c>
      <c r="F1361" t="inlineStr">
        <is>
          <t>D</t>
        </is>
      </c>
      <c r="G1361" t="inlineStr">
        <is>
          <t>Average</t>
        </is>
      </c>
      <c r="H1361" t="n">
        <v>70.5</v>
      </c>
      <c r="I1361">
        <f>B1361&amp;"~"&amp;F1361&amp;"~"&amp;G1361</f>
        <v/>
      </c>
      <c r="J1361" t="inlineStr">
        <is>
          <t>MVS Sec.14 p.32</t>
        </is>
      </c>
    </row>
    <row r="1362">
      <c r="B1362" t="inlineStr">
        <is>
          <t>Service Garages (Commercial/Repair)</t>
        </is>
      </c>
      <c r="C1362" t="inlineStr">
        <is>
          <t>528</t>
        </is>
      </c>
      <c r="D1362" t="inlineStr">
        <is>
          <t>14</t>
        </is>
      </c>
      <c r="E1362" t="inlineStr">
        <is>
          <t>32</t>
        </is>
      </c>
      <c r="F1362" t="inlineStr">
        <is>
          <t>D</t>
        </is>
      </c>
      <c r="G1362" t="inlineStr">
        <is>
          <t>Low Cost</t>
        </is>
      </c>
      <c r="H1362" t="n">
        <v>52</v>
      </c>
      <c r="I1362">
        <f>B1362&amp;"~"&amp;F1362&amp;"~"&amp;G1362</f>
        <v/>
      </c>
      <c r="J1362" t="inlineStr">
        <is>
          <t>MVS Sec.14 p.32</t>
        </is>
      </c>
    </row>
    <row r="1363">
      <c r="B1363" t="inlineStr">
        <is>
          <t>Service Garages (Commercial/Repair)</t>
        </is>
      </c>
      <c r="C1363" t="inlineStr">
        <is>
          <t>528</t>
        </is>
      </c>
      <c r="D1363" t="inlineStr">
        <is>
          <t>14</t>
        </is>
      </c>
      <c r="E1363" t="inlineStr">
        <is>
          <t>32</t>
        </is>
      </c>
      <c r="F1363" t="inlineStr">
        <is>
          <t>DPOLE</t>
        </is>
      </c>
      <c r="G1363" t="inlineStr">
        <is>
          <t>Average</t>
        </is>
      </c>
      <c r="H1363" t="n">
        <v>62</v>
      </c>
      <c r="I1363">
        <f>B1363&amp;"~"&amp;F1363&amp;"~"&amp;G1363</f>
        <v/>
      </c>
      <c r="J1363" t="inlineStr">
        <is>
          <t>MVS Sec.14 p.32</t>
        </is>
      </c>
    </row>
    <row r="1364">
      <c r="B1364" t="inlineStr">
        <is>
          <t>Service Garages (Commercial/Repair)</t>
        </is>
      </c>
      <c r="C1364" t="inlineStr">
        <is>
          <t>528</t>
        </is>
      </c>
      <c r="D1364" t="inlineStr">
        <is>
          <t>14</t>
        </is>
      </c>
      <c r="E1364" t="inlineStr">
        <is>
          <t>32</t>
        </is>
      </c>
      <c r="F1364" t="inlineStr">
        <is>
          <t>DPOLE</t>
        </is>
      </c>
      <c r="G1364" t="inlineStr">
        <is>
          <t>Low Cost</t>
        </is>
      </c>
      <c r="H1364" t="n">
        <v>45.5</v>
      </c>
      <c r="I1364">
        <f>B1364&amp;"~"&amp;F1364&amp;"~"&amp;G1364</f>
        <v/>
      </c>
      <c r="J1364" t="inlineStr">
        <is>
          <t>MVS Sec.14 p.32</t>
        </is>
      </c>
    </row>
    <row r="1365">
      <c r="B1365" t="inlineStr">
        <is>
          <t>Service Garages (Commercial/Repair)</t>
        </is>
      </c>
      <c r="C1365" t="inlineStr">
        <is>
          <t>528</t>
        </is>
      </c>
      <c r="D1365" t="inlineStr">
        <is>
          <t>14</t>
        </is>
      </c>
      <c r="E1365" t="inlineStr">
        <is>
          <t>32</t>
        </is>
      </c>
      <c r="F1365" t="inlineStr">
        <is>
          <t>S</t>
        </is>
      </c>
      <c r="G1365" t="inlineStr">
        <is>
          <t>Good</t>
        </is>
      </c>
      <c r="H1365" t="n">
        <v>94.5</v>
      </c>
      <c r="I1365">
        <f>B1365&amp;"~"&amp;F1365&amp;"~"&amp;G1365</f>
        <v/>
      </c>
      <c r="J1365" t="inlineStr">
        <is>
          <t>MVS Sec.14 p.32</t>
        </is>
      </c>
    </row>
    <row r="1366">
      <c r="B1366" t="inlineStr">
        <is>
          <t>Service Garages (Commercial/Repair)</t>
        </is>
      </c>
      <c r="C1366" t="inlineStr">
        <is>
          <t>528</t>
        </is>
      </c>
      <c r="D1366" t="inlineStr">
        <is>
          <t>14</t>
        </is>
      </c>
      <c r="E1366" t="inlineStr">
        <is>
          <t>32</t>
        </is>
      </c>
      <c r="F1366" t="inlineStr">
        <is>
          <t>S</t>
        </is>
      </c>
      <c r="G1366" t="inlineStr">
        <is>
          <t>Average</t>
        </is>
      </c>
      <c r="H1366" t="n">
        <v>68</v>
      </c>
      <c r="I1366">
        <f>B1366&amp;"~"&amp;F1366&amp;"~"&amp;G1366</f>
        <v/>
      </c>
      <c r="J1366" t="inlineStr">
        <is>
          <t>MVS Sec.14 p.32</t>
        </is>
      </c>
    </row>
    <row r="1367">
      <c r="B1367" t="inlineStr">
        <is>
          <t>Service Garages (Commercial/Repair)</t>
        </is>
      </c>
      <c r="C1367" t="inlineStr">
        <is>
          <t>528</t>
        </is>
      </c>
      <c r="D1367" t="inlineStr">
        <is>
          <t>14</t>
        </is>
      </c>
      <c r="E1367" t="inlineStr">
        <is>
          <t>32</t>
        </is>
      </c>
      <c r="F1367" t="inlineStr">
        <is>
          <t>S</t>
        </is>
      </c>
      <c r="G1367" t="inlineStr">
        <is>
          <t>Low Cost</t>
        </is>
      </c>
      <c r="H1367" t="n">
        <v>49.5</v>
      </c>
      <c r="I1367">
        <f>B1367&amp;"~"&amp;F1367&amp;"~"&amp;G1367</f>
        <v/>
      </c>
      <c r="J1367" t="inlineStr">
        <is>
          <t>MVS Sec.14 p.32</t>
        </is>
      </c>
    </row>
    <row r="1368">
      <c r="B1368" t="inlineStr">
        <is>
          <t>Service Garage Sheds</t>
        </is>
      </c>
      <c r="C1368" t="inlineStr">
        <is>
          <t>526</t>
        </is>
      </c>
      <c r="D1368" t="inlineStr">
        <is>
          <t>14</t>
        </is>
      </c>
      <c r="E1368" t="inlineStr">
        <is>
          <t>32</t>
        </is>
      </c>
      <c r="F1368" t="inlineStr">
        <is>
          <t>C</t>
        </is>
      </c>
      <c r="G1368" t="inlineStr">
        <is>
          <t>Good</t>
        </is>
      </c>
      <c r="H1368" t="n">
        <v>49.5</v>
      </c>
      <c r="I1368">
        <f>B1368&amp;"~"&amp;F1368&amp;"~"&amp;G1368</f>
        <v/>
      </c>
      <c r="J1368" t="inlineStr">
        <is>
          <t>MVS Sec.14 p.32</t>
        </is>
      </c>
    </row>
    <row r="1369">
      <c r="B1369" t="inlineStr">
        <is>
          <t>Service Garage Sheds</t>
        </is>
      </c>
      <c r="C1369" t="inlineStr">
        <is>
          <t>526</t>
        </is>
      </c>
      <c r="D1369" t="inlineStr">
        <is>
          <t>14</t>
        </is>
      </c>
      <c r="E1369" t="inlineStr">
        <is>
          <t>32</t>
        </is>
      </c>
      <c r="F1369" t="inlineStr">
        <is>
          <t>C</t>
        </is>
      </c>
      <c r="G1369" t="inlineStr">
        <is>
          <t>Average</t>
        </is>
      </c>
      <c r="H1369" t="n">
        <v>35</v>
      </c>
      <c r="I1369">
        <f>B1369&amp;"~"&amp;F1369&amp;"~"&amp;G1369</f>
        <v/>
      </c>
      <c r="J1369" t="inlineStr">
        <is>
          <t>MVS Sec.14 p.32</t>
        </is>
      </c>
    </row>
    <row r="1370">
      <c r="B1370" t="inlineStr">
        <is>
          <t>Service Garage Sheds</t>
        </is>
      </c>
      <c r="C1370" t="inlineStr">
        <is>
          <t>526</t>
        </is>
      </c>
      <c r="D1370" t="inlineStr">
        <is>
          <t>14</t>
        </is>
      </c>
      <c r="E1370" t="inlineStr">
        <is>
          <t>32</t>
        </is>
      </c>
      <c r="F1370" t="inlineStr">
        <is>
          <t>C</t>
        </is>
      </c>
      <c r="G1370" t="inlineStr">
        <is>
          <t>Low Cost</t>
        </is>
      </c>
      <c r="H1370" t="n">
        <v>26.5</v>
      </c>
      <c r="I1370">
        <f>B1370&amp;"~"&amp;F1370&amp;"~"&amp;G1370</f>
        <v/>
      </c>
      <c r="J1370" t="inlineStr">
        <is>
          <t>MVS Sec.14 p.32</t>
        </is>
      </c>
    </row>
    <row r="1371">
      <c r="B1371" t="inlineStr">
        <is>
          <t>Service Garage Sheds</t>
        </is>
      </c>
      <c r="C1371" t="inlineStr">
        <is>
          <t>526</t>
        </is>
      </c>
      <c r="D1371" t="inlineStr">
        <is>
          <t>14</t>
        </is>
      </c>
      <c r="E1371" t="inlineStr">
        <is>
          <t>32</t>
        </is>
      </c>
      <c r="F1371" t="inlineStr">
        <is>
          <t>DPOLE</t>
        </is>
      </c>
      <c r="G1371" t="inlineStr">
        <is>
          <t>Good</t>
        </is>
      </c>
      <c r="H1371" t="n">
        <v>39.75</v>
      </c>
      <c r="I1371">
        <f>B1371&amp;"~"&amp;F1371&amp;"~"&amp;G1371</f>
        <v/>
      </c>
      <c r="J1371" t="inlineStr">
        <is>
          <t>MVS Sec.14 p.32</t>
        </is>
      </c>
    </row>
    <row r="1372">
      <c r="B1372" t="inlineStr">
        <is>
          <t>Service Garage Sheds</t>
        </is>
      </c>
      <c r="C1372" t="inlineStr">
        <is>
          <t>526</t>
        </is>
      </c>
      <c r="D1372" t="inlineStr">
        <is>
          <t>14</t>
        </is>
      </c>
      <c r="E1372" t="inlineStr">
        <is>
          <t>32</t>
        </is>
      </c>
      <c r="F1372" t="inlineStr">
        <is>
          <t>DPOLE</t>
        </is>
      </c>
      <c r="G1372" t="inlineStr">
        <is>
          <t>Average</t>
        </is>
      </c>
      <c r="H1372" t="n">
        <v>28.25</v>
      </c>
      <c r="I1372">
        <f>B1372&amp;"~"&amp;F1372&amp;"~"&amp;G1372</f>
        <v/>
      </c>
      <c r="J1372" t="inlineStr">
        <is>
          <t>MVS Sec.14 p.32</t>
        </is>
      </c>
    </row>
    <row r="1373">
      <c r="B1373" t="inlineStr">
        <is>
          <t>Service Garage Sheds</t>
        </is>
      </c>
      <c r="C1373" t="inlineStr">
        <is>
          <t>526</t>
        </is>
      </c>
      <c r="D1373" t="inlineStr">
        <is>
          <t>14</t>
        </is>
      </c>
      <c r="E1373" t="inlineStr">
        <is>
          <t>32</t>
        </is>
      </c>
      <c r="F1373" t="inlineStr">
        <is>
          <t>DPOLE</t>
        </is>
      </c>
      <c r="G1373" t="inlineStr">
        <is>
          <t>Low Cost</t>
        </is>
      </c>
      <c r="H1373" t="n">
        <v>21.7</v>
      </c>
      <c r="I1373">
        <f>B1373&amp;"~"&amp;F1373&amp;"~"&amp;G1373</f>
        <v/>
      </c>
      <c r="J1373" t="inlineStr">
        <is>
          <t>MVS Sec.14 p.32</t>
        </is>
      </c>
    </row>
    <row r="1374">
      <c r="B1374" t="inlineStr">
        <is>
          <t>Service Garage Sheds</t>
        </is>
      </c>
      <c r="C1374" t="inlineStr">
        <is>
          <t>526</t>
        </is>
      </c>
      <c r="D1374" t="inlineStr">
        <is>
          <t>14</t>
        </is>
      </c>
      <c r="E1374" t="inlineStr">
        <is>
          <t>32</t>
        </is>
      </c>
      <c r="F1374" t="inlineStr">
        <is>
          <t>S</t>
        </is>
      </c>
      <c r="G1374" t="inlineStr">
        <is>
          <t>Good</t>
        </is>
      </c>
      <c r="H1374" t="n">
        <v>43.75</v>
      </c>
      <c r="I1374">
        <f>B1374&amp;"~"&amp;F1374&amp;"~"&amp;G1374</f>
        <v/>
      </c>
      <c r="J1374" t="inlineStr">
        <is>
          <t>MVS Sec.14 p.32</t>
        </is>
      </c>
    </row>
    <row r="1375">
      <c r="B1375" t="inlineStr">
        <is>
          <t>Service Garage Sheds</t>
        </is>
      </c>
      <c r="C1375" t="inlineStr">
        <is>
          <t>526</t>
        </is>
      </c>
      <c r="D1375" t="inlineStr">
        <is>
          <t>14</t>
        </is>
      </c>
      <c r="E1375" t="inlineStr">
        <is>
          <t>32</t>
        </is>
      </c>
      <c r="F1375" t="inlineStr">
        <is>
          <t>S</t>
        </is>
      </c>
      <c r="G1375" t="inlineStr">
        <is>
          <t>Average</t>
        </is>
      </c>
      <c r="H1375" t="n">
        <v>31.25</v>
      </c>
      <c r="I1375">
        <f>B1375&amp;"~"&amp;F1375&amp;"~"&amp;G1375</f>
        <v/>
      </c>
      <c r="J1375" t="inlineStr">
        <is>
          <t>MVS Sec.14 p.32</t>
        </is>
      </c>
    </row>
    <row r="1376">
      <c r="B1376" t="inlineStr">
        <is>
          <t>Service Garage Sheds</t>
        </is>
      </c>
      <c r="C1376" t="inlineStr">
        <is>
          <t>526</t>
        </is>
      </c>
      <c r="D1376" t="inlineStr">
        <is>
          <t>14</t>
        </is>
      </c>
      <c r="E1376" t="inlineStr">
        <is>
          <t>32</t>
        </is>
      </c>
      <c r="F1376" t="inlineStr">
        <is>
          <t>S</t>
        </is>
      </c>
      <c r="G1376" t="inlineStr">
        <is>
          <t>Low Cost</t>
        </is>
      </c>
      <c r="H1376" t="n">
        <v>23.9</v>
      </c>
      <c r="I1376">
        <f>B1376&amp;"~"&amp;F1376&amp;"~"&amp;G1376</f>
        <v/>
      </c>
      <c r="J1376" t="inlineStr">
        <is>
          <t>MVS Sec.14 p.32</t>
        </is>
      </c>
    </row>
    <row r="1377">
      <c r="B1377" t="inlineStr">
        <is>
          <t>Municipal Service Garages</t>
        </is>
      </c>
      <c r="C1377" t="inlineStr">
        <is>
          <t>527</t>
        </is>
      </c>
      <c r="D1377" t="inlineStr">
        <is>
          <t>14</t>
        </is>
      </c>
      <c r="E1377" t="inlineStr">
        <is>
          <t>33</t>
        </is>
      </c>
      <c r="F1377" t="inlineStr">
        <is>
          <t>C</t>
        </is>
      </c>
      <c r="G1377" t="inlineStr">
        <is>
          <t>Excellent</t>
        </is>
      </c>
      <c r="H1377" t="n">
        <v>242</v>
      </c>
      <c r="I1377">
        <f>B1377&amp;"~"&amp;F1377&amp;"~"&amp;G1377</f>
        <v/>
      </c>
      <c r="J1377" t="inlineStr">
        <is>
          <t>MVS Sec.14 p.33</t>
        </is>
      </c>
    </row>
    <row r="1378">
      <c r="B1378" t="inlineStr">
        <is>
          <t>Municipal Service Garages</t>
        </is>
      </c>
      <c r="C1378" t="inlineStr">
        <is>
          <t>527</t>
        </is>
      </c>
      <c r="D1378" t="inlineStr">
        <is>
          <t>14</t>
        </is>
      </c>
      <c r="E1378" t="inlineStr">
        <is>
          <t>33</t>
        </is>
      </c>
      <c r="F1378" t="inlineStr">
        <is>
          <t>C</t>
        </is>
      </c>
      <c r="G1378" t="inlineStr">
        <is>
          <t>Good</t>
        </is>
      </c>
      <c r="H1378" t="n">
        <v>173</v>
      </c>
      <c r="I1378">
        <f>B1378&amp;"~"&amp;F1378&amp;"~"&amp;G1378</f>
        <v/>
      </c>
      <c r="J1378" t="inlineStr">
        <is>
          <t>MVS Sec.14 p.33</t>
        </is>
      </c>
    </row>
    <row r="1379">
      <c r="B1379" t="inlineStr">
        <is>
          <t>Municipal Service Garages</t>
        </is>
      </c>
      <c r="C1379" t="inlineStr">
        <is>
          <t>527</t>
        </is>
      </c>
      <c r="D1379" t="inlineStr">
        <is>
          <t>14</t>
        </is>
      </c>
      <c r="E1379" t="inlineStr">
        <is>
          <t>33</t>
        </is>
      </c>
      <c r="F1379" t="inlineStr">
        <is>
          <t>C</t>
        </is>
      </c>
      <c r="G1379" t="inlineStr">
        <is>
          <t>Average</t>
        </is>
      </c>
      <c r="H1379" t="n">
        <v>118</v>
      </c>
      <c r="I1379">
        <f>B1379&amp;"~"&amp;F1379&amp;"~"&amp;G1379</f>
        <v/>
      </c>
      <c r="J1379" t="inlineStr">
        <is>
          <t>MVS Sec.14 p.33</t>
        </is>
      </c>
    </row>
    <row r="1380">
      <c r="B1380" t="inlineStr">
        <is>
          <t>Municipal Service Garages</t>
        </is>
      </c>
      <c r="C1380" t="inlineStr">
        <is>
          <t>527</t>
        </is>
      </c>
      <c r="D1380" t="inlineStr">
        <is>
          <t>14</t>
        </is>
      </c>
      <c r="E1380" t="inlineStr">
        <is>
          <t>33</t>
        </is>
      </c>
      <c r="F1380" t="inlineStr">
        <is>
          <t>D</t>
        </is>
      </c>
      <c r="G1380" t="inlineStr">
        <is>
          <t>Average</t>
        </is>
      </c>
      <c r="H1380" t="n">
        <v>105</v>
      </c>
      <c r="I1380">
        <f>B1380&amp;"~"&amp;F1380&amp;"~"&amp;G1380</f>
        <v/>
      </c>
      <c r="J1380" t="inlineStr">
        <is>
          <t>MVS Sec.14 p.33</t>
        </is>
      </c>
    </row>
    <row r="1381">
      <c r="B1381" t="inlineStr">
        <is>
          <t>Municipal Service Garages</t>
        </is>
      </c>
      <c r="C1381" t="inlineStr">
        <is>
          <t>527</t>
        </is>
      </c>
      <c r="D1381" t="inlineStr">
        <is>
          <t>14</t>
        </is>
      </c>
      <c r="E1381" t="inlineStr">
        <is>
          <t>33</t>
        </is>
      </c>
      <c r="F1381" t="inlineStr">
        <is>
          <t>S</t>
        </is>
      </c>
      <c r="G1381" t="inlineStr">
        <is>
          <t>Excellent</t>
        </is>
      </c>
      <c r="H1381" t="n">
        <v>212</v>
      </c>
      <c r="I1381">
        <f>B1381&amp;"~"&amp;F1381&amp;"~"&amp;G1381</f>
        <v/>
      </c>
      <c r="J1381" t="inlineStr">
        <is>
          <t>MVS Sec.14 p.33</t>
        </is>
      </c>
    </row>
    <row r="1382">
      <c r="B1382" t="inlineStr">
        <is>
          <t>Municipal Service Garages</t>
        </is>
      </c>
      <c r="C1382" t="inlineStr">
        <is>
          <t>527</t>
        </is>
      </c>
      <c r="D1382" t="inlineStr">
        <is>
          <t>14</t>
        </is>
      </c>
      <c r="E1382" t="inlineStr">
        <is>
          <t>33</t>
        </is>
      </c>
      <c r="F1382" t="inlineStr">
        <is>
          <t>S</t>
        </is>
      </c>
      <c r="G1382" t="inlineStr">
        <is>
          <t>Good</t>
        </is>
      </c>
      <c r="H1382" t="n">
        <v>153</v>
      </c>
      <c r="I1382">
        <f>B1382&amp;"~"&amp;F1382&amp;"~"&amp;G1382</f>
        <v/>
      </c>
      <c r="J1382" t="inlineStr">
        <is>
          <t>MVS Sec.14 p.33</t>
        </is>
      </c>
    </row>
    <row r="1383">
      <c r="B1383" t="inlineStr">
        <is>
          <t>Municipal Service Garages</t>
        </is>
      </c>
      <c r="C1383" t="inlineStr">
        <is>
          <t>527</t>
        </is>
      </c>
      <c r="D1383" t="inlineStr">
        <is>
          <t>14</t>
        </is>
      </c>
      <c r="E1383" t="inlineStr">
        <is>
          <t>33</t>
        </is>
      </c>
      <c r="F1383" t="inlineStr">
        <is>
          <t>S</t>
        </is>
      </c>
      <c r="G1383" t="inlineStr">
        <is>
          <t>Average</t>
        </is>
      </c>
      <c r="H1383" t="n">
        <v>106</v>
      </c>
      <c r="I1383">
        <f>B1383&amp;"~"&amp;F1383&amp;"~"&amp;G1383</f>
        <v/>
      </c>
      <c r="J1383" t="inlineStr">
        <is>
          <t>MVS Sec.14 p.33</t>
        </is>
      </c>
    </row>
    <row r="1384">
      <c r="B1384" t="inlineStr">
        <is>
          <t>Mini-Lube Garages</t>
        </is>
      </c>
      <c r="C1384" t="inlineStr">
        <is>
          <t>423</t>
        </is>
      </c>
      <c r="D1384" t="inlineStr">
        <is>
          <t>14</t>
        </is>
      </c>
      <c r="E1384" t="inlineStr">
        <is>
          <t>33</t>
        </is>
      </c>
      <c r="F1384" t="inlineStr">
        <is>
          <t>C</t>
        </is>
      </c>
      <c r="G1384" t="inlineStr">
        <is>
          <t>Excellent</t>
        </is>
      </c>
      <c r="H1384" t="n">
        <v>235</v>
      </c>
      <c r="I1384">
        <f>B1384&amp;"~"&amp;F1384&amp;"~"&amp;G1384</f>
        <v/>
      </c>
      <c r="J1384" t="inlineStr">
        <is>
          <t>MVS Sec.14 p.33</t>
        </is>
      </c>
    </row>
    <row r="1385">
      <c r="B1385" t="inlineStr">
        <is>
          <t>Mini-Lube Garages</t>
        </is>
      </c>
      <c r="C1385" t="inlineStr">
        <is>
          <t>423</t>
        </is>
      </c>
      <c r="D1385" t="inlineStr">
        <is>
          <t>14</t>
        </is>
      </c>
      <c r="E1385" t="inlineStr">
        <is>
          <t>33</t>
        </is>
      </c>
      <c r="F1385" t="inlineStr">
        <is>
          <t>C</t>
        </is>
      </c>
      <c r="G1385" t="inlineStr">
        <is>
          <t>Good</t>
        </is>
      </c>
      <c r="H1385" t="n">
        <v>181</v>
      </c>
      <c r="I1385">
        <f>B1385&amp;"~"&amp;F1385&amp;"~"&amp;G1385</f>
        <v/>
      </c>
      <c r="J1385" t="inlineStr">
        <is>
          <t>MVS Sec.14 p.33</t>
        </is>
      </c>
    </row>
    <row r="1386">
      <c r="B1386" t="inlineStr">
        <is>
          <t>Mini-Lube Garages</t>
        </is>
      </c>
      <c r="C1386" t="inlineStr">
        <is>
          <t>423</t>
        </is>
      </c>
      <c r="D1386" t="inlineStr">
        <is>
          <t>14</t>
        </is>
      </c>
      <c r="E1386" t="inlineStr">
        <is>
          <t>33</t>
        </is>
      </c>
      <c r="F1386" t="inlineStr">
        <is>
          <t>C</t>
        </is>
      </c>
      <c r="G1386" t="inlineStr">
        <is>
          <t>Average</t>
        </is>
      </c>
      <c r="H1386" t="n">
        <v>140</v>
      </c>
      <c r="I1386">
        <f>B1386&amp;"~"&amp;F1386&amp;"~"&amp;G1386</f>
        <v/>
      </c>
      <c r="J1386" t="inlineStr">
        <is>
          <t>MVS Sec.14 p.33</t>
        </is>
      </c>
    </row>
    <row r="1387">
      <c r="B1387" t="inlineStr">
        <is>
          <t>Mini-Lube Garages</t>
        </is>
      </c>
      <c r="C1387" t="inlineStr">
        <is>
          <t>423</t>
        </is>
      </c>
      <c r="D1387" t="inlineStr">
        <is>
          <t>14</t>
        </is>
      </c>
      <c r="E1387" t="inlineStr">
        <is>
          <t>33</t>
        </is>
      </c>
      <c r="F1387" t="inlineStr">
        <is>
          <t>C</t>
        </is>
      </c>
      <c r="G1387" t="inlineStr">
        <is>
          <t>Low Cost</t>
        </is>
      </c>
      <c r="H1387" t="n">
        <v>111</v>
      </c>
      <c r="I1387">
        <f>B1387&amp;"~"&amp;F1387&amp;"~"&amp;G1387</f>
        <v/>
      </c>
      <c r="J1387" t="inlineStr">
        <is>
          <t>MVS Sec.14 p.33</t>
        </is>
      </c>
    </row>
    <row r="1388">
      <c r="B1388" t="inlineStr">
        <is>
          <t>Mini-Lube Garages</t>
        </is>
      </c>
      <c r="C1388" t="inlineStr">
        <is>
          <t>423</t>
        </is>
      </c>
      <c r="D1388" t="inlineStr">
        <is>
          <t>14</t>
        </is>
      </c>
      <c r="E1388" t="inlineStr">
        <is>
          <t>33</t>
        </is>
      </c>
      <c r="F1388" t="inlineStr">
        <is>
          <t>D</t>
        </is>
      </c>
      <c r="G1388" t="inlineStr">
        <is>
          <t>Excellent</t>
        </is>
      </c>
      <c r="H1388" t="n">
        <v>226</v>
      </c>
      <c r="I1388">
        <f>B1388&amp;"~"&amp;F1388&amp;"~"&amp;G1388</f>
        <v/>
      </c>
      <c r="J1388" t="inlineStr">
        <is>
          <t>MVS Sec.14 p.33</t>
        </is>
      </c>
    </row>
    <row r="1389">
      <c r="B1389" t="inlineStr">
        <is>
          <t>Mini-Lube Garages</t>
        </is>
      </c>
      <c r="C1389" t="inlineStr">
        <is>
          <t>423</t>
        </is>
      </c>
      <c r="D1389" t="inlineStr">
        <is>
          <t>14</t>
        </is>
      </c>
      <c r="E1389" t="inlineStr">
        <is>
          <t>33</t>
        </is>
      </c>
      <c r="F1389" t="inlineStr">
        <is>
          <t>D</t>
        </is>
      </c>
      <c r="G1389" t="inlineStr">
        <is>
          <t>Good</t>
        </is>
      </c>
      <c r="H1389" t="n">
        <v>173</v>
      </c>
      <c r="I1389">
        <f>B1389&amp;"~"&amp;F1389&amp;"~"&amp;G1389</f>
        <v/>
      </c>
      <c r="J1389" t="inlineStr">
        <is>
          <t>MVS Sec.14 p.33</t>
        </is>
      </c>
    </row>
    <row r="1390">
      <c r="B1390" t="inlineStr">
        <is>
          <t>Mini-Lube Garages</t>
        </is>
      </c>
      <c r="C1390" t="inlineStr">
        <is>
          <t>423</t>
        </is>
      </c>
      <c r="D1390" t="inlineStr">
        <is>
          <t>14</t>
        </is>
      </c>
      <c r="E1390" t="inlineStr">
        <is>
          <t>33</t>
        </is>
      </c>
      <c r="F1390" t="inlineStr">
        <is>
          <t>D</t>
        </is>
      </c>
      <c r="G1390" t="inlineStr">
        <is>
          <t>Average</t>
        </is>
      </c>
      <c r="H1390" t="n">
        <v>133</v>
      </c>
      <c r="I1390">
        <f>B1390&amp;"~"&amp;F1390&amp;"~"&amp;G1390</f>
        <v/>
      </c>
      <c r="J1390" t="inlineStr">
        <is>
          <t>MVS Sec.14 p.33</t>
        </is>
      </c>
    </row>
    <row r="1391">
      <c r="B1391" t="inlineStr">
        <is>
          <t>Mini-Lube Garages</t>
        </is>
      </c>
      <c r="C1391" t="inlineStr">
        <is>
          <t>423</t>
        </is>
      </c>
      <c r="D1391" t="inlineStr">
        <is>
          <t>14</t>
        </is>
      </c>
      <c r="E1391" t="inlineStr">
        <is>
          <t>33</t>
        </is>
      </c>
      <c r="F1391" t="inlineStr">
        <is>
          <t>D</t>
        </is>
      </c>
      <c r="G1391" t="inlineStr">
        <is>
          <t>Low Cost</t>
        </is>
      </c>
      <c r="H1391" t="n">
        <v>104</v>
      </c>
      <c r="I1391">
        <f>B1391&amp;"~"&amp;F1391&amp;"~"&amp;G1391</f>
        <v/>
      </c>
      <c r="J1391" t="inlineStr">
        <is>
          <t>MVS Sec.14 p.33</t>
        </is>
      </c>
    </row>
    <row r="1392">
      <c r="B1392" t="inlineStr">
        <is>
          <t>Mini-Lube Garages</t>
        </is>
      </c>
      <c r="C1392" t="inlineStr">
        <is>
          <t>423</t>
        </is>
      </c>
      <c r="D1392" t="inlineStr">
        <is>
          <t>14</t>
        </is>
      </c>
      <c r="E1392" t="inlineStr">
        <is>
          <t>33</t>
        </is>
      </c>
      <c r="F1392" t="inlineStr">
        <is>
          <t>S</t>
        </is>
      </c>
      <c r="G1392" t="inlineStr">
        <is>
          <t>Average</t>
        </is>
      </c>
      <c r="H1392" t="n">
        <v>133</v>
      </c>
      <c r="I1392">
        <f>B1392&amp;"~"&amp;F1392&amp;"~"&amp;G1392</f>
        <v/>
      </c>
      <c r="J1392" t="inlineStr">
        <is>
          <t>MVS Sec.14 p.33</t>
        </is>
      </c>
    </row>
    <row r="1393">
      <c r="B1393" t="inlineStr">
        <is>
          <t>Mini-Lube Garages</t>
        </is>
      </c>
      <c r="C1393" t="inlineStr">
        <is>
          <t>423</t>
        </is>
      </c>
      <c r="D1393" t="inlineStr">
        <is>
          <t>14</t>
        </is>
      </c>
      <c r="E1393" t="inlineStr">
        <is>
          <t>33</t>
        </is>
      </c>
      <c r="F1393" t="inlineStr">
        <is>
          <t>S</t>
        </is>
      </c>
      <c r="G1393" t="inlineStr">
        <is>
          <t>Low Cost</t>
        </is>
      </c>
      <c r="H1393" t="n">
        <v>105</v>
      </c>
      <c r="I1393">
        <f>B1393&amp;"~"&amp;F1393&amp;"~"&amp;G1393</f>
        <v/>
      </c>
      <c r="J1393" t="inlineStr">
        <is>
          <t>MVS Sec.14 p.33</t>
        </is>
      </c>
    </row>
    <row r="1394">
      <c r="B1394" t="inlineStr">
        <is>
          <t>Mini-Lube Garages</t>
        </is>
      </c>
      <c r="C1394" t="inlineStr">
        <is>
          <t>423</t>
        </is>
      </c>
      <c r="D1394" t="inlineStr">
        <is>
          <t>14</t>
        </is>
      </c>
      <c r="E1394" t="inlineStr">
        <is>
          <t>33</t>
        </is>
      </c>
      <c r="F1394" t="inlineStr">
        <is>
          <t>CDS</t>
        </is>
      </c>
      <c r="G1394" t="inlineStr">
        <is>
          <t>Average</t>
        </is>
      </c>
      <c r="H1394" t="n">
        <v>59.5</v>
      </c>
      <c r="I1394">
        <f>B1394&amp;"~"&amp;F1394&amp;"~"&amp;G1394</f>
        <v/>
      </c>
      <c r="J1394" t="inlineStr">
        <is>
          <t>MVS Sec.14 p.33</t>
        </is>
      </c>
    </row>
    <row r="1395">
      <c r="B1395" t="inlineStr">
        <is>
          <t>Parking (Parkade) Structures</t>
        </is>
      </c>
      <c r="C1395" t="inlineStr">
        <is>
          <t>345</t>
        </is>
      </c>
      <c r="D1395" t="inlineStr">
        <is>
          <t>14</t>
        </is>
      </c>
      <c r="E1395" t="inlineStr">
        <is>
          <t>34</t>
        </is>
      </c>
      <c r="F1395" t="inlineStr">
        <is>
          <t>A</t>
        </is>
      </c>
      <c r="G1395" t="inlineStr">
        <is>
          <t>Good</t>
        </is>
      </c>
      <c r="H1395" t="n">
        <v>110</v>
      </c>
      <c r="I1395">
        <f>B1395&amp;"~"&amp;F1395&amp;"~"&amp;G1395</f>
        <v/>
      </c>
      <c r="J1395" t="inlineStr">
        <is>
          <t>MVS Sec.14 p.34</t>
        </is>
      </c>
    </row>
    <row r="1396">
      <c r="B1396" t="inlineStr">
        <is>
          <t>Parking (Parkade) Structures</t>
        </is>
      </c>
      <c r="C1396" t="inlineStr">
        <is>
          <t>345</t>
        </is>
      </c>
      <c r="D1396" t="inlineStr">
        <is>
          <t>14</t>
        </is>
      </c>
      <c r="E1396" t="inlineStr">
        <is>
          <t>34</t>
        </is>
      </c>
      <c r="F1396" t="inlineStr">
        <is>
          <t>A</t>
        </is>
      </c>
      <c r="G1396" t="inlineStr">
        <is>
          <t>Average</t>
        </is>
      </c>
      <c r="H1396" t="n">
        <v>84</v>
      </c>
      <c r="I1396">
        <f>B1396&amp;"~"&amp;F1396&amp;"~"&amp;G1396</f>
        <v/>
      </c>
      <c r="J1396" t="inlineStr">
        <is>
          <t>MVS Sec.14 p.34</t>
        </is>
      </c>
    </row>
    <row r="1397">
      <c r="B1397" t="inlineStr">
        <is>
          <t>Parking (Parkade) Structures</t>
        </is>
      </c>
      <c r="C1397" t="inlineStr">
        <is>
          <t>345</t>
        </is>
      </c>
      <c r="D1397" t="inlineStr">
        <is>
          <t>14</t>
        </is>
      </c>
      <c r="E1397" t="inlineStr">
        <is>
          <t>34</t>
        </is>
      </c>
      <c r="F1397" t="inlineStr">
        <is>
          <t>B</t>
        </is>
      </c>
      <c r="G1397" t="inlineStr">
        <is>
          <t>Good</t>
        </is>
      </c>
      <c r="H1397" t="n">
        <v>96.5</v>
      </c>
      <c r="I1397">
        <f>B1397&amp;"~"&amp;F1397&amp;"~"&amp;G1397</f>
        <v/>
      </c>
      <c r="J1397" t="inlineStr">
        <is>
          <t>MVS Sec.14 p.34</t>
        </is>
      </c>
    </row>
    <row r="1398">
      <c r="B1398" t="inlineStr">
        <is>
          <t>Parking (Parkade) Structures</t>
        </is>
      </c>
      <c r="C1398" t="inlineStr">
        <is>
          <t>345</t>
        </is>
      </c>
      <c r="D1398" t="inlineStr">
        <is>
          <t>14</t>
        </is>
      </c>
      <c r="E1398" t="inlineStr">
        <is>
          <t>34</t>
        </is>
      </c>
      <c r="F1398" t="inlineStr">
        <is>
          <t>B</t>
        </is>
      </c>
      <c r="G1398" t="inlineStr">
        <is>
          <t>Average</t>
        </is>
      </c>
      <c r="H1398" t="n">
        <v>75</v>
      </c>
      <c r="I1398">
        <f>B1398&amp;"~"&amp;F1398&amp;"~"&amp;G1398</f>
        <v/>
      </c>
      <c r="J1398" t="inlineStr">
        <is>
          <t>MVS Sec.14 p.34</t>
        </is>
      </c>
    </row>
    <row r="1399">
      <c r="B1399" t="inlineStr">
        <is>
          <t>Parking (Parkade) Structures</t>
        </is>
      </c>
      <c r="C1399" t="inlineStr">
        <is>
          <t>345</t>
        </is>
      </c>
      <c r="D1399" t="inlineStr">
        <is>
          <t>14</t>
        </is>
      </c>
      <c r="E1399" t="inlineStr">
        <is>
          <t>34</t>
        </is>
      </c>
      <c r="F1399" t="inlineStr">
        <is>
          <t>B</t>
        </is>
      </c>
      <c r="G1399" t="inlineStr">
        <is>
          <t>Low Cost</t>
        </is>
      </c>
      <c r="H1399" t="n">
        <v>58.5</v>
      </c>
      <c r="I1399">
        <f>B1399&amp;"~"&amp;F1399&amp;"~"&amp;G1399</f>
        <v/>
      </c>
      <c r="J1399" t="inlineStr">
        <is>
          <t>MVS Sec.14 p.34</t>
        </is>
      </c>
    </row>
    <row r="1400">
      <c r="B1400" t="inlineStr">
        <is>
          <t>Parking (Parkade) Structures</t>
        </is>
      </c>
      <c r="C1400" t="inlineStr">
        <is>
          <t>345</t>
        </is>
      </c>
      <c r="D1400" t="inlineStr">
        <is>
          <t>14</t>
        </is>
      </c>
      <c r="E1400" t="inlineStr">
        <is>
          <t>34</t>
        </is>
      </c>
      <c r="F1400" t="inlineStr">
        <is>
          <t>S</t>
        </is>
      </c>
      <c r="G1400" t="inlineStr">
        <is>
          <t>Low Cost</t>
        </is>
      </c>
      <c r="H1400" t="n">
        <v>56</v>
      </c>
      <c r="I1400">
        <f>B1400&amp;"~"&amp;F1400&amp;"~"&amp;G1400</f>
        <v/>
      </c>
      <c r="J1400" t="inlineStr">
        <is>
          <t>MVS Sec.14 p.34</t>
        </is>
      </c>
    </row>
    <row r="1401">
      <c r="B1401" t="inlineStr">
        <is>
          <t>Parking (Parkade) Structures</t>
        </is>
      </c>
      <c r="C1401" t="inlineStr">
        <is>
          <t>345</t>
        </is>
      </c>
      <c r="D1401" t="inlineStr">
        <is>
          <t>14</t>
        </is>
      </c>
      <c r="E1401" t="inlineStr">
        <is>
          <t>34</t>
        </is>
      </c>
      <c r="F1401" t="inlineStr">
        <is>
          <t>S</t>
        </is>
      </c>
      <c r="G1401" t="inlineStr">
        <is>
          <t>Cheap</t>
        </is>
      </c>
      <c r="H1401" t="n">
        <v>43.75</v>
      </c>
      <c r="I1401">
        <f>B1401&amp;"~"&amp;F1401&amp;"~"&amp;G1401</f>
        <v/>
      </c>
      <c r="J1401" t="inlineStr">
        <is>
          <t>MVS Sec.14 p.34</t>
        </is>
      </c>
    </row>
    <row r="1402">
      <c r="B1402" t="inlineStr">
        <is>
          <t>Storage Garages</t>
        </is>
      </c>
      <c r="C1402" t="inlineStr">
        <is>
          <t>326</t>
        </is>
      </c>
      <c r="D1402" t="inlineStr">
        <is>
          <t>14</t>
        </is>
      </c>
      <c r="E1402" t="inlineStr">
        <is>
          <t>34</t>
        </is>
      </c>
      <c r="F1402" t="inlineStr">
        <is>
          <t>A-B</t>
        </is>
      </c>
      <c r="G1402" t="inlineStr">
        <is>
          <t>Average</t>
        </is>
      </c>
      <c r="H1402" t="n">
        <v>109</v>
      </c>
      <c r="I1402">
        <f>B1402&amp;"~"&amp;F1402&amp;"~"&amp;G1402</f>
        <v/>
      </c>
      <c r="J1402" t="inlineStr">
        <is>
          <t>MVS Sec.14 p.34</t>
        </is>
      </c>
    </row>
    <row r="1403">
      <c r="B1403" t="inlineStr">
        <is>
          <t>Storage Garages</t>
        </is>
      </c>
      <c r="C1403" t="inlineStr">
        <is>
          <t>326</t>
        </is>
      </c>
      <c r="D1403" t="inlineStr">
        <is>
          <t>14</t>
        </is>
      </c>
      <c r="E1403" t="inlineStr">
        <is>
          <t>34</t>
        </is>
      </c>
      <c r="F1403" t="inlineStr">
        <is>
          <t>C</t>
        </is>
      </c>
      <c r="G1403" t="inlineStr">
        <is>
          <t>Average</t>
        </is>
      </c>
      <c r="H1403" t="n">
        <v>79</v>
      </c>
      <c r="I1403">
        <f>B1403&amp;"~"&amp;F1403&amp;"~"&amp;G1403</f>
        <v/>
      </c>
      <c r="J1403" t="inlineStr">
        <is>
          <t>MVS Sec.14 p.34</t>
        </is>
      </c>
    </row>
    <row r="1404">
      <c r="B1404" t="inlineStr">
        <is>
          <t>Storage Garages</t>
        </is>
      </c>
      <c r="C1404" t="inlineStr">
        <is>
          <t>326</t>
        </is>
      </c>
      <c r="D1404" t="inlineStr">
        <is>
          <t>14</t>
        </is>
      </c>
      <c r="E1404" t="inlineStr">
        <is>
          <t>34</t>
        </is>
      </c>
      <c r="F1404" t="inlineStr">
        <is>
          <t>CMILL</t>
        </is>
      </c>
      <c r="G1404" t="inlineStr">
        <is>
          <t>Average</t>
        </is>
      </c>
      <c r="H1404" t="n">
        <v>93.5</v>
      </c>
      <c r="I1404">
        <f>B1404&amp;"~"&amp;F1404&amp;"~"&amp;G1404</f>
        <v/>
      </c>
      <c r="J1404" t="inlineStr">
        <is>
          <t>MVS Sec.14 p.34</t>
        </is>
      </c>
    </row>
    <row r="1405">
      <c r="B1405" t="inlineStr">
        <is>
          <t>Storage Garages</t>
        </is>
      </c>
      <c r="C1405" t="inlineStr">
        <is>
          <t>326</t>
        </is>
      </c>
      <c r="D1405" t="inlineStr">
        <is>
          <t>14</t>
        </is>
      </c>
      <c r="E1405" t="inlineStr">
        <is>
          <t>34</t>
        </is>
      </c>
      <c r="F1405" t="inlineStr">
        <is>
          <t>D</t>
        </is>
      </c>
      <c r="G1405" t="inlineStr">
        <is>
          <t>Average</t>
        </is>
      </c>
      <c r="H1405" t="n">
        <v>71.5</v>
      </c>
      <c r="I1405">
        <f>B1405&amp;"~"&amp;F1405&amp;"~"&amp;G1405</f>
        <v/>
      </c>
      <c r="J1405" t="inlineStr">
        <is>
          <t>MVS Sec.14 p.34</t>
        </is>
      </c>
    </row>
    <row r="1406">
      <c r="B1406" t="inlineStr">
        <is>
          <t>Storage Garages</t>
        </is>
      </c>
      <c r="C1406" t="inlineStr">
        <is>
          <t>326</t>
        </is>
      </c>
      <c r="D1406" t="inlineStr">
        <is>
          <t>14</t>
        </is>
      </c>
      <c r="E1406" t="inlineStr">
        <is>
          <t>34</t>
        </is>
      </c>
      <c r="F1406" t="inlineStr">
        <is>
          <t>S</t>
        </is>
      </c>
      <c r="G1406" t="inlineStr">
        <is>
          <t>Average</t>
        </is>
      </c>
      <c r="H1406" t="n">
        <v>69.5</v>
      </c>
      <c r="I1406">
        <f>B1406&amp;"~"&amp;F1406&amp;"~"&amp;G1406</f>
        <v/>
      </c>
      <c r="J1406" t="inlineStr">
        <is>
          <t>MVS Sec.14 p.34</t>
        </is>
      </c>
    </row>
    <row r="1407">
      <c r="B1407" t="inlineStr">
        <is>
          <t>Light Industrial/Warehouse Shell Buildings</t>
        </is>
      </c>
      <c r="C1407" t="inlineStr">
        <is>
          <t>454</t>
        </is>
      </c>
      <c r="D1407" t="inlineStr">
        <is>
          <t>14</t>
        </is>
      </c>
      <c r="E1407" t="inlineStr">
        <is>
          <t>35</t>
        </is>
      </c>
      <c r="F1407" t="inlineStr">
        <is>
          <t>C</t>
        </is>
      </c>
      <c r="G1407" t="inlineStr">
        <is>
          <t>Good</t>
        </is>
      </c>
      <c r="H1407" t="n">
        <v>71</v>
      </c>
      <c r="I1407">
        <f>B1407&amp;"~"&amp;F1407&amp;"~"&amp;G1407</f>
        <v/>
      </c>
      <c r="J1407" t="inlineStr">
        <is>
          <t>MVS Sec.14 p.35</t>
        </is>
      </c>
    </row>
    <row r="1408">
      <c r="B1408" t="inlineStr">
        <is>
          <t>Light Industrial/Warehouse Shell Buildings</t>
        </is>
      </c>
      <c r="C1408" t="inlineStr">
        <is>
          <t>454</t>
        </is>
      </c>
      <c r="D1408" t="inlineStr">
        <is>
          <t>14</t>
        </is>
      </c>
      <c r="E1408" t="inlineStr">
        <is>
          <t>35</t>
        </is>
      </c>
      <c r="F1408" t="inlineStr">
        <is>
          <t>C</t>
        </is>
      </c>
      <c r="G1408" t="inlineStr">
        <is>
          <t>Average</t>
        </is>
      </c>
      <c r="H1408" t="n">
        <v>51</v>
      </c>
      <c r="I1408">
        <f>B1408&amp;"~"&amp;F1408&amp;"~"&amp;G1408</f>
        <v/>
      </c>
      <c r="J1408" t="inlineStr">
        <is>
          <t>MVS Sec.14 p.35</t>
        </is>
      </c>
    </row>
    <row r="1409">
      <c r="B1409" t="inlineStr">
        <is>
          <t>Light Industrial/Warehouse Shell Buildings</t>
        </is>
      </c>
      <c r="C1409" t="inlineStr">
        <is>
          <t>454</t>
        </is>
      </c>
      <c r="D1409" t="inlineStr">
        <is>
          <t>14</t>
        </is>
      </c>
      <c r="E1409" t="inlineStr">
        <is>
          <t>35</t>
        </is>
      </c>
      <c r="F1409" t="inlineStr">
        <is>
          <t>C</t>
        </is>
      </c>
      <c r="G1409" t="inlineStr">
        <is>
          <t>Low Cost</t>
        </is>
      </c>
      <c r="H1409" t="n">
        <v>36.75</v>
      </c>
      <c r="I1409">
        <f>B1409&amp;"~"&amp;F1409&amp;"~"&amp;G1409</f>
        <v/>
      </c>
      <c r="J1409" t="inlineStr">
        <is>
          <t>MVS Sec.14 p.35</t>
        </is>
      </c>
    </row>
    <row r="1410">
      <c r="B1410" t="inlineStr">
        <is>
          <t>Light Industrial/Warehouse Shell Buildings</t>
        </is>
      </c>
      <c r="C1410" t="inlineStr">
        <is>
          <t>454</t>
        </is>
      </c>
      <c r="D1410" t="inlineStr">
        <is>
          <t>14</t>
        </is>
      </c>
      <c r="E1410" t="inlineStr">
        <is>
          <t>35</t>
        </is>
      </c>
      <c r="F1410" t="inlineStr">
        <is>
          <t>C</t>
        </is>
      </c>
      <c r="G1410" t="inlineStr">
        <is>
          <t>Cheap</t>
        </is>
      </c>
      <c r="H1410" t="n">
        <v>29.75</v>
      </c>
      <c r="I1410">
        <f>B1410&amp;"~"&amp;F1410&amp;"~"&amp;G1410</f>
        <v/>
      </c>
      <c r="J1410" t="inlineStr">
        <is>
          <t>MVS Sec.14 p.35</t>
        </is>
      </c>
    </row>
    <row r="1411">
      <c r="B1411" t="inlineStr">
        <is>
          <t>Light Industrial/Warehouse Shell Buildings</t>
        </is>
      </c>
      <c r="C1411" t="inlineStr">
        <is>
          <t>454</t>
        </is>
      </c>
      <c r="D1411" t="inlineStr">
        <is>
          <t>14</t>
        </is>
      </c>
      <c r="E1411" t="inlineStr">
        <is>
          <t>35</t>
        </is>
      </c>
      <c r="F1411" t="inlineStr">
        <is>
          <t>D</t>
        </is>
      </c>
      <c r="G1411" t="inlineStr">
        <is>
          <t>Good</t>
        </is>
      </c>
      <c r="H1411" t="n">
        <v>65.5</v>
      </c>
      <c r="I1411">
        <f>B1411&amp;"~"&amp;F1411&amp;"~"&amp;G1411</f>
        <v/>
      </c>
      <c r="J1411" t="inlineStr">
        <is>
          <t>MVS Sec.14 p.35</t>
        </is>
      </c>
    </row>
    <row r="1412">
      <c r="B1412" t="inlineStr">
        <is>
          <t>Light Industrial/Warehouse Shell Buildings</t>
        </is>
      </c>
      <c r="C1412" t="inlineStr">
        <is>
          <t>454</t>
        </is>
      </c>
      <c r="D1412" t="inlineStr">
        <is>
          <t>14</t>
        </is>
      </c>
      <c r="E1412" t="inlineStr">
        <is>
          <t>35</t>
        </is>
      </c>
      <c r="F1412" t="inlineStr">
        <is>
          <t>D</t>
        </is>
      </c>
      <c r="G1412" t="inlineStr">
        <is>
          <t>Average</t>
        </is>
      </c>
      <c r="H1412" t="n">
        <v>46.75</v>
      </c>
      <c r="I1412">
        <f>B1412&amp;"~"&amp;F1412&amp;"~"&amp;G1412</f>
        <v/>
      </c>
      <c r="J1412" t="inlineStr">
        <is>
          <t>MVS Sec.14 p.35</t>
        </is>
      </c>
    </row>
    <row r="1413">
      <c r="B1413" t="inlineStr">
        <is>
          <t>Light Industrial/Warehouse Shell Buildings</t>
        </is>
      </c>
      <c r="C1413" t="inlineStr">
        <is>
          <t>454</t>
        </is>
      </c>
      <c r="D1413" t="inlineStr">
        <is>
          <t>14</t>
        </is>
      </c>
      <c r="E1413" t="inlineStr">
        <is>
          <t>35</t>
        </is>
      </c>
      <c r="F1413" t="inlineStr">
        <is>
          <t>DPOLE</t>
        </is>
      </c>
      <c r="G1413" t="inlineStr">
        <is>
          <t>Average</t>
        </is>
      </c>
      <c r="H1413" t="n">
        <v>38.75</v>
      </c>
      <c r="I1413">
        <f>B1413&amp;"~"&amp;F1413&amp;"~"&amp;G1413</f>
        <v/>
      </c>
      <c r="J1413" t="inlineStr">
        <is>
          <t>MVS Sec.14 p.35</t>
        </is>
      </c>
    </row>
    <row r="1414">
      <c r="B1414" t="inlineStr">
        <is>
          <t>Light Industrial/Warehouse Shell Buildings</t>
        </is>
      </c>
      <c r="C1414" t="inlineStr">
        <is>
          <t>454</t>
        </is>
      </c>
      <c r="D1414" t="inlineStr">
        <is>
          <t>14</t>
        </is>
      </c>
      <c r="E1414" t="inlineStr">
        <is>
          <t>35</t>
        </is>
      </c>
      <c r="F1414" t="inlineStr">
        <is>
          <t>DPOLE</t>
        </is>
      </c>
      <c r="G1414" t="inlineStr">
        <is>
          <t>Low Cost</t>
        </is>
      </c>
      <c r="H1414" t="n">
        <v>27.75</v>
      </c>
      <c r="I1414">
        <f>B1414&amp;"~"&amp;F1414&amp;"~"&amp;G1414</f>
        <v/>
      </c>
      <c r="J1414" t="inlineStr">
        <is>
          <t>MVS Sec.14 p.35</t>
        </is>
      </c>
    </row>
    <row r="1415">
      <c r="B1415" t="inlineStr">
        <is>
          <t>Light Industrial/Warehouse Shell Buildings</t>
        </is>
      </c>
      <c r="C1415" t="inlineStr">
        <is>
          <t>454</t>
        </is>
      </c>
      <c r="D1415" t="inlineStr">
        <is>
          <t>14</t>
        </is>
      </c>
      <c r="E1415" t="inlineStr">
        <is>
          <t>35</t>
        </is>
      </c>
      <c r="F1415" t="inlineStr">
        <is>
          <t>DPOLE</t>
        </is>
      </c>
      <c r="G1415" t="inlineStr">
        <is>
          <t>Cheap</t>
        </is>
      </c>
      <c r="H1415" t="n">
        <v>21.55</v>
      </c>
      <c r="I1415">
        <f>B1415&amp;"~"&amp;F1415&amp;"~"&amp;G1415</f>
        <v/>
      </c>
      <c r="J1415" t="inlineStr">
        <is>
          <t>MVS Sec.14 p.35</t>
        </is>
      </c>
    </row>
    <row r="1416">
      <c r="B1416" t="inlineStr">
        <is>
          <t>Light Industrial/Warehouse Shell Buildings</t>
        </is>
      </c>
      <c r="C1416" t="inlineStr">
        <is>
          <t>454</t>
        </is>
      </c>
      <c r="D1416" t="inlineStr">
        <is>
          <t>14</t>
        </is>
      </c>
      <c r="E1416" t="inlineStr">
        <is>
          <t>35</t>
        </is>
      </c>
      <c r="F1416" t="inlineStr">
        <is>
          <t>S</t>
        </is>
      </c>
      <c r="G1416" t="inlineStr">
        <is>
          <t>Good</t>
        </is>
      </c>
      <c r="H1416" t="n">
        <v>64.5</v>
      </c>
      <c r="I1416">
        <f>B1416&amp;"~"&amp;F1416&amp;"~"&amp;G1416</f>
        <v/>
      </c>
      <c r="J1416" t="inlineStr">
        <is>
          <t>MVS Sec.14 p.35</t>
        </is>
      </c>
    </row>
    <row r="1417">
      <c r="B1417" t="inlineStr">
        <is>
          <t>Light Industrial/Warehouse Shell Buildings</t>
        </is>
      </c>
      <c r="C1417" t="inlineStr">
        <is>
          <t>454</t>
        </is>
      </c>
      <c r="D1417" t="inlineStr">
        <is>
          <t>14</t>
        </is>
      </c>
      <c r="E1417" t="inlineStr">
        <is>
          <t>35</t>
        </is>
      </c>
      <c r="F1417" t="inlineStr">
        <is>
          <t>S</t>
        </is>
      </c>
      <c r="G1417" t="inlineStr">
        <is>
          <t>Average</t>
        </is>
      </c>
      <c r="H1417" t="n">
        <v>45.75</v>
      </c>
      <c r="I1417">
        <f>B1417&amp;"~"&amp;F1417&amp;"~"&amp;G1417</f>
        <v/>
      </c>
      <c r="J1417" t="inlineStr">
        <is>
          <t>MVS Sec.14 p.35</t>
        </is>
      </c>
    </row>
    <row r="1418">
      <c r="B1418" t="inlineStr">
        <is>
          <t>Light Industrial/Warehouse Shell Buildings</t>
        </is>
      </c>
      <c r="C1418" t="inlineStr">
        <is>
          <t>454</t>
        </is>
      </c>
      <c r="D1418" t="inlineStr">
        <is>
          <t>14</t>
        </is>
      </c>
      <c r="E1418" t="inlineStr">
        <is>
          <t>35</t>
        </is>
      </c>
      <c r="F1418" t="inlineStr">
        <is>
          <t>S</t>
        </is>
      </c>
      <c r="G1418" t="inlineStr">
        <is>
          <t>Low Cost</t>
        </is>
      </c>
      <c r="H1418" t="n">
        <v>32.5</v>
      </c>
      <c r="I1418">
        <f>B1418&amp;"~"&amp;F1418&amp;"~"&amp;G1418</f>
        <v/>
      </c>
      <c r="J1418" t="inlineStr">
        <is>
          <t>MVS Sec.14 p.35</t>
        </is>
      </c>
    </row>
    <row r="1419">
      <c r="B1419" t="inlineStr">
        <is>
          <t>Light Industrial/Warehouse Shell Buildings</t>
        </is>
      </c>
      <c r="C1419" t="inlineStr">
        <is>
          <t>454</t>
        </is>
      </c>
      <c r="D1419" t="inlineStr">
        <is>
          <t>14</t>
        </is>
      </c>
      <c r="E1419" t="inlineStr">
        <is>
          <t>35</t>
        </is>
      </c>
      <c r="F1419" t="inlineStr">
        <is>
          <t>S</t>
        </is>
      </c>
      <c r="G1419" t="inlineStr">
        <is>
          <t>Cheap</t>
        </is>
      </c>
      <c r="H1419" t="n">
        <v>24.65</v>
      </c>
      <c r="I1419">
        <f>B1419&amp;"~"&amp;F1419&amp;"~"&amp;G1419</f>
        <v/>
      </c>
      <c r="J1419" t="inlineStr">
        <is>
          <t>MVS Sec.14 p.35</t>
        </is>
      </c>
    </row>
    <row r="1420">
      <c r="B1420" t="inlineStr">
        <is>
          <t>Office Buildings</t>
        </is>
      </c>
      <c r="C1420" t="inlineStr">
        <is>
          <t>344</t>
        </is>
      </c>
      <c r="D1420" t="inlineStr">
        <is>
          <t>15</t>
        </is>
      </c>
      <c r="E1420" t="inlineStr">
        <is>
          <t>17</t>
        </is>
      </c>
      <c r="F1420" t="inlineStr">
        <is>
          <t>A</t>
        </is>
      </c>
      <c r="G1420" t="inlineStr">
        <is>
          <t>Excellent</t>
        </is>
      </c>
      <c r="H1420" t="n">
        <v>404</v>
      </c>
      <c r="I1420">
        <f>B1420&amp;"~"&amp;F1420&amp;"~"&amp;G1420</f>
        <v/>
      </c>
      <c r="J1420" t="inlineStr">
        <is>
          <t>MVS Sec.15 p.17</t>
        </is>
      </c>
    </row>
    <row r="1421">
      <c r="B1421" t="inlineStr">
        <is>
          <t>Office Buildings</t>
        </is>
      </c>
      <c r="C1421" t="inlineStr">
        <is>
          <t>344</t>
        </is>
      </c>
      <c r="D1421" t="inlineStr">
        <is>
          <t>15</t>
        </is>
      </c>
      <c r="E1421" t="inlineStr">
        <is>
          <t>17</t>
        </is>
      </c>
      <c r="F1421" t="inlineStr">
        <is>
          <t>A</t>
        </is>
      </c>
      <c r="G1421" t="inlineStr">
        <is>
          <t>Good</t>
        </is>
      </c>
      <c r="H1421" t="n">
        <v>320</v>
      </c>
      <c r="I1421">
        <f>B1421&amp;"~"&amp;F1421&amp;"~"&amp;G1421</f>
        <v/>
      </c>
      <c r="J1421" t="inlineStr">
        <is>
          <t>MVS Sec.15 p.17</t>
        </is>
      </c>
    </row>
    <row r="1422">
      <c r="B1422" t="inlineStr">
        <is>
          <t>Office Buildings</t>
        </is>
      </c>
      <c r="C1422" t="inlineStr">
        <is>
          <t>344</t>
        </is>
      </c>
      <c r="D1422" t="inlineStr">
        <is>
          <t>15</t>
        </is>
      </c>
      <c r="E1422" t="inlineStr">
        <is>
          <t>17</t>
        </is>
      </c>
      <c r="F1422" t="inlineStr">
        <is>
          <t>A</t>
        </is>
      </c>
      <c r="G1422" t="inlineStr">
        <is>
          <t>Average</t>
        </is>
      </c>
      <c r="H1422" t="n">
        <v>241</v>
      </c>
      <c r="I1422">
        <f>B1422&amp;"~"&amp;F1422&amp;"~"&amp;G1422</f>
        <v/>
      </c>
      <c r="J1422" t="inlineStr">
        <is>
          <t>MVS Sec.15 p.17</t>
        </is>
      </c>
    </row>
    <row r="1423">
      <c r="B1423" t="inlineStr">
        <is>
          <t>Office Buildings</t>
        </is>
      </c>
      <c r="C1423" t="inlineStr">
        <is>
          <t>344</t>
        </is>
      </c>
      <c r="D1423" t="inlineStr">
        <is>
          <t>15</t>
        </is>
      </c>
      <c r="E1423" t="inlineStr">
        <is>
          <t>17</t>
        </is>
      </c>
      <c r="F1423" t="inlineStr">
        <is>
          <t>A</t>
        </is>
      </c>
      <c r="G1423" t="inlineStr">
        <is>
          <t>Low Cost</t>
        </is>
      </c>
      <c r="H1423" t="n">
        <v>192</v>
      </c>
      <c r="I1423">
        <f>B1423&amp;"~"&amp;F1423&amp;"~"&amp;G1423</f>
        <v/>
      </c>
      <c r="J1423" t="inlineStr">
        <is>
          <t>MVS Sec.15 p.17</t>
        </is>
      </c>
    </row>
    <row r="1424">
      <c r="B1424" t="inlineStr">
        <is>
          <t>Office Buildings</t>
        </is>
      </c>
      <c r="C1424" t="inlineStr">
        <is>
          <t>344</t>
        </is>
      </c>
      <c r="D1424" t="inlineStr">
        <is>
          <t>15</t>
        </is>
      </c>
      <c r="E1424" t="inlineStr">
        <is>
          <t>17</t>
        </is>
      </c>
      <c r="F1424" t="inlineStr">
        <is>
          <t>B</t>
        </is>
      </c>
      <c r="G1424" t="inlineStr">
        <is>
          <t>Excellent</t>
        </is>
      </c>
      <c r="H1424" t="n">
        <v>372</v>
      </c>
      <c r="I1424">
        <f>B1424&amp;"~"&amp;F1424&amp;"~"&amp;G1424</f>
        <v/>
      </c>
      <c r="J1424" t="inlineStr">
        <is>
          <t>MVS Sec.15 p.17</t>
        </is>
      </c>
    </row>
    <row r="1425">
      <c r="B1425" t="inlineStr">
        <is>
          <t>Office Buildings</t>
        </is>
      </c>
      <c r="C1425" t="inlineStr">
        <is>
          <t>344</t>
        </is>
      </c>
      <c r="D1425" t="inlineStr">
        <is>
          <t>15</t>
        </is>
      </c>
      <c r="E1425" t="inlineStr">
        <is>
          <t>17</t>
        </is>
      </c>
      <c r="F1425" t="inlineStr">
        <is>
          <t>B</t>
        </is>
      </c>
      <c r="G1425" t="inlineStr">
        <is>
          <t>Good</t>
        </is>
      </c>
      <c r="H1425" t="n">
        <v>293</v>
      </c>
      <c r="I1425">
        <f>B1425&amp;"~"&amp;F1425&amp;"~"&amp;G1425</f>
        <v/>
      </c>
      <c r="J1425" t="inlineStr">
        <is>
          <t>MVS Sec.15 p.17</t>
        </is>
      </c>
    </row>
    <row r="1426">
      <c r="B1426" t="inlineStr">
        <is>
          <t>Office Buildings</t>
        </is>
      </c>
      <c r="C1426" t="inlineStr">
        <is>
          <t>344</t>
        </is>
      </c>
      <c r="D1426" t="inlineStr">
        <is>
          <t>15</t>
        </is>
      </c>
      <c r="E1426" t="inlineStr">
        <is>
          <t>17</t>
        </is>
      </c>
      <c r="F1426" t="inlineStr">
        <is>
          <t>B</t>
        </is>
      </c>
      <c r="G1426" t="inlineStr">
        <is>
          <t>Average</t>
        </is>
      </c>
      <c r="H1426" t="n">
        <v>219</v>
      </c>
      <c r="I1426">
        <f>B1426&amp;"~"&amp;F1426&amp;"~"&amp;G1426</f>
        <v/>
      </c>
      <c r="J1426" t="inlineStr">
        <is>
          <t>MVS Sec.15 p.17</t>
        </is>
      </c>
    </row>
    <row r="1427">
      <c r="B1427" t="inlineStr">
        <is>
          <t>Office Buildings</t>
        </is>
      </c>
      <c r="C1427" t="inlineStr">
        <is>
          <t>344</t>
        </is>
      </c>
      <c r="D1427" t="inlineStr">
        <is>
          <t>15</t>
        </is>
      </c>
      <c r="E1427" t="inlineStr">
        <is>
          <t>17</t>
        </is>
      </c>
      <c r="F1427" t="inlineStr">
        <is>
          <t>B</t>
        </is>
      </c>
      <c r="G1427" t="inlineStr">
        <is>
          <t>Low Cost</t>
        </is>
      </c>
      <c r="H1427" t="n">
        <v>173</v>
      </c>
      <c r="I1427">
        <f>B1427&amp;"~"&amp;F1427&amp;"~"&amp;G1427</f>
        <v/>
      </c>
      <c r="J1427" t="inlineStr">
        <is>
          <t>MVS Sec.15 p.17</t>
        </is>
      </c>
    </row>
    <row r="1428">
      <c r="B1428" t="inlineStr">
        <is>
          <t>Office Buildings</t>
        </is>
      </c>
      <c r="C1428" t="inlineStr">
        <is>
          <t>344</t>
        </is>
      </c>
      <c r="D1428" t="inlineStr">
        <is>
          <t>15</t>
        </is>
      </c>
      <c r="E1428" t="inlineStr">
        <is>
          <t>17</t>
        </is>
      </c>
      <c r="F1428" t="inlineStr">
        <is>
          <t>C</t>
        </is>
      </c>
      <c r="G1428" t="inlineStr">
        <is>
          <t>Excellent</t>
        </is>
      </c>
      <c r="H1428" t="n">
        <v>317</v>
      </c>
      <c r="I1428">
        <f>B1428&amp;"~"&amp;F1428&amp;"~"&amp;G1428</f>
        <v/>
      </c>
      <c r="J1428" t="inlineStr">
        <is>
          <t>MVS Sec.15 p.17</t>
        </is>
      </c>
    </row>
    <row r="1429">
      <c r="B1429" t="inlineStr">
        <is>
          <t>Office Buildings</t>
        </is>
      </c>
      <c r="C1429" t="inlineStr">
        <is>
          <t>344</t>
        </is>
      </c>
      <c r="D1429" t="inlineStr">
        <is>
          <t>15</t>
        </is>
      </c>
      <c r="E1429" t="inlineStr">
        <is>
          <t>17</t>
        </is>
      </c>
      <c r="F1429" t="inlineStr">
        <is>
          <t>C</t>
        </is>
      </c>
      <c r="G1429" t="inlineStr">
        <is>
          <t>Good</t>
        </is>
      </c>
      <c r="H1429" t="n">
        <v>221</v>
      </c>
      <c r="I1429">
        <f>B1429&amp;"~"&amp;F1429&amp;"~"&amp;G1429</f>
        <v/>
      </c>
      <c r="J1429" t="inlineStr">
        <is>
          <t>MVS Sec.15 p.17</t>
        </is>
      </c>
    </row>
    <row r="1430">
      <c r="B1430" t="inlineStr">
        <is>
          <t>Office Buildings</t>
        </is>
      </c>
      <c r="C1430" t="inlineStr">
        <is>
          <t>344</t>
        </is>
      </c>
      <c r="D1430" t="inlineStr">
        <is>
          <t>15</t>
        </is>
      </c>
      <c r="E1430" t="inlineStr">
        <is>
          <t>17</t>
        </is>
      </c>
      <c r="F1430" t="inlineStr">
        <is>
          <t>C</t>
        </is>
      </c>
      <c r="G1430" t="inlineStr">
        <is>
          <t>Average</t>
        </is>
      </c>
      <c r="H1430" t="n">
        <v>157</v>
      </c>
      <c r="I1430">
        <f>B1430&amp;"~"&amp;F1430&amp;"~"&amp;G1430</f>
        <v/>
      </c>
      <c r="J1430" t="inlineStr">
        <is>
          <t>MVS Sec.15 p.17</t>
        </is>
      </c>
    </row>
    <row r="1431">
      <c r="B1431" t="inlineStr">
        <is>
          <t>Office Buildings</t>
        </is>
      </c>
      <c r="C1431" t="inlineStr">
        <is>
          <t>344</t>
        </is>
      </c>
      <c r="D1431" t="inlineStr">
        <is>
          <t>15</t>
        </is>
      </c>
      <c r="E1431" t="inlineStr">
        <is>
          <t>17</t>
        </is>
      </c>
      <c r="F1431" t="inlineStr">
        <is>
          <t>C</t>
        </is>
      </c>
      <c r="G1431" t="inlineStr">
        <is>
          <t>Low Cost</t>
        </is>
      </c>
      <c r="H1431" t="n">
        <v>106</v>
      </c>
      <c r="I1431">
        <f>B1431&amp;"~"&amp;F1431&amp;"~"&amp;G1431</f>
        <v/>
      </c>
      <c r="J1431" t="inlineStr">
        <is>
          <t>MVS Sec.15 p.17</t>
        </is>
      </c>
    </row>
    <row r="1432">
      <c r="B1432" t="inlineStr">
        <is>
          <t>Office Buildings</t>
        </is>
      </c>
      <c r="C1432" t="inlineStr">
        <is>
          <t>344</t>
        </is>
      </c>
      <c r="D1432" t="inlineStr">
        <is>
          <t>15</t>
        </is>
      </c>
      <c r="E1432" t="inlineStr">
        <is>
          <t>17</t>
        </is>
      </c>
      <c r="F1432" t="inlineStr">
        <is>
          <t>D</t>
        </is>
      </c>
      <c r="G1432" t="inlineStr">
        <is>
          <t>Excellent</t>
        </is>
      </c>
      <c r="H1432" t="n">
        <v>302</v>
      </c>
      <c r="I1432">
        <f>B1432&amp;"~"&amp;F1432&amp;"~"&amp;G1432</f>
        <v/>
      </c>
      <c r="J1432" t="inlineStr">
        <is>
          <t>MVS Sec.15 p.17</t>
        </is>
      </c>
    </row>
    <row r="1433">
      <c r="B1433" t="inlineStr">
        <is>
          <t>Office Buildings</t>
        </is>
      </c>
      <c r="C1433" t="inlineStr">
        <is>
          <t>344</t>
        </is>
      </c>
      <c r="D1433" t="inlineStr">
        <is>
          <t>15</t>
        </is>
      </c>
      <c r="E1433" t="inlineStr">
        <is>
          <t>17</t>
        </is>
      </c>
      <c r="F1433" t="inlineStr">
        <is>
          <t>D</t>
        </is>
      </c>
      <c r="G1433" t="inlineStr">
        <is>
          <t>Good</t>
        </is>
      </c>
      <c r="H1433" t="n">
        <v>210</v>
      </c>
      <c r="I1433">
        <f>B1433&amp;"~"&amp;F1433&amp;"~"&amp;G1433</f>
        <v/>
      </c>
      <c r="J1433" t="inlineStr">
        <is>
          <t>MVS Sec.15 p.17</t>
        </is>
      </c>
    </row>
    <row r="1434">
      <c r="B1434" t="inlineStr">
        <is>
          <t>Office Buildings</t>
        </is>
      </c>
      <c r="C1434" t="inlineStr">
        <is>
          <t>344</t>
        </is>
      </c>
      <c r="D1434" t="inlineStr">
        <is>
          <t>15</t>
        </is>
      </c>
      <c r="E1434" t="inlineStr">
        <is>
          <t>17</t>
        </is>
      </c>
      <c r="F1434" t="inlineStr">
        <is>
          <t>D</t>
        </is>
      </c>
      <c r="G1434" t="inlineStr">
        <is>
          <t>Average</t>
        </is>
      </c>
      <c r="H1434" t="n">
        <v>149</v>
      </c>
      <c r="I1434">
        <f>B1434&amp;"~"&amp;F1434&amp;"~"&amp;G1434</f>
        <v/>
      </c>
      <c r="J1434" t="inlineStr">
        <is>
          <t>MVS Sec.15 p.17</t>
        </is>
      </c>
    </row>
    <row r="1435">
      <c r="B1435" t="inlineStr">
        <is>
          <t>Office Buildings</t>
        </is>
      </c>
      <c r="C1435" t="inlineStr">
        <is>
          <t>344</t>
        </is>
      </c>
      <c r="D1435" t="inlineStr">
        <is>
          <t>15</t>
        </is>
      </c>
      <c r="E1435" t="inlineStr">
        <is>
          <t>17</t>
        </is>
      </c>
      <c r="F1435" t="inlineStr">
        <is>
          <t>D</t>
        </is>
      </c>
      <c r="G1435" t="inlineStr">
        <is>
          <t>Low Cost</t>
        </is>
      </c>
      <c r="H1435" t="n">
        <v>99.5</v>
      </c>
      <c r="I1435">
        <f>B1435&amp;"~"&amp;F1435&amp;"~"&amp;G1435</f>
        <v/>
      </c>
      <c r="J1435" t="inlineStr">
        <is>
          <t>MVS Sec.15 p.17</t>
        </is>
      </c>
    </row>
    <row r="1436">
      <c r="B1436" t="inlineStr">
        <is>
          <t>Office Buildings</t>
        </is>
      </c>
      <c r="C1436" t="inlineStr">
        <is>
          <t>344</t>
        </is>
      </c>
      <c r="D1436" t="inlineStr">
        <is>
          <t>15</t>
        </is>
      </c>
      <c r="E1436" t="inlineStr">
        <is>
          <t>17</t>
        </is>
      </c>
      <c r="F1436" t="inlineStr">
        <is>
          <t>DPOLE</t>
        </is>
      </c>
      <c r="G1436" t="inlineStr">
        <is>
          <t>Good</t>
        </is>
      </c>
      <c r="H1436" t="n">
        <v>198</v>
      </c>
      <c r="I1436">
        <f>B1436&amp;"~"&amp;F1436&amp;"~"&amp;G1436</f>
        <v/>
      </c>
      <c r="J1436" t="inlineStr">
        <is>
          <t>MVS Sec.15 p.17</t>
        </is>
      </c>
    </row>
    <row r="1437">
      <c r="B1437" t="inlineStr">
        <is>
          <t>Office Buildings</t>
        </is>
      </c>
      <c r="C1437" t="inlineStr">
        <is>
          <t>344</t>
        </is>
      </c>
      <c r="D1437" t="inlineStr">
        <is>
          <t>15</t>
        </is>
      </c>
      <c r="E1437" t="inlineStr">
        <is>
          <t>17</t>
        </is>
      </c>
      <c r="F1437" t="inlineStr">
        <is>
          <t>DPOLE</t>
        </is>
      </c>
      <c r="G1437" t="inlineStr">
        <is>
          <t>Average</t>
        </is>
      </c>
      <c r="H1437" t="n">
        <v>135</v>
      </c>
      <c r="I1437">
        <f>B1437&amp;"~"&amp;F1437&amp;"~"&amp;G1437</f>
        <v/>
      </c>
      <c r="J1437" t="inlineStr">
        <is>
          <t>MVS Sec.15 p.17</t>
        </is>
      </c>
    </row>
    <row r="1438">
      <c r="B1438" t="inlineStr">
        <is>
          <t>Office Buildings</t>
        </is>
      </c>
      <c r="C1438" t="inlineStr">
        <is>
          <t>344</t>
        </is>
      </c>
      <c r="D1438" t="inlineStr">
        <is>
          <t>15</t>
        </is>
      </c>
      <c r="E1438" t="inlineStr">
        <is>
          <t>17</t>
        </is>
      </c>
      <c r="F1438" t="inlineStr">
        <is>
          <t>DPOLE</t>
        </is>
      </c>
      <c r="G1438" t="inlineStr">
        <is>
          <t>Low Cost</t>
        </is>
      </c>
      <c r="H1438" t="n">
        <v>91.5</v>
      </c>
      <c r="I1438">
        <f>B1438&amp;"~"&amp;F1438&amp;"~"&amp;G1438</f>
        <v/>
      </c>
      <c r="J1438" t="inlineStr">
        <is>
          <t>MVS Sec.15 p.17</t>
        </is>
      </c>
    </row>
    <row r="1439">
      <c r="B1439" t="inlineStr">
        <is>
          <t>Office Buildings</t>
        </is>
      </c>
      <c r="C1439" t="inlineStr">
        <is>
          <t>344</t>
        </is>
      </c>
      <c r="D1439" t="inlineStr">
        <is>
          <t>15</t>
        </is>
      </c>
      <c r="E1439" t="inlineStr">
        <is>
          <t>17</t>
        </is>
      </c>
      <c r="F1439" t="inlineStr">
        <is>
          <t>S</t>
        </is>
      </c>
      <c r="G1439" t="inlineStr">
        <is>
          <t>Good</t>
        </is>
      </c>
      <c r="H1439" t="n">
        <v>203</v>
      </c>
      <c r="I1439">
        <f>B1439&amp;"~"&amp;F1439&amp;"~"&amp;G1439</f>
        <v/>
      </c>
      <c r="J1439" t="inlineStr">
        <is>
          <t>MVS Sec.15 p.17</t>
        </is>
      </c>
    </row>
    <row r="1440">
      <c r="B1440" t="inlineStr">
        <is>
          <t>Office Buildings</t>
        </is>
      </c>
      <c r="C1440" t="inlineStr">
        <is>
          <t>344</t>
        </is>
      </c>
      <c r="D1440" t="inlineStr">
        <is>
          <t>15</t>
        </is>
      </c>
      <c r="E1440" t="inlineStr">
        <is>
          <t>17</t>
        </is>
      </c>
      <c r="F1440" t="inlineStr">
        <is>
          <t>S</t>
        </is>
      </c>
      <c r="G1440" t="inlineStr">
        <is>
          <t>Average</t>
        </is>
      </c>
      <c r="H1440" t="n">
        <v>140</v>
      </c>
      <c r="I1440">
        <f>B1440&amp;"~"&amp;F1440&amp;"~"&amp;G1440</f>
        <v/>
      </c>
      <c r="J1440" t="inlineStr">
        <is>
          <t>MVS Sec.15 p.17</t>
        </is>
      </c>
    </row>
    <row r="1441">
      <c r="B1441" t="inlineStr">
        <is>
          <t>Office Buildings</t>
        </is>
      </c>
      <c r="C1441" t="inlineStr">
        <is>
          <t>344</t>
        </is>
      </c>
      <c r="D1441" t="inlineStr">
        <is>
          <t>15</t>
        </is>
      </c>
      <c r="E1441" t="inlineStr">
        <is>
          <t>17</t>
        </is>
      </c>
      <c r="F1441" t="inlineStr">
        <is>
          <t>S</t>
        </is>
      </c>
      <c r="G1441" t="inlineStr">
        <is>
          <t>Low Cost</t>
        </is>
      </c>
      <c r="H1441" t="n">
        <v>94.5</v>
      </c>
      <c r="I1441">
        <f>B1441&amp;"~"&amp;F1441&amp;"~"&amp;G1441</f>
        <v/>
      </c>
      <c r="J1441" t="inlineStr">
        <is>
          <t>MVS Sec.15 p.17</t>
        </is>
      </c>
    </row>
    <row r="1442">
      <c r="B1442" t="inlineStr">
        <is>
          <t>Atriums/Vestibules</t>
        </is>
      </c>
      <c r="C1442" t="inlineStr">
        <is>
          <t>576</t>
        </is>
      </c>
      <c r="D1442" t="inlineStr">
        <is>
          <t>15</t>
        </is>
      </c>
      <c r="E1442" t="inlineStr">
        <is>
          <t>18</t>
        </is>
      </c>
      <c r="F1442" t="inlineStr">
        <is>
          <t>A-B</t>
        </is>
      </c>
      <c r="G1442" t="inlineStr">
        <is>
          <t>Excellent</t>
        </is>
      </c>
      <c r="H1442" t="n">
        <v>715</v>
      </c>
      <c r="I1442">
        <f>B1442&amp;"~"&amp;F1442&amp;"~"&amp;G1442</f>
        <v/>
      </c>
      <c r="J1442" t="inlineStr">
        <is>
          <t>MVS Sec.15 p.18</t>
        </is>
      </c>
    </row>
    <row r="1443">
      <c r="B1443" t="inlineStr">
        <is>
          <t>Atriums/Vestibules</t>
        </is>
      </c>
      <c r="C1443" t="inlineStr">
        <is>
          <t>576</t>
        </is>
      </c>
      <c r="D1443" t="inlineStr">
        <is>
          <t>15</t>
        </is>
      </c>
      <c r="E1443" t="inlineStr">
        <is>
          <t>18</t>
        </is>
      </c>
      <c r="F1443" t="inlineStr">
        <is>
          <t>A-B</t>
        </is>
      </c>
      <c r="G1443" t="inlineStr">
        <is>
          <t>Good</t>
        </is>
      </c>
      <c r="H1443" t="n">
        <v>458</v>
      </c>
      <c r="I1443">
        <f>B1443&amp;"~"&amp;F1443&amp;"~"&amp;G1443</f>
        <v/>
      </c>
      <c r="J1443" t="inlineStr">
        <is>
          <t>MVS Sec.15 p.18</t>
        </is>
      </c>
    </row>
    <row r="1444">
      <c r="B1444" t="inlineStr">
        <is>
          <t>Atriums/Vestibules</t>
        </is>
      </c>
      <c r="C1444" t="inlineStr">
        <is>
          <t>576</t>
        </is>
      </c>
      <c r="D1444" t="inlineStr">
        <is>
          <t>15</t>
        </is>
      </c>
      <c r="E1444" t="inlineStr">
        <is>
          <t>18</t>
        </is>
      </c>
      <c r="F1444" t="inlineStr">
        <is>
          <t>A-B</t>
        </is>
      </c>
      <c r="G1444" t="inlineStr">
        <is>
          <t>Average</t>
        </is>
      </c>
      <c r="H1444" t="n">
        <v>300</v>
      </c>
      <c r="I1444">
        <f>B1444&amp;"~"&amp;F1444&amp;"~"&amp;G1444</f>
        <v/>
      </c>
      <c r="J1444" t="inlineStr">
        <is>
          <t>MVS Sec.15 p.18</t>
        </is>
      </c>
    </row>
    <row r="1445">
      <c r="B1445" t="inlineStr">
        <is>
          <t>Atriums/Vestibules</t>
        </is>
      </c>
      <c r="C1445" t="inlineStr">
        <is>
          <t>576</t>
        </is>
      </c>
      <c r="D1445" t="inlineStr">
        <is>
          <t>15</t>
        </is>
      </c>
      <c r="E1445" t="inlineStr">
        <is>
          <t>18</t>
        </is>
      </c>
      <c r="F1445" t="inlineStr">
        <is>
          <t>A-B</t>
        </is>
      </c>
      <c r="G1445" t="inlineStr">
        <is>
          <t>Low Cost</t>
        </is>
      </c>
      <c r="H1445" t="n">
        <v>187</v>
      </c>
      <c r="I1445">
        <f>B1445&amp;"~"&amp;F1445&amp;"~"&amp;G1445</f>
        <v/>
      </c>
      <c r="J1445" t="inlineStr">
        <is>
          <t>MVS Sec.15 p.18</t>
        </is>
      </c>
    </row>
    <row r="1446">
      <c r="B1446" t="inlineStr">
        <is>
          <t>Atriums/Vestibules</t>
        </is>
      </c>
      <c r="C1446" t="inlineStr">
        <is>
          <t>576</t>
        </is>
      </c>
      <c r="D1446" t="inlineStr">
        <is>
          <t>15</t>
        </is>
      </c>
      <c r="E1446" t="inlineStr">
        <is>
          <t>18</t>
        </is>
      </c>
      <c r="F1446" t="inlineStr">
        <is>
          <t>A-B</t>
        </is>
      </c>
      <c r="G1446" t="inlineStr">
        <is>
          <t>Cheap</t>
        </is>
      </c>
      <c r="H1446" t="n">
        <v>100</v>
      </c>
      <c r="I1446">
        <f>B1446&amp;"~"&amp;F1446&amp;"~"&amp;G1446</f>
        <v/>
      </c>
      <c r="J1446" t="inlineStr">
        <is>
          <t>MVS Sec.15 p.18</t>
        </is>
      </c>
    </row>
    <row r="1447">
      <c r="B1447" t="inlineStr">
        <is>
          <t>Atriums/Vestibules</t>
        </is>
      </c>
      <c r="C1447" t="inlineStr">
        <is>
          <t>576</t>
        </is>
      </c>
      <c r="D1447" t="inlineStr">
        <is>
          <t>15</t>
        </is>
      </c>
      <c r="E1447" t="inlineStr">
        <is>
          <t>18</t>
        </is>
      </c>
      <c r="F1447" t="inlineStr">
        <is>
          <t>CDS</t>
        </is>
      </c>
      <c r="G1447" t="inlineStr">
        <is>
          <t>Good</t>
        </is>
      </c>
      <c r="H1447" t="n">
        <v>360</v>
      </c>
      <c r="I1447">
        <f>B1447&amp;"~"&amp;F1447&amp;"~"&amp;G1447</f>
        <v/>
      </c>
      <c r="J1447" t="inlineStr">
        <is>
          <t>MVS Sec.15 p.18</t>
        </is>
      </c>
    </row>
    <row r="1448">
      <c r="B1448" t="inlineStr">
        <is>
          <t>Atriums/Vestibules</t>
        </is>
      </c>
      <c r="C1448" t="inlineStr">
        <is>
          <t>576</t>
        </is>
      </c>
      <c r="D1448" t="inlineStr">
        <is>
          <t>15</t>
        </is>
      </c>
      <c r="E1448" t="inlineStr">
        <is>
          <t>18</t>
        </is>
      </c>
      <c r="F1448" t="inlineStr">
        <is>
          <t>CDS</t>
        </is>
      </c>
      <c r="G1448" t="inlineStr">
        <is>
          <t>Average</t>
        </is>
      </c>
      <c r="H1448" t="n">
        <v>220</v>
      </c>
      <c r="I1448">
        <f>B1448&amp;"~"&amp;F1448&amp;"~"&amp;G1448</f>
        <v/>
      </c>
      <c r="J1448" t="inlineStr">
        <is>
          <t>MVS Sec.15 p.18</t>
        </is>
      </c>
    </row>
    <row r="1449">
      <c r="B1449" t="inlineStr">
        <is>
          <t>Atriums/Vestibules</t>
        </is>
      </c>
      <c r="C1449" t="inlineStr">
        <is>
          <t>576</t>
        </is>
      </c>
      <c r="D1449" t="inlineStr">
        <is>
          <t>15</t>
        </is>
      </c>
      <c r="E1449" t="inlineStr">
        <is>
          <t>18</t>
        </is>
      </c>
      <c r="F1449" t="inlineStr">
        <is>
          <t>CDS</t>
        </is>
      </c>
      <c r="G1449" t="inlineStr">
        <is>
          <t>Low Cost</t>
        </is>
      </c>
      <c r="H1449" t="n">
        <v>144</v>
      </c>
      <c r="I1449">
        <f>B1449&amp;"~"&amp;F1449&amp;"~"&amp;G1449</f>
        <v/>
      </c>
      <c r="J1449" t="inlineStr">
        <is>
          <t>MVS Sec.15 p.18</t>
        </is>
      </c>
    </row>
    <row r="1450">
      <c r="B1450" t="inlineStr">
        <is>
          <t>Atriums/Vestibules</t>
        </is>
      </c>
      <c r="C1450" t="inlineStr">
        <is>
          <t>576</t>
        </is>
      </c>
      <c r="D1450" t="inlineStr">
        <is>
          <t>15</t>
        </is>
      </c>
      <c r="E1450" t="inlineStr">
        <is>
          <t>18</t>
        </is>
      </c>
      <c r="F1450" t="inlineStr">
        <is>
          <t>CDS</t>
        </is>
      </c>
      <c r="G1450" t="inlineStr">
        <is>
          <t>Cheap</t>
        </is>
      </c>
      <c r="H1450" t="n">
        <v>71.5</v>
      </c>
      <c r="I1450">
        <f>B1450&amp;"~"&amp;F1450&amp;"~"&amp;G1450</f>
        <v/>
      </c>
      <c r="J1450" t="inlineStr">
        <is>
          <t>MVS Sec.15 p.18</t>
        </is>
      </c>
    </row>
    <row r="1451">
      <c r="B1451" t="inlineStr">
        <is>
          <t>Parking Levels (Intermediate/Under Building)</t>
        </is>
      </c>
      <c r="C1451" t="inlineStr">
        <is>
          <t>577</t>
        </is>
      </c>
      <c r="D1451" t="inlineStr">
        <is>
          <t>15</t>
        </is>
      </c>
      <c r="E1451" t="inlineStr">
        <is>
          <t>18</t>
        </is>
      </c>
      <c r="F1451" t="inlineStr">
        <is>
          <t>A-B</t>
        </is>
      </c>
      <c r="G1451" t="inlineStr">
        <is>
          <t>Excellent</t>
        </is>
      </c>
      <c r="H1451" t="n">
        <v>151</v>
      </c>
      <c r="I1451">
        <f>B1451&amp;"~"&amp;F1451&amp;"~"&amp;G1451</f>
        <v/>
      </c>
      <c r="J1451" t="inlineStr">
        <is>
          <t>MVS Sec.15 p.18</t>
        </is>
      </c>
    </row>
    <row r="1452">
      <c r="B1452" t="inlineStr">
        <is>
          <t>Parking Levels (Intermediate/Under Building)</t>
        </is>
      </c>
      <c r="C1452" t="inlineStr">
        <is>
          <t>577</t>
        </is>
      </c>
      <c r="D1452" t="inlineStr">
        <is>
          <t>15</t>
        </is>
      </c>
      <c r="E1452" t="inlineStr">
        <is>
          <t>18</t>
        </is>
      </c>
      <c r="F1452" t="inlineStr">
        <is>
          <t>A-B</t>
        </is>
      </c>
      <c r="G1452" t="inlineStr">
        <is>
          <t>Good</t>
        </is>
      </c>
      <c r="H1452" t="n">
        <v>118</v>
      </c>
      <c r="I1452">
        <f>B1452&amp;"~"&amp;F1452&amp;"~"&amp;G1452</f>
        <v/>
      </c>
      <c r="J1452" t="inlineStr">
        <is>
          <t>MVS Sec.15 p.18</t>
        </is>
      </c>
    </row>
    <row r="1453">
      <c r="B1453" t="inlineStr">
        <is>
          <t>Parking Levels (Intermediate/Under Building)</t>
        </is>
      </c>
      <c r="C1453" t="inlineStr">
        <is>
          <t>577</t>
        </is>
      </c>
      <c r="D1453" t="inlineStr">
        <is>
          <t>15</t>
        </is>
      </c>
      <c r="E1453" t="inlineStr">
        <is>
          <t>18</t>
        </is>
      </c>
      <c r="F1453" t="inlineStr">
        <is>
          <t>A-B</t>
        </is>
      </c>
      <c r="G1453" t="inlineStr">
        <is>
          <t>Average</t>
        </is>
      </c>
      <c r="H1453" t="n">
        <v>94</v>
      </c>
      <c r="I1453">
        <f>B1453&amp;"~"&amp;F1453&amp;"~"&amp;G1453</f>
        <v/>
      </c>
      <c r="J1453" t="inlineStr">
        <is>
          <t>MVS Sec.15 p.18</t>
        </is>
      </c>
    </row>
    <row r="1454">
      <c r="B1454" t="inlineStr">
        <is>
          <t>Parking Levels (Intermediate/Under Building)</t>
        </is>
      </c>
      <c r="C1454" t="inlineStr">
        <is>
          <t>577</t>
        </is>
      </c>
      <c r="D1454" t="inlineStr">
        <is>
          <t>15</t>
        </is>
      </c>
      <c r="E1454" t="inlineStr">
        <is>
          <t>18</t>
        </is>
      </c>
      <c r="F1454" t="inlineStr">
        <is>
          <t>A-B</t>
        </is>
      </c>
      <c r="G1454" t="inlineStr">
        <is>
          <t>Low Cost</t>
        </is>
      </c>
      <c r="H1454" t="n">
        <v>72</v>
      </c>
      <c r="I1454">
        <f>B1454&amp;"~"&amp;F1454&amp;"~"&amp;G1454</f>
        <v/>
      </c>
      <c r="J1454" t="inlineStr">
        <is>
          <t>MVS Sec.15 p.18</t>
        </is>
      </c>
    </row>
    <row r="1455">
      <c r="B1455" t="inlineStr">
        <is>
          <t>Parking Levels (Intermediate/Under Building)</t>
        </is>
      </c>
      <c r="C1455" t="inlineStr">
        <is>
          <t>577</t>
        </is>
      </c>
      <c r="D1455" t="inlineStr">
        <is>
          <t>15</t>
        </is>
      </c>
      <c r="E1455" t="inlineStr">
        <is>
          <t>18</t>
        </is>
      </c>
      <c r="F1455" t="inlineStr">
        <is>
          <t>A-B</t>
        </is>
      </c>
      <c r="G1455" t="inlineStr">
        <is>
          <t>Cheap</t>
        </is>
      </c>
      <c r="H1455" t="n">
        <v>46</v>
      </c>
      <c r="I1455">
        <f>B1455&amp;"~"&amp;F1455&amp;"~"&amp;G1455</f>
        <v/>
      </c>
      <c r="J1455" t="inlineStr">
        <is>
          <t>MVS Sec.15 p.18</t>
        </is>
      </c>
    </row>
    <row r="1456">
      <c r="B1456" t="inlineStr">
        <is>
          <t>Parking Levels (Intermediate/Under Building)</t>
        </is>
      </c>
      <c r="C1456" t="inlineStr">
        <is>
          <t>577</t>
        </is>
      </c>
      <c r="D1456" t="inlineStr">
        <is>
          <t>15</t>
        </is>
      </c>
      <c r="E1456" t="inlineStr">
        <is>
          <t>18</t>
        </is>
      </c>
      <c r="F1456" t="inlineStr">
        <is>
          <t>CDS</t>
        </is>
      </c>
      <c r="G1456" t="inlineStr">
        <is>
          <t>Good</t>
        </is>
      </c>
      <c r="H1456" t="n">
        <v>96.5</v>
      </c>
      <c r="I1456">
        <f>B1456&amp;"~"&amp;F1456&amp;"~"&amp;G1456</f>
        <v/>
      </c>
      <c r="J1456" t="inlineStr">
        <is>
          <t>MVS Sec.15 p.18</t>
        </is>
      </c>
    </row>
    <row r="1457">
      <c r="B1457" t="inlineStr">
        <is>
          <t>Parking Levels (Intermediate/Under Building)</t>
        </is>
      </c>
      <c r="C1457" t="inlineStr">
        <is>
          <t>577</t>
        </is>
      </c>
      <c r="D1457" t="inlineStr">
        <is>
          <t>15</t>
        </is>
      </c>
      <c r="E1457" t="inlineStr">
        <is>
          <t>18</t>
        </is>
      </c>
      <c r="F1457" t="inlineStr">
        <is>
          <t>CDS</t>
        </is>
      </c>
      <c r="G1457" t="inlineStr">
        <is>
          <t>Average</t>
        </is>
      </c>
      <c r="H1457" t="n">
        <v>75.5</v>
      </c>
      <c r="I1457">
        <f>B1457&amp;"~"&amp;F1457&amp;"~"&amp;G1457</f>
        <v/>
      </c>
      <c r="J1457" t="inlineStr">
        <is>
          <t>MVS Sec.15 p.18</t>
        </is>
      </c>
    </row>
    <row r="1458">
      <c r="B1458" t="inlineStr">
        <is>
          <t>Parking Levels (Intermediate/Under Building)</t>
        </is>
      </c>
      <c r="C1458" t="inlineStr">
        <is>
          <t>577</t>
        </is>
      </c>
      <c r="D1458" t="inlineStr">
        <is>
          <t>15</t>
        </is>
      </c>
      <c r="E1458" t="inlineStr">
        <is>
          <t>18</t>
        </is>
      </c>
      <c r="F1458" t="inlineStr">
        <is>
          <t>CDS</t>
        </is>
      </c>
      <c r="G1458" t="inlineStr">
        <is>
          <t>Low Cost</t>
        </is>
      </c>
      <c r="H1458" t="n">
        <v>56.5</v>
      </c>
      <c r="I1458">
        <f>B1458&amp;"~"&amp;F1458&amp;"~"&amp;G1458</f>
        <v/>
      </c>
      <c r="J1458" t="inlineStr">
        <is>
          <t>MVS Sec.15 p.18</t>
        </is>
      </c>
    </row>
    <row r="1459">
      <c r="B1459" t="inlineStr">
        <is>
          <t>Parking Levels (Intermediate/Under Building)</t>
        </is>
      </c>
      <c r="C1459" t="inlineStr">
        <is>
          <t>577</t>
        </is>
      </c>
      <c r="D1459" t="inlineStr">
        <is>
          <t>15</t>
        </is>
      </c>
      <c r="E1459" t="inlineStr">
        <is>
          <t>18</t>
        </is>
      </c>
      <c r="F1459" t="inlineStr">
        <is>
          <t>CDS</t>
        </is>
      </c>
      <c r="G1459" t="inlineStr">
        <is>
          <t>Cheap</t>
        </is>
      </c>
      <c r="H1459" t="n">
        <v>34.5</v>
      </c>
      <c r="I1459">
        <f>B1459&amp;"~"&amp;F1459&amp;"~"&amp;G1459</f>
        <v/>
      </c>
      <c r="J1459" t="inlineStr">
        <is>
          <t>MVS Sec.15 p.18</t>
        </is>
      </c>
    </row>
    <row r="1460">
      <c r="B1460" t="inlineStr">
        <is>
          <t>Mechanical Penthouses</t>
        </is>
      </c>
      <c r="C1460" t="inlineStr">
        <is>
          <t>585</t>
        </is>
      </c>
      <c r="D1460" t="inlineStr">
        <is>
          <t>15</t>
        </is>
      </c>
      <c r="E1460" t="inlineStr">
        <is>
          <t>19</t>
        </is>
      </c>
      <c r="F1460" t="inlineStr">
        <is>
          <t>A-B</t>
        </is>
      </c>
      <c r="G1460" t="inlineStr">
        <is>
          <t>Excellent</t>
        </is>
      </c>
      <c r="H1460" t="n">
        <v>134</v>
      </c>
      <c r="I1460">
        <f>B1460&amp;"~"&amp;F1460&amp;"~"&amp;G1460</f>
        <v/>
      </c>
      <c r="J1460" t="inlineStr">
        <is>
          <t>MVS Sec.15 p.19</t>
        </is>
      </c>
    </row>
    <row r="1461">
      <c r="B1461" t="inlineStr">
        <is>
          <t>Mechanical Penthouses</t>
        </is>
      </c>
      <c r="C1461" t="inlineStr">
        <is>
          <t>585</t>
        </is>
      </c>
      <c r="D1461" t="inlineStr">
        <is>
          <t>15</t>
        </is>
      </c>
      <c r="E1461" t="inlineStr">
        <is>
          <t>19</t>
        </is>
      </c>
      <c r="F1461" t="inlineStr">
        <is>
          <t>A-B</t>
        </is>
      </c>
      <c r="G1461" t="inlineStr">
        <is>
          <t>Good</t>
        </is>
      </c>
      <c r="H1461" t="n">
        <v>121</v>
      </c>
      <c r="I1461">
        <f>B1461&amp;"~"&amp;F1461&amp;"~"&amp;G1461</f>
        <v/>
      </c>
      <c r="J1461" t="inlineStr">
        <is>
          <t>MVS Sec.15 p.19</t>
        </is>
      </c>
    </row>
    <row r="1462">
      <c r="B1462" t="inlineStr">
        <is>
          <t>Mechanical Penthouses</t>
        </is>
      </c>
      <c r="C1462" t="inlineStr">
        <is>
          <t>585</t>
        </is>
      </c>
      <c r="D1462" t="inlineStr">
        <is>
          <t>15</t>
        </is>
      </c>
      <c r="E1462" t="inlineStr">
        <is>
          <t>19</t>
        </is>
      </c>
      <c r="F1462" t="inlineStr">
        <is>
          <t>A-B</t>
        </is>
      </c>
      <c r="G1462" t="inlineStr">
        <is>
          <t>Average</t>
        </is>
      </c>
      <c r="H1462" t="n">
        <v>85.5</v>
      </c>
      <c r="I1462">
        <f>B1462&amp;"~"&amp;F1462&amp;"~"&amp;G1462</f>
        <v/>
      </c>
      <c r="J1462" t="inlineStr">
        <is>
          <t>MVS Sec.15 p.19</t>
        </is>
      </c>
    </row>
    <row r="1463">
      <c r="B1463" t="inlineStr">
        <is>
          <t>Mechanical Penthouses</t>
        </is>
      </c>
      <c r="C1463" t="inlineStr">
        <is>
          <t>585</t>
        </is>
      </c>
      <c r="D1463" t="inlineStr">
        <is>
          <t>15</t>
        </is>
      </c>
      <c r="E1463" t="inlineStr">
        <is>
          <t>19</t>
        </is>
      </c>
      <c r="F1463" t="inlineStr">
        <is>
          <t>A-B</t>
        </is>
      </c>
      <c r="G1463" t="inlineStr">
        <is>
          <t>Low Cost</t>
        </is>
      </c>
      <c r="H1463" t="n">
        <v>60.5</v>
      </c>
      <c r="I1463">
        <f>B1463&amp;"~"&amp;F1463&amp;"~"&amp;G1463</f>
        <v/>
      </c>
      <c r="J1463" t="inlineStr">
        <is>
          <t>MVS Sec.15 p.19</t>
        </is>
      </c>
    </row>
    <row r="1464">
      <c r="B1464" t="inlineStr">
        <is>
          <t>Mechanical Penthouses</t>
        </is>
      </c>
      <c r="C1464" t="inlineStr">
        <is>
          <t>585</t>
        </is>
      </c>
      <c r="D1464" t="inlineStr">
        <is>
          <t>15</t>
        </is>
      </c>
      <c r="E1464" t="inlineStr">
        <is>
          <t>19</t>
        </is>
      </c>
      <c r="F1464" t="inlineStr">
        <is>
          <t>CDS</t>
        </is>
      </c>
      <c r="G1464" t="inlineStr">
        <is>
          <t>Average</t>
        </is>
      </c>
      <c r="H1464" t="n">
        <v>64.5</v>
      </c>
      <c r="I1464">
        <f>B1464&amp;"~"&amp;F1464&amp;"~"&amp;G1464</f>
        <v/>
      </c>
      <c r="J1464" t="inlineStr">
        <is>
          <t>MVS Sec.15 p.19</t>
        </is>
      </c>
    </row>
    <row r="1465">
      <c r="B1465" t="inlineStr">
        <is>
          <t>Mechanical Penthouses</t>
        </is>
      </c>
      <c r="C1465" t="inlineStr">
        <is>
          <t>585</t>
        </is>
      </c>
      <c r="D1465" t="inlineStr">
        <is>
          <t>15</t>
        </is>
      </c>
      <c r="E1465" t="inlineStr">
        <is>
          <t>19</t>
        </is>
      </c>
      <c r="F1465" t="inlineStr">
        <is>
          <t>CDS</t>
        </is>
      </c>
      <c r="G1465" t="inlineStr">
        <is>
          <t>Low Cost</t>
        </is>
      </c>
      <c r="H1465" t="n">
        <v>45.25</v>
      </c>
      <c r="I1465">
        <f>B1465&amp;"~"&amp;F1465&amp;"~"&amp;G1465</f>
        <v/>
      </c>
      <c r="J1465" t="inlineStr">
        <is>
          <t>MVS Sec.15 p.19</t>
        </is>
      </c>
    </row>
    <row r="1466">
      <c r="B1466" t="inlineStr">
        <is>
          <t>Banks – Central Offices</t>
        </is>
      </c>
      <c r="C1466" t="inlineStr">
        <is>
          <t>443</t>
        </is>
      </c>
      <c r="D1466" t="inlineStr">
        <is>
          <t>15</t>
        </is>
      </c>
      <c r="E1466" t="inlineStr">
        <is>
          <t>20</t>
        </is>
      </c>
      <c r="F1466" t="inlineStr">
        <is>
          <t>A</t>
        </is>
      </c>
      <c r="G1466" t="inlineStr">
        <is>
          <t>Excellent</t>
        </is>
      </c>
      <c r="H1466" t="n">
        <v>505</v>
      </c>
      <c r="I1466">
        <f>B1466&amp;"~"&amp;F1466&amp;"~"&amp;G1466</f>
        <v/>
      </c>
      <c r="J1466" t="inlineStr">
        <is>
          <t>MVS Sec.15 p.20</t>
        </is>
      </c>
    </row>
    <row r="1467">
      <c r="B1467" t="inlineStr">
        <is>
          <t>Banks – Central Offices</t>
        </is>
      </c>
      <c r="C1467" t="inlineStr">
        <is>
          <t>443</t>
        </is>
      </c>
      <c r="D1467" t="inlineStr">
        <is>
          <t>15</t>
        </is>
      </c>
      <c r="E1467" t="inlineStr">
        <is>
          <t>20</t>
        </is>
      </c>
      <c r="F1467" t="inlineStr">
        <is>
          <t>A</t>
        </is>
      </c>
      <c r="G1467" t="inlineStr">
        <is>
          <t>Good</t>
        </is>
      </c>
      <c r="H1467" t="n">
        <v>395</v>
      </c>
      <c r="I1467">
        <f>B1467&amp;"~"&amp;F1467&amp;"~"&amp;G1467</f>
        <v/>
      </c>
      <c r="J1467" t="inlineStr">
        <is>
          <t>MVS Sec.15 p.20</t>
        </is>
      </c>
    </row>
    <row r="1468">
      <c r="B1468" t="inlineStr">
        <is>
          <t>Banks – Central Offices</t>
        </is>
      </c>
      <c r="C1468" t="inlineStr">
        <is>
          <t>443</t>
        </is>
      </c>
      <c r="D1468" t="inlineStr">
        <is>
          <t>15</t>
        </is>
      </c>
      <c r="E1468" t="inlineStr">
        <is>
          <t>20</t>
        </is>
      </c>
      <c r="F1468" t="inlineStr">
        <is>
          <t>A</t>
        </is>
      </c>
      <c r="G1468" t="inlineStr">
        <is>
          <t>Average</t>
        </is>
      </c>
      <c r="H1468" t="n">
        <v>312</v>
      </c>
      <c r="I1468">
        <f>B1468&amp;"~"&amp;F1468&amp;"~"&amp;G1468</f>
        <v/>
      </c>
      <c r="J1468" t="inlineStr">
        <is>
          <t>MVS Sec.15 p.20</t>
        </is>
      </c>
    </row>
    <row r="1469">
      <c r="B1469" t="inlineStr">
        <is>
          <t>Banks – Central Offices</t>
        </is>
      </c>
      <c r="C1469" t="inlineStr">
        <is>
          <t>443</t>
        </is>
      </c>
      <c r="D1469" t="inlineStr">
        <is>
          <t>15</t>
        </is>
      </c>
      <c r="E1469" t="inlineStr">
        <is>
          <t>20</t>
        </is>
      </c>
      <c r="F1469" t="inlineStr">
        <is>
          <t>B</t>
        </is>
      </c>
      <c r="G1469" t="inlineStr">
        <is>
          <t>Excellent</t>
        </is>
      </c>
      <c r="H1469" t="n">
        <v>464</v>
      </c>
      <c r="I1469">
        <f>B1469&amp;"~"&amp;F1469&amp;"~"&amp;G1469</f>
        <v/>
      </c>
      <c r="J1469" t="inlineStr">
        <is>
          <t>MVS Sec.15 p.20</t>
        </is>
      </c>
    </row>
    <row r="1470">
      <c r="B1470" t="inlineStr">
        <is>
          <t>Banks – Central Offices</t>
        </is>
      </c>
      <c r="C1470" t="inlineStr">
        <is>
          <t>443</t>
        </is>
      </c>
      <c r="D1470" t="inlineStr">
        <is>
          <t>15</t>
        </is>
      </c>
      <c r="E1470" t="inlineStr">
        <is>
          <t>20</t>
        </is>
      </c>
      <c r="F1470" t="inlineStr">
        <is>
          <t>B</t>
        </is>
      </c>
      <c r="G1470" t="inlineStr">
        <is>
          <t>Good</t>
        </is>
      </c>
      <c r="H1470" t="n">
        <v>362</v>
      </c>
      <c r="I1470">
        <f>B1470&amp;"~"&amp;F1470&amp;"~"&amp;G1470</f>
        <v/>
      </c>
      <c r="J1470" t="inlineStr">
        <is>
          <t>MVS Sec.15 p.20</t>
        </is>
      </c>
    </row>
    <row r="1471">
      <c r="B1471" t="inlineStr">
        <is>
          <t>Banks – Central Offices</t>
        </is>
      </c>
      <c r="C1471" t="inlineStr">
        <is>
          <t>443</t>
        </is>
      </c>
      <c r="D1471" t="inlineStr">
        <is>
          <t>15</t>
        </is>
      </c>
      <c r="E1471" t="inlineStr">
        <is>
          <t>20</t>
        </is>
      </c>
      <c r="F1471" t="inlineStr">
        <is>
          <t>B</t>
        </is>
      </c>
      <c r="G1471" t="inlineStr">
        <is>
          <t>Average</t>
        </is>
      </c>
      <c r="H1471" t="n">
        <v>285</v>
      </c>
      <c r="I1471">
        <f>B1471&amp;"~"&amp;F1471&amp;"~"&amp;G1471</f>
        <v/>
      </c>
      <c r="J1471" t="inlineStr">
        <is>
          <t>MVS Sec.15 p.20</t>
        </is>
      </c>
    </row>
    <row r="1472">
      <c r="B1472" t="inlineStr">
        <is>
          <t>Banks – Central Offices</t>
        </is>
      </c>
      <c r="C1472" t="inlineStr">
        <is>
          <t>443</t>
        </is>
      </c>
      <c r="D1472" t="inlineStr">
        <is>
          <t>15</t>
        </is>
      </c>
      <c r="E1472" t="inlineStr">
        <is>
          <t>20</t>
        </is>
      </c>
      <c r="F1472" t="inlineStr">
        <is>
          <t>C</t>
        </is>
      </c>
      <c r="G1472" t="inlineStr">
        <is>
          <t>Excellent</t>
        </is>
      </c>
      <c r="H1472" t="n">
        <v>409</v>
      </c>
      <c r="I1472">
        <f>B1472&amp;"~"&amp;F1472&amp;"~"&amp;G1472</f>
        <v/>
      </c>
      <c r="J1472" t="inlineStr">
        <is>
          <t>MVS Sec.15 p.20</t>
        </is>
      </c>
    </row>
    <row r="1473">
      <c r="B1473" t="inlineStr">
        <is>
          <t>Banks – Central Offices</t>
        </is>
      </c>
      <c r="C1473" t="inlineStr">
        <is>
          <t>443</t>
        </is>
      </c>
      <c r="D1473" t="inlineStr">
        <is>
          <t>15</t>
        </is>
      </c>
      <c r="E1473" t="inlineStr">
        <is>
          <t>20</t>
        </is>
      </c>
      <c r="F1473" t="inlineStr">
        <is>
          <t>C</t>
        </is>
      </c>
      <c r="G1473" t="inlineStr">
        <is>
          <t>Good</t>
        </is>
      </c>
      <c r="H1473" t="n">
        <v>300</v>
      </c>
      <c r="I1473">
        <f>B1473&amp;"~"&amp;F1473&amp;"~"&amp;G1473</f>
        <v/>
      </c>
      <c r="J1473" t="inlineStr">
        <is>
          <t>MVS Sec.15 p.20</t>
        </is>
      </c>
    </row>
    <row r="1474">
      <c r="B1474" t="inlineStr">
        <is>
          <t>Banks – Central Offices</t>
        </is>
      </c>
      <c r="C1474" t="inlineStr">
        <is>
          <t>443</t>
        </is>
      </c>
      <c r="D1474" t="inlineStr">
        <is>
          <t>15</t>
        </is>
      </c>
      <c r="E1474" t="inlineStr">
        <is>
          <t>20</t>
        </is>
      </c>
      <c r="F1474" t="inlineStr">
        <is>
          <t>C</t>
        </is>
      </c>
      <c r="G1474" t="inlineStr">
        <is>
          <t>Average</t>
        </is>
      </c>
      <c r="H1474" t="n">
        <v>232</v>
      </c>
      <c r="I1474">
        <f>B1474&amp;"~"&amp;F1474&amp;"~"&amp;G1474</f>
        <v/>
      </c>
      <c r="J1474" t="inlineStr">
        <is>
          <t>MVS Sec.15 p.20</t>
        </is>
      </c>
    </row>
    <row r="1475">
      <c r="B1475" t="inlineStr">
        <is>
          <t>Banks – Central Offices</t>
        </is>
      </c>
      <c r="C1475" t="inlineStr">
        <is>
          <t>443</t>
        </is>
      </c>
      <c r="D1475" t="inlineStr">
        <is>
          <t>15</t>
        </is>
      </c>
      <c r="E1475" t="inlineStr">
        <is>
          <t>20</t>
        </is>
      </c>
      <c r="F1475" t="inlineStr">
        <is>
          <t>D</t>
        </is>
      </c>
      <c r="G1475" t="inlineStr">
        <is>
          <t>Excellent</t>
        </is>
      </c>
      <c r="H1475" t="n">
        <v>394</v>
      </c>
      <c r="I1475">
        <f>B1475&amp;"~"&amp;F1475&amp;"~"&amp;G1475</f>
        <v/>
      </c>
      <c r="J1475" t="inlineStr">
        <is>
          <t>MVS Sec.15 p.20</t>
        </is>
      </c>
    </row>
    <row r="1476">
      <c r="B1476" t="inlineStr">
        <is>
          <t>Banks – Central Offices</t>
        </is>
      </c>
      <c r="C1476" t="inlineStr">
        <is>
          <t>443</t>
        </is>
      </c>
      <c r="D1476" t="inlineStr">
        <is>
          <t>15</t>
        </is>
      </c>
      <c r="E1476" t="inlineStr">
        <is>
          <t>20</t>
        </is>
      </c>
      <c r="F1476" t="inlineStr">
        <is>
          <t>D</t>
        </is>
      </c>
      <c r="G1476" t="inlineStr">
        <is>
          <t>Good</t>
        </is>
      </c>
      <c r="H1476" t="n">
        <v>288</v>
      </c>
      <c r="I1476">
        <f>B1476&amp;"~"&amp;F1476&amp;"~"&amp;G1476</f>
        <v/>
      </c>
      <c r="J1476" t="inlineStr">
        <is>
          <t>MVS Sec.15 p.20</t>
        </is>
      </c>
    </row>
    <row r="1477">
      <c r="B1477" t="inlineStr">
        <is>
          <t>Banks – Central Offices</t>
        </is>
      </c>
      <c r="C1477" t="inlineStr">
        <is>
          <t>443</t>
        </is>
      </c>
      <c r="D1477" t="inlineStr">
        <is>
          <t>15</t>
        </is>
      </c>
      <c r="E1477" t="inlineStr">
        <is>
          <t>20</t>
        </is>
      </c>
      <c r="F1477" t="inlineStr">
        <is>
          <t>D</t>
        </is>
      </c>
      <c r="G1477" t="inlineStr">
        <is>
          <t>Average</t>
        </is>
      </c>
      <c r="H1477" t="n">
        <v>222</v>
      </c>
      <c r="I1477">
        <f>B1477&amp;"~"&amp;F1477&amp;"~"&amp;G1477</f>
        <v/>
      </c>
      <c r="J1477" t="inlineStr">
        <is>
          <t>MVS Sec.15 p.20</t>
        </is>
      </c>
    </row>
    <row r="1478">
      <c r="B1478" t="inlineStr">
        <is>
          <t>Banks – Central Offices</t>
        </is>
      </c>
      <c r="C1478" t="inlineStr">
        <is>
          <t>443</t>
        </is>
      </c>
      <c r="D1478" t="inlineStr">
        <is>
          <t>15</t>
        </is>
      </c>
      <c r="E1478" t="inlineStr">
        <is>
          <t>20</t>
        </is>
      </c>
      <c r="F1478" t="inlineStr">
        <is>
          <t>S</t>
        </is>
      </c>
      <c r="G1478" t="inlineStr">
        <is>
          <t>Good</t>
        </is>
      </c>
      <c r="H1478" t="n">
        <v>280</v>
      </c>
      <c r="I1478">
        <f>B1478&amp;"~"&amp;F1478&amp;"~"&amp;G1478</f>
        <v/>
      </c>
      <c r="J1478" t="inlineStr">
        <is>
          <t>MVS Sec.15 p.20</t>
        </is>
      </c>
    </row>
    <row r="1479">
      <c r="B1479" t="inlineStr">
        <is>
          <t>Banks – Central Offices</t>
        </is>
      </c>
      <c r="C1479" t="inlineStr">
        <is>
          <t>443</t>
        </is>
      </c>
      <c r="D1479" t="inlineStr">
        <is>
          <t>15</t>
        </is>
      </c>
      <c r="E1479" t="inlineStr">
        <is>
          <t>20</t>
        </is>
      </c>
      <c r="F1479" t="inlineStr">
        <is>
          <t>S</t>
        </is>
      </c>
      <c r="G1479" t="inlineStr">
        <is>
          <t>Average</t>
        </is>
      </c>
      <c r="H1479" t="n">
        <v>217</v>
      </c>
      <c r="I1479">
        <f>B1479&amp;"~"&amp;F1479&amp;"~"&amp;G1479</f>
        <v/>
      </c>
      <c r="J1479" t="inlineStr">
        <is>
          <t>MVS Sec.15 p.20</t>
        </is>
      </c>
    </row>
    <row r="1480">
      <c r="B1480" t="inlineStr">
        <is>
          <t>Mini-Banks (Walk-Up and Drive-Through)</t>
        </is>
      </c>
      <c r="C1480" t="inlineStr">
        <is>
          <t>578</t>
        </is>
      </c>
      <c r="D1480" t="inlineStr">
        <is>
          <t>15</t>
        </is>
      </c>
      <c r="E1480" t="inlineStr">
        <is>
          <t>20</t>
        </is>
      </c>
      <c r="F1480" t="inlineStr">
        <is>
          <t>A-B</t>
        </is>
      </c>
      <c r="G1480" t="inlineStr">
        <is>
          <t>Good</t>
        </is>
      </c>
      <c r="H1480" t="n">
        <v>710</v>
      </c>
      <c r="I1480">
        <f>B1480&amp;"~"&amp;F1480&amp;"~"&amp;G1480</f>
        <v/>
      </c>
      <c r="J1480" t="inlineStr">
        <is>
          <t>MVS Sec.15 p.20</t>
        </is>
      </c>
    </row>
    <row r="1481">
      <c r="B1481" t="inlineStr">
        <is>
          <t>Mini-Banks (Walk-Up and Drive-Through)</t>
        </is>
      </c>
      <c r="C1481" t="inlineStr">
        <is>
          <t>578</t>
        </is>
      </c>
      <c r="D1481" t="inlineStr">
        <is>
          <t>15</t>
        </is>
      </c>
      <c r="E1481" t="inlineStr">
        <is>
          <t>20</t>
        </is>
      </c>
      <c r="F1481" t="inlineStr">
        <is>
          <t>A-B</t>
        </is>
      </c>
      <c r="G1481" t="inlineStr">
        <is>
          <t>Average</t>
        </is>
      </c>
      <c r="H1481" t="n">
        <v>580</v>
      </c>
      <c r="I1481">
        <f>B1481&amp;"~"&amp;F1481&amp;"~"&amp;G1481</f>
        <v/>
      </c>
      <c r="J1481" t="inlineStr">
        <is>
          <t>MVS Sec.15 p.20</t>
        </is>
      </c>
    </row>
    <row r="1482">
      <c r="B1482" t="inlineStr">
        <is>
          <t>Mini-Banks (Walk-Up and Drive-Through)</t>
        </is>
      </c>
      <c r="C1482" t="inlineStr">
        <is>
          <t>578</t>
        </is>
      </c>
      <c r="D1482" t="inlineStr">
        <is>
          <t>15</t>
        </is>
      </c>
      <c r="E1482" t="inlineStr">
        <is>
          <t>20</t>
        </is>
      </c>
      <c r="F1482" t="inlineStr">
        <is>
          <t>C</t>
        </is>
      </c>
      <c r="G1482" t="inlineStr">
        <is>
          <t>Excellent</t>
        </is>
      </c>
      <c r="H1482" t="n">
        <v>665</v>
      </c>
      <c r="I1482">
        <f>B1482&amp;"~"&amp;F1482&amp;"~"&amp;G1482</f>
        <v/>
      </c>
      <c r="J1482" t="inlineStr">
        <is>
          <t>MVS Sec.15 p.20</t>
        </is>
      </c>
    </row>
    <row r="1483">
      <c r="B1483" t="inlineStr">
        <is>
          <t>Mini-Banks (Walk-Up and Drive-Through)</t>
        </is>
      </c>
      <c r="C1483" t="inlineStr">
        <is>
          <t>578</t>
        </is>
      </c>
      <c r="D1483" t="inlineStr">
        <is>
          <t>15</t>
        </is>
      </c>
      <c r="E1483" t="inlineStr">
        <is>
          <t>20</t>
        </is>
      </c>
      <c r="F1483" t="inlineStr">
        <is>
          <t>C</t>
        </is>
      </c>
      <c r="G1483" t="inlineStr">
        <is>
          <t>Good</t>
        </is>
      </c>
      <c r="H1483" t="n">
        <v>535</v>
      </c>
      <c r="I1483">
        <f>B1483&amp;"~"&amp;F1483&amp;"~"&amp;G1483</f>
        <v/>
      </c>
      <c r="J1483" t="inlineStr">
        <is>
          <t>MVS Sec.15 p.20</t>
        </is>
      </c>
    </row>
    <row r="1484">
      <c r="B1484" t="inlineStr">
        <is>
          <t>Mini-Banks (Walk-Up and Drive-Through)</t>
        </is>
      </c>
      <c r="C1484" t="inlineStr">
        <is>
          <t>578</t>
        </is>
      </c>
      <c r="D1484" t="inlineStr">
        <is>
          <t>15</t>
        </is>
      </c>
      <c r="E1484" t="inlineStr">
        <is>
          <t>20</t>
        </is>
      </c>
      <c r="F1484" t="inlineStr">
        <is>
          <t>C</t>
        </is>
      </c>
      <c r="G1484" t="inlineStr">
        <is>
          <t>Average</t>
        </is>
      </c>
      <c r="H1484" t="n">
        <v>426</v>
      </c>
      <c r="I1484">
        <f>B1484&amp;"~"&amp;F1484&amp;"~"&amp;G1484</f>
        <v/>
      </c>
      <c r="J1484" t="inlineStr">
        <is>
          <t>MVS Sec.15 p.20</t>
        </is>
      </c>
    </row>
    <row r="1485">
      <c r="B1485" t="inlineStr">
        <is>
          <t>Mini-Banks (Walk-Up and Drive-Through)</t>
        </is>
      </c>
      <c r="C1485" t="inlineStr">
        <is>
          <t>578</t>
        </is>
      </c>
      <c r="D1485" t="inlineStr">
        <is>
          <t>15</t>
        </is>
      </c>
      <c r="E1485" t="inlineStr">
        <is>
          <t>20</t>
        </is>
      </c>
      <c r="F1485" t="inlineStr">
        <is>
          <t>C</t>
        </is>
      </c>
      <c r="G1485" t="inlineStr">
        <is>
          <t>Low Cost</t>
        </is>
      </c>
      <c r="H1485" t="n">
        <v>345</v>
      </c>
      <c r="I1485">
        <f>B1485&amp;"~"&amp;F1485&amp;"~"&amp;G1485</f>
        <v/>
      </c>
      <c r="J1485" t="inlineStr">
        <is>
          <t>MVS Sec.15 p.20</t>
        </is>
      </c>
    </row>
    <row r="1486">
      <c r="B1486" t="inlineStr">
        <is>
          <t>Mini-Banks (Walk-Up and Drive-Through)</t>
        </is>
      </c>
      <c r="C1486" t="inlineStr">
        <is>
          <t>578</t>
        </is>
      </c>
      <c r="D1486" t="inlineStr">
        <is>
          <t>15</t>
        </is>
      </c>
      <c r="E1486" t="inlineStr">
        <is>
          <t>20</t>
        </is>
      </c>
      <c r="F1486" t="inlineStr">
        <is>
          <t>D</t>
        </is>
      </c>
      <c r="G1486" t="inlineStr">
        <is>
          <t>Excellent</t>
        </is>
      </c>
      <c r="H1486" t="n">
        <v>650</v>
      </c>
      <c r="I1486">
        <f>B1486&amp;"~"&amp;F1486&amp;"~"&amp;G1486</f>
        <v/>
      </c>
      <c r="J1486" t="inlineStr">
        <is>
          <t>MVS Sec.15 p.20</t>
        </is>
      </c>
    </row>
    <row r="1487">
      <c r="B1487" t="inlineStr">
        <is>
          <t>Mini-Banks (Walk-Up and Drive-Through)</t>
        </is>
      </c>
      <c r="C1487" t="inlineStr">
        <is>
          <t>578</t>
        </is>
      </c>
      <c r="D1487" t="inlineStr">
        <is>
          <t>15</t>
        </is>
      </c>
      <c r="E1487" t="inlineStr">
        <is>
          <t>20</t>
        </is>
      </c>
      <c r="F1487" t="inlineStr">
        <is>
          <t>D</t>
        </is>
      </c>
      <c r="G1487" t="inlineStr">
        <is>
          <t>Good</t>
        </is>
      </c>
      <c r="H1487" t="n">
        <v>520</v>
      </c>
      <c r="I1487">
        <f>B1487&amp;"~"&amp;F1487&amp;"~"&amp;G1487</f>
        <v/>
      </c>
      <c r="J1487" t="inlineStr">
        <is>
          <t>MVS Sec.15 p.20</t>
        </is>
      </c>
    </row>
    <row r="1488">
      <c r="B1488" t="inlineStr">
        <is>
          <t>Mini-Banks (Walk-Up and Drive-Through)</t>
        </is>
      </c>
      <c r="C1488" t="inlineStr">
        <is>
          <t>578</t>
        </is>
      </c>
      <c r="D1488" t="inlineStr">
        <is>
          <t>15</t>
        </is>
      </c>
      <c r="E1488" t="inlineStr">
        <is>
          <t>20</t>
        </is>
      </c>
      <c r="F1488" t="inlineStr">
        <is>
          <t>D</t>
        </is>
      </c>
      <c r="G1488" t="inlineStr">
        <is>
          <t>Average</t>
        </is>
      </c>
      <c r="H1488" t="n">
        <v>411</v>
      </c>
      <c r="I1488">
        <f>B1488&amp;"~"&amp;F1488&amp;"~"&amp;G1488</f>
        <v/>
      </c>
      <c r="J1488" t="inlineStr">
        <is>
          <t>MVS Sec.15 p.20</t>
        </is>
      </c>
    </row>
    <row r="1489">
      <c r="B1489" t="inlineStr">
        <is>
          <t>Mini-Banks (Walk-Up and Drive-Through)</t>
        </is>
      </c>
      <c r="C1489" t="inlineStr">
        <is>
          <t>578</t>
        </is>
      </c>
      <c r="D1489" t="inlineStr">
        <is>
          <t>15</t>
        </is>
      </c>
      <c r="E1489" t="inlineStr">
        <is>
          <t>20</t>
        </is>
      </c>
      <c r="F1489" t="inlineStr">
        <is>
          <t>D</t>
        </is>
      </c>
      <c r="G1489" t="inlineStr">
        <is>
          <t>Low Cost</t>
        </is>
      </c>
      <c r="H1489" t="n">
        <v>332</v>
      </c>
      <c r="I1489">
        <f>B1489&amp;"~"&amp;F1489&amp;"~"&amp;G1489</f>
        <v/>
      </c>
      <c r="J1489" t="inlineStr">
        <is>
          <t>MVS Sec.15 p.20</t>
        </is>
      </c>
    </row>
    <row r="1490">
      <c r="B1490" t="inlineStr">
        <is>
          <t>Mini-Banks (Walk-Up and Drive-Through)</t>
        </is>
      </c>
      <c r="C1490" t="inlineStr">
        <is>
          <t>578</t>
        </is>
      </c>
      <c r="D1490" t="inlineStr">
        <is>
          <t>15</t>
        </is>
      </c>
      <c r="E1490" t="inlineStr">
        <is>
          <t>20</t>
        </is>
      </c>
      <c r="F1490" t="inlineStr">
        <is>
          <t>S</t>
        </is>
      </c>
      <c r="G1490" t="inlineStr">
        <is>
          <t>Average</t>
        </is>
      </c>
      <c r="H1490" t="n">
        <v>407</v>
      </c>
      <c r="I1490">
        <f>B1490&amp;"~"&amp;F1490&amp;"~"&amp;G1490</f>
        <v/>
      </c>
      <c r="J1490" t="inlineStr">
        <is>
          <t>MVS Sec.15 p.20</t>
        </is>
      </c>
    </row>
    <row r="1491">
      <c r="B1491" t="inlineStr">
        <is>
          <t>Banks, Branch</t>
        </is>
      </c>
      <c r="C1491" t="inlineStr">
        <is>
          <t>304</t>
        </is>
      </c>
      <c r="D1491" t="inlineStr">
        <is>
          <t>15</t>
        </is>
      </c>
      <c r="E1491" t="inlineStr">
        <is>
          <t>21</t>
        </is>
      </c>
      <c r="F1491" t="inlineStr">
        <is>
          <t>A</t>
        </is>
      </c>
      <c r="G1491" t="inlineStr">
        <is>
          <t>Good</t>
        </is>
      </c>
      <c r="H1491" t="n">
        <v>416</v>
      </c>
      <c r="I1491">
        <f>B1491&amp;"~"&amp;F1491&amp;"~"&amp;G1491</f>
        <v/>
      </c>
      <c r="J1491" t="inlineStr">
        <is>
          <t>MVS Sec.15 p.21</t>
        </is>
      </c>
    </row>
    <row r="1492">
      <c r="B1492" t="inlineStr">
        <is>
          <t>Banks, Branch</t>
        </is>
      </c>
      <c r="C1492" t="inlineStr">
        <is>
          <t>304</t>
        </is>
      </c>
      <c r="D1492" t="inlineStr">
        <is>
          <t>15</t>
        </is>
      </c>
      <c r="E1492" t="inlineStr">
        <is>
          <t>21</t>
        </is>
      </c>
      <c r="F1492" t="inlineStr">
        <is>
          <t>A</t>
        </is>
      </c>
      <c r="G1492" t="inlineStr">
        <is>
          <t>Average</t>
        </is>
      </c>
      <c r="H1492" t="n">
        <v>327</v>
      </c>
      <c r="I1492">
        <f>B1492&amp;"~"&amp;F1492&amp;"~"&amp;G1492</f>
        <v/>
      </c>
      <c r="J1492" t="inlineStr">
        <is>
          <t>MVS Sec.15 p.21</t>
        </is>
      </c>
    </row>
    <row r="1493">
      <c r="B1493" t="inlineStr">
        <is>
          <t>Banks, Branch</t>
        </is>
      </c>
      <c r="C1493" t="inlineStr">
        <is>
          <t>304</t>
        </is>
      </c>
      <c r="D1493" t="inlineStr">
        <is>
          <t>15</t>
        </is>
      </c>
      <c r="E1493" t="inlineStr">
        <is>
          <t>21</t>
        </is>
      </c>
      <c r="F1493" t="inlineStr">
        <is>
          <t>A</t>
        </is>
      </c>
      <c r="G1493" t="inlineStr">
        <is>
          <t>Low Cost</t>
        </is>
      </c>
      <c r="H1493" t="n">
        <v>260</v>
      </c>
      <c r="I1493">
        <f>B1493&amp;"~"&amp;F1493&amp;"~"&amp;G1493</f>
        <v/>
      </c>
      <c r="J1493" t="inlineStr">
        <is>
          <t>MVS Sec.15 p.21</t>
        </is>
      </c>
    </row>
    <row r="1494">
      <c r="B1494" t="inlineStr">
        <is>
          <t>Banks, Branch</t>
        </is>
      </c>
      <c r="C1494" t="inlineStr">
        <is>
          <t>304</t>
        </is>
      </c>
      <c r="D1494" t="inlineStr">
        <is>
          <t>15</t>
        </is>
      </c>
      <c r="E1494" t="inlineStr">
        <is>
          <t>21</t>
        </is>
      </c>
      <c r="F1494" t="inlineStr">
        <is>
          <t>B</t>
        </is>
      </c>
      <c r="G1494" t="inlineStr">
        <is>
          <t>Good</t>
        </is>
      </c>
      <c r="H1494" t="n">
        <v>378</v>
      </c>
      <c r="I1494">
        <f>B1494&amp;"~"&amp;F1494&amp;"~"&amp;G1494</f>
        <v/>
      </c>
      <c r="J1494" t="inlineStr">
        <is>
          <t>MVS Sec.15 p.21</t>
        </is>
      </c>
    </row>
    <row r="1495">
      <c r="B1495" t="inlineStr">
        <is>
          <t>Banks, Branch</t>
        </is>
      </c>
      <c r="C1495" t="inlineStr">
        <is>
          <t>304</t>
        </is>
      </c>
      <c r="D1495" t="inlineStr">
        <is>
          <t>15</t>
        </is>
      </c>
      <c r="E1495" t="inlineStr">
        <is>
          <t>21</t>
        </is>
      </c>
      <c r="F1495" t="inlineStr">
        <is>
          <t>B</t>
        </is>
      </c>
      <c r="G1495" t="inlineStr">
        <is>
          <t>Average</t>
        </is>
      </c>
      <c r="H1495" t="n">
        <v>296</v>
      </c>
      <c r="I1495">
        <f>B1495&amp;"~"&amp;F1495&amp;"~"&amp;G1495</f>
        <v/>
      </c>
      <c r="J1495" t="inlineStr">
        <is>
          <t>MVS Sec.15 p.21</t>
        </is>
      </c>
    </row>
    <row r="1496">
      <c r="B1496" t="inlineStr">
        <is>
          <t>Banks, Branch</t>
        </is>
      </c>
      <c r="C1496" t="inlineStr">
        <is>
          <t>304</t>
        </is>
      </c>
      <c r="D1496" t="inlineStr">
        <is>
          <t>15</t>
        </is>
      </c>
      <c r="E1496" t="inlineStr">
        <is>
          <t>21</t>
        </is>
      </c>
      <c r="F1496" t="inlineStr">
        <is>
          <t>B</t>
        </is>
      </c>
      <c r="G1496" t="inlineStr">
        <is>
          <t>Low Cost</t>
        </is>
      </c>
      <c r="H1496" t="n">
        <v>234</v>
      </c>
      <c r="I1496">
        <f>B1496&amp;"~"&amp;F1496&amp;"~"&amp;G1496</f>
        <v/>
      </c>
      <c r="J1496" t="inlineStr">
        <is>
          <t>MVS Sec.15 p.21</t>
        </is>
      </c>
    </row>
    <row r="1497">
      <c r="B1497" t="inlineStr">
        <is>
          <t>Banks, Branch</t>
        </is>
      </c>
      <c r="C1497" t="inlineStr">
        <is>
          <t>304</t>
        </is>
      </c>
      <c r="D1497" t="inlineStr">
        <is>
          <t>15</t>
        </is>
      </c>
      <c r="E1497" t="inlineStr">
        <is>
          <t>21</t>
        </is>
      </c>
      <c r="F1497" t="inlineStr">
        <is>
          <t>C</t>
        </is>
      </c>
      <c r="G1497" t="inlineStr">
        <is>
          <t>Excellent</t>
        </is>
      </c>
      <c r="H1497" t="n">
        <v>448</v>
      </c>
      <c r="I1497">
        <f>B1497&amp;"~"&amp;F1497&amp;"~"&amp;G1497</f>
        <v/>
      </c>
      <c r="J1497" t="inlineStr">
        <is>
          <t>MVS Sec.15 p.21</t>
        </is>
      </c>
    </row>
    <row r="1498">
      <c r="B1498" t="inlineStr">
        <is>
          <t>Banks, Branch</t>
        </is>
      </c>
      <c r="C1498" t="inlineStr">
        <is>
          <t>304</t>
        </is>
      </c>
      <c r="D1498" t="inlineStr">
        <is>
          <t>15</t>
        </is>
      </c>
      <c r="E1498" t="inlineStr">
        <is>
          <t>21</t>
        </is>
      </c>
      <c r="F1498" t="inlineStr">
        <is>
          <t>C</t>
        </is>
      </c>
      <c r="G1498" t="inlineStr">
        <is>
          <t>Good</t>
        </is>
      </c>
      <c r="H1498" t="n">
        <v>326</v>
      </c>
      <c r="I1498">
        <f>B1498&amp;"~"&amp;F1498&amp;"~"&amp;G1498</f>
        <v/>
      </c>
      <c r="J1498" t="inlineStr">
        <is>
          <t>MVS Sec.15 p.21</t>
        </is>
      </c>
    </row>
    <row r="1499">
      <c r="B1499" t="inlineStr">
        <is>
          <t>Banks, Branch</t>
        </is>
      </c>
      <c r="C1499" t="inlineStr">
        <is>
          <t>304</t>
        </is>
      </c>
      <c r="D1499" t="inlineStr">
        <is>
          <t>15</t>
        </is>
      </c>
      <c r="E1499" t="inlineStr">
        <is>
          <t>21</t>
        </is>
      </c>
      <c r="F1499" t="inlineStr">
        <is>
          <t>C</t>
        </is>
      </c>
      <c r="G1499" t="inlineStr">
        <is>
          <t>Average</t>
        </is>
      </c>
      <c r="H1499" t="n">
        <v>236</v>
      </c>
      <c r="I1499">
        <f>B1499&amp;"~"&amp;F1499&amp;"~"&amp;G1499</f>
        <v/>
      </c>
      <c r="J1499" t="inlineStr">
        <is>
          <t>MVS Sec.15 p.21</t>
        </is>
      </c>
    </row>
    <row r="1500">
      <c r="B1500" t="inlineStr">
        <is>
          <t>Banks, Branch</t>
        </is>
      </c>
      <c r="C1500" t="inlineStr">
        <is>
          <t>304</t>
        </is>
      </c>
      <c r="D1500" t="inlineStr">
        <is>
          <t>15</t>
        </is>
      </c>
      <c r="E1500" t="inlineStr">
        <is>
          <t>21</t>
        </is>
      </c>
      <c r="F1500" t="inlineStr">
        <is>
          <t>C</t>
        </is>
      </c>
      <c r="G1500" t="inlineStr">
        <is>
          <t>Low Cost</t>
        </is>
      </c>
      <c r="H1500" t="n">
        <v>177</v>
      </c>
      <c r="I1500">
        <f>B1500&amp;"~"&amp;F1500&amp;"~"&amp;G1500</f>
        <v/>
      </c>
      <c r="J1500" t="inlineStr">
        <is>
          <t>MVS Sec.15 p.21</t>
        </is>
      </c>
    </row>
    <row r="1501">
      <c r="B1501" t="inlineStr">
        <is>
          <t>Banks, Branch</t>
        </is>
      </c>
      <c r="C1501" t="inlineStr">
        <is>
          <t>304</t>
        </is>
      </c>
      <c r="D1501" t="inlineStr">
        <is>
          <t>15</t>
        </is>
      </c>
      <c r="E1501" t="inlineStr">
        <is>
          <t>21</t>
        </is>
      </c>
      <c r="F1501" t="inlineStr">
        <is>
          <t>D</t>
        </is>
      </c>
      <c r="G1501" t="inlineStr">
        <is>
          <t>Excellent</t>
        </is>
      </c>
      <c r="H1501" t="n">
        <v>423</v>
      </c>
      <c r="I1501">
        <f>B1501&amp;"~"&amp;F1501&amp;"~"&amp;G1501</f>
        <v/>
      </c>
      <c r="J1501" t="inlineStr">
        <is>
          <t>MVS Sec.15 p.21</t>
        </is>
      </c>
    </row>
    <row r="1502">
      <c r="B1502" t="inlineStr">
        <is>
          <t>Banks, Branch</t>
        </is>
      </c>
      <c r="C1502" t="inlineStr">
        <is>
          <t>304</t>
        </is>
      </c>
      <c r="D1502" t="inlineStr">
        <is>
          <t>15</t>
        </is>
      </c>
      <c r="E1502" t="inlineStr">
        <is>
          <t>21</t>
        </is>
      </c>
      <c r="F1502" t="inlineStr">
        <is>
          <t>D</t>
        </is>
      </c>
      <c r="G1502" t="inlineStr">
        <is>
          <t>Good</t>
        </is>
      </c>
      <c r="H1502" t="n">
        <v>308</v>
      </c>
      <c r="I1502">
        <f>B1502&amp;"~"&amp;F1502&amp;"~"&amp;G1502</f>
        <v/>
      </c>
      <c r="J1502" t="inlineStr">
        <is>
          <t>MVS Sec.15 p.21</t>
        </is>
      </c>
    </row>
    <row r="1503">
      <c r="B1503" t="inlineStr">
        <is>
          <t>Banks, Branch</t>
        </is>
      </c>
      <c r="C1503" t="inlineStr">
        <is>
          <t>304</t>
        </is>
      </c>
      <c r="D1503" t="inlineStr">
        <is>
          <t>15</t>
        </is>
      </c>
      <c r="E1503" t="inlineStr">
        <is>
          <t>21</t>
        </is>
      </c>
      <c r="F1503" t="inlineStr">
        <is>
          <t>D</t>
        </is>
      </c>
      <c r="G1503" t="inlineStr">
        <is>
          <t>Average</t>
        </is>
      </c>
      <c r="H1503" t="n">
        <v>223</v>
      </c>
      <c r="I1503">
        <f>B1503&amp;"~"&amp;F1503&amp;"~"&amp;G1503</f>
        <v/>
      </c>
      <c r="J1503" t="inlineStr">
        <is>
          <t>MVS Sec.15 p.21</t>
        </is>
      </c>
    </row>
    <row r="1504">
      <c r="B1504" t="inlineStr">
        <is>
          <t>Banks, Branch</t>
        </is>
      </c>
      <c r="C1504" t="inlineStr">
        <is>
          <t>304</t>
        </is>
      </c>
      <c r="D1504" t="inlineStr">
        <is>
          <t>15</t>
        </is>
      </c>
      <c r="E1504" t="inlineStr">
        <is>
          <t>21</t>
        </is>
      </c>
      <c r="F1504" t="inlineStr">
        <is>
          <t>D</t>
        </is>
      </c>
      <c r="G1504" t="inlineStr">
        <is>
          <t>Low Cost</t>
        </is>
      </c>
      <c r="H1504" t="n">
        <v>168</v>
      </c>
      <c r="I1504">
        <f>B1504&amp;"~"&amp;F1504&amp;"~"&amp;G1504</f>
        <v/>
      </c>
      <c r="J1504" t="inlineStr">
        <is>
          <t>MVS Sec.15 p.21</t>
        </is>
      </c>
    </row>
    <row r="1505">
      <c r="B1505" t="inlineStr">
        <is>
          <t>Banks, Branch</t>
        </is>
      </c>
      <c r="C1505" t="inlineStr">
        <is>
          <t>304</t>
        </is>
      </c>
      <c r="D1505" t="inlineStr">
        <is>
          <t>15</t>
        </is>
      </c>
      <c r="E1505" t="inlineStr">
        <is>
          <t>21</t>
        </is>
      </c>
      <c r="F1505" t="inlineStr">
        <is>
          <t>S</t>
        </is>
      </c>
      <c r="G1505" t="inlineStr">
        <is>
          <t>Good</t>
        </is>
      </c>
      <c r="H1505" t="n">
        <v>288</v>
      </c>
      <c r="I1505">
        <f>B1505&amp;"~"&amp;F1505&amp;"~"&amp;G1505</f>
        <v/>
      </c>
      <c r="J1505" t="inlineStr">
        <is>
          <t>MVS Sec.15 p.21</t>
        </is>
      </c>
    </row>
    <row r="1506">
      <c r="B1506" t="inlineStr">
        <is>
          <t>Banks, Branch</t>
        </is>
      </c>
      <c r="C1506" t="inlineStr">
        <is>
          <t>304</t>
        </is>
      </c>
      <c r="D1506" t="inlineStr">
        <is>
          <t>15</t>
        </is>
      </c>
      <c r="E1506" t="inlineStr">
        <is>
          <t>21</t>
        </is>
      </c>
      <c r="F1506" t="inlineStr">
        <is>
          <t>S</t>
        </is>
      </c>
      <c r="G1506" t="inlineStr">
        <is>
          <t>Average</t>
        </is>
      </c>
      <c r="H1506" t="n">
        <v>218</v>
      </c>
      <c r="I1506">
        <f>B1506&amp;"~"&amp;F1506&amp;"~"&amp;G1506</f>
        <v/>
      </c>
      <c r="J1506" t="inlineStr">
        <is>
          <t>MVS Sec.15 p.21</t>
        </is>
      </c>
    </row>
    <row r="1507">
      <c r="B1507" t="inlineStr">
        <is>
          <t>Banks, Branch</t>
        </is>
      </c>
      <c r="C1507" t="inlineStr">
        <is>
          <t>304</t>
        </is>
      </c>
      <c r="D1507" t="inlineStr">
        <is>
          <t>15</t>
        </is>
      </c>
      <c r="E1507" t="inlineStr">
        <is>
          <t>21</t>
        </is>
      </c>
      <c r="F1507" t="inlineStr">
        <is>
          <t>S</t>
        </is>
      </c>
      <c r="G1507" t="inlineStr">
        <is>
          <t>Low Cost</t>
        </is>
      </c>
      <c r="H1507" t="n">
        <v>167</v>
      </c>
      <c r="I1507">
        <f>B1507&amp;"~"&amp;F1507&amp;"~"&amp;G1507</f>
        <v/>
      </c>
      <c r="J1507" t="inlineStr">
        <is>
          <t>MVS Sec.15 p.21</t>
        </is>
      </c>
    </row>
    <row r="1508">
      <c r="B1508" t="inlineStr">
        <is>
          <t>Medical Office Buildings</t>
        </is>
      </c>
      <c r="C1508" t="inlineStr">
        <is>
          <t>341</t>
        </is>
      </c>
      <c r="D1508" t="inlineStr">
        <is>
          <t>15</t>
        </is>
      </c>
      <c r="E1508" t="inlineStr">
        <is>
          <t>22</t>
        </is>
      </c>
      <c r="F1508" t="inlineStr">
        <is>
          <t>A</t>
        </is>
      </c>
      <c r="G1508" t="inlineStr">
        <is>
          <t>Excellent</t>
        </is>
      </c>
      <c r="H1508" t="n">
        <v>438</v>
      </c>
      <c r="I1508">
        <f>B1508&amp;"~"&amp;F1508&amp;"~"&amp;G1508</f>
        <v/>
      </c>
      <c r="J1508" t="inlineStr">
        <is>
          <t>MVS Sec.15 p.22</t>
        </is>
      </c>
    </row>
    <row r="1509">
      <c r="B1509" t="inlineStr">
        <is>
          <t>Medical Office Buildings</t>
        </is>
      </c>
      <c r="C1509" t="inlineStr">
        <is>
          <t>341</t>
        </is>
      </c>
      <c r="D1509" t="inlineStr">
        <is>
          <t>15</t>
        </is>
      </c>
      <c r="E1509" t="inlineStr">
        <is>
          <t>22</t>
        </is>
      </c>
      <c r="F1509" t="inlineStr">
        <is>
          <t>A</t>
        </is>
      </c>
      <c r="G1509" t="inlineStr">
        <is>
          <t>Good</t>
        </is>
      </c>
      <c r="H1509" t="n">
        <v>351</v>
      </c>
      <c r="I1509">
        <f>B1509&amp;"~"&amp;F1509&amp;"~"&amp;G1509</f>
        <v/>
      </c>
      <c r="J1509" t="inlineStr">
        <is>
          <t>MVS Sec.15 p.22</t>
        </is>
      </c>
    </row>
    <row r="1510">
      <c r="B1510" t="inlineStr">
        <is>
          <t>Medical Office Buildings</t>
        </is>
      </c>
      <c r="C1510" t="inlineStr">
        <is>
          <t>341</t>
        </is>
      </c>
      <c r="D1510" t="inlineStr">
        <is>
          <t>15</t>
        </is>
      </c>
      <c r="E1510" t="inlineStr">
        <is>
          <t>22</t>
        </is>
      </c>
      <c r="F1510" t="inlineStr">
        <is>
          <t>A</t>
        </is>
      </c>
      <c r="G1510" t="inlineStr">
        <is>
          <t>Average</t>
        </is>
      </c>
      <c r="H1510" t="n">
        <v>270</v>
      </c>
      <c r="I1510">
        <f>B1510&amp;"~"&amp;F1510&amp;"~"&amp;G1510</f>
        <v/>
      </c>
      <c r="J1510" t="inlineStr">
        <is>
          <t>MVS Sec.15 p.22</t>
        </is>
      </c>
    </row>
    <row r="1511">
      <c r="B1511" t="inlineStr">
        <is>
          <t>Medical Office Buildings</t>
        </is>
      </c>
      <c r="C1511" t="inlineStr">
        <is>
          <t>341</t>
        </is>
      </c>
      <c r="D1511" t="inlineStr">
        <is>
          <t>15</t>
        </is>
      </c>
      <c r="E1511" t="inlineStr">
        <is>
          <t>22</t>
        </is>
      </c>
      <c r="F1511" t="inlineStr">
        <is>
          <t>A</t>
        </is>
      </c>
      <c r="G1511" t="inlineStr">
        <is>
          <t>Low Cost</t>
        </is>
      </c>
      <c r="H1511" t="n">
        <v>207</v>
      </c>
      <c r="I1511">
        <f>B1511&amp;"~"&amp;F1511&amp;"~"&amp;G1511</f>
        <v/>
      </c>
      <c r="J1511" t="inlineStr">
        <is>
          <t>MVS Sec.15 p.22</t>
        </is>
      </c>
    </row>
    <row r="1512">
      <c r="B1512" t="inlineStr">
        <is>
          <t>Medical Office Buildings</t>
        </is>
      </c>
      <c r="C1512" t="inlineStr">
        <is>
          <t>341</t>
        </is>
      </c>
      <c r="D1512" t="inlineStr">
        <is>
          <t>15</t>
        </is>
      </c>
      <c r="E1512" t="inlineStr">
        <is>
          <t>22</t>
        </is>
      </c>
      <c r="F1512" t="inlineStr">
        <is>
          <t>B</t>
        </is>
      </c>
      <c r="G1512" t="inlineStr">
        <is>
          <t>Excellent</t>
        </is>
      </c>
      <c r="H1512" t="n">
        <v>402</v>
      </c>
      <c r="I1512">
        <f>B1512&amp;"~"&amp;F1512&amp;"~"&amp;G1512</f>
        <v/>
      </c>
      <c r="J1512" t="inlineStr">
        <is>
          <t>MVS Sec.15 p.22</t>
        </is>
      </c>
    </row>
    <row r="1513">
      <c r="B1513" t="inlineStr">
        <is>
          <t>Medical Office Buildings</t>
        </is>
      </c>
      <c r="C1513" t="inlineStr">
        <is>
          <t>341</t>
        </is>
      </c>
      <c r="D1513" t="inlineStr">
        <is>
          <t>15</t>
        </is>
      </c>
      <c r="E1513" t="inlineStr">
        <is>
          <t>22</t>
        </is>
      </c>
      <c r="F1513" t="inlineStr">
        <is>
          <t>B</t>
        </is>
      </c>
      <c r="G1513" t="inlineStr">
        <is>
          <t>Good</t>
        </is>
      </c>
      <c r="H1513" t="n">
        <v>322</v>
      </c>
      <c r="I1513">
        <f>B1513&amp;"~"&amp;F1513&amp;"~"&amp;G1513</f>
        <v/>
      </c>
      <c r="J1513" t="inlineStr">
        <is>
          <t>MVS Sec.15 p.22</t>
        </is>
      </c>
    </row>
    <row r="1514">
      <c r="B1514" t="inlineStr">
        <is>
          <t>Medical Office Buildings</t>
        </is>
      </c>
      <c r="C1514" t="inlineStr">
        <is>
          <t>341</t>
        </is>
      </c>
      <c r="D1514" t="inlineStr">
        <is>
          <t>15</t>
        </is>
      </c>
      <c r="E1514" t="inlineStr">
        <is>
          <t>22</t>
        </is>
      </c>
      <c r="F1514" t="inlineStr">
        <is>
          <t>B</t>
        </is>
      </c>
      <c r="G1514" t="inlineStr">
        <is>
          <t>Average</t>
        </is>
      </c>
      <c r="H1514" t="n">
        <v>246</v>
      </c>
      <c r="I1514">
        <f>B1514&amp;"~"&amp;F1514&amp;"~"&amp;G1514</f>
        <v/>
      </c>
      <c r="J1514" t="inlineStr">
        <is>
          <t>MVS Sec.15 p.22</t>
        </is>
      </c>
    </row>
    <row r="1515">
      <c r="B1515" t="inlineStr">
        <is>
          <t>Medical Office Buildings</t>
        </is>
      </c>
      <c r="C1515" t="inlineStr">
        <is>
          <t>341</t>
        </is>
      </c>
      <c r="D1515" t="inlineStr">
        <is>
          <t>15</t>
        </is>
      </c>
      <c r="E1515" t="inlineStr">
        <is>
          <t>22</t>
        </is>
      </c>
      <c r="F1515" t="inlineStr">
        <is>
          <t>B</t>
        </is>
      </c>
      <c r="G1515" t="inlineStr">
        <is>
          <t>Low Cost</t>
        </is>
      </c>
      <c r="H1515" t="n">
        <v>187</v>
      </c>
      <c r="I1515">
        <f>B1515&amp;"~"&amp;F1515&amp;"~"&amp;G1515</f>
        <v/>
      </c>
      <c r="J1515" t="inlineStr">
        <is>
          <t>MVS Sec.15 p.22</t>
        </is>
      </c>
    </row>
    <row r="1516">
      <c r="B1516" t="inlineStr">
        <is>
          <t>Medical Office Buildings</t>
        </is>
      </c>
      <c r="C1516" t="inlineStr">
        <is>
          <t>341</t>
        </is>
      </c>
      <c r="D1516" t="inlineStr">
        <is>
          <t>15</t>
        </is>
      </c>
      <c r="E1516" t="inlineStr">
        <is>
          <t>22</t>
        </is>
      </c>
      <c r="F1516" t="inlineStr">
        <is>
          <t>C</t>
        </is>
      </c>
      <c r="G1516" t="inlineStr">
        <is>
          <t>Excellent</t>
        </is>
      </c>
      <c r="H1516" t="n">
        <v>344</v>
      </c>
      <c r="I1516">
        <f>B1516&amp;"~"&amp;F1516&amp;"~"&amp;G1516</f>
        <v/>
      </c>
      <c r="J1516" t="inlineStr">
        <is>
          <t>MVS Sec.15 p.22</t>
        </is>
      </c>
    </row>
    <row r="1517">
      <c r="B1517" t="inlineStr">
        <is>
          <t>Medical Office Buildings</t>
        </is>
      </c>
      <c r="C1517" t="inlineStr">
        <is>
          <t>341</t>
        </is>
      </c>
      <c r="D1517" t="inlineStr">
        <is>
          <t>15</t>
        </is>
      </c>
      <c r="E1517" t="inlineStr">
        <is>
          <t>22</t>
        </is>
      </c>
      <c r="F1517" t="inlineStr">
        <is>
          <t>C</t>
        </is>
      </c>
      <c r="G1517" t="inlineStr">
        <is>
          <t>Good</t>
        </is>
      </c>
      <c r="H1517" t="n">
        <v>261</v>
      </c>
      <c r="I1517">
        <f>B1517&amp;"~"&amp;F1517&amp;"~"&amp;G1517</f>
        <v/>
      </c>
      <c r="J1517" t="inlineStr">
        <is>
          <t>MVS Sec.15 p.22</t>
        </is>
      </c>
    </row>
    <row r="1518">
      <c r="B1518" t="inlineStr">
        <is>
          <t>Medical Office Buildings</t>
        </is>
      </c>
      <c r="C1518" t="inlineStr">
        <is>
          <t>341</t>
        </is>
      </c>
      <c r="D1518" t="inlineStr">
        <is>
          <t>15</t>
        </is>
      </c>
      <c r="E1518" t="inlineStr">
        <is>
          <t>22</t>
        </is>
      </c>
      <c r="F1518" t="inlineStr">
        <is>
          <t>C</t>
        </is>
      </c>
      <c r="G1518" t="inlineStr">
        <is>
          <t>Average</t>
        </is>
      </c>
      <c r="H1518" t="n">
        <v>198</v>
      </c>
      <c r="I1518">
        <f>B1518&amp;"~"&amp;F1518&amp;"~"&amp;G1518</f>
        <v/>
      </c>
      <c r="J1518" t="inlineStr">
        <is>
          <t>MVS Sec.15 p.22</t>
        </is>
      </c>
    </row>
    <row r="1519">
      <c r="B1519" t="inlineStr">
        <is>
          <t>Medical Office Buildings</t>
        </is>
      </c>
      <c r="C1519" t="inlineStr">
        <is>
          <t>341</t>
        </is>
      </c>
      <c r="D1519" t="inlineStr">
        <is>
          <t>15</t>
        </is>
      </c>
      <c r="E1519" t="inlineStr">
        <is>
          <t>22</t>
        </is>
      </c>
      <c r="F1519" t="inlineStr">
        <is>
          <t>C</t>
        </is>
      </c>
      <c r="G1519" t="inlineStr">
        <is>
          <t>Low Cost</t>
        </is>
      </c>
      <c r="H1519" t="n">
        <v>150</v>
      </c>
      <c r="I1519">
        <f>B1519&amp;"~"&amp;F1519&amp;"~"&amp;G1519</f>
        <v/>
      </c>
      <c r="J1519" t="inlineStr">
        <is>
          <t>MVS Sec.15 p.22</t>
        </is>
      </c>
    </row>
    <row r="1520">
      <c r="B1520" t="inlineStr">
        <is>
          <t>Medical Office Buildings</t>
        </is>
      </c>
      <c r="C1520" t="inlineStr">
        <is>
          <t>341</t>
        </is>
      </c>
      <c r="D1520" t="inlineStr">
        <is>
          <t>15</t>
        </is>
      </c>
      <c r="E1520" t="inlineStr">
        <is>
          <t>22</t>
        </is>
      </c>
      <c r="F1520" t="inlineStr">
        <is>
          <t>D</t>
        </is>
      </c>
      <c r="G1520" t="inlineStr">
        <is>
          <t>Excellent</t>
        </is>
      </c>
      <c r="H1520" t="n">
        <v>314</v>
      </c>
      <c r="I1520">
        <f>B1520&amp;"~"&amp;F1520&amp;"~"&amp;G1520</f>
        <v/>
      </c>
      <c r="J1520" t="inlineStr">
        <is>
          <t>MVS Sec.15 p.22</t>
        </is>
      </c>
    </row>
    <row r="1521">
      <c r="B1521" t="inlineStr">
        <is>
          <t>Medical Office Buildings</t>
        </is>
      </c>
      <c r="C1521" t="inlineStr">
        <is>
          <t>341</t>
        </is>
      </c>
      <c r="D1521" t="inlineStr">
        <is>
          <t>15</t>
        </is>
      </c>
      <c r="E1521" t="inlineStr">
        <is>
          <t>22</t>
        </is>
      </c>
      <c r="F1521" t="inlineStr">
        <is>
          <t>D</t>
        </is>
      </c>
      <c r="G1521" t="inlineStr">
        <is>
          <t>Good</t>
        </is>
      </c>
      <c r="H1521" t="n">
        <v>249</v>
      </c>
      <c r="I1521">
        <f>B1521&amp;"~"&amp;F1521&amp;"~"&amp;G1521</f>
        <v/>
      </c>
      <c r="J1521" t="inlineStr">
        <is>
          <t>MVS Sec.15 p.22</t>
        </is>
      </c>
    </row>
    <row r="1522">
      <c r="B1522" t="inlineStr">
        <is>
          <t>Medical Office Buildings</t>
        </is>
      </c>
      <c r="C1522" t="inlineStr">
        <is>
          <t>341</t>
        </is>
      </c>
      <c r="D1522" t="inlineStr">
        <is>
          <t>15</t>
        </is>
      </c>
      <c r="E1522" t="inlineStr">
        <is>
          <t>22</t>
        </is>
      </c>
      <c r="F1522" t="inlineStr">
        <is>
          <t>D</t>
        </is>
      </c>
      <c r="G1522" t="inlineStr">
        <is>
          <t>Average</t>
        </is>
      </c>
      <c r="H1522" t="n">
        <v>189</v>
      </c>
      <c r="I1522">
        <f>B1522&amp;"~"&amp;F1522&amp;"~"&amp;G1522</f>
        <v/>
      </c>
      <c r="J1522" t="inlineStr">
        <is>
          <t>MVS Sec.15 p.22</t>
        </is>
      </c>
    </row>
    <row r="1523">
      <c r="B1523" t="inlineStr">
        <is>
          <t>Medical Office Buildings</t>
        </is>
      </c>
      <c r="C1523" t="inlineStr">
        <is>
          <t>341</t>
        </is>
      </c>
      <c r="D1523" t="inlineStr">
        <is>
          <t>15</t>
        </is>
      </c>
      <c r="E1523" t="inlineStr">
        <is>
          <t>22</t>
        </is>
      </c>
      <c r="F1523" t="inlineStr">
        <is>
          <t>D</t>
        </is>
      </c>
      <c r="G1523" t="inlineStr">
        <is>
          <t>Low Cost</t>
        </is>
      </c>
      <c r="H1523" t="n">
        <v>144</v>
      </c>
      <c r="I1523">
        <f>B1523&amp;"~"&amp;F1523&amp;"~"&amp;G1523</f>
        <v/>
      </c>
      <c r="J1523" t="inlineStr">
        <is>
          <t>MVS Sec.15 p.22</t>
        </is>
      </c>
    </row>
    <row r="1524">
      <c r="B1524" t="inlineStr">
        <is>
          <t>Medical Office Buildings</t>
        </is>
      </c>
      <c r="C1524" t="inlineStr">
        <is>
          <t>341</t>
        </is>
      </c>
      <c r="D1524" t="inlineStr">
        <is>
          <t>15</t>
        </is>
      </c>
      <c r="E1524" t="inlineStr">
        <is>
          <t>22</t>
        </is>
      </c>
      <c r="F1524" t="inlineStr">
        <is>
          <t>DPOLE</t>
        </is>
      </c>
      <c r="G1524" t="inlineStr">
        <is>
          <t>Low Cost</t>
        </is>
      </c>
      <c r="H1524" t="n">
        <v>132</v>
      </c>
      <c r="I1524">
        <f>B1524&amp;"~"&amp;F1524&amp;"~"&amp;G1524</f>
        <v/>
      </c>
      <c r="J1524" t="inlineStr">
        <is>
          <t>MVS Sec.15 p.22</t>
        </is>
      </c>
    </row>
    <row r="1525">
      <c r="B1525" t="inlineStr">
        <is>
          <t>Medical Office Buildings</t>
        </is>
      </c>
      <c r="C1525" t="inlineStr">
        <is>
          <t>341</t>
        </is>
      </c>
      <c r="D1525" t="inlineStr">
        <is>
          <t>15</t>
        </is>
      </c>
      <c r="E1525" t="inlineStr">
        <is>
          <t>22</t>
        </is>
      </c>
      <c r="F1525" t="inlineStr">
        <is>
          <t>S</t>
        </is>
      </c>
      <c r="G1525" t="inlineStr">
        <is>
          <t>Good</t>
        </is>
      </c>
      <c r="H1525" t="n">
        <v>242</v>
      </c>
      <c r="I1525">
        <f>B1525&amp;"~"&amp;F1525&amp;"~"&amp;G1525</f>
        <v/>
      </c>
      <c r="J1525" t="inlineStr">
        <is>
          <t>MVS Sec.15 p.22</t>
        </is>
      </c>
    </row>
    <row r="1526">
      <c r="B1526" t="inlineStr">
        <is>
          <t>Medical Office Buildings</t>
        </is>
      </c>
      <c r="C1526" t="inlineStr">
        <is>
          <t>341</t>
        </is>
      </c>
      <c r="D1526" t="inlineStr">
        <is>
          <t>15</t>
        </is>
      </c>
      <c r="E1526" t="inlineStr">
        <is>
          <t>22</t>
        </is>
      </c>
      <c r="F1526" t="inlineStr">
        <is>
          <t>S</t>
        </is>
      </c>
      <c r="G1526" t="inlineStr">
        <is>
          <t>Average</t>
        </is>
      </c>
      <c r="H1526" t="n">
        <v>177</v>
      </c>
      <c r="I1526">
        <f>B1526&amp;"~"&amp;F1526&amp;"~"&amp;G1526</f>
        <v/>
      </c>
      <c r="J1526" t="inlineStr">
        <is>
          <t>MVS Sec.15 p.22</t>
        </is>
      </c>
    </row>
    <row r="1527">
      <c r="B1527" t="inlineStr">
        <is>
          <t>Medical Office Buildings</t>
        </is>
      </c>
      <c r="C1527" t="inlineStr">
        <is>
          <t>341</t>
        </is>
      </c>
      <c r="D1527" t="inlineStr">
        <is>
          <t>15</t>
        </is>
      </c>
      <c r="E1527" t="inlineStr">
        <is>
          <t>22</t>
        </is>
      </c>
      <c r="F1527" t="inlineStr">
        <is>
          <t>S</t>
        </is>
      </c>
      <c r="G1527" t="inlineStr">
        <is>
          <t>Low Cost</t>
        </is>
      </c>
      <c r="H1527" t="n">
        <v>135</v>
      </c>
      <c r="I1527">
        <f>B1527&amp;"~"&amp;F1527&amp;"~"&amp;G1527</f>
        <v/>
      </c>
      <c r="J1527" t="inlineStr">
        <is>
          <t>MVS Sec.15 p.22</t>
        </is>
      </c>
    </row>
    <row r="1528">
      <c r="B1528" t="inlineStr">
        <is>
          <t>Dental Clinics</t>
        </is>
      </c>
      <c r="C1528" t="inlineStr">
        <is>
          <t>444</t>
        </is>
      </c>
      <c r="D1528" t="inlineStr">
        <is>
          <t>15</t>
        </is>
      </c>
      <c r="E1528" t="inlineStr">
        <is>
          <t>23</t>
        </is>
      </c>
      <c r="F1528" t="inlineStr">
        <is>
          <t>C</t>
        </is>
      </c>
      <c r="G1528" t="inlineStr">
        <is>
          <t>Excellent</t>
        </is>
      </c>
      <c r="H1528" t="n">
        <v>346</v>
      </c>
      <c r="I1528">
        <f>B1528&amp;"~"&amp;F1528&amp;"~"&amp;G1528</f>
        <v/>
      </c>
      <c r="J1528" t="inlineStr">
        <is>
          <t>MVS Sec.15 p.23</t>
        </is>
      </c>
    </row>
    <row r="1529">
      <c r="B1529" t="inlineStr">
        <is>
          <t>Dental Clinics</t>
        </is>
      </c>
      <c r="C1529" t="inlineStr">
        <is>
          <t>444</t>
        </is>
      </c>
      <c r="D1529" t="inlineStr">
        <is>
          <t>15</t>
        </is>
      </c>
      <c r="E1529" t="inlineStr">
        <is>
          <t>23</t>
        </is>
      </c>
      <c r="F1529" t="inlineStr">
        <is>
          <t>C</t>
        </is>
      </c>
      <c r="G1529" t="inlineStr">
        <is>
          <t>Good</t>
        </is>
      </c>
      <c r="H1529" t="n">
        <v>265</v>
      </c>
      <c r="I1529">
        <f>B1529&amp;"~"&amp;F1529&amp;"~"&amp;G1529</f>
        <v/>
      </c>
      <c r="J1529" t="inlineStr">
        <is>
          <t>MVS Sec.15 p.23</t>
        </is>
      </c>
    </row>
    <row r="1530">
      <c r="B1530" t="inlineStr">
        <is>
          <t>Dental Clinics</t>
        </is>
      </c>
      <c r="C1530" t="inlineStr">
        <is>
          <t>444</t>
        </is>
      </c>
      <c r="D1530" t="inlineStr">
        <is>
          <t>15</t>
        </is>
      </c>
      <c r="E1530" t="inlineStr">
        <is>
          <t>23</t>
        </is>
      </c>
      <c r="F1530" t="inlineStr">
        <is>
          <t>C</t>
        </is>
      </c>
      <c r="G1530" t="inlineStr">
        <is>
          <t>Average</t>
        </is>
      </c>
      <c r="H1530" t="n">
        <v>202</v>
      </c>
      <c r="I1530">
        <f>B1530&amp;"~"&amp;F1530&amp;"~"&amp;G1530</f>
        <v/>
      </c>
      <c r="J1530" t="inlineStr">
        <is>
          <t>MVS Sec.15 p.23</t>
        </is>
      </c>
    </row>
    <row r="1531">
      <c r="B1531" t="inlineStr">
        <is>
          <t>Dental Clinics</t>
        </is>
      </c>
      <c r="C1531" t="inlineStr">
        <is>
          <t>444</t>
        </is>
      </c>
      <c r="D1531" t="inlineStr">
        <is>
          <t>15</t>
        </is>
      </c>
      <c r="E1531" t="inlineStr">
        <is>
          <t>23</t>
        </is>
      </c>
      <c r="F1531" t="inlineStr">
        <is>
          <t>C</t>
        </is>
      </c>
      <c r="G1531" t="inlineStr">
        <is>
          <t>Low Cost</t>
        </is>
      </c>
      <c r="H1531" t="n">
        <v>154</v>
      </c>
      <c r="I1531">
        <f>B1531&amp;"~"&amp;F1531&amp;"~"&amp;G1531</f>
        <v/>
      </c>
      <c r="J1531" t="inlineStr">
        <is>
          <t>MVS Sec.15 p.23</t>
        </is>
      </c>
    </row>
    <row r="1532">
      <c r="B1532" t="inlineStr">
        <is>
          <t>Dental Clinics</t>
        </is>
      </c>
      <c r="C1532" t="inlineStr">
        <is>
          <t>444</t>
        </is>
      </c>
      <c r="D1532" t="inlineStr">
        <is>
          <t>15</t>
        </is>
      </c>
      <c r="E1532" t="inlineStr">
        <is>
          <t>23</t>
        </is>
      </c>
      <c r="F1532" t="inlineStr">
        <is>
          <t>D</t>
        </is>
      </c>
      <c r="G1532" t="inlineStr">
        <is>
          <t>Excellent</t>
        </is>
      </c>
      <c r="H1532" t="n">
        <v>332</v>
      </c>
      <c r="I1532">
        <f>B1532&amp;"~"&amp;F1532&amp;"~"&amp;G1532</f>
        <v/>
      </c>
      <c r="J1532" t="inlineStr">
        <is>
          <t>MVS Sec.15 p.23</t>
        </is>
      </c>
    </row>
    <row r="1533">
      <c r="B1533" t="inlineStr">
        <is>
          <t>Dental Clinics</t>
        </is>
      </c>
      <c r="C1533" t="inlineStr">
        <is>
          <t>444</t>
        </is>
      </c>
      <c r="D1533" t="inlineStr">
        <is>
          <t>15</t>
        </is>
      </c>
      <c r="E1533" t="inlineStr">
        <is>
          <t>23</t>
        </is>
      </c>
      <c r="F1533" t="inlineStr">
        <is>
          <t>D</t>
        </is>
      </c>
      <c r="G1533" t="inlineStr">
        <is>
          <t>Good</t>
        </is>
      </c>
      <c r="H1533" t="n">
        <v>254</v>
      </c>
      <c r="I1533">
        <f>B1533&amp;"~"&amp;F1533&amp;"~"&amp;G1533</f>
        <v/>
      </c>
      <c r="J1533" t="inlineStr">
        <is>
          <t>MVS Sec.15 p.23</t>
        </is>
      </c>
    </row>
    <row r="1534">
      <c r="B1534" t="inlineStr">
        <is>
          <t>Dental Clinics</t>
        </is>
      </c>
      <c r="C1534" t="inlineStr">
        <is>
          <t>444</t>
        </is>
      </c>
      <c r="D1534" t="inlineStr">
        <is>
          <t>15</t>
        </is>
      </c>
      <c r="E1534" t="inlineStr">
        <is>
          <t>23</t>
        </is>
      </c>
      <c r="F1534" t="inlineStr">
        <is>
          <t>D</t>
        </is>
      </c>
      <c r="G1534" t="inlineStr">
        <is>
          <t>Average</t>
        </is>
      </c>
      <c r="H1534" t="n">
        <v>194</v>
      </c>
      <c r="I1534">
        <f>B1534&amp;"~"&amp;F1534&amp;"~"&amp;G1534</f>
        <v/>
      </c>
      <c r="J1534" t="inlineStr">
        <is>
          <t>MVS Sec.15 p.23</t>
        </is>
      </c>
    </row>
    <row r="1535">
      <c r="B1535" t="inlineStr">
        <is>
          <t>Dental Clinics</t>
        </is>
      </c>
      <c r="C1535" t="inlineStr">
        <is>
          <t>444</t>
        </is>
      </c>
      <c r="D1535" t="inlineStr">
        <is>
          <t>15</t>
        </is>
      </c>
      <c r="E1535" t="inlineStr">
        <is>
          <t>23</t>
        </is>
      </c>
      <c r="F1535" t="inlineStr">
        <is>
          <t>D</t>
        </is>
      </c>
      <c r="G1535" t="inlineStr">
        <is>
          <t>Low Cost</t>
        </is>
      </c>
      <c r="H1535" t="n">
        <v>147</v>
      </c>
      <c r="I1535">
        <f>B1535&amp;"~"&amp;F1535&amp;"~"&amp;G1535</f>
        <v/>
      </c>
      <c r="J1535" t="inlineStr">
        <is>
          <t>MVS Sec.15 p.23</t>
        </is>
      </c>
    </row>
    <row r="1536">
      <c r="B1536" t="inlineStr">
        <is>
          <t>Dental Clinics</t>
        </is>
      </c>
      <c r="C1536" t="inlineStr">
        <is>
          <t>444</t>
        </is>
      </c>
      <c r="D1536" t="inlineStr">
        <is>
          <t>15</t>
        </is>
      </c>
      <c r="E1536" t="inlineStr">
        <is>
          <t>23</t>
        </is>
      </c>
      <c r="F1536" t="inlineStr">
        <is>
          <t>DPOLE</t>
        </is>
      </c>
      <c r="G1536" t="inlineStr">
        <is>
          <t>Average</t>
        </is>
      </c>
      <c r="H1536" t="n">
        <v>181</v>
      </c>
      <c r="I1536">
        <f>B1536&amp;"~"&amp;F1536&amp;"~"&amp;G1536</f>
        <v/>
      </c>
      <c r="J1536" t="inlineStr">
        <is>
          <t>MVS Sec.15 p.23</t>
        </is>
      </c>
    </row>
    <row r="1537">
      <c r="B1537" t="inlineStr">
        <is>
          <t>Dental Clinics</t>
        </is>
      </c>
      <c r="C1537" t="inlineStr">
        <is>
          <t>444</t>
        </is>
      </c>
      <c r="D1537" t="inlineStr">
        <is>
          <t>15</t>
        </is>
      </c>
      <c r="E1537" t="inlineStr">
        <is>
          <t>23</t>
        </is>
      </c>
      <c r="F1537" t="inlineStr">
        <is>
          <t>DPOLE</t>
        </is>
      </c>
      <c r="G1537" t="inlineStr">
        <is>
          <t>Low Cost</t>
        </is>
      </c>
      <c r="H1537" t="n">
        <v>135</v>
      </c>
      <c r="I1537">
        <f>B1537&amp;"~"&amp;F1537&amp;"~"&amp;G1537</f>
        <v/>
      </c>
      <c r="J1537" t="inlineStr">
        <is>
          <t>MVS Sec.15 p.23</t>
        </is>
      </c>
    </row>
    <row r="1538">
      <c r="B1538" t="inlineStr">
        <is>
          <t>Dental Clinics</t>
        </is>
      </c>
      <c r="C1538" t="inlineStr">
        <is>
          <t>444</t>
        </is>
      </c>
      <c r="D1538" t="inlineStr">
        <is>
          <t>15</t>
        </is>
      </c>
      <c r="E1538" t="inlineStr">
        <is>
          <t>23</t>
        </is>
      </c>
      <c r="F1538" t="inlineStr">
        <is>
          <t>S</t>
        </is>
      </c>
      <c r="G1538" t="inlineStr">
        <is>
          <t>Good</t>
        </is>
      </c>
      <c r="H1538" t="n">
        <v>246</v>
      </c>
      <c r="I1538">
        <f>B1538&amp;"~"&amp;F1538&amp;"~"&amp;G1538</f>
        <v/>
      </c>
      <c r="J1538" t="inlineStr">
        <is>
          <t>MVS Sec.15 p.23</t>
        </is>
      </c>
    </row>
    <row r="1539">
      <c r="B1539" t="inlineStr">
        <is>
          <t>Dental Clinics</t>
        </is>
      </c>
      <c r="C1539" t="inlineStr">
        <is>
          <t>444</t>
        </is>
      </c>
      <c r="D1539" t="inlineStr">
        <is>
          <t>15</t>
        </is>
      </c>
      <c r="E1539" t="inlineStr">
        <is>
          <t>23</t>
        </is>
      </c>
      <c r="F1539" t="inlineStr">
        <is>
          <t>S</t>
        </is>
      </c>
      <c r="G1539" t="inlineStr">
        <is>
          <t>Average</t>
        </is>
      </c>
      <c r="H1539" t="n">
        <v>185</v>
      </c>
      <c r="I1539">
        <f>B1539&amp;"~"&amp;F1539&amp;"~"&amp;G1539</f>
        <v/>
      </c>
      <c r="J1539" t="inlineStr">
        <is>
          <t>MVS Sec.15 p.23</t>
        </is>
      </c>
    </row>
    <row r="1540">
      <c r="B1540" t="inlineStr">
        <is>
          <t>Dental Clinics</t>
        </is>
      </c>
      <c r="C1540" t="inlineStr">
        <is>
          <t>444</t>
        </is>
      </c>
      <c r="D1540" t="inlineStr">
        <is>
          <t>15</t>
        </is>
      </c>
      <c r="E1540" t="inlineStr">
        <is>
          <t>23</t>
        </is>
      </c>
      <c r="F1540" t="inlineStr">
        <is>
          <t>S</t>
        </is>
      </c>
      <c r="G1540" t="inlineStr">
        <is>
          <t>Low Cost</t>
        </is>
      </c>
      <c r="H1540" t="n">
        <v>139</v>
      </c>
      <c r="I1540">
        <f>B1540&amp;"~"&amp;F1540&amp;"~"&amp;G1540</f>
        <v/>
      </c>
      <c r="J1540" t="inlineStr">
        <is>
          <t>MVS Sec.15 p.23</t>
        </is>
      </c>
    </row>
    <row r="1541">
      <c r="B1541" t="inlineStr">
        <is>
          <t>Urgent Care Clinics</t>
        </is>
      </c>
      <c r="C1541" t="inlineStr">
        <is>
          <t>320</t>
        </is>
      </c>
      <c r="D1541" t="inlineStr">
        <is>
          <t>15</t>
        </is>
      </c>
      <c r="E1541" t="inlineStr">
        <is>
          <t>23</t>
        </is>
      </c>
      <c r="F1541" t="inlineStr">
        <is>
          <t>A-B</t>
        </is>
      </c>
      <c r="G1541" t="inlineStr">
        <is>
          <t>Good</t>
        </is>
      </c>
      <c r="H1541" t="n">
        <v>244</v>
      </c>
      <c r="I1541">
        <f>B1541&amp;"~"&amp;F1541&amp;"~"&amp;G1541</f>
        <v/>
      </c>
      <c r="J1541" t="inlineStr">
        <is>
          <t>MVS Sec.15 p.23</t>
        </is>
      </c>
    </row>
    <row r="1542">
      <c r="B1542" t="inlineStr">
        <is>
          <t>Urgent Care Clinics</t>
        </is>
      </c>
      <c r="C1542" t="inlineStr">
        <is>
          <t>320</t>
        </is>
      </c>
      <c r="D1542" t="inlineStr">
        <is>
          <t>15</t>
        </is>
      </c>
      <c r="E1542" t="inlineStr">
        <is>
          <t>23</t>
        </is>
      </c>
      <c r="F1542" t="inlineStr">
        <is>
          <t>A-B</t>
        </is>
      </c>
      <c r="G1542" t="inlineStr">
        <is>
          <t>Average</t>
        </is>
      </c>
      <c r="H1542" t="n">
        <v>201</v>
      </c>
      <c r="I1542">
        <f>B1542&amp;"~"&amp;F1542&amp;"~"&amp;G1542</f>
        <v/>
      </c>
      <c r="J1542" t="inlineStr">
        <is>
          <t>MVS Sec.15 p.23</t>
        </is>
      </c>
    </row>
    <row r="1543">
      <c r="B1543" t="inlineStr">
        <is>
          <t>Urgent Care Clinics</t>
        </is>
      </c>
      <c r="C1543" t="inlineStr">
        <is>
          <t>320</t>
        </is>
      </c>
      <c r="D1543" t="inlineStr">
        <is>
          <t>15</t>
        </is>
      </c>
      <c r="E1543" t="inlineStr">
        <is>
          <t>23</t>
        </is>
      </c>
      <c r="F1543" t="inlineStr">
        <is>
          <t>C</t>
        </is>
      </c>
      <c r="G1543" t="inlineStr">
        <is>
          <t>Excellent</t>
        </is>
      </c>
      <c r="H1543" t="n">
        <v>248</v>
      </c>
      <c r="I1543">
        <f>B1543&amp;"~"&amp;F1543&amp;"~"&amp;G1543</f>
        <v/>
      </c>
      <c r="J1543" t="inlineStr">
        <is>
          <t>MVS Sec.15 p.23</t>
        </is>
      </c>
    </row>
    <row r="1544">
      <c r="B1544" t="inlineStr">
        <is>
          <t>Urgent Care Clinics</t>
        </is>
      </c>
      <c r="C1544" t="inlineStr">
        <is>
          <t>320</t>
        </is>
      </c>
      <c r="D1544" t="inlineStr">
        <is>
          <t>15</t>
        </is>
      </c>
      <c r="E1544" t="inlineStr">
        <is>
          <t>23</t>
        </is>
      </c>
      <c r="F1544" t="inlineStr">
        <is>
          <t>C</t>
        </is>
      </c>
      <c r="G1544" t="inlineStr">
        <is>
          <t>Good</t>
        </is>
      </c>
      <c r="H1544" t="n">
        <v>190</v>
      </c>
      <c r="I1544">
        <f>B1544&amp;"~"&amp;F1544&amp;"~"&amp;G1544</f>
        <v/>
      </c>
      <c r="J1544" t="inlineStr">
        <is>
          <t>MVS Sec.15 p.23</t>
        </is>
      </c>
    </row>
    <row r="1545">
      <c r="B1545" t="inlineStr">
        <is>
          <t>Urgent Care Clinics</t>
        </is>
      </c>
      <c r="C1545" t="inlineStr">
        <is>
          <t>320</t>
        </is>
      </c>
      <c r="D1545" t="inlineStr">
        <is>
          <t>15</t>
        </is>
      </c>
      <c r="E1545" t="inlineStr">
        <is>
          <t>23</t>
        </is>
      </c>
      <c r="F1545" t="inlineStr">
        <is>
          <t>C</t>
        </is>
      </c>
      <c r="G1545" t="inlineStr">
        <is>
          <t>Average</t>
        </is>
      </c>
      <c r="H1545" t="n">
        <v>148</v>
      </c>
      <c r="I1545">
        <f>B1545&amp;"~"&amp;F1545&amp;"~"&amp;G1545</f>
        <v/>
      </c>
      <c r="J1545" t="inlineStr">
        <is>
          <t>MVS Sec.15 p.23</t>
        </is>
      </c>
    </row>
    <row r="1546">
      <c r="B1546" t="inlineStr">
        <is>
          <t>Urgent Care Clinics</t>
        </is>
      </c>
      <c r="C1546" t="inlineStr">
        <is>
          <t>320</t>
        </is>
      </c>
      <c r="D1546" t="inlineStr">
        <is>
          <t>15</t>
        </is>
      </c>
      <c r="E1546" t="inlineStr">
        <is>
          <t>23</t>
        </is>
      </c>
      <c r="F1546" t="inlineStr">
        <is>
          <t>D</t>
        </is>
      </c>
      <c r="G1546" t="inlineStr">
        <is>
          <t>Excellent</t>
        </is>
      </c>
      <c r="H1546" t="n">
        <v>236</v>
      </c>
      <c r="I1546">
        <f>B1546&amp;"~"&amp;F1546&amp;"~"&amp;G1546</f>
        <v/>
      </c>
      <c r="J1546" t="inlineStr">
        <is>
          <t>MVS Sec.15 p.23</t>
        </is>
      </c>
    </row>
    <row r="1547">
      <c r="B1547" t="inlineStr">
        <is>
          <t>Urgent Care Clinics</t>
        </is>
      </c>
      <c r="C1547" t="inlineStr">
        <is>
          <t>320</t>
        </is>
      </c>
      <c r="D1547" t="inlineStr">
        <is>
          <t>15</t>
        </is>
      </c>
      <c r="E1547" t="inlineStr">
        <is>
          <t>23</t>
        </is>
      </c>
      <c r="F1547" t="inlineStr">
        <is>
          <t>D</t>
        </is>
      </c>
      <c r="G1547" t="inlineStr">
        <is>
          <t>Good</t>
        </is>
      </c>
      <c r="H1547" t="n">
        <v>180</v>
      </c>
      <c r="I1547">
        <f>B1547&amp;"~"&amp;F1547&amp;"~"&amp;G1547</f>
        <v/>
      </c>
      <c r="J1547" t="inlineStr">
        <is>
          <t>MVS Sec.15 p.23</t>
        </is>
      </c>
    </row>
    <row r="1548">
      <c r="B1548" t="inlineStr">
        <is>
          <t>Urgent Care Clinics</t>
        </is>
      </c>
      <c r="C1548" t="inlineStr">
        <is>
          <t>320</t>
        </is>
      </c>
      <c r="D1548" t="inlineStr">
        <is>
          <t>15</t>
        </is>
      </c>
      <c r="E1548" t="inlineStr">
        <is>
          <t>23</t>
        </is>
      </c>
      <c r="F1548" t="inlineStr">
        <is>
          <t>D</t>
        </is>
      </c>
      <c r="G1548" t="inlineStr">
        <is>
          <t>Average</t>
        </is>
      </c>
      <c r="H1548" t="n">
        <v>140</v>
      </c>
      <c r="I1548">
        <f>B1548&amp;"~"&amp;F1548&amp;"~"&amp;G1548</f>
        <v/>
      </c>
      <c r="J1548" t="inlineStr">
        <is>
          <t>MVS Sec.15 p.23</t>
        </is>
      </c>
    </row>
    <row r="1549">
      <c r="B1549" t="inlineStr">
        <is>
          <t>Urgent Care Clinics</t>
        </is>
      </c>
      <c r="C1549" t="inlineStr">
        <is>
          <t>320</t>
        </is>
      </c>
      <c r="D1549" t="inlineStr">
        <is>
          <t>15</t>
        </is>
      </c>
      <c r="E1549" t="inlineStr">
        <is>
          <t>23</t>
        </is>
      </c>
      <c r="F1549" t="inlineStr">
        <is>
          <t>S</t>
        </is>
      </c>
      <c r="G1549" t="inlineStr">
        <is>
          <t>Average</t>
        </is>
      </c>
      <c r="H1549" t="n">
        <v>135</v>
      </c>
      <c r="I1549">
        <f>B1549&amp;"~"&amp;F1549&amp;"~"&amp;G1549</f>
        <v/>
      </c>
      <c r="J1549" t="inlineStr">
        <is>
          <t>MVS Sec.15 p.23</t>
        </is>
      </c>
    </row>
    <row r="1550">
      <c r="B1550" t="inlineStr">
        <is>
          <t>General Hospitals</t>
        </is>
      </c>
      <c r="C1550" t="inlineStr">
        <is>
          <t>331</t>
        </is>
      </c>
      <c r="D1550" t="inlineStr">
        <is>
          <t>15</t>
        </is>
      </c>
      <c r="E1550" t="inlineStr">
        <is>
          <t>24</t>
        </is>
      </c>
      <c r="F1550" t="inlineStr">
        <is>
          <t>A</t>
        </is>
      </c>
      <c r="G1550" t="inlineStr">
        <is>
          <t>Excellent</t>
        </is>
      </c>
      <c r="H1550" t="n">
        <v>735</v>
      </c>
      <c r="I1550">
        <f>B1550&amp;"~"&amp;F1550&amp;"~"&amp;G1550</f>
        <v/>
      </c>
      <c r="J1550" t="inlineStr">
        <is>
          <t>MVS Sec.15 p.24</t>
        </is>
      </c>
    </row>
    <row r="1551">
      <c r="B1551" t="inlineStr">
        <is>
          <t>General Hospitals</t>
        </is>
      </c>
      <c r="C1551" t="inlineStr">
        <is>
          <t>331</t>
        </is>
      </c>
      <c r="D1551" t="inlineStr">
        <is>
          <t>15</t>
        </is>
      </c>
      <c r="E1551" t="inlineStr">
        <is>
          <t>24</t>
        </is>
      </c>
      <c r="F1551" t="inlineStr">
        <is>
          <t>A</t>
        </is>
      </c>
      <c r="G1551" t="inlineStr">
        <is>
          <t>Good</t>
        </is>
      </c>
      <c r="H1551" t="n">
        <v>560</v>
      </c>
      <c r="I1551">
        <f>B1551&amp;"~"&amp;F1551&amp;"~"&amp;G1551</f>
        <v/>
      </c>
      <c r="J1551" t="inlineStr">
        <is>
          <t>MVS Sec.15 p.24</t>
        </is>
      </c>
    </row>
    <row r="1552">
      <c r="B1552" t="inlineStr">
        <is>
          <t>General Hospitals</t>
        </is>
      </c>
      <c r="C1552" t="inlineStr">
        <is>
          <t>331</t>
        </is>
      </c>
      <c r="D1552" t="inlineStr">
        <is>
          <t>15</t>
        </is>
      </c>
      <c r="E1552" t="inlineStr">
        <is>
          <t>24</t>
        </is>
      </c>
      <c r="F1552" t="inlineStr">
        <is>
          <t>A</t>
        </is>
      </c>
      <c r="G1552" t="inlineStr">
        <is>
          <t>Average</t>
        </is>
      </c>
      <c r="H1552" t="n">
        <v>430</v>
      </c>
      <c r="I1552">
        <f>B1552&amp;"~"&amp;F1552&amp;"~"&amp;G1552</f>
        <v/>
      </c>
      <c r="J1552" t="inlineStr">
        <is>
          <t>MVS Sec.15 p.24</t>
        </is>
      </c>
    </row>
    <row r="1553">
      <c r="B1553" t="inlineStr">
        <is>
          <t>General Hospitals</t>
        </is>
      </c>
      <c r="C1553" t="inlineStr">
        <is>
          <t>331</t>
        </is>
      </c>
      <c r="D1553" t="inlineStr">
        <is>
          <t>15</t>
        </is>
      </c>
      <c r="E1553" t="inlineStr">
        <is>
          <t>24</t>
        </is>
      </c>
      <c r="F1553" t="inlineStr">
        <is>
          <t>A</t>
        </is>
      </c>
      <c r="G1553" t="inlineStr">
        <is>
          <t>Low Cost</t>
        </is>
      </c>
      <c r="H1553" t="n">
        <v>331</v>
      </c>
      <c r="I1553">
        <f>B1553&amp;"~"&amp;F1553&amp;"~"&amp;G1553</f>
        <v/>
      </c>
      <c r="J1553" t="inlineStr">
        <is>
          <t>MVS Sec.15 p.24</t>
        </is>
      </c>
    </row>
    <row r="1554">
      <c r="B1554" t="inlineStr">
        <is>
          <t>General Hospitals</t>
        </is>
      </c>
      <c r="C1554" t="inlineStr">
        <is>
          <t>331</t>
        </is>
      </c>
      <c r="D1554" t="inlineStr">
        <is>
          <t>15</t>
        </is>
      </c>
      <c r="E1554" t="inlineStr">
        <is>
          <t>24</t>
        </is>
      </c>
      <c r="F1554" t="inlineStr">
        <is>
          <t>B</t>
        </is>
      </c>
      <c r="G1554" t="inlineStr">
        <is>
          <t>Excellent</t>
        </is>
      </c>
      <c r="H1554" t="n">
        <v>675</v>
      </c>
      <c r="I1554">
        <f>B1554&amp;"~"&amp;F1554&amp;"~"&amp;G1554</f>
        <v/>
      </c>
      <c r="J1554" t="inlineStr">
        <is>
          <t>MVS Sec.15 p.24</t>
        </is>
      </c>
    </row>
    <row r="1555">
      <c r="B1555" t="inlineStr">
        <is>
          <t>General Hospitals</t>
        </is>
      </c>
      <c r="C1555" t="inlineStr">
        <is>
          <t>331</t>
        </is>
      </c>
      <c r="D1555" t="inlineStr">
        <is>
          <t>15</t>
        </is>
      </c>
      <c r="E1555" t="inlineStr">
        <is>
          <t>24</t>
        </is>
      </c>
      <c r="F1555" t="inlineStr">
        <is>
          <t>B</t>
        </is>
      </c>
      <c r="G1555" t="inlineStr">
        <is>
          <t>Good</t>
        </is>
      </c>
      <c r="H1555" t="n">
        <v>520</v>
      </c>
      <c r="I1555">
        <f>B1555&amp;"~"&amp;F1555&amp;"~"&amp;G1555</f>
        <v/>
      </c>
      <c r="J1555" t="inlineStr">
        <is>
          <t>MVS Sec.15 p.24</t>
        </is>
      </c>
    </row>
    <row r="1556">
      <c r="B1556" t="inlineStr">
        <is>
          <t>General Hospitals</t>
        </is>
      </c>
      <c r="C1556" t="inlineStr">
        <is>
          <t>331</t>
        </is>
      </c>
      <c r="D1556" t="inlineStr">
        <is>
          <t>15</t>
        </is>
      </c>
      <c r="E1556" t="inlineStr">
        <is>
          <t>24</t>
        </is>
      </c>
      <c r="F1556" t="inlineStr">
        <is>
          <t>B</t>
        </is>
      </c>
      <c r="G1556" t="inlineStr">
        <is>
          <t>Average</t>
        </is>
      </c>
      <c r="H1556" t="n">
        <v>398</v>
      </c>
      <c r="I1556">
        <f>B1556&amp;"~"&amp;F1556&amp;"~"&amp;G1556</f>
        <v/>
      </c>
      <c r="J1556" t="inlineStr">
        <is>
          <t>MVS Sec.15 p.24</t>
        </is>
      </c>
    </row>
    <row r="1557">
      <c r="B1557" t="inlineStr">
        <is>
          <t>General Hospitals</t>
        </is>
      </c>
      <c r="C1557" t="inlineStr">
        <is>
          <t>331</t>
        </is>
      </c>
      <c r="D1557" t="inlineStr">
        <is>
          <t>15</t>
        </is>
      </c>
      <c r="E1557" t="inlineStr">
        <is>
          <t>24</t>
        </is>
      </c>
      <c r="F1557" t="inlineStr">
        <is>
          <t>B</t>
        </is>
      </c>
      <c r="G1557" t="inlineStr">
        <is>
          <t>Low Cost</t>
        </is>
      </c>
      <c r="H1557" t="n">
        <v>307</v>
      </c>
      <c r="I1557">
        <f>B1557&amp;"~"&amp;F1557&amp;"~"&amp;G1557</f>
        <v/>
      </c>
      <c r="J1557" t="inlineStr">
        <is>
          <t>MVS Sec.15 p.24</t>
        </is>
      </c>
    </row>
    <row r="1558">
      <c r="B1558" t="inlineStr">
        <is>
          <t>General Hospitals</t>
        </is>
      </c>
      <c r="C1558" t="inlineStr">
        <is>
          <t>331</t>
        </is>
      </c>
      <c r="D1558" t="inlineStr">
        <is>
          <t>15</t>
        </is>
      </c>
      <c r="E1558" t="inlineStr">
        <is>
          <t>24</t>
        </is>
      </c>
      <c r="F1558" t="inlineStr">
        <is>
          <t>C</t>
        </is>
      </c>
      <c r="G1558" t="inlineStr">
        <is>
          <t>Excellent</t>
        </is>
      </c>
      <c r="H1558" t="n">
        <v>540</v>
      </c>
      <c r="I1558">
        <f>B1558&amp;"~"&amp;F1558&amp;"~"&amp;G1558</f>
        <v/>
      </c>
      <c r="J1558" t="inlineStr">
        <is>
          <t>MVS Sec.15 p.24</t>
        </is>
      </c>
    </row>
    <row r="1559">
      <c r="B1559" t="inlineStr">
        <is>
          <t>General Hospitals</t>
        </is>
      </c>
      <c r="C1559" t="inlineStr">
        <is>
          <t>331</t>
        </is>
      </c>
      <c r="D1559" t="inlineStr">
        <is>
          <t>15</t>
        </is>
      </c>
      <c r="E1559" t="inlineStr">
        <is>
          <t>24</t>
        </is>
      </c>
      <c r="F1559" t="inlineStr">
        <is>
          <t>C</t>
        </is>
      </c>
      <c r="G1559" t="inlineStr">
        <is>
          <t>Good</t>
        </is>
      </c>
      <c r="H1559" t="n">
        <v>403</v>
      </c>
      <c r="I1559">
        <f>B1559&amp;"~"&amp;F1559&amp;"~"&amp;G1559</f>
        <v/>
      </c>
      <c r="J1559" t="inlineStr">
        <is>
          <t>MVS Sec.15 p.24</t>
        </is>
      </c>
    </row>
    <row r="1560">
      <c r="B1560" t="inlineStr">
        <is>
          <t>General Hospitals</t>
        </is>
      </c>
      <c r="C1560" t="inlineStr">
        <is>
          <t>331</t>
        </is>
      </c>
      <c r="D1560" t="inlineStr">
        <is>
          <t>15</t>
        </is>
      </c>
      <c r="E1560" t="inlineStr">
        <is>
          <t>24</t>
        </is>
      </c>
      <c r="F1560" t="inlineStr">
        <is>
          <t>C</t>
        </is>
      </c>
      <c r="G1560" t="inlineStr">
        <is>
          <t>Average</t>
        </is>
      </c>
      <c r="H1560" t="n">
        <v>303</v>
      </c>
      <c r="I1560">
        <f>B1560&amp;"~"&amp;F1560&amp;"~"&amp;G1560</f>
        <v/>
      </c>
      <c r="J1560" t="inlineStr">
        <is>
          <t>MVS Sec.15 p.24</t>
        </is>
      </c>
    </row>
    <row r="1561">
      <c r="B1561" t="inlineStr">
        <is>
          <t>General Hospitals</t>
        </is>
      </c>
      <c r="C1561" t="inlineStr">
        <is>
          <t>331</t>
        </is>
      </c>
      <c r="D1561" t="inlineStr">
        <is>
          <t>15</t>
        </is>
      </c>
      <c r="E1561" t="inlineStr">
        <is>
          <t>24</t>
        </is>
      </c>
      <c r="F1561" t="inlineStr">
        <is>
          <t>C</t>
        </is>
      </c>
      <c r="G1561" t="inlineStr">
        <is>
          <t>Low Cost</t>
        </is>
      </c>
      <c r="H1561" t="n">
        <v>225</v>
      </c>
      <c r="I1561">
        <f>B1561&amp;"~"&amp;F1561&amp;"~"&amp;G1561</f>
        <v/>
      </c>
      <c r="J1561" t="inlineStr">
        <is>
          <t>MVS Sec.15 p.24</t>
        </is>
      </c>
    </row>
    <row r="1562">
      <c r="B1562" t="inlineStr">
        <is>
          <t>General Hospitals</t>
        </is>
      </c>
      <c r="C1562" t="inlineStr">
        <is>
          <t>331</t>
        </is>
      </c>
      <c r="D1562" t="inlineStr">
        <is>
          <t>15</t>
        </is>
      </c>
      <c r="E1562" t="inlineStr">
        <is>
          <t>24</t>
        </is>
      </c>
      <c r="F1562" t="inlineStr">
        <is>
          <t>D</t>
        </is>
      </c>
      <c r="G1562" t="inlineStr">
        <is>
          <t>Good</t>
        </is>
      </c>
      <c r="H1562" t="n">
        <v>382</v>
      </c>
      <c r="I1562">
        <f>B1562&amp;"~"&amp;F1562&amp;"~"&amp;G1562</f>
        <v/>
      </c>
      <c r="J1562" t="inlineStr">
        <is>
          <t>MVS Sec.15 p.24</t>
        </is>
      </c>
    </row>
    <row r="1563">
      <c r="B1563" t="inlineStr">
        <is>
          <t>General Hospitals</t>
        </is>
      </c>
      <c r="C1563" t="inlineStr">
        <is>
          <t>331</t>
        </is>
      </c>
      <c r="D1563" t="inlineStr">
        <is>
          <t>15</t>
        </is>
      </c>
      <c r="E1563" t="inlineStr">
        <is>
          <t>24</t>
        </is>
      </c>
      <c r="F1563" t="inlineStr">
        <is>
          <t>D</t>
        </is>
      </c>
      <c r="G1563" t="inlineStr">
        <is>
          <t>Average</t>
        </is>
      </c>
      <c r="H1563" t="n">
        <v>289</v>
      </c>
      <c r="I1563">
        <f>B1563&amp;"~"&amp;F1563&amp;"~"&amp;G1563</f>
        <v/>
      </c>
      <c r="J1563" t="inlineStr">
        <is>
          <t>MVS Sec.15 p.24</t>
        </is>
      </c>
    </row>
    <row r="1564">
      <c r="B1564" t="inlineStr">
        <is>
          <t>General Hospitals</t>
        </is>
      </c>
      <c r="C1564" t="inlineStr">
        <is>
          <t>331</t>
        </is>
      </c>
      <c r="D1564" t="inlineStr">
        <is>
          <t>15</t>
        </is>
      </c>
      <c r="E1564" t="inlineStr">
        <is>
          <t>24</t>
        </is>
      </c>
      <c r="F1564" t="inlineStr">
        <is>
          <t>D</t>
        </is>
      </c>
      <c r="G1564" t="inlineStr">
        <is>
          <t>Low Cost</t>
        </is>
      </c>
      <c r="H1564" t="n">
        <v>218</v>
      </c>
      <c r="I1564">
        <f>B1564&amp;"~"&amp;F1564&amp;"~"&amp;G1564</f>
        <v/>
      </c>
      <c r="J1564" t="inlineStr">
        <is>
          <t>MVS Sec.15 p.24</t>
        </is>
      </c>
    </row>
    <row r="1565">
      <c r="B1565" t="inlineStr">
        <is>
          <t>General Hospitals</t>
        </is>
      </c>
      <c r="C1565" t="inlineStr">
        <is>
          <t>331</t>
        </is>
      </c>
      <c r="D1565" t="inlineStr">
        <is>
          <t>15</t>
        </is>
      </c>
      <c r="E1565" t="inlineStr">
        <is>
          <t>24</t>
        </is>
      </c>
      <c r="F1565" t="inlineStr">
        <is>
          <t>S</t>
        </is>
      </c>
      <c r="G1565" t="inlineStr">
        <is>
          <t>Low Cost</t>
        </is>
      </c>
      <c r="H1565" t="n">
        <v>215</v>
      </c>
      <c r="I1565">
        <f>B1565&amp;"~"&amp;F1565&amp;"~"&amp;G1565</f>
        <v/>
      </c>
      <c r="J1565" t="inlineStr">
        <is>
          <t>MVS Sec.15 p.24</t>
        </is>
      </c>
    </row>
    <row r="1566">
      <c r="B1566" t="inlineStr">
        <is>
          <t>Outpatient (Surgical) Centers</t>
        </is>
      </c>
      <c r="C1566" t="inlineStr">
        <is>
          <t>431</t>
        </is>
      </c>
      <c r="D1566" t="inlineStr">
        <is>
          <t>15</t>
        </is>
      </c>
      <c r="E1566" t="inlineStr">
        <is>
          <t>25</t>
        </is>
      </c>
      <c r="F1566" t="inlineStr">
        <is>
          <t>A-B</t>
        </is>
      </c>
      <c r="G1566" t="inlineStr">
        <is>
          <t>Good</t>
        </is>
      </c>
      <c r="H1566" t="n">
        <v>550</v>
      </c>
      <c r="I1566">
        <f>B1566&amp;"~"&amp;F1566&amp;"~"&amp;G1566</f>
        <v/>
      </c>
      <c r="J1566" t="inlineStr">
        <is>
          <t>MVS Sec.15 p.25</t>
        </is>
      </c>
    </row>
    <row r="1567">
      <c r="B1567" t="inlineStr">
        <is>
          <t>Outpatient (Surgical) Centers</t>
        </is>
      </c>
      <c r="C1567" t="inlineStr">
        <is>
          <t>431</t>
        </is>
      </c>
      <c r="D1567" t="inlineStr">
        <is>
          <t>15</t>
        </is>
      </c>
      <c r="E1567" t="inlineStr">
        <is>
          <t>25</t>
        </is>
      </c>
      <c r="F1567" t="inlineStr">
        <is>
          <t>A-B</t>
        </is>
      </c>
      <c r="G1567" t="inlineStr">
        <is>
          <t>Average</t>
        </is>
      </c>
      <c r="H1567" t="n">
        <v>403</v>
      </c>
      <c r="I1567">
        <f>B1567&amp;"~"&amp;F1567&amp;"~"&amp;G1567</f>
        <v/>
      </c>
      <c r="J1567" t="inlineStr">
        <is>
          <t>MVS Sec.15 p.25</t>
        </is>
      </c>
    </row>
    <row r="1568">
      <c r="B1568" t="inlineStr">
        <is>
          <t>Outpatient (Surgical) Centers</t>
        </is>
      </c>
      <c r="C1568" t="inlineStr">
        <is>
          <t>431</t>
        </is>
      </c>
      <c r="D1568" t="inlineStr">
        <is>
          <t>15</t>
        </is>
      </c>
      <c r="E1568" t="inlineStr">
        <is>
          <t>25</t>
        </is>
      </c>
      <c r="F1568" t="inlineStr">
        <is>
          <t>C</t>
        </is>
      </c>
      <c r="G1568" t="inlineStr">
        <is>
          <t>Excellent</t>
        </is>
      </c>
      <c r="H1568" t="n">
        <v>620</v>
      </c>
      <c r="I1568">
        <f>B1568&amp;"~"&amp;F1568&amp;"~"&amp;G1568</f>
        <v/>
      </c>
      <c r="J1568" t="inlineStr">
        <is>
          <t>MVS Sec.15 p.25</t>
        </is>
      </c>
    </row>
    <row r="1569">
      <c r="B1569" t="inlineStr">
        <is>
          <t>Outpatient (Surgical) Centers</t>
        </is>
      </c>
      <c r="C1569" t="inlineStr">
        <is>
          <t>431</t>
        </is>
      </c>
      <c r="D1569" t="inlineStr">
        <is>
          <t>15</t>
        </is>
      </c>
      <c r="E1569" t="inlineStr">
        <is>
          <t>25</t>
        </is>
      </c>
      <c r="F1569" t="inlineStr">
        <is>
          <t>C</t>
        </is>
      </c>
      <c r="G1569" t="inlineStr">
        <is>
          <t>Good</t>
        </is>
      </c>
      <c r="H1569" t="n">
        <v>429</v>
      </c>
      <c r="I1569">
        <f>B1569&amp;"~"&amp;F1569&amp;"~"&amp;G1569</f>
        <v/>
      </c>
      <c r="J1569" t="inlineStr">
        <is>
          <t>MVS Sec.15 p.25</t>
        </is>
      </c>
    </row>
    <row r="1570">
      <c r="B1570" t="inlineStr">
        <is>
          <t>Outpatient (Surgical) Centers</t>
        </is>
      </c>
      <c r="C1570" t="inlineStr">
        <is>
          <t>431</t>
        </is>
      </c>
      <c r="D1570" t="inlineStr">
        <is>
          <t>15</t>
        </is>
      </c>
      <c r="E1570" t="inlineStr">
        <is>
          <t>25</t>
        </is>
      </c>
      <c r="F1570" t="inlineStr">
        <is>
          <t>C</t>
        </is>
      </c>
      <c r="G1570" t="inlineStr">
        <is>
          <t>Average</t>
        </is>
      </c>
      <c r="H1570" t="n">
        <v>298</v>
      </c>
      <c r="I1570">
        <f>B1570&amp;"~"&amp;F1570&amp;"~"&amp;G1570</f>
        <v/>
      </c>
      <c r="J1570" t="inlineStr">
        <is>
          <t>MVS Sec.15 p.25</t>
        </is>
      </c>
    </row>
    <row r="1571">
      <c r="B1571" t="inlineStr">
        <is>
          <t>Outpatient (Surgical) Centers</t>
        </is>
      </c>
      <c r="C1571" t="inlineStr">
        <is>
          <t>431</t>
        </is>
      </c>
      <c r="D1571" t="inlineStr">
        <is>
          <t>15</t>
        </is>
      </c>
      <c r="E1571" t="inlineStr">
        <is>
          <t>25</t>
        </is>
      </c>
      <c r="F1571" t="inlineStr">
        <is>
          <t>C</t>
        </is>
      </c>
      <c r="G1571" t="inlineStr">
        <is>
          <t>Fair</t>
        </is>
      </c>
      <c r="H1571" t="n">
        <v>249</v>
      </c>
      <c r="I1571">
        <f>B1571&amp;"~"&amp;F1571&amp;"~"&amp;G1571</f>
        <v/>
      </c>
      <c r="J1571" t="inlineStr">
        <is>
          <t>MVS Sec.15 p.25</t>
        </is>
      </c>
    </row>
    <row r="1572">
      <c r="B1572" t="inlineStr">
        <is>
          <t>Outpatient (Surgical) Centers</t>
        </is>
      </c>
      <c r="C1572" t="inlineStr">
        <is>
          <t>431</t>
        </is>
      </c>
      <c r="D1572" t="inlineStr">
        <is>
          <t>15</t>
        </is>
      </c>
      <c r="E1572" t="inlineStr">
        <is>
          <t>25</t>
        </is>
      </c>
      <c r="F1572" t="inlineStr">
        <is>
          <t>C</t>
        </is>
      </c>
      <c r="G1572" t="inlineStr">
        <is>
          <t>Low Cost</t>
        </is>
      </c>
      <c r="H1572" t="n">
        <v>208</v>
      </c>
      <c r="I1572">
        <f>B1572&amp;"~"&amp;F1572&amp;"~"&amp;G1572</f>
        <v/>
      </c>
      <c r="J1572" t="inlineStr">
        <is>
          <t>MVS Sec.15 p.25</t>
        </is>
      </c>
    </row>
    <row r="1573">
      <c r="B1573" t="inlineStr">
        <is>
          <t>Outpatient (Surgical) Centers</t>
        </is>
      </c>
      <c r="C1573" t="inlineStr">
        <is>
          <t>431</t>
        </is>
      </c>
      <c r="D1573" t="inlineStr">
        <is>
          <t>15</t>
        </is>
      </c>
      <c r="E1573" t="inlineStr">
        <is>
          <t>25</t>
        </is>
      </c>
      <c r="F1573" t="inlineStr">
        <is>
          <t>D</t>
        </is>
      </c>
      <c r="G1573" t="inlineStr">
        <is>
          <t>Excellent</t>
        </is>
      </c>
      <c r="H1573" t="n">
        <v>585</v>
      </c>
      <c r="I1573">
        <f>B1573&amp;"~"&amp;F1573&amp;"~"&amp;G1573</f>
        <v/>
      </c>
      <c r="J1573" t="inlineStr">
        <is>
          <t>MVS Sec.15 p.25</t>
        </is>
      </c>
    </row>
    <row r="1574">
      <c r="B1574" t="inlineStr">
        <is>
          <t>Outpatient (Surgical) Centers</t>
        </is>
      </c>
      <c r="C1574" t="inlineStr">
        <is>
          <t>431</t>
        </is>
      </c>
      <c r="D1574" t="inlineStr">
        <is>
          <t>15</t>
        </is>
      </c>
      <c r="E1574" t="inlineStr">
        <is>
          <t>25</t>
        </is>
      </c>
      <c r="F1574" t="inlineStr">
        <is>
          <t>D</t>
        </is>
      </c>
      <c r="G1574" t="inlineStr">
        <is>
          <t>Good</t>
        </is>
      </c>
      <c r="H1574" t="n">
        <v>409</v>
      </c>
      <c r="I1574">
        <f>B1574&amp;"~"&amp;F1574&amp;"~"&amp;G1574</f>
        <v/>
      </c>
      <c r="J1574" t="inlineStr">
        <is>
          <t>MVS Sec.15 p.25</t>
        </is>
      </c>
    </row>
    <row r="1575">
      <c r="B1575" t="inlineStr">
        <is>
          <t>Outpatient (Surgical) Centers</t>
        </is>
      </c>
      <c r="C1575" t="inlineStr">
        <is>
          <t>431</t>
        </is>
      </c>
      <c r="D1575" t="inlineStr">
        <is>
          <t>15</t>
        </is>
      </c>
      <c r="E1575" t="inlineStr">
        <is>
          <t>25</t>
        </is>
      </c>
      <c r="F1575" t="inlineStr">
        <is>
          <t>D</t>
        </is>
      </c>
      <c r="G1575" t="inlineStr">
        <is>
          <t>Average</t>
        </is>
      </c>
      <c r="H1575" t="n">
        <v>287</v>
      </c>
      <c r="I1575">
        <f>B1575&amp;"~"&amp;F1575&amp;"~"&amp;G1575</f>
        <v/>
      </c>
      <c r="J1575" t="inlineStr">
        <is>
          <t>MVS Sec.15 p.25</t>
        </is>
      </c>
    </row>
    <row r="1576">
      <c r="B1576" t="inlineStr">
        <is>
          <t>Outpatient (Surgical) Centers</t>
        </is>
      </c>
      <c r="C1576" t="inlineStr">
        <is>
          <t>431</t>
        </is>
      </c>
      <c r="D1576" t="inlineStr">
        <is>
          <t>15</t>
        </is>
      </c>
      <c r="E1576" t="inlineStr">
        <is>
          <t>25</t>
        </is>
      </c>
      <c r="F1576" t="inlineStr">
        <is>
          <t>D</t>
        </is>
      </c>
      <c r="G1576" t="inlineStr">
        <is>
          <t>Fair</t>
        </is>
      </c>
      <c r="H1576" t="n">
        <v>240</v>
      </c>
      <c r="I1576">
        <f>B1576&amp;"~"&amp;F1576&amp;"~"&amp;G1576</f>
        <v/>
      </c>
      <c r="J1576" t="inlineStr">
        <is>
          <t>MVS Sec.15 p.25</t>
        </is>
      </c>
    </row>
    <row r="1577">
      <c r="B1577" t="inlineStr">
        <is>
          <t>Outpatient (Surgical) Centers</t>
        </is>
      </c>
      <c r="C1577" t="inlineStr">
        <is>
          <t>431</t>
        </is>
      </c>
      <c r="D1577" t="inlineStr">
        <is>
          <t>15</t>
        </is>
      </c>
      <c r="E1577" t="inlineStr">
        <is>
          <t>25</t>
        </is>
      </c>
      <c r="F1577" t="inlineStr">
        <is>
          <t>D</t>
        </is>
      </c>
      <c r="G1577" t="inlineStr">
        <is>
          <t>Low Cost</t>
        </is>
      </c>
      <c r="H1577" t="n">
        <v>201</v>
      </c>
      <c r="I1577">
        <f>B1577&amp;"~"&amp;F1577&amp;"~"&amp;G1577</f>
        <v/>
      </c>
      <c r="J1577" t="inlineStr">
        <is>
          <t>MVS Sec.15 p.25</t>
        </is>
      </c>
    </row>
    <row r="1578">
      <c r="B1578" t="inlineStr">
        <is>
          <t>Outpatient (Surgical) Centers</t>
        </is>
      </c>
      <c r="C1578" t="inlineStr">
        <is>
          <t>431</t>
        </is>
      </c>
      <c r="D1578" t="inlineStr">
        <is>
          <t>15</t>
        </is>
      </c>
      <c r="E1578" t="inlineStr">
        <is>
          <t>25</t>
        </is>
      </c>
      <c r="F1578" t="inlineStr">
        <is>
          <t>S</t>
        </is>
      </c>
      <c r="G1578" t="inlineStr">
        <is>
          <t>Average</t>
        </is>
      </c>
      <c r="H1578" t="n">
        <v>284</v>
      </c>
      <c r="I1578">
        <f>B1578&amp;"~"&amp;F1578&amp;"~"&amp;G1578</f>
        <v/>
      </c>
      <c r="J1578" t="inlineStr">
        <is>
          <t>MVS Sec.15 p.25</t>
        </is>
      </c>
    </row>
    <row r="1579">
      <c r="B1579" t="inlineStr">
        <is>
          <t>Outpatient (Surgical) Centers</t>
        </is>
      </c>
      <c r="C1579" t="inlineStr">
        <is>
          <t>431</t>
        </is>
      </c>
      <c r="D1579" t="inlineStr">
        <is>
          <t>15</t>
        </is>
      </c>
      <c r="E1579" t="inlineStr">
        <is>
          <t>25</t>
        </is>
      </c>
      <c r="F1579" t="inlineStr">
        <is>
          <t>S</t>
        </is>
      </c>
      <c r="G1579" t="inlineStr">
        <is>
          <t>Fair</t>
        </is>
      </c>
      <c r="H1579" t="n">
        <v>238</v>
      </c>
      <c r="I1579">
        <f>B1579&amp;"~"&amp;F1579&amp;"~"&amp;G1579</f>
        <v/>
      </c>
      <c r="J1579" t="inlineStr">
        <is>
          <t>MVS Sec.15 p.25</t>
        </is>
      </c>
    </row>
    <row r="1580">
      <c r="B1580" t="inlineStr">
        <is>
          <t>Outpatient (Surgical) Centers</t>
        </is>
      </c>
      <c r="C1580" t="inlineStr">
        <is>
          <t>431</t>
        </is>
      </c>
      <c r="D1580" t="inlineStr">
        <is>
          <t>15</t>
        </is>
      </c>
      <c r="E1580" t="inlineStr">
        <is>
          <t>25</t>
        </is>
      </c>
      <c r="F1580" t="inlineStr">
        <is>
          <t>S</t>
        </is>
      </c>
      <c r="G1580" t="inlineStr">
        <is>
          <t>Low Cost</t>
        </is>
      </c>
      <c r="H1580" t="n">
        <v>199</v>
      </c>
      <c r="I1580">
        <f>B1580&amp;"~"&amp;F1580&amp;"~"&amp;G1580</f>
        <v/>
      </c>
      <c r="J1580" t="inlineStr">
        <is>
          <t>MVS Sec.15 p.25</t>
        </is>
      </c>
    </row>
    <row r="1581">
      <c r="B1581" t="inlineStr">
        <is>
          <t>Nursing Homes (Convalescent Hospitals)</t>
        </is>
      </c>
      <c r="C1581" t="inlineStr">
        <is>
          <t>313</t>
        </is>
      </c>
      <c r="D1581" t="inlineStr">
        <is>
          <t>15</t>
        </is>
      </c>
      <c r="E1581" t="inlineStr">
        <is>
          <t>26</t>
        </is>
      </c>
      <c r="F1581" t="inlineStr">
        <is>
          <t>A</t>
        </is>
      </c>
      <c r="G1581" t="inlineStr">
        <is>
          <t>Good</t>
        </is>
      </c>
      <c r="H1581" t="n">
        <v>393</v>
      </c>
      <c r="I1581">
        <f>B1581&amp;"~"&amp;F1581&amp;"~"&amp;G1581</f>
        <v/>
      </c>
      <c r="J1581" t="inlineStr">
        <is>
          <t>MVS Sec.15 p.26</t>
        </is>
      </c>
    </row>
    <row r="1582">
      <c r="B1582" t="inlineStr">
        <is>
          <t>Nursing Homes (Convalescent Hospitals)</t>
        </is>
      </c>
      <c r="C1582" t="inlineStr">
        <is>
          <t>313</t>
        </is>
      </c>
      <c r="D1582" t="inlineStr">
        <is>
          <t>15</t>
        </is>
      </c>
      <c r="E1582" t="inlineStr">
        <is>
          <t>26</t>
        </is>
      </c>
      <c r="F1582" t="inlineStr">
        <is>
          <t>A</t>
        </is>
      </c>
      <c r="G1582" t="inlineStr">
        <is>
          <t>Average</t>
        </is>
      </c>
      <c r="H1582" t="n">
        <v>320</v>
      </c>
      <c r="I1582">
        <f>B1582&amp;"~"&amp;F1582&amp;"~"&amp;G1582</f>
        <v/>
      </c>
      <c r="J1582" t="inlineStr">
        <is>
          <t>MVS Sec.15 p.26</t>
        </is>
      </c>
    </row>
    <row r="1583">
      <c r="B1583" t="inlineStr">
        <is>
          <t>Nursing Homes (Convalescent Hospitals)</t>
        </is>
      </c>
      <c r="C1583" t="inlineStr">
        <is>
          <t>313</t>
        </is>
      </c>
      <c r="D1583" t="inlineStr">
        <is>
          <t>15</t>
        </is>
      </c>
      <c r="E1583" t="inlineStr">
        <is>
          <t>26</t>
        </is>
      </c>
      <c r="F1583" t="inlineStr">
        <is>
          <t>B</t>
        </is>
      </c>
      <c r="G1583" t="inlineStr">
        <is>
          <t>Good</t>
        </is>
      </c>
      <c r="H1583" t="n">
        <v>361</v>
      </c>
      <c r="I1583">
        <f>B1583&amp;"~"&amp;F1583&amp;"~"&amp;G1583</f>
        <v/>
      </c>
      <c r="J1583" t="inlineStr">
        <is>
          <t>MVS Sec.15 p.26</t>
        </is>
      </c>
    </row>
    <row r="1584">
      <c r="B1584" t="inlineStr">
        <is>
          <t>Nursing Homes (Convalescent Hospitals)</t>
        </is>
      </c>
      <c r="C1584" t="inlineStr">
        <is>
          <t>313</t>
        </is>
      </c>
      <c r="D1584" t="inlineStr">
        <is>
          <t>15</t>
        </is>
      </c>
      <c r="E1584" t="inlineStr">
        <is>
          <t>26</t>
        </is>
      </c>
      <c r="F1584" t="inlineStr">
        <is>
          <t>B</t>
        </is>
      </c>
      <c r="G1584" t="inlineStr">
        <is>
          <t>Average</t>
        </is>
      </c>
      <c r="H1584" t="n">
        <v>296</v>
      </c>
      <c r="I1584">
        <f>B1584&amp;"~"&amp;F1584&amp;"~"&amp;G1584</f>
        <v/>
      </c>
      <c r="J1584" t="inlineStr">
        <is>
          <t>MVS Sec.15 p.26</t>
        </is>
      </c>
    </row>
    <row r="1585">
      <c r="B1585" t="inlineStr">
        <is>
          <t>Nursing Homes (Convalescent Hospitals)</t>
        </is>
      </c>
      <c r="C1585" t="inlineStr">
        <is>
          <t>313</t>
        </is>
      </c>
      <c r="D1585" t="inlineStr">
        <is>
          <t>15</t>
        </is>
      </c>
      <c r="E1585" t="inlineStr">
        <is>
          <t>26</t>
        </is>
      </c>
      <c r="F1585" t="inlineStr">
        <is>
          <t>C</t>
        </is>
      </c>
      <c r="G1585" t="inlineStr">
        <is>
          <t>Excellent</t>
        </is>
      </c>
      <c r="H1585" t="n">
        <v>351</v>
      </c>
      <c r="I1585">
        <f>B1585&amp;"~"&amp;F1585&amp;"~"&amp;G1585</f>
        <v/>
      </c>
      <c r="J1585" t="inlineStr">
        <is>
          <t>MVS Sec.15 p.26</t>
        </is>
      </c>
    </row>
    <row r="1586">
      <c r="B1586" t="inlineStr">
        <is>
          <t>Nursing Homes (Convalescent Hospitals)</t>
        </is>
      </c>
      <c r="C1586" t="inlineStr">
        <is>
          <t>313</t>
        </is>
      </c>
      <c r="D1586" t="inlineStr">
        <is>
          <t>15</t>
        </is>
      </c>
      <c r="E1586" t="inlineStr">
        <is>
          <t>26</t>
        </is>
      </c>
      <c r="F1586" t="inlineStr">
        <is>
          <t>C</t>
        </is>
      </c>
      <c r="G1586" t="inlineStr">
        <is>
          <t>Good</t>
        </is>
      </c>
      <c r="H1586" t="n">
        <v>266</v>
      </c>
      <c r="I1586">
        <f>B1586&amp;"~"&amp;F1586&amp;"~"&amp;G1586</f>
        <v/>
      </c>
      <c r="J1586" t="inlineStr">
        <is>
          <t>MVS Sec.15 p.26</t>
        </is>
      </c>
    </row>
    <row r="1587">
      <c r="B1587" t="inlineStr">
        <is>
          <t>Nursing Homes (Convalescent Hospitals)</t>
        </is>
      </c>
      <c r="C1587" t="inlineStr">
        <is>
          <t>313</t>
        </is>
      </c>
      <c r="D1587" t="inlineStr">
        <is>
          <t>15</t>
        </is>
      </c>
      <c r="E1587" t="inlineStr">
        <is>
          <t>26</t>
        </is>
      </c>
      <c r="F1587" t="inlineStr">
        <is>
          <t>C</t>
        </is>
      </c>
      <c r="G1587" t="inlineStr">
        <is>
          <t>Average</t>
        </is>
      </c>
      <c r="H1587" t="n">
        <v>200</v>
      </c>
      <c r="I1587">
        <f>B1587&amp;"~"&amp;F1587&amp;"~"&amp;G1587</f>
        <v/>
      </c>
      <c r="J1587" t="inlineStr">
        <is>
          <t>MVS Sec.15 p.26</t>
        </is>
      </c>
    </row>
    <row r="1588">
      <c r="B1588" t="inlineStr">
        <is>
          <t>Nursing Homes (Convalescent Hospitals)</t>
        </is>
      </c>
      <c r="C1588" t="inlineStr">
        <is>
          <t>313</t>
        </is>
      </c>
      <c r="D1588" t="inlineStr">
        <is>
          <t>15</t>
        </is>
      </c>
      <c r="E1588" t="inlineStr">
        <is>
          <t>26</t>
        </is>
      </c>
      <c r="F1588" t="inlineStr">
        <is>
          <t>C</t>
        </is>
      </c>
      <c r="G1588" t="inlineStr">
        <is>
          <t>Low Cost</t>
        </is>
      </c>
      <c r="H1588" t="n">
        <v>154</v>
      </c>
      <c r="I1588">
        <f>B1588&amp;"~"&amp;F1588&amp;"~"&amp;G1588</f>
        <v/>
      </c>
      <c r="J1588" t="inlineStr">
        <is>
          <t>MVS Sec.15 p.26</t>
        </is>
      </c>
    </row>
    <row r="1589">
      <c r="B1589" t="inlineStr">
        <is>
          <t>Nursing Homes (Convalescent Hospitals)</t>
        </is>
      </c>
      <c r="C1589" t="inlineStr">
        <is>
          <t>313</t>
        </is>
      </c>
      <c r="D1589" t="inlineStr">
        <is>
          <t>15</t>
        </is>
      </c>
      <c r="E1589" t="inlineStr">
        <is>
          <t>26</t>
        </is>
      </c>
      <c r="F1589" t="inlineStr">
        <is>
          <t>D</t>
        </is>
      </c>
      <c r="G1589" t="inlineStr">
        <is>
          <t>Excellent</t>
        </is>
      </c>
      <c r="H1589" t="n">
        <v>324</v>
      </c>
      <c r="I1589">
        <f>B1589&amp;"~"&amp;F1589&amp;"~"&amp;G1589</f>
        <v/>
      </c>
      <c r="J1589" t="inlineStr">
        <is>
          <t>MVS Sec.15 p.26</t>
        </is>
      </c>
    </row>
    <row r="1590">
      <c r="B1590" t="inlineStr">
        <is>
          <t>Nursing Homes (Convalescent Hospitals)</t>
        </is>
      </c>
      <c r="C1590" t="inlineStr">
        <is>
          <t>313</t>
        </is>
      </c>
      <c r="D1590" t="inlineStr">
        <is>
          <t>15</t>
        </is>
      </c>
      <c r="E1590" t="inlineStr">
        <is>
          <t>26</t>
        </is>
      </c>
      <c r="F1590" t="inlineStr">
        <is>
          <t>D</t>
        </is>
      </c>
      <c r="G1590" t="inlineStr">
        <is>
          <t>Good</t>
        </is>
      </c>
      <c r="H1590" t="n">
        <v>255</v>
      </c>
      <c r="I1590">
        <f>B1590&amp;"~"&amp;F1590&amp;"~"&amp;G1590</f>
        <v/>
      </c>
      <c r="J1590" t="inlineStr">
        <is>
          <t>MVS Sec.15 p.26</t>
        </is>
      </c>
    </row>
    <row r="1591">
      <c r="B1591" t="inlineStr">
        <is>
          <t>Nursing Homes (Convalescent Hospitals)</t>
        </is>
      </c>
      <c r="C1591" t="inlineStr">
        <is>
          <t>313</t>
        </is>
      </c>
      <c r="D1591" t="inlineStr">
        <is>
          <t>15</t>
        </is>
      </c>
      <c r="E1591" t="inlineStr">
        <is>
          <t>26</t>
        </is>
      </c>
      <c r="F1591" t="inlineStr">
        <is>
          <t>D</t>
        </is>
      </c>
      <c r="G1591" t="inlineStr">
        <is>
          <t>Average</t>
        </is>
      </c>
      <c r="H1591" t="n">
        <v>192</v>
      </c>
      <c r="I1591">
        <f>B1591&amp;"~"&amp;F1591&amp;"~"&amp;G1591</f>
        <v/>
      </c>
      <c r="J1591" t="inlineStr">
        <is>
          <t>MVS Sec.15 p.26</t>
        </is>
      </c>
    </row>
    <row r="1592">
      <c r="B1592" t="inlineStr">
        <is>
          <t>Nursing Homes (Convalescent Hospitals)</t>
        </is>
      </c>
      <c r="C1592" t="inlineStr">
        <is>
          <t>313</t>
        </is>
      </c>
      <c r="D1592" t="inlineStr">
        <is>
          <t>15</t>
        </is>
      </c>
      <c r="E1592" t="inlineStr">
        <is>
          <t>26</t>
        </is>
      </c>
      <c r="F1592" t="inlineStr">
        <is>
          <t>D</t>
        </is>
      </c>
      <c r="G1592" t="inlineStr">
        <is>
          <t>Low Cost</t>
        </is>
      </c>
      <c r="H1592" t="n">
        <v>147</v>
      </c>
      <c r="I1592">
        <f>B1592&amp;"~"&amp;F1592&amp;"~"&amp;G1592</f>
        <v/>
      </c>
      <c r="J1592" t="inlineStr">
        <is>
          <t>MVS Sec.15 p.26</t>
        </is>
      </c>
    </row>
    <row r="1593">
      <c r="B1593" t="inlineStr">
        <is>
          <t>Nursing Homes (Convalescent Hospitals)</t>
        </is>
      </c>
      <c r="C1593" t="inlineStr">
        <is>
          <t>313</t>
        </is>
      </c>
      <c r="D1593" t="inlineStr">
        <is>
          <t>15</t>
        </is>
      </c>
      <c r="E1593" t="inlineStr">
        <is>
          <t>26</t>
        </is>
      </c>
      <c r="F1593" t="inlineStr">
        <is>
          <t>DPOLE</t>
        </is>
      </c>
      <c r="G1593" t="inlineStr">
        <is>
          <t>Low Cost</t>
        </is>
      </c>
      <c r="H1593" t="n">
        <v>142</v>
      </c>
      <c r="I1593">
        <f>B1593&amp;"~"&amp;F1593&amp;"~"&amp;G1593</f>
        <v/>
      </c>
      <c r="J1593" t="inlineStr">
        <is>
          <t>MVS Sec.15 p.26</t>
        </is>
      </c>
    </row>
    <row r="1594">
      <c r="B1594" t="inlineStr">
        <is>
          <t>Nursing Homes (Convalescent Hospitals)</t>
        </is>
      </c>
      <c r="C1594" t="inlineStr">
        <is>
          <t>313</t>
        </is>
      </c>
      <c r="D1594" t="inlineStr">
        <is>
          <t>15</t>
        </is>
      </c>
      <c r="E1594" t="inlineStr">
        <is>
          <t>26</t>
        </is>
      </c>
      <c r="F1594" t="inlineStr">
        <is>
          <t>S</t>
        </is>
      </c>
      <c r="G1594" t="inlineStr">
        <is>
          <t>Average</t>
        </is>
      </c>
      <c r="H1594" t="n">
        <v>189</v>
      </c>
      <c r="I1594">
        <f>B1594&amp;"~"&amp;F1594&amp;"~"&amp;G1594</f>
        <v/>
      </c>
      <c r="J1594" t="inlineStr">
        <is>
          <t>MVS Sec.15 p.26</t>
        </is>
      </c>
    </row>
    <row r="1595">
      <c r="B1595" t="inlineStr">
        <is>
          <t>Nursing Homes (Convalescent Hospitals)</t>
        </is>
      </c>
      <c r="C1595" t="inlineStr">
        <is>
          <t>313</t>
        </is>
      </c>
      <c r="D1595" t="inlineStr">
        <is>
          <t>15</t>
        </is>
      </c>
      <c r="E1595" t="inlineStr">
        <is>
          <t>26</t>
        </is>
      </c>
      <c r="F1595" t="inlineStr">
        <is>
          <t>S</t>
        </is>
      </c>
      <c r="G1595" t="inlineStr">
        <is>
          <t>Low Cost</t>
        </is>
      </c>
      <c r="H1595" t="n">
        <v>145</v>
      </c>
      <c r="I1595">
        <f>B1595&amp;"~"&amp;F1595&amp;"~"&amp;G1595</f>
        <v/>
      </c>
      <c r="J1595" t="inlineStr">
        <is>
          <t>MVS Sec.15 p.26</t>
        </is>
      </c>
    </row>
    <row r="1596">
      <c r="B1596" t="inlineStr">
        <is>
          <t>Kennels</t>
        </is>
      </c>
      <c r="C1596" t="inlineStr">
        <is>
          <t>490</t>
        </is>
      </c>
      <c r="D1596" t="inlineStr">
        <is>
          <t>15</t>
        </is>
      </c>
      <c r="E1596" t="inlineStr">
        <is>
          <t>27</t>
        </is>
      </c>
      <c r="F1596" t="inlineStr">
        <is>
          <t>C</t>
        </is>
      </c>
      <c r="G1596" t="inlineStr">
        <is>
          <t>Excellent</t>
        </is>
      </c>
      <c r="H1596" t="n">
        <v>315</v>
      </c>
      <c r="I1596">
        <f>B1596&amp;"~"&amp;F1596&amp;"~"&amp;G1596</f>
        <v/>
      </c>
      <c r="J1596" t="inlineStr">
        <is>
          <t>MVS Sec.15 p.27</t>
        </is>
      </c>
    </row>
    <row r="1597">
      <c r="B1597" t="inlineStr">
        <is>
          <t>Kennels</t>
        </is>
      </c>
      <c r="C1597" t="inlineStr">
        <is>
          <t>490</t>
        </is>
      </c>
      <c r="D1597" t="inlineStr">
        <is>
          <t>15</t>
        </is>
      </c>
      <c r="E1597" t="inlineStr">
        <is>
          <t>27</t>
        </is>
      </c>
      <c r="F1597" t="inlineStr">
        <is>
          <t>C</t>
        </is>
      </c>
      <c r="G1597" t="inlineStr">
        <is>
          <t>Very Good</t>
        </is>
      </c>
      <c r="H1597" t="n">
        <v>243</v>
      </c>
      <c r="I1597">
        <f>B1597&amp;"~"&amp;F1597&amp;"~"&amp;G1597</f>
        <v/>
      </c>
      <c r="J1597" t="inlineStr">
        <is>
          <t>MVS Sec.15 p.27</t>
        </is>
      </c>
    </row>
    <row r="1598">
      <c r="B1598" t="inlineStr">
        <is>
          <t>Kennels</t>
        </is>
      </c>
      <c r="C1598" t="inlineStr">
        <is>
          <t>490</t>
        </is>
      </c>
      <c r="D1598" t="inlineStr">
        <is>
          <t>15</t>
        </is>
      </c>
      <c r="E1598" t="inlineStr">
        <is>
          <t>27</t>
        </is>
      </c>
      <c r="F1598" t="inlineStr">
        <is>
          <t>C</t>
        </is>
      </c>
      <c r="G1598" t="inlineStr">
        <is>
          <t>Good</t>
        </is>
      </c>
      <c r="H1598" t="n">
        <v>178</v>
      </c>
      <c r="I1598">
        <f>B1598&amp;"~"&amp;F1598&amp;"~"&amp;G1598</f>
        <v/>
      </c>
      <c r="J1598" t="inlineStr">
        <is>
          <t>MVS Sec.15 p.27</t>
        </is>
      </c>
    </row>
    <row r="1599">
      <c r="B1599" t="inlineStr">
        <is>
          <t>Kennels</t>
        </is>
      </c>
      <c r="C1599" t="inlineStr">
        <is>
          <t>490</t>
        </is>
      </c>
      <c r="D1599" t="inlineStr">
        <is>
          <t>15</t>
        </is>
      </c>
      <c r="E1599" t="inlineStr">
        <is>
          <t>27</t>
        </is>
      </c>
      <c r="F1599" t="inlineStr">
        <is>
          <t>C</t>
        </is>
      </c>
      <c r="G1599" t="inlineStr">
        <is>
          <t>Average</t>
        </is>
      </c>
      <c r="H1599" t="n">
        <v>133</v>
      </c>
      <c r="I1599">
        <f>B1599&amp;"~"&amp;F1599&amp;"~"&amp;G1599</f>
        <v/>
      </c>
      <c r="J1599" t="inlineStr">
        <is>
          <t>MVS Sec.15 p.27</t>
        </is>
      </c>
    </row>
    <row r="1600">
      <c r="B1600" t="inlineStr">
        <is>
          <t>Kennels</t>
        </is>
      </c>
      <c r="C1600" t="inlineStr">
        <is>
          <t>490</t>
        </is>
      </c>
      <c r="D1600" t="inlineStr">
        <is>
          <t>15</t>
        </is>
      </c>
      <c r="E1600" t="inlineStr">
        <is>
          <t>27</t>
        </is>
      </c>
      <c r="F1600" t="inlineStr">
        <is>
          <t>C</t>
        </is>
      </c>
      <c r="G1600" t="inlineStr">
        <is>
          <t>Low Cost</t>
        </is>
      </c>
      <c r="H1600" t="n">
        <v>95</v>
      </c>
      <c r="I1600">
        <f>B1600&amp;"~"&amp;F1600&amp;"~"&amp;G1600</f>
        <v/>
      </c>
      <c r="J1600" t="inlineStr">
        <is>
          <t>MVS Sec.15 p.27</t>
        </is>
      </c>
    </row>
    <row r="1601">
      <c r="B1601" t="inlineStr">
        <is>
          <t>Kennels</t>
        </is>
      </c>
      <c r="C1601" t="inlineStr">
        <is>
          <t>490</t>
        </is>
      </c>
      <c r="D1601" t="inlineStr">
        <is>
          <t>15</t>
        </is>
      </c>
      <c r="E1601" t="inlineStr">
        <is>
          <t>27</t>
        </is>
      </c>
      <c r="F1601" t="inlineStr">
        <is>
          <t>C</t>
        </is>
      </c>
      <c r="G1601" t="inlineStr">
        <is>
          <t>Cheap</t>
        </is>
      </c>
      <c r="H1601" t="n">
        <v>68</v>
      </c>
      <c r="I1601">
        <f>B1601&amp;"~"&amp;F1601&amp;"~"&amp;G1601</f>
        <v/>
      </c>
      <c r="J1601" t="inlineStr">
        <is>
          <t>MVS Sec.15 p.27</t>
        </is>
      </c>
    </row>
    <row r="1602">
      <c r="B1602" t="inlineStr">
        <is>
          <t>Kennels</t>
        </is>
      </c>
      <c r="C1602" t="inlineStr">
        <is>
          <t>490</t>
        </is>
      </c>
      <c r="D1602" t="inlineStr">
        <is>
          <t>15</t>
        </is>
      </c>
      <c r="E1602" t="inlineStr">
        <is>
          <t>27</t>
        </is>
      </c>
      <c r="F1602" t="inlineStr">
        <is>
          <t>D</t>
        </is>
      </c>
      <c r="G1602" t="inlineStr">
        <is>
          <t>Excellent</t>
        </is>
      </c>
      <c r="H1602" t="n">
        <v>297</v>
      </c>
      <c r="I1602">
        <f>B1602&amp;"~"&amp;F1602&amp;"~"&amp;G1602</f>
        <v/>
      </c>
      <c r="J1602" t="inlineStr">
        <is>
          <t>MVS Sec.15 p.27</t>
        </is>
      </c>
    </row>
    <row r="1603">
      <c r="B1603" t="inlineStr">
        <is>
          <t>Kennels</t>
        </is>
      </c>
      <c r="C1603" t="inlineStr">
        <is>
          <t>490</t>
        </is>
      </c>
      <c r="D1603" t="inlineStr">
        <is>
          <t>15</t>
        </is>
      </c>
      <c r="E1603" t="inlineStr">
        <is>
          <t>27</t>
        </is>
      </c>
      <c r="F1603" t="inlineStr">
        <is>
          <t>D</t>
        </is>
      </c>
      <c r="G1603" t="inlineStr">
        <is>
          <t>Very Good</t>
        </is>
      </c>
      <c r="H1603" t="n">
        <v>229</v>
      </c>
      <c r="I1603">
        <f>B1603&amp;"~"&amp;F1603&amp;"~"&amp;G1603</f>
        <v/>
      </c>
      <c r="J1603" t="inlineStr">
        <is>
          <t>MVS Sec.15 p.27</t>
        </is>
      </c>
    </row>
    <row r="1604">
      <c r="B1604" t="inlineStr">
        <is>
          <t>Kennels</t>
        </is>
      </c>
      <c r="C1604" t="inlineStr">
        <is>
          <t>490</t>
        </is>
      </c>
      <c r="D1604" t="inlineStr">
        <is>
          <t>15</t>
        </is>
      </c>
      <c r="E1604" t="inlineStr">
        <is>
          <t>27</t>
        </is>
      </c>
      <c r="F1604" t="inlineStr">
        <is>
          <t>D</t>
        </is>
      </c>
      <c r="G1604" t="inlineStr">
        <is>
          <t>Good</t>
        </is>
      </c>
      <c r="H1604" t="n">
        <v>167</v>
      </c>
      <c r="I1604">
        <f>B1604&amp;"~"&amp;F1604&amp;"~"&amp;G1604</f>
        <v/>
      </c>
      <c r="J1604" t="inlineStr">
        <is>
          <t>MVS Sec.15 p.27</t>
        </is>
      </c>
    </row>
    <row r="1605">
      <c r="B1605" t="inlineStr">
        <is>
          <t>Kennels</t>
        </is>
      </c>
      <c r="C1605" t="inlineStr">
        <is>
          <t>490</t>
        </is>
      </c>
      <c r="D1605" t="inlineStr">
        <is>
          <t>15</t>
        </is>
      </c>
      <c r="E1605" t="inlineStr">
        <is>
          <t>27</t>
        </is>
      </c>
      <c r="F1605" t="inlineStr">
        <is>
          <t>D</t>
        </is>
      </c>
      <c r="G1605" t="inlineStr">
        <is>
          <t>Average</t>
        </is>
      </c>
      <c r="H1605" t="n">
        <v>125</v>
      </c>
      <c r="I1605">
        <f>B1605&amp;"~"&amp;F1605&amp;"~"&amp;G1605</f>
        <v/>
      </c>
      <c r="J1605" t="inlineStr">
        <is>
          <t>MVS Sec.15 p.27</t>
        </is>
      </c>
    </row>
    <row r="1606">
      <c r="B1606" t="inlineStr">
        <is>
          <t>Kennels</t>
        </is>
      </c>
      <c r="C1606" t="inlineStr">
        <is>
          <t>490</t>
        </is>
      </c>
      <c r="D1606" t="inlineStr">
        <is>
          <t>15</t>
        </is>
      </c>
      <c r="E1606" t="inlineStr">
        <is>
          <t>27</t>
        </is>
      </c>
      <c r="F1606" t="inlineStr">
        <is>
          <t>D</t>
        </is>
      </c>
      <c r="G1606" t="inlineStr">
        <is>
          <t>Low Cost</t>
        </is>
      </c>
      <c r="H1606" t="n">
        <v>89</v>
      </c>
      <c r="I1606">
        <f>B1606&amp;"~"&amp;F1606&amp;"~"&amp;G1606</f>
        <v/>
      </c>
      <c r="J1606" t="inlineStr">
        <is>
          <t>MVS Sec.15 p.27</t>
        </is>
      </c>
    </row>
    <row r="1607">
      <c r="B1607" t="inlineStr">
        <is>
          <t>Kennels</t>
        </is>
      </c>
      <c r="C1607" t="inlineStr">
        <is>
          <t>490</t>
        </is>
      </c>
      <c r="D1607" t="inlineStr">
        <is>
          <t>15</t>
        </is>
      </c>
      <c r="E1607" t="inlineStr">
        <is>
          <t>27</t>
        </is>
      </c>
      <c r="F1607" t="inlineStr">
        <is>
          <t>D</t>
        </is>
      </c>
      <c r="G1607" t="inlineStr">
        <is>
          <t>Cheap</t>
        </is>
      </c>
      <c r="H1607" t="n">
        <v>63.5</v>
      </c>
      <c r="I1607">
        <f>B1607&amp;"~"&amp;F1607&amp;"~"&amp;G1607</f>
        <v/>
      </c>
      <c r="J1607" t="inlineStr">
        <is>
          <t>MVS Sec.15 p.27</t>
        </is>
      </c>
    </row>
    <row r="1608">
      <c r="B1608" t="inlineStr">
        <is>
          <t>Kennels</t>
        </is>
      </c>
      <c r="C1608" t="inlineStr">
        <is>
          <t>490</t>
        </is>
      </c>
      <c r="D1608" t="inlineStr">
        <is>
          <t>15</t>
        </is>
      </c>
      <c r="E1608" t="inlineStr">
        <is>
          <t>27</t>
        </is>
      </c>
      <c r="F1608" t="inlineStr">
        <is>
          <t>DPOLE</t>
        </is>
      </c>
      <c r="G1608" t="inlineStr">
        <is>
          <t>Average</t>
        </is>
      </c>
      <c r="H1608" t="n">
        <v>118</v>
      </c>
      <c r="I1608">
        <f>B1608&amp;"~"&amp;F1608&amp;"~"&amp;G1608</f>
        <v/>
      </c>
      <c r="J1608" t="inlineStr">
        <is>
          <t>MVS Sec.15 p.27</t>
        </is>
      </c>
    </row>
    <row r="1609">
      <c r="B1609" t="inlineStr">
        <is>
          <t>Kennels</t>
        </is>
      </c>
      <c r="C1609" t="inlineStr">
        <is>
          <t>490</t>
        </is>
      </c>
      <c r="D1609" t="inlineStr">
        <is>
          <t>15</t>
        </is>
      </c>
      <c r="E1609" t="inlineStr">
        <is>
          <t>27</t>
        </is>
      </c>
      <c r="F1609" t="inlineStr">
        <is>
          <t>DPOLE</t>
        </is>
      </c>
      <c r="G1609" t="inlineStr">
        <is>
          <t>Low Cost</t>
        </is>
      </c>
      <c r="H1609" t="n">
        <v>82.5</v>
      </c>
      <c r="I1609">
        <f>B1609&amp;"~"&amp;F1609&amp;"~"&amp;G1609</f>
        <v/>
      </c>
      <c r="J1609" t="inlineStr">
        <is>
          <t>MVS Sec.15 p.27</t>
        </is>
      </c>
    </row>
    <row r="1610">
      <c r="B1610" t="inlineStr">
        <is>
          <t>Kennels</t>
        </is>
      </c>
      <c r="C1610" t="inlineStr">
        <is>
          <t>490</t>
        </is>
      </c>
      <c r="D1610" t="inlineStr">
        <is>
          <t>15</t>
        </is>
      </c>
      <c r="E1610" t="inlineStr">
        <is>
          <t>27</t>
        </is>
      </c>
      <c r="F1610" t="inlineStr">
        <is>
          <t>DPOLE</t>
        </is>
      </c>
      <c r="G1610" t="inlineStr">
        <is>
          <t>Cheap</t>
        </is>
      </c>
      <c r="H1610" t="n">
        <v>58</v>
      </c>
      <c r="I1610">
        <f>B1610&amp;"~"&amp;F1610&amp;"~"&amp;G1610</f>
        <v/>
      </c>
      <c r="J1610" t="inlineStr">
        <is>
          <t>MVS Sec.15 p.27</t>
        </is>
      </c>
    </row>
    <row r="1611">
      <c r="B1611" t="inlineStr">
        <is>
          <t>Kennels</t>
        </is>
      </c>
      <c r="C1611" t="inlineStr">
        <is>
          <t>490</t>
        </is>
      </c>
      <c r="D1611" t="inlineStr">
        <is>
          <t>15</t>
        </is>
      </c>
      <c r="E1611" t="inlineStr">
        <is>
          <t>27</t>
        </is>
      </c>
      <c r="F1611" t="inlineStr">
        <is>
          <t>S</t>
        </is>
      </c>
      <c r="G1611" t="inlineStr">
        <is>
          <t>Good</t>
        </is>
      </c>
      <c r="H1611" t="n">
        <v>165</v>
      </c>
      <c r="I1611">
        <f>B1611&amp;"~"&amp;F1611&amp;"~"&amp;G1611</f>
        <v/>
      </c>
      <c r="J1611" t="inlineStr">
        <is>
          <t>MVS Sec.15 p.27</t>
        </is>
      </c>
    </row>
    <row r="1612">
      <c r="B1612" t="inlineStr">
        <is>
          <t>Kennels</t>
        </is>
      </c>
      <c r="C1612" t="inlineStr">
        <is>
          <t>490</t>
        </is>
      </c>
      <c r="D1612" t="inlineStr">
        <is>
          <t>15</t>
        </is>
      </c>
      <c r="E1612" t="inlineStr">
        <is>
          <t>27</t>
        </is>
      </c>
      <c r="F1612" t="inlineStr">
        <is>
          <t>S</t>
        </is>
      </c>
      <c r="G1612" t="inlineStr">
        <is>
          <t>Average</t>
        </is>
      </c>
      <c r="H1612" t="n">
        <v>121</v>
      </c>
      <c r="I1612">
        <f>B1612&amp;"~"&amp;F1612&amp;"~"&amp;G1612</f>
        <v/>
      </c>
      <c r="J1612" t="inlineStr">
        <is>
          <t>MVS Sec.15 p.27</t>
        </is>
      </c>
    </row>
    <row r="1613">
      <c r="B1613" t="inlineStr">
        <is>
          <t>Kennels</t>
        </is>
      </c>
      <c r="C1613" t="inlineStr">
        <is>
          <t>490</t>
        </is>
      </c>
      <c r="D1613" t="inlineStr">
        <is>
          <t>15</t>
        </is>
      </c>
      <c r="E1613" t="inlineStr">
        <is>
          <t>27</t>
        </is>
      </c>
      <c r="F1613" t="inlineStr">
        <is>
          <t>S</t>
        </is>
      </c>
      <c r="G1613" t="inlineStr">
        <is>
          <t>Low Cost</t>
        </is>
      </c>
      <c r="H1613" t="n">
        <v>86</v>
      </c>
      <c r="I1613">
        <f>B1613&amp;"~"&amp;F1613&amp;"~"&amp;G1613</f>
        <v/>
      </c>
      <c r="J1613" t="inlineStr">
        <is>
          <t>MVS Sec.15 p.27</t>
        </is>
      </c>
    </row>
    <row r="1614">
      <c r="B1614" t="inlineStr">
        <is>
          <t>Kennels</t>
        </is>
      </c>
      <c r="C1614" t="inlineStr">
        <is>
          <t>490</t>
        </is>
      </c>
      <c r="D1614" t="inlineStr">
        <is>
          <t>15</t>
        </is>
      </c>
      <c r="E1614" t="inlineStr">
        <is>
          <t>27</t>
        </is>
      </c>
      <c r="F1614" t="inlineStr">
        <is>
          <t>S</t>
        </is>
      </c>
      <c r="G1614" t="inlineStr">
        <is>
          <t>Cheap</t>
        </is>
      </c>
      <c r="H1614" t="n">
        <v>60.5</v>
      </c>
      <c r="I1614">
        <f>B1614&amp;"~"&amp;F1614&amp;"~"&amp;G1614</f>
        <v/>
      </c>
      <c r="J1614" t="inlineStr">
        <is>
          <t>MVS Sec.15 p.27</t>
        </is>
      </c>
    </row>
    <row r="1615">
      <c r="B1615" t="inlineStr">
        <is>
          <t>Veterinary Hospitals</t>
        </is>
      </c>
      <c r="C1615" t="inlineStr">
        <is>
          <t>381</t>
        </is>
      </c>
      <c r="D1615" t="inlineStr">
        <is>
          <t>15</t>
        </is>
      </c>
      <c r="E1615" t="inlineStr">
        <is>
          <t>28</t>
        </is>
      </c>
      <c r="F1615" t="inlineStr">
        <is>
          <t>A-B</t>
        </is>
      </c>
      <c r="G1615" t="inlineStr">
        <is>
          <t>Average</t>
        </is>
      </c>
      <c r="H1615" t="n">
        <v>293</v>
      </c>
      <c r="I1615">
        <f>B1615&amp;"~"&amp;F1615&amp;"~"&amp;G1615</f>
        <v/>
      </c>
      <c r="J1615" t="inlineStr">
        <is>
          <t>MVS Sec.15 p.28</t>
        </is>
      </c>
    </row>
    <row r="1616">
      <c r="B1616" t="inlineStr">
        <is>
          <t>Veterinary Hospitals</t>
        </is>
      </c>
      <c r="C1616" t="inlineStr">
        <is>
          <t>381</t>
        </is>
      </c>
      <c r="D1616" t="inlineStr">
        <is>
          <t>15</t>
        </is>
      </c>
      <c r="E1616" t="inlineStr">
        <is>
          <t>28</t>
        </is>
      </c>
      <c r="F1616" t="inlineStr">
        <is>
          <t>C</t>
        </is>
      </c>
      <c r="G1616" t="inlineStr">
        <is>
          <t>Excellent</t>
        </is>
      </c>
      <c r="H1616" t="n">
        <v>326</v>
      </c>
      <c r="I1616">
        <f>B1616&amp;"~"&amp;F1616&amp;"~"&amp;G1616</f>
        <v/>
      </c>
      <c r="J1616" t="inlineStr">
        <is>
          <t>MVS Sec.15 p.28</t>
        </is>
      </c>
    </row>
    <row r="1617">
      <c r="B1617" t="inlineStr">
        <is>
          <t>Veterinary Hospitals</t>
        </is>
      </c>
      <c r="C1617" t="inlineStr">
        <is>
          <t>381</t>
        </is>
      </c>
      <c r="D1617" t="inlineStr">
        <is>
          <t>15</t>
        </is>
      </c>
      <c r="E1617" t="inlineStr">
        <is>
          <t>28</t>
        </is>
      </c>
      <c r="F1617" t="inlineStr">
        <is>
          <t>C</t>
        </is>
      </c>
      <c r="G1617" t="inlineStr">
        <is>
          <t>Good</t>
        </is>
      </c>
      <c r="H1617" t="n">
        <v>250</v>
      </c>
      <c r="I1617">
        <f>B1617&amp;"~"&amp;F1617&amp;"~"&amp;G1617</f>
        <v/>
      </c>
      <c r="J1617" t="inlineStr">
        <is>
          <t>MVS Sec.15 p.28</t>
        </is>
      </c>
    </row>
    <row r="1618">
      <c r="B1618" t="inlineStr">
        <is>
          <t>Veterinary Hospitals</t>
        </is>
      </c>
      <c r="C1618" t="inlineStr">
        <is>
          <t>381</t>
        </is>
      </c>
      <c r="D1618" t="inlineStr">
        <is>
          <t>15</t>
        </is>
      </c>
      <c r="E1618" t="inlineStr">
        <is>
          <t>28</t>
        </is>
      </c>
      <c r="F1618" t="inlineStr">
        <is>
          <t>C</t>
        </is>
      </c>
      <c r="G1618" t="inlineStr">
        <is>
          <t>Average</t>
        </is>
      </c>
      <c r="H1618" t="n">
        <v>194</v>
      </c>
      <c r="I1618">
        <f>B1618&amp;"~"&amp;F1618&amp;"~"&amp;G1618</f>
        <v/>
      </c>
      <c r="J1618" t="inlineStr">
        <is>
          <t>MVS Sec.15 p.28</t>
        </is>
      </c>
    </row>
    <row r="1619">
      <c r="B1619" t="inlineStr">
        <is>
          <t>Veterinary Hospitals</t>
        </is>
      </c>
      <c r="C1619" t="inlineStr">
        <is>
          <t>381</t>
        </is>
      </c>
      <c r="D1619" t="inlineStr">
        <is>
          <t>15</t>
        </is>
      </c>
      <c r="E1619" t="inlineStr">
        <is>
          <t>28</t>
        </is>
      </c>
      <c r="F1619" t="inlineStr">
        <is>
          <t>C</t>
        </is>
      </c>
      <c r="G1619" t="inlineStr">
        <is>
          <t>Low Cost</t>
        </is>
      </c>
      <c r="H1619" t="n">
        <v>146</v>
      </c>
      <c r="I1619">
        <f>B1619&amp;"~"&amp;F1619&amp;"~"&amp;G1619</f>
        <v/>
      </c>
      <c r="J1619" t="inlineStr">
        <is>
          <t>MVS Sec.15 p.28</t>
        </is>
      </c>
    </row>
    <row r="1620">
      <c r="B1620" t="inlineStr">
        <is>
          <t>Veterinary Hospitals</t>
        </is>
      </c>
      <c r="C1620" t="inlineStr">
        <is>
          <t>381</t>
        </is>
      </c>
      <c r="D1620" t="inlineStr">
        <is>
          <t>15</t>
        </is>
      </c>
      <c r="E1620" t="inlineStr">
        <is>
          <t>28</t>
        </is>
      </c>
      <c r="F1620" t="inlineStr">
        <is>
          <t>D</t>
        </is>
      </c>
      <c r="G1620" t="inlineStr">
        <is>
          <t>Excellent</t>
        </is>
      </c>
      <c r="H1620" t="n">
        <v>315</v>
      </c>
      <c r="I1620">
        <f>B1620&amp;"~"&amp;F1620&amp;"~"&amp;G1620</f>
        <v/>
      </c>
      <c r="J1620" t="inlineStr">
        <is>
          <t>MVS Sec.15 p.28</t>
        </is>
      </c>
    </row>
    <row r="1621">
      <c r="B1621" t="inlineStr">
        <is>
          <t>Veterinary Hospitals</t>
        </is>
      </c>
      <c r="C1621" t="inlineStr">
        <is>
          <t>381</t>
        </is>
      </c>
      <c r="D1621" t="inlineStr">
        <is>
          <t>15</t>
        </is>
      </c>
      <c r="E1621" t="inlineStr">
        <is>
          <t>28</t>
        </is>
      </c>
      <c r="F1621" t="inlineStr">
        <is>
          <t>D</t>
        </is>
      </c>
      <c r="G1621" t="inlineStr">
        <is>
          <t>Good</t>
        </is>
      </c>
      <c r="H1621" t="n">
        <v>240</v>
      </c>
      <c r="I1621">
        <f>B1621&amp;"~"&amp;F1621&amp;"~"&amp;G1621</f>
        <v/>
      </c>
      <c r="J1621" t="inlineStr">
        <is>
          <t>MVS Sec.15 p.28</t>
        </is>
      </c>
    </row>
    <row r="1622">
      <c r="B1622" t="inlineStr">
        <is>
          <t>Veterinary Hospitals</t>
        </is>
      </c>
      <c r="C1622" t="inlineStr">
        <is>
          <t>381</t>
        </is>
      </c>
      <c r="D1622" t="inlineStr">
        <is>
          <t>15</t>
        </is>
      </c>
      <c r="E1622" t="inlineStr">
        <is>
          <t>28</t>
        </is>
      </c>
      <c r="F1622" t="inlineStr">
        <is>
          <t>D</t>
        </is>
      </c>
      <c r="G1622" t="inlineStr">
        <is>
          <t>Average</t>
        </is>
      </c>
      <c r="H1622" t="n">
        <v>186</v>
      </c>
      <c r="I1622">
        <f>B1622&amp;"~"&amp;F1622&amp;"~"&amp;G1622</f>
        <v/>
      </c>
      <c r="J1622" t="inlineStr">
        <is>
          <t>MVS Sec.15 p.28</t>
        </is>
      </c>
    </row>
    <row r="1623">
      <c r="B1623" t="inlineStr">
        <is>
          <t>Veterinary Hospitals</t>
        </is>
      </c>
      <c r="C1623" t="inlineStr">
        <is>
          <t>381</t>
        </is>
      </c>
      <c r="D1623" t="inlineStr">
        <is>
          <t>15</t>
        </is>
      </c>
      <c r="E1623" t="inlineStr">
        <is>
          <t>28</t>
        </is>
      </c>
      <c r="F1623" t="inlineStr">
        <is>
          <t>D</t>
        </is>
      </c>
      <c r="G1623" t="inlineStr">
        <is>
          <t>Low Cost</t>
        </is>
      </c>
      <c r="H1623" t="n">
        <v>140</v>
      </c>
      <c r="I1623">
        <f>B1623&amp;"~"&amp;F1623&amp;"~"&amp;G1623</f>
        <v/>
      </c>
      <c r="J1623" t="inlineStr">
        <is>
          <t>MVS Sec.15 p.28</t>
        </is>
      </c>
    </row>
    <row r="1624">
      <c r="B1624" t="inlineStr">
        <is>
          <t>Veterinary Hospitals</t>
        </is>
      </c>
      <c r="C1624" t="inlineStr">
        <is>
          <t>381</t>
        </is>
      </c>
      <c r="D1624" t="inlineStr">
        <is>
          <t>15</t>
        </is>
      </c>
      <c r="E1624" t="inlineStr">
        <is>
          <t>28</t>
        </is>
      </c>
      <c r="F1624" t="inlineStr">
        <is>
          <t>DPOLE</t>
        </is>
      </c>
      <c r="G1624" t="inlineStr">
        <is>
          <t>Low Cost</t>
        </is>
      </c>
      <c r="H1624" t="n">
        <v>127</v>
      </c>
      <c r="I1624">
        <f>B1624&amp;"~"&amp;F1624&amp;"~"&amp;G1624</f>
        <v/>
      </c>
      <c r="J1624" t="inlineStr">
        <is>
          <t>MVS Sec.15 p.28</t>
        </is>
      </c>
    </row>
    <row r="1625">
      <c r="B1625" t="inlineStr">
        <is>
          <t>Veterinary Hospitals</t>
        </is>
      </c>
      <c r="C1625" t="inlineStr">
        <is>
          <t>381</t>
        </is>
      </c>
      <c r="D1625" t="inlineStr">
        <is>
          <t>15</t>
        </is>
      </c>
      <c r="E1625" t="inlineStr">
        <is>
          <t>28</t>
        </is>
      </c>
      <c r="F1625" t="inlineStr">
        <is>
          <t>S</t>
        </is>
      </c>
      <c r="G1625" t="inlineStr">
        <is>
          <t>Average</t>
        </is>
      </c>
      <c r="H1625" t="n">
        <v>177</v>
      </c>
      <c r="I1625">
        <f>B1625&amp;"~"&amp;F1625&amp;"~"&amp;G1625</f>
        <v/>
      </c>
      <c r="J1625" t="inlineStr">
        <is>
          <t>MVS Sec.15 p.28</t>
        </is>
      </c>
    </row>
    <row r="1626">
      <c r="B1626" t="inlineStr">
        <is>
          <t>Veterinary Hospitals</t>
        </is>
      </c>
      <c r="C1626" t="inlineStr">
        <is>
          <t>381</t>
        </is>
      </c>
      <c r="D1626" t="inlineStr">
        <is>
          <t>15</t>
        </is>
      </c>
      <c r="E1626" t="inlineStr">
        <is>
          <t>28</t>
        </is>
      </c>
      <c r="F1626" t="inlineStr">
        <is>
          <t>S</t>
        </is>
      </c>
      <c r="G1626" t="inlineStr">
        <is>
          <t>Low Cost</t>
        </is>
      </c>
      <c r="H1626" t="n">
        <v>130</v>
      </c>
      <c r="I1626">
        <f>B1626&amp;"~"&amp;F1626&amp;"~"&amp;G1626</f>
        <v/>
      </c>
      <c r="J1626" t="inlineStr">
        <is>
          <t>MVS Sec.15 p.28</t>
        </is>
      </c>
    </row>
    <row r="1627">
      <c r="B1627" t="inlineStr">
        <is>
          <t>Fire Stations – Volunteer</t>
        </is>
      </c>
      <c r="C1627" t="inlineStr">
        <is>
          <t>427</t>
        </is>
      </c>
      <c r="D1627" t="inlineStr">
        <is>
          <t>15</t>
        </is>
      </c>
      <c r="E1627" t="inlineStr">
        <is>
          <t>28</t>
        </is>
      </c>
      <c r="F1627" t="inlineStr">
        <is>
          <t>A-B</t>
        </is>
      </c>
      <c r="G1627" t="inlineStr">
        <is>
          <t>Average</t>
        </is>
      </c>
      <c r="H1627" t="n">
        <v>159</v>
      </c>
      <c r="I1627">
        <f>B1627&amp;"~"&amp;F1627&amp;"~"&amp;G1627</f>
        <v/>
      </c>
      <c r="J1627" t="inlineStr">
        <is>
          <t>MVS Sec.15 p.28</t>
        </is>
      </c>
    </row>
    <row r="1628">
      <c r="B1628" t="inlineStr">
        <is>
          <t>Fire Stations – Volunteer</t>
        </is>
      </c>
      <c r="C1628" t="inlineStr">
        <is>
          <t>427</t>
        </is>
      </c>
      <c r="D1628" t="inlineStr">
        <is>
          <t>15</t>
        </is>
      </c>
      <c r="E1628" t="inlineStr">
        <is>
          <t>28</t>
        </is>
      </c>
      <c r="F1628" t="inlineStr">
        <is>
          <t>A-B</t>
        </is>
      </c>
      <c r="G1628" t="inlineStr">
        <is>
          <t>Low Cost</t>
        </is>
      </c>
      <c r="H1628" t="n">
        <v>126</v>
      </c>
      <c r="I1628">
        <f>B1628&amp;"~"&amp;F1628&amp;"~"&amp;G1628</f>
        <v/>
      </c>
      <c r="J1628" t="inlineStr">
        <is>
          <t>MVS Sec.15 p.28</t>
        </is>
      </c>
    </row>
    <row r="1629">
      <c r="B1629" t="inlineStr">
        <is>
          <t>Fire Stations – Volunteer</t>
        </is>
      </c>
      <c r="C1629" t="inlineStr">
        <is>
          <t>427</t>
        </is>
      </c>
      <c r="D1629" t="inlineStr">
        <is>
          <t>15</t>
        </is>
      </c>
      <c r="E1629" t="inlineStr">
        <is>
          <t>28</t>
        </is>
      </c>
      <c r="F1629" t="inlineStr">
        <is>
          <t>C</t>
        </is>
      </c>
      <c r="G1629" t="inlineStr">
        <is>
          <t>Good</t>
        </is>
      </c>
      <c r="H1629" t="n">
        <v>137</v>
      </c>
      <c r="I1629">
        <f>B1629&amp;"~"&amp;F1629&amp;"~"&amp;G1629</f>
        <v/>
      </c>
      <c r="J1629" t="inlineStr">
        <is>
          <t>MVS Sec.15 p.28</t>
        </is>
      </c>
    </row>
    <row r="1630">
      <c r="B1630" t="inlineStr">
        <is>
          <t>Fire Stations – Volunteer</t>
        </is>
      </c>
      <c r="C1630" t="inlineStr">
        <is>
          <t>427</t>
        </is>
      </c>
      <c r="D1630" t="inlineStr">
        <is>
          <t>15</t>
        </is>
      </c>
      <c r="E1630" t="inlineStr">
        <is>
          <t>28</t>
        </is>
      </c>
      <c r="F1630" t="inlineStr">
        <is>
          <t>C</t>
        </is>
      </c>
      <c r="G1630" t="inlineStr">
        <is>
          <t>Average</t>
        </is>
      </c>
      <c r="H1630" t="n">
        <v>97.5</v>
      </c>
      <c r="I1630">
        <f>B1630&amp;"~"&amp;F1630&amp;"~"&amp;G1630</f>
        <v/>
      </c>
      <c r="J1630" t="inlineStr">
        <is>
          <t>MVS Sec.15 p.28</t>
        </is>
      </c>
    </row>
    <row r="1631">
      <c r="B1631" t="inlineStr">
        <is>
          <t>Fire Stations – Volunteer</t>
        </is>
      </c>
      <c r="C1631" t="inlineStr">
        <is>
          <t>427</t>
        </is>
      </c>
      <c r="D1631" t="inlineStr">
        <is>
          <t>15</t>
        </is>
      </c>
      <c r="E1631" t="inlineStr">
        <is>
          <t>28</t>
        </is>
      </c>
      <c r="F1631" t="inlineStr">
        <is>
          <t>C</t>
        </is>
      </c>
      <c r="G1631" t="inlineStr">
        <is>
          <t>Low Cost</t>
        </is>
      </c>
      <c r="H1631" t="n">
        <v>74</v>
      </c>
      <c r="I1631">
        <f>B1631&amp;"~"&amp;F1631&amp;"~"&amp;G1631</f>
        <v/>
      </c>
      <c r="J1631" t="inlineStr">
        <is>
          <t>MVS Sec.15 p.28</t>
        </is>
      </c>
    </row>
    <row r="1632">
      <c r="B1632" t="inlineStr">
        <is>
          <t>Fire Stations – Volunteer</t>
        </is>
      </c>
      <c r="C1632" t="inlineStr">
        <is>
          <t>427</t>
        </is>
      </c>
      <c r="D1632" t="inlineStr">
        <is>
          <t>15</t>
        </is>
      </c>
      <c r="E1632" t="inlineStr">
        <is>
          <t>28</t>
        </is>
      </c>
      <c r="F1632" t="inlineStr">
        <is>
          <t>D</t>
        </is>
      </c>
      <c r="G1632" t="inlineStr">
        <is>
          <t>Good</t>
        </is>
      </c>
      <c r="H1632" t="n">
        <v>126</v>
      </c>
      <c r="I1632">
        <f>B1632&amp;"~"&amp;F1632&amp;"~"&amp;G1632</f>
        <v/>
      </c>
      <c r="J1632" t="inlineStr">
        <is>
          <t>MVS Sec.15 p.28</t>
        </is>
      </c>
    </row>
    <row r="1633">
      <c r="B1633" t="inlineStr">
        <is>
          <t>Fire Stations – Volunteer</t>
        </is>
      </c>
      <c r="C1633" t="inlineStr">
        <is>
          <t>427</t>
        </is>
      </c>
      <c r="D1633" t="inlineStr">
        <is>
          <t>15</t>
        </is>
      </c>
      <c r="E1633" t="inlineStr">
        <is>
          <t>28</t>
        </is>
      </c>
      <c r="F1633" t="inlineStr">
        <is>
          <t>D</t>
        </is>
      </c>
      <c r="G1633" t="inlineStr">
        <is>
          <t>Average</t>
        </is>
      </c>
      <c r="H1633" t="n">
        <v>88.5</v>
      </c>
      <c r="I1633">
        <f>B1633&amp;"~"&amp;F1633&amp;"~"&amp;G1633</f>
        <v/>
      </c>
      <c r="J1633" t="inlineStr">
        <is>
          <t>MVS Sec.15 p.28</t>
        </is>
      </c>
    </row>
    <row r="1634">
      <c r="B1634" t="inlineStr">
        <is>
          <t>Fire Stations – Volunteer</t>
        </is>
      </c>
      <c r="C1634" t="inlineStr">
        <is>
          <t>427</t>
        </is>
      </c>
      <c r="D1634" t="inlineStr">
        <is>
          <t>15</t>
        </is>
      </c>
      <c r="E1634" t="inlineStr">
        <is>
          <t>28</t>
        </is>
      </c>
      <c r="F1634" t="inlineStr">
        <is>
          <t>D</t>
        </is>
      </c>
      <c r="G1634" t="inlineStr">
        <is>
          <t>Low Cost</t>
        </is>
      </c>
      <c r="H1634" t="n">
        <v>67</v>
      </c>
      <c r="I1634">
        <f>B1634&amp;"~"&amp;F1634&amp;"~"&amp;G1634</f>
        <v/>
      </c>
      <c r="J1634" t="inlineStr">
        <is>
          <t>MVS Sec.15 p.28</t>
        </is>
      </c>
    </row>
    <row r="1635">
      <c r="B1635" t="inlineStr">
        <is>
          <t>Fire Stations – Volunteer</t>
        </is>
      </c>
      <c r="C1635" t="inlineStr">
        <is>
          <t>427</t>
        </is>
      </c>
      <c r="D1635" t="inlineStr">
        <is>
          <t>15</t>
        </is>
      </c>
      <c r="E1635" t="inlineStr">
        <is>
          <t>28</t>
        </is>
      </c>
      <c r="F1635" t="inlineStr">
        <is>
          <t>DPOLE</t>
        </is>
      </c>
      <c r="G1635" t="inlineStr">
        <is>
          <t>Average</t>
        </is>
      </c>
      <c r="H1635" t="n">
        <v>81</v>
      </c>
      <c r="I1635">
        <f>B1635&amp;"~"&amp;F1635&amp;"~"&amp;G1635</f>
        <v/>
      </c>
      <c r="J1635" t="inlineStr">
        <is>
          <t>MVS Sec.15 p.28</t>
        </is>
      </c>
    </row>
    <row r="1636">
      <c r="B1636" t="inlineStr">
        <is>
          <t>Fire Stations – Volunteer</t>
        </is>
      </c>
      <c r="C1636" t="inlineStr">
        <is>
          <t>427</t>
        </is>
      </c>
      <c r="D1636" t="inlineStr">
        <is>
          <t>15</t>
        </is>
      </c>
      <c r="E1636" t="inlineStr">
        <is>
          <t>28</t>
        </is>
      </c>
      <c r="F1636" t="inlineStr">
        <is>
          <t>DPOLE</t>
        </is>
      </c>
      <c r="G1636" t="inlineStr">
        <is>
          <t>Low Cost</t>
        </is>
      </c>
      <c r="H1636" t="n">
        <v>59.5</v>
      </c>
      <c r="I1636">
        <f>B1636&amp;"~"&amp;F1636&amp;"~"&amp;G1636</f>
        <v/>
      </c>
      <c r="J1636" t="inlineStr">
        <is>
          <t>MVS Sec.15 p.28</t>
        </is>
      </c>
    </row>
    <row r="1637">
      <c r="B1637" t="inlineStr">
        <is>
          <t>Fire Stations – Volunteer</t>
        </is>
      </c>
      <c r="C1637" t="inlineStr">
        <is>
          <t>427</t>
        </is>
      </c>
      <c r="D1637" t="inlineStr">
        <is>
          <t>15</t>
        </is>
      </c>
      <c r="E1637" t="inlineStr">
        <is>
          <t>28</t>
        </is>
      </c>
      <c r="F1637" t="inlineStr">
        <is>
          <t>S</t>
        </is>
      </c>
      <c r="G1637" t="inlineStr">
        <is>
          <t>Good</t>
        </is>
      </c>
      <c r="H1637" t="n">
        <v>122</v>
      </c>
      <c r="I1637">
        <f>B1637&amp;"~"&amp;F1637&amp;"~"&amp;G1637</f>
        <v/>
      </c>
      <c r="J1637" t="inlineStr">
        <is>
          <t>MVS Sec.15 p.28</t>
        </is>
      </c>
    </row>
    <row r="1638">
      <c r="B1638" t="inlineStr">
        <is>
          <t>Fire Stations – Volunteer</t>
        </is>
      </c>
      <c r="C1638" t="inlineStr">
        <is>
          <t>427</t>
        </is>
      </c>
      <c r="D1638" t="inlineStr">
        <is>
          <t>15</t>
        </is>
      </c>
      <c r="E1638" t="inlineStr">
        <is>
          <t>28</t>
        </is>
      </c>
      <c r="F1638" t="inlineStr">
        <is>
          <t>S</t>
        </is>
      </c>
      <c r="G1638" t="inlineStr">
        <is>
          <t>Average</t>
        </is>
      </c>
      <c r="H1638" t="n">
        <v>85</v>
      </c>
      <c r="I1638">
        <f>B1638&amp;"~"&amp;F1638&amp;"~"&amp;G1638</f>
        <v/>
      </c>
      <c r="J1638" t="inlineStr">
        <is>
          <t>MVS Sec.15 p.28</t>
        </is>
      </c>
    </row>
    <row r="1639">
      <c r="B1639" t="inlineStr">
        <is>
          <t>Fire Stations – Volunteer</t>
        </is>
      </c>
      <c r="C1639" t="inlineStr">
        <is>
          <t>427</t>
        </is>
      </c>
      <c r="D1639" t="inlineStr">
        <is>
          <t>15</t>
        </is>
      </c>
      <c r="E1639" t="inlineStr">
        <is>
          <t>28</t>
        </is>
      </c>
      <c r="F1639" t="inlineStr">
        <is>
          <t>S</t>
        </is>
      </c>
      <c r="G1639" t="inlineStr">
        <is>
          <t>Low Cost</t>
        </is>
      </c>
      <c r="H1639" t="n">
        <v>63.5</v>
      </c>
      <c r="I1639">
        <f>B1639&amp;"~"&amp;F1639&amp;"~"&amp;G1639</f>
        <v/>
      </c>
      <c r="J1639" t="inlineStr">
        <is>
          <t>MVS Sec.15 p.28</t>
        </is>
      </c>
    </row>
    <row r="1640">
      <c r="B1640" t="inlineStr">
        <is>
          <t>Fire Stations – Staffed</t>
        </is>
      </c>
      <c r="C1640" t="inlineStr">
        <is>
          <t>322</t>
        </is>
      </c>
      <c r="D1640" t="inlineStr">
        <is>
          <t>15</t>
        </is>
      </c>
      <c r="E1640" t="inlineStr">
        <is>
          <t>29</t>
        </is>
      </c>
      <c r="F1640" t="inlineStr">
        <is>
          <t>A-B</t>
        </is>
      </c>
      <c r="G1640" t="inlineStr">
        <is>
          <t>Good</t>
        </is>
      </c>
      <c r="H1640" t="n">
        <v>387</v>
      </c>
      <c r="I1640">
        <f>B1640&amp;"~"&amp;F1640&amp;"~"&amp;G1640</f>
        <v/>
      </c>
      <c r="J1640" t="inlineStr">
        <is>
          <t>MVS Sec.15 p.29</t>
        </is>
      </c>
    </row>
    <row r="1641">
      <c r="B1641" t="inlineStr">
        <is>
          <t>Fire Stations – Staffed</t>
        </is>
      </c>
      <c r="C1641" t="inlineStr">
        <is>
          <t>322</t>
        </is>
      </c>
      <c r="D1641" t="inlineStr">
        <is>
          <t>15</t>
        </is>
      </c>
      <c r="E1641" t="inlineStr">
        <is>
          <t>29</t>
        </is>
      </c>
      <c r="F1641" t="inlineStr">
        <is>
          <t>A-B</t>
        </is>
      </c>
      <c r="G1641" t="inlineStr">
        <is>
          <t>Average</t>
        </is>
      </c>
      <c r="H1641" t="n">
        <v>279</v>
      </c>
      <c r="I1641">
        <f>B1641&amp;"~"&amp;F1641&amp;"~"&amp;G1641</f>
        <v/>
      </c>
      <c r="J1641" t="inlineStr">
        <is>
          <t>MVS Sec.15 p.29</t>
        </is>
      </c>
    </row>
    <row r="1642">
      <c r="B1642" t="inlineStr">
        <is>
          <t>Fire Stations – Staffed</t>
        </is>
      </c>
      <c r="C1642" t="inlineStr">
        <is>
          <t>322</t>
        </is>
      </c>
      <c r="D1642" t="inlineStr">
        <is>
          <t>15</t>
        </is>
      </c>
      <c r="E1642" t="inlineStr">
        <is>
          <t>29</t>
        </is>
      </c>
      <c r="F1642" t="inlineStr">
        <is>
          <t>C</t>
        </is>
      </c>
      <c r="G1642" t="inlineStr">
        <is>
          <t>Excellent</t>
        </is>
      </c>
      <c r="H1642" t="n">
        <v>366</v>
      </c>
      <c r="I1642">
        <f>B1642&amp;"~"&amp;F1642&amp;"~"&amp;G1642</f>
        <v/>
      </c>
      <c r="J1642" t="inlineStr">
        <is>
          <t>MVS Sec.15 p.29</t>
        </is>
      </c>
    </row>
    <row r="1643">
      <c r="B1643" t="inlineStr">
        <is>
          <t>Fire Stations – Staffed</t>
        </is>
      </c>
      <c r="C1643" t="inlineStr">
        <is>
          <t>322</t>
        </is>
      </c>
      <c r="D1643" t="inlineStr">
        <is>
          <t>15</t>
        </is>
      </c>
      <c r="E1643" t="inlineStr">
        <is>
          <t>29</t>
        </is>
      </c>
      <c r="F1643" t="inlineStr">
        <is>
          <t>C</t>
        </is>
      </c>
      <c r="G1643" t="inlineStr">
        <is>
          <t>Very Good</t>
        </is>
      </c>
      <c r="H1643" t="n">
        <v>304</v>
      </c>
      <c r="I1643">
        <f>B1643&amp;"~"&amp;F1643&amp;"~"&amp;G1643</f>
        <v/>
      </c>
      <c r="J1643" t="inlineStr">
        <is>
          <t>MVS Sec.15 p.29</t>
        </is>
      </c>
    </row>
    <row r="1644">
      <c r="B1644" t="inlineStr">
        <is>
          <t>Fire Stations – Staffed</t>
        </is>
      </c>
      <c r="C1644" t="inlineStr">
        <is>
          <t>322</t>
        </is>
      </c>
      <c r="D1644" t="inlineStr">
        <is>
          <t>15</t>
        </is>
      </c>
      <c r="E1644" t="inlineStr">
        <is>
          <t>29</t>
        </is>
      </c>
      <c r="F1644" t="inlineStr">
        <is>
          <t>C</t>
        </is>
      </c>
      <c r="G1644" t="inlineStr">
        <is>
          <t>Good</t>
        </is>
      </c>
      <c r="H1644" t="n">
        <v>252</v>
      </c>
      <c r="I1644">
        <f>B1644&amp;"~"&amp;F1644&amp;"~"&amp;G1644</f>
        <v/>
      </c>
      <c r="J1644" t="inlineStr">
        <is>
          <t>MVS Sec.15 p.29</t>
        </is>
      </c>
    </row>
    <row r="1645">
      <c r="B1645" t="inlineStr">
        <is>
          <t>Fire Stations – Staffed</t>
        </is>
      </c>
      <c r="C1645" t="inlineStr">
        <is>
          <t>322</t>
        </is>
      </c>
      <c r="D1645" t="inlineStr">
        <is>
          <t>15</t>
        </is>
      </c>
      <c r="E1645" t="inlineStr">
        <is>
          <t>29</t>
        </is>
      </c>
      <c r="F1645" t="inlineStr">
        <is>
          <t>C</t>
        </is>
      </c>
      <c r="G1645" t="inlineStr">
        <is>
          <t>Average</t>
        </is>
      </c>
      <c r="H1645" t="n">
        <v>176</v>
      </c>
      <c r="I1645">
        <f>B1645&amp;"~"&amp;F1645&amp;"~"&amp;G1645</f>
        <v/>
      </c>
      <c r="J1645" t="inlineStr">
        <is>
          <t>MVS Sec.15 p.29</t>
        </is>
      </c>
    </row>
    <row r="1646">
      <c r="B1646" t="inlineStr">
        <is>
          <t>Fire Stations – Staffed</t>
        </is>
      </c>
      <c r="C1646" t="inlineStr">
        <is>
          <t>322</t>
        </is>
      </c>
      <c r="D1646" t="inlineStr">
        <is>
          <t>15</t>
        </is>
      </c>
      <c r="E1646" t="inlineStr">
        <is>
          <t>29</t>
        </is>
      </c>
      <c r="F1646" t="inlineStr">
        <is>
          <t>C</t>
        </is>
      </c>
      <c r="G1646" t="inlineStr">
        <is>
          <t>Low Cost</t>
        </is>
      </c>
      <c r="H1646" t="n">
        <v>119</v>
      </c>
      <c r="I1646">
        <f>B1646&amp;"~"&amp;F1646&amp;"~"&amp;G1646</f>
        <v/>
      </c>
      <c r="J1646" t="inlineStr">
        <is>
          <t>MVS Sec.15 p.29</t>
        </is>
      </c>
    </row>
    <row r="1647">
      <c r="B1647" t="inlineStr">
        <is>
          <t>Fire Stations – Staffed</t>
        </is>
      </c>
      <c r="C1647" t="inlineStr">
        <is>
          <t>322</t>
        </is>
      </c>
      <c r="D1647" t="inlineStr">
        <is>
          <t>15</t>
        </is>
      </c>
      <c r="E1647" t="inlineStr">
        <is>
          <t>29</t>
        </is>
      </c>
      <c r="F1647" t="inlineStr">
        <is>
          <t>D</t>
        </is>
      </c>
      <c r="G1647" t="inlineStr">
        <is>
          <t>Excellent</t>
        </is>
      </c>
      <c r="H1647" t="n">
        <v>352</v>
      </c>
      <c r="I1647">
        <f>B1647&amp;"~"&amp;F1647&amp;"~"&amp;G1647</f>
        <v/>
      </c>
      <c r="J1647" t="inlineStr">
        <is>
          <t>MVS Sec.15 p.29</t>
        </is>
      </c>
    </row>
    <row r="1648">
      <c r="B1648" t="inlineStr">
        <is>
          <t>Fire Stations – Staffed</t>
        </is>
      </c>
      <c r="C1648" t="inlineStr">
        <is>
          <t>322</t>
        </is>
      </c>
      <c r="D1648" t="inlineStr">
        <is>
          <t>15</t>
        </is>
      </c>
      <c r="E1648" t="inlineStr">
        <is>
          <t>29</t>
        </is>
      </c>
      <c r="F1648" t="inlineStr">
        <is>
          <t>D</t>
        </is>
      </c>
      <c r="G1648" t="inlineStr">
        <is>
          <t>Very Good</t>
        </is>
      </c>
      <c r="H1648" t="n">
        <v>290</v>
      </c>
      <c r="I1648">
        <f>B1648&amp;"~"&amp;F1648&amp;"~"&amp;G1648</f>
        <v/>
      </c>
      <c r="J1648" t="inlineStr">
        <is>
          <t>MVS Sec.15 p.29</t>
        </is>
      </c>
    </row>
    <row r="1649">
      <c r="B1649" t="inlineStr">
        <is>
          <t>Fire Stations – Staffed</t>
        </is>
      </c>
      <c r="C1649" t="inlineStr">
        <is>
          <t>322</t>
        </is>
      </c>
      <c r="D1649" t="inlineStr">
        <is>
          <t>15</t>
        </is>
      </c>
      <c r="E1649" t="inlineStr">
        <is>
          <t>29</t>
        </is>
      </c>
      <c r="F1649" t="inlineStr">
        <is>
          <t>D</t>
        </is>
      </c>
      <c r="G1649" t="inlineStr">
        <is>
          <t>Good</t>
        </is>
      </c>
      <c r="H1649" t="n">
        <v>238</v>
      </c>
      <c r="I1649">
        <f>B1649&amp;"~"&amp;F1649&amp;"~"&amp;G1649</f>
        <v/>
      </c>
      <c r="J1649" t="inlineStr">
        <is>
          <t>MVS Sec.15 p.29</t>
        </is>
      </c>
    </row>
    <row r="1650">
      <c r="B1650" t="inlineStr">
        <is>
          <t>Fire Stations – Staffed</t>
        </is>
      </c>
      <c r="C1650" t="inlineStr">
        <is>
          <t>322</t>
        </is>
      </c>
      <c r="D1650" t="inlineStr">
        <is>
          <t>15</t>
        </is>
      </c>
      <c r="E1650" t="inlineStr">
        <is>
          <t>29</t>
        </is>
      </c>
      <c r="F1650" t="inlineStr">
        <is>
          <t>D</t>
        </is>
      </c>
      <c r="G1650" t="inlineStr">
        <is>
          <t>Average</t>
        </is>
      </c>
      <c r="H1650" t="n">
        <v>163</v>
      </c>
      <c r="I1650">
        <f>B1650&amp;"~"&amp;F1650&amp;"~"&amp;G1650</f>
        <v/>
      </c>
      <c r="J1650" t="inlineStr">
        <is>
          <t>MVS Sec.15 p.29</t>
        </is>
      </c>
    </row>
    <row r="1651">
      <c r="B1651" t="inlineStr">
        <is>
          <t>Fire Stations – Staffed</t>
        </is>
      </c>
      <c r="C1651" t="inlineStr">
        <is>
          <t>322</t>
        </is>
      </c>
      <c r="D1651" t="inlineStr">
        <is>
          <t>15</t>
        </is>
      </c>
      <c r="E1651" t="inlineStr">
        <is>
          <t>29</t>
        </is>
      </c>
      <c r="F1651" t="inlineStr">
        <is>
          <t>D</t>
        </is>
      </c>
      <c r="G1651" t="inlineStr">
        <is>
          <t>Low Cost</t>
        </is>
      </c>
      <c r="H1651" t="n">
        <v>108</v>
      </c>
      <c r="I1651">
        <f>B1651&amp;"~"&amp;F1651&amp;"~"&amp;G1651</f>
        <v/>
      </c>
      <c r="J1651" t="inlineStr">
        <is>
          <t>MVS Sec.15 p.29</t>
        </is>
      </c>
    </row>
    <row r="1652">
      <c r="B1652" t="inlineStr">
        <is>
          <t>Fire Stations – Staffed</t>
        </is>
      </c>
      <c r="C1652" t="inlineStr">
        <is>
          <t>322</t>
        </is>
      </c>
      <c r="D1652" t="inlineStr">
        <is>
          <t>15</t>
        </is>
      </c>
      <c r="E1652" t="inlineStr">
        <is>
          <t>29</t>
        </is>
      </c>
      <c r="F1652" t="inlineStr">
        <is>
          <t>DPOLE</t>
        </is>
      </c>
      <c r="G1652" t="inlineStr">
        <is>
          <t>Average</t>
        </is>
      </c>
      <c r="H1652" t="n">
        <v>139</v>
      </c>
      <c r="I1652">
        <f>B1652&amp;"~"&amp;F1652&amp;"~"&amp;G1652</f>
        <v/>
      </c>
      <c r="J1652" t="inlineStr">
        <is>
          <t>MVS Sec.15 p.29</t>
        </is>
      </c>
    </row>
    <row r="1653">
      <c r="B1653" t="inlineStr">
        <is>
          <t>Fire Stations – Staffed</t>
        </is>
      </c>
      <c r="C1653" t="inlineStr">
        <is>
          <t>322</t>
        </is>
      </c>
      <c r="D1653" t="inlineStr">
        <is>
          <t>15</t>
        </is>
      </c>
      <c r="E1653" t="inlineStr">
        <is>
          <t>29</t>
        </is>
      </c>
      <c r="F1653" t="inlineStr">
        <is>
          <t>DPOLE</t>
        </is>
      </c>
      <c r="G1653" t="inlineStr">
        <is>
          <t>Low Cost</t>
        </is>
      </c>
      <c r="H1653" t="n">
        <v>91.5</v>
      </c>
      <c r="I1653">
        <f>B1653&amp;"~"&amp;F1653&amp;"~"&amp;G1653</f>
        <v/>
      </c>
      <c r="J1653" t="inlineStr">
        <is>
          <t>MVS Sec.15 p.29</t>
        </is>
      </c>
    </row>
    <row r="1654">
      <c r="B1654" t="inlineStr">
        <is>
          <t>Fire Stations – Staffed</t>
        </is>
      </c>
      <c r="C1654" t="inlineStr">
        <is>
          <t>322</t>
        </is>
      </c>
      <c r="D1654" t="inlineStr">
        <is>
          <t>15</t>
        </is>
      </c>
      <c r="E1654" t="inlineStr">
        <is>
          <t>29</t>
        </is>
      </c>
      <c r="F1654" t="inlineStr">
        <is>
          <t>S</t>
        </is>
      </c>
      <c r="G1654" t="inlineStr">
        <is>
          <t>Good</t>
        </is>
      </c>
      <c r="H1654" t="n">
        <v>208</v>
      </c>
      <c r="I1654">
        <f>B1654&amp;"~"&amp;F1654&amp;"~"&amp;G1654</f>
        <v/>
      </c>
      <c r="J1654" t="inlineStr">
        <is>
          <t>MVS Sec.15 p.29</t>
        </is>
      </c>
    </row>
    <row r="1655">
      <c r="B1655" t="inlineStr">
        <is>
          <t>Fire Stations – Staffed</t>
        </is>
      </c>
      <c r="C1655" t="inlineStr">
        <is>
          <t>322</t>
        </is>
      </c>
      <c r="D1655" t="inlineStr">
        <is>
          <t>15</t>
        </is>
      </c>
      <c r="E1655" t="inlineStr">
        <is>
          <t>29</t>
        </is>
      </c>
      <c r="F1655" t="inlineStr">
        <is>
          <t>S</t>
        </is>
      </c>
      <c r="G1655" t="inlineStr">
        <is>
          <t>Average</t>
        </is>
      </c>
      <c r="H1655" t="n">
        <v>144</v>
      </c>
      <c r="I1655">
        <f>B1655&amp;"~"&amp;F1655&amp;"~"&amp;G1655</f>
        <v/>
      </c>
      <c r="J1655" t="inlineStr">
        <is>
          <t>MVS Sec.15 p.29</t>
        </is>
      </c>
    </row>
    <row r="1656">
      <c r="B1656" t="inlineStr">
        <is>
          <t>Fire Stations – Staffed</t>
        </is>
      </c>
      <c r="C1656" t="inlineStr">
        <is>
          <t>322</t>
        </is>
      </c>
      <c r="D1656" t="inlineStr">
        <is>
          <t>15</t>
        </is>
      </c>
      <c r="E1656" t="inlineStr">
        <is>
          <t>29</t>
        </is>
      </c>
      <c r="F1656" t="inlineStr">
        <is>
          <t>S</t>
        </is>
      </c>
      <c r="G1656" t="inlineStr">
        <is>
          <t>Low Cost</t>
        </is>
      </c>
      <c r="H1656" t="n">
        <v>95.5</v>
      </c>
      <c r="I1656">
        <f>B1656&amp;"~"&amp;F1656&amp;"~"&amp;G1656</f>
        <v/>
      </c>
      <c r="J1656" t="inlineStr">
        <is>
          <t>MVS Sec.15 p.29</t>
        </is>
      </c>
    </row>
    <row r="1657">
      <c r="B1657" t="inlineStr">
        <is>
          <t>Governmental Buildings</t>
        </is>
      </c>
      <c r="C1657" t="inlineStr">
        <is>
          <t>327</t>
        </is>
      </c>
      <c r="D1657" t="inlineStr">
        <is>
          <t>15</t>
        </is>
      </c>
      <c r="E1657" t="inlineStr">
        <is>
          <t>30</t>
        </is>
      </c>
      <c r="F1657" t="inlineStr">
        <is>
          <t>A</t>
        </is>
      </c>
      <c r="G1657" t="inlineStr">
        <is>
          <t>Excellent</t>
        </is>
      </c>
      <c r="H1657" t="n">
        <v>493</v>
      </c>
      <c r="I1657">
        <f>B1657&amp;"~"&amp;F1657&amp;"~"&amp;G1657</f>
        <v/>
      </c>
      <c r="J1657" t="inlineStr">
        <is>
          <t>MVS Sec.15 p.30</t>
        </is>
      </c>
    </row>
    <row r="1658">
      <c r="B1658" t="inlineStr">
        <is>
          <t>Governmental Buildings</t>
        </is>
      </c>
      <c r="C1658" t="inlineStr">
        <is>
          <t>327</t>
        </is>
      </c>
      <c r="D1658" t="inlineStr">
        <is>
          <t>15</t>
        </is>
      </c>
      <c r="E1658" t="inlineStr">
        <is>
          <t>30</t>
        </is>
      </c>
      <c r="F1658" t="inlineStr">
        <is>
          <t>A</t>
        </is>
      </c>
      <c r="G1658" t="inlineStr">
        <is>
          <t>Good</t>
        </is>
      </c>
      <c r="H1658" t="n">
        <v>377</v>
      </c>
      <c r="I1658">
        <f>B1658&amp;"~"&amp;F1658&amp;"~"&amp;G1658</f>
        <v/>
      </c>
      <c r="J1658" t="inlineStr">
        <is>
          <t>MVS Sec.15 p.30</t>
        </is>
      </c>
    </row>
    <row r="1659">
      <c r="B1659" t="inlineStr">
        <is>
          <t>Governmental Buildings</t>
        </is>
      </c>
      <c r="C1659" t="inlineStr">
        <is>
          <t>327</t>
        </is>
      </c>
      <c r="D1659" t="inlineStr">
        <is>
          <t>15</t>
        </is>
      </c>
      <c r="E1659" t="inlineStr">
        <is>
          <t>30</t>
        </is>
      </c>
      <c r="F1659" t="inlineStr">
        <is>
          <t>A</t>
        </is>
      </c>
      <c r="G1659" t="inlineStr">
        <is>
          <t>Average</t>
        </is>
      </c>
      <c r="H1659" t="n">
        <v>277</v>
      </c>
      <c r="I1659">
        <f>B1659&amp;"~"&amp;F1659&amp;"~"&amp;G1659</f>
        <v/>
      </c>
      <c r="J1659" t="inlineStr">
        <is>
          <t>MVS Sec.15 p.30</t>
        </is>
      </c>
    </row>
    <row r="1660">
      <c r="B1660" t="inlineStr">
        <is>
          <t>Governmental Buildings</t>
        </is>
      </c>
      <c r="C1660" t="inlineStr">
        <is>
          <t>327</t>
        </is>
      </c>
      <c r="D1660" t="inlineStr">
        <is>
          <t>15</t>
        </is>
      </c>
      <c r="E1660" t="inlineStr">
        <is>
          <t>30</t>
        </is>
      </c>
      <c r="F1660" t="inlineStr">
        <is>
          <t>B</t>
        </is>
      </c>
      <c r="G1660" t="inlineStr">
        <is>
          <t>Excellent</t>
        </is>
      </c>
      <c r="H1660" t="n">
        <v>447</v>
      </c>
      <c r="I1660">
        <f>B1660&amp;"~"&amp;F1660&amp;"~"&amp;G1660</f>
        <v/>
      </c>
      <c r="J1660" t="inlineStr">
        <is>
          <t>MVS Sec.15 p.30</t>
        </is>
      </c>
    </row>
    <row r="1661">
      <c r="B1661" t="inlineStr">
        <is>
          <t>Governmental Buildings</t>
        </is>
      </c>
      <c r="C1661" t="inlineStr">
        <is>
          <t>327</t>
        </is>
      </c>
      <c r="D1661" t="inlineStr">
        <is>
          <t>15</t>
        </is>
      </c>
      <c r="E1661" t="inlineStr">
        <is>
          <t>30</t>
        </is>
      </c>
      <c r="F1661" t="inlineStr">
        <is>
          <t>B</t>
        </is>
      </c>
      <c r="G1661" t="inlineStr">
        <is>
          <t>Good</t>
        </is>
      </c>
      <c r="H1661" t="n">
        <v>344</v>
      </c>
      <c r="I1661">
        <f>B1661&amp;"~"&amp;F1661&amp;"~"&amp;G1661</f>
        <v/>
      </c>
      <c r="J1661" t="inlineStr">
        <is>
          <t>MVS Sec.15 p.30</t>
        </is>
      </c>
    </row>
    <row r="1662">
      <c r="B1662" t="inlineStr">
        <is>
          <t>Governmental Buildings</t>
        </is>
      </c>
      <c r="C1662" t="inlineStr">
        <is>
          <t>327</t>
        </is>
      </c>
      <c r="D1662" t="inlineStr">
        <is>
          <t>15</t>
        </is>
      </c>
      <c r="E1662" t="inlineStr">
        <is>
          <t>30</t>
        </is>
      </c>
      <c r="F1662" t="inlineStr">
        <is>
          <t>B</t>
        </is>
      </c>
      <c r="G1662" t="inlineStr">
        <is>
          <t>Average</t>
        </is>
      </c>
      <c r="H1662" t="n">
        <v>254</v>
      </c>
      <c r="I1662">
        <f>B1662&amp;"~"&amp;F1662&amp;"~"&amp;G1662</f>
        <v/>
      </c>
      <c r="J1662" t="inlineStr">
        <is>
          <t>MVS Sec.15 p.30</t>
        </is>
      </c>
    </row>
    <row r="1663">
      <c r="B1663" t="inlineStr">
        <is>
          <t>Governmental Buildings</t>
        </is>
      </c>
      <c r="C1663" t="inlineStr">
        <is>
          <t>327</t>
        </is>
      </c>
      <c r="D1663" t="inlineStr">
        <is>
          <t>15</t>
        </is>
      </c>
      <c r="E1663" t="inlineStr">
        <is>
          <t>30</t>
        </is>
      </c>
      <c r="F1663" t="inlineStr">
        <is>
          <t>B</t>
        </is>
      </c>
      <c r="G1663" t="inlineStr">
        <is>
          <t>Low Cost</t>
        </is>
      </c>
      <c r="H1663" t="n">
        <v>192</v>
      </c>
      <c r="I1663">
        <f>B1663&amp;"~"&amp;F1663&amp;"~"&amp;G1663</f>
        <v/>
      </c>
      <c r="J1663" t="inlineStr">
        <is>
          <t>MVS Sec.15 p.30</t>
        </is>
      </c>
    </row>
    <row r="1664">
      <c r="B1664" t="inlineStr">
        <is>
          <t>Governmental Buildings</t>
        </is>
      </c>
      <c r="C1664" t="inlineStr">
        <is>
          <t>327</t>
        </is>
      </c>
      <c r="D1664" t="inlineStr">
        <is>
          <t>15</t>
        </is>
      </c>
      <c r="E1664" t="inlineStr">
        <is>
          <t>30</t>
        </is>
      </c>
      <c r="F1664" t="inlineStr">
        <is>
          <t>C</t>
        </is>
      </c>
      <c r="G1664" t="inlineStr">
        <is>
          <t>Excellent</t>
        </is>
      </c>
      <c r="H1664" t="n">
        <v>380</v>
      </c>
      <c r="I1664">
        <f>B1664&amp;"~"&amp;F1664&amp;"~"&amp;G1664</f>
        <v/>
      </c>
      <c r="J1664" t="inlineStr">
        <is>
          <t>MVS Sec.15 p.30</t>
        </is>
      </c>
    </row>
    <row r="1665">
      <c r="B1665" t="inlineStr">
        <is>
          <t>Governmental Buildings</t>
        </is>
      </c>
      <c r="C1665" t="inlineStr">
        <is>
          <t>327</t>
        </is>
      </c>
      <c r="D1665" t="inlineStr">
        <is>
          <t>15</t>
        </is>
      </c>
      <c r="E1665" t="inlineStr">
        <is>
          <t>30</t>
        </is>
      </c>
      <c r="F1665" t="inlineStr">
        <is>
          <t>C</t>
        </is>
      </c>
      <c r="G1665" t="inlineStr">
        <is>
          <t>Good</t>
        </is>
      </c>
      <c r="H1665" t="n">
        <v>273</v>
      </c>
      <c r="I1665">
        <f>B1665&amp;"~"&amp;F1665&amp;"~"&amp;G1665</f>
        <v/>
      </c>
      <c r="J1665" t="inlineStr">
        <is>
          <t>MVS Sec.15 p.30</t>
        </is>
      </c>
    </row>
    <row r="1666">
      <c r="B1666" t="inlineStr">
        <is>
          <t>Governmental Buildings</t>
        </is>
      </c>
      <c r="C1666" t="inlineStr">
        <is>
          <t>327</t>
        </is>
      </c>
      <c r="D1666" t="inlineStr">
        <is>
          <t>15</t>
        </is>
      </c>
      <c r="E1666" t="inlineStr">
        <is>
          <t>30</t>
        </is>
      </c>
      <c r="F1666" t="inlineStr">
        <is>
          <t>C</t>
        </is>
      </c>
      <c r="G1666" t="inlineStr">
        <is>
          <t>Average</t>
        </is>
      </c>
      <c r="H1666" t="n">
        <v>206</v>
      </c>
      <c r="I1666">
        <f>B1666&amp;"~"&amp;F1666&amp;"~"&amp;G1666</f>
        <v/>
      </c>
      <c r="J1666" t="inlineStr">
        <is>
          <t>MVS Sec.15 p.30</t>
        </is>
      </c>
    </row>
    <row r="1667">
      <c r="B1667" t="inlineStr">
        <is>
          <t>Governmental Buildings</t>
        </is>
      </c>
      <c r="C1667" t="inlineStr">
        <is>
          <t>327</t>
        </is>
      </c>
      <c r="D1667" t="inlineStr">
        <is>
          <t>15</t>
        </is>
      </c>
      <c r="E1667" t="inlineStr">
        <is>
          <t>30</t>
        </is>
      </c>
      <c r="F1667" t="inlineStr">
        <is>
          <t>C</t>
        </is>
      </c>
      <c r="G1667" t="inlineStr">
        <is>
          <t>Low Cost</t>
        </is>
      </c>
      <c r="H1667" t="n">
        <v>147</v>
      </c>
      <c r="I1667">
        <f>B1667&amp;"~"&amp;F1667&amp;"~"&amp;G1667</f>
        <v/>
      </c>
      <c r="J1667" t="inlineStr">
        <is>
          <t>MVS Sec.15 p.30</t>
        </is>
      </c>
    </row>
    <row r="1668">
      <c r="B1668" t="inlineStr">
        <is>
          <t>Governmental Buildings</t>
        </is>
      </c>
      <c r="C1668" t="inlineStr">
        <is>
          <t>327</t>
        </is>
      </c>
      <c r="D1668" t="inlineStr">
        <is>
          <t>15</t>
        </is>
      </c>
      <c r="E1668" t="inlineStr">
        <is>
          <t>30</t>
        </is>
      </c>
      <c r="F1668" t="inlineStr">
        <is>
          <t>D</t>
        </is>
      </c>
      <c r="G1668" t="inlineStr">
        <is>
          <t>Excellent</t>
        </is>
      </c>
      <c r="H1668" t="n">
        <v>367</v>
      </c>
      <c r="I1668">
        <f>B1668&amp;"~"&amp;F1668&amp;"~"&amp;G1668</f>
        <v/>
      </c>
      <c r="J1668" t="inlineStr">
        <is>
          <t>MVS Sec.15 p.30</t>
        </is>
      </c>
    </row>
    <row r="1669">
      <c r="B1669" t="inlineStr">
        <is>
          <t>Governmental Buildings</t>
        </is>
      </c>
      <c r="C1669" t="inlineStr">
        <is>
          <t>327</t>
        </is>
      </c>
      <c r="D1669" t="inlineStr">
        <is>
          <t>15</t>
        </is>
      </c>
      <c r="E1669" t="inlineStr">
        <is>
          <t>30</t>
        </is>
      </c>
      <c r="F1669" t="inlineStr">
        <is>
          <t>D</t>
        </is>
      </c>
      <c r="G1669" t="inlineStr">
        <is>
          <t>Good</t>
        </is>
      </c>
      <c r="H1669" t="n">
        <v>263</v>
      </c>
      <c r="I1669">
        <f>B1669&amp;"~"&amp;F1669&amp;"~"&amp;G1669</f>
        <v/>
      </c>
      <c r="J1669" t="inlineStr">
        <is>
          <t>MVS Sec.15 p.30</t>
        </is>
      </c>
    </row>
    <row r="1670">
      <c r="B1670" t="inlineStr">
        <is>
          <t>Governmental Buildings</t>
        </is>
      </c>
      <c r="C1670" t="inlineStr">
        <is>
          <t>327</t>
        </is>
      </c>
      <c r="D1670" t="inlineStr">
        <is>
          <t>15</t>
        </is>
      </c>
      <c r="E1670" t="inlineStr">
        <is>
          <t>30</t>
        </is>
      </c>
      <c r="F1670" t="inlineStr">
        <is>
          <t>D</t>
        </is>
      </c>
      <c r="G1670" t="inlineStr">
        <is>
          <t>Average</t>
        </is>
      </c>
      <c r="H1670" t="n">
        <v>187</v>
      </c>
      <c r="I1670">
        <f>B1670&amp;"~"&amp;F1670&amp;"~"&amp;G1670</f>
        <v/>
      </c>
      <c r="J1670" t="inlineStr">
        <is>
          <t>MVS Sec.15 p.30</t>
        </is>
      </c>
    </row>
    <row r="1671">
      <c r="B1671" t="inlineStr">
        <is>
          <t>Governmental Buildings</t>
        </is>
      </c>
      <c r="C1671" t="inlineStr">
        <is>
          <t>327</t>
        </is>
      </c>
      <c r="D1671" t="inlineStr">
        <is>
          <t>15</t>
        </is>
      </c>
      <c r="E1671" t="inlineStr">
        <is>
          <t>30</t>
        </is>
      </c>
      <c r="F1671" t="inlineStr">
        <is>
          <t>D</t>
        </is>
      </c>
      <c r="G1671" t="inlineStr">
        <is>
          <t>Low Cost</t>
        </is>
      </c>
      <c r="H1671" t="n">
        <v>135</v>
      </c>
      <c r="I1671">
        <f>B1671&amp;"~"&amp;F1671&amp;"~"&amp;G1671</f>
        <v/>
      </c>
      <c r="J1671" t="inlineStr">
        <is>
          <t>MVS Sec.15 p.30</t>
        </is>
      </c>
    </row>
    <row r="1672">
      <c r="B1672" t="inlineStr">
        <is>
          <t>Governmental Buildings</t>
        </is>
      </c>
      <c r="C1672" t="inlineStr">
        <is>
          <t>327</t>
        </is>
      </c>
      <c r="D1672" t="inlineStr">
        <is>
          <t>15</t>
        </is>
      </c>
      <c r="E1672" t="inlineStr">
        <is>
          <t>30</t>
        </is>
      </c>
      <c r="F1672" t="inlineStr">
        <is>
          <t>S</t>
        </is>
      </c>
      <c r="G1672" t="inlineStr">
        <is>
          <t>Average</t>
        </is>
      </c>
      <c r="H1672" t="n">
        <v>185</v>
      </c>
      <c r="I1672">
        <f>B1672&amp;"~"&amp;F1672&amp;"~"&amp;G1672</f>
        <v/>
      </c>
      <c r="J1672" t="inlineStr">
        <is>
          <t>MVS Sec.15 p.30</t>
        </is>
      </c>
    </row>
    <row r="1673">
      <c r="B1673" t="inlineStr">
        <is>
          <t>Governmental Buildings</t>
        </is>
      </c>
      <c r="C1673" t="inlineStr">
        <is>
          <t>327</t>
        </is>
      </c>
      <c r="D1673" t="inlineStr">
        <is>
          <t>15</t>
        </is>
      </c>
      <c r="E1673" t="inlineStr">
        <is>
          <t>30</t>
        </is>
      </c>
      <c r="F1673" t="inlineStr">
        <is>
          <t>S</t>
        </is>
      </c>
      <c r="G1673" t="inlineStr">
        <is>
          <t>Low Cost</t>
        </is>
      </c>
      <c r="H1673" t="n">
        <v>134</v>
      </c>
      <c r="I1673">
        <f>B1673&amp;"~"&amp;F1673&amp;"~"&amp;G1673</f>
        <v/>
      </c>
      <c r="J1673" t="inlineStr">
        <is>
          <t>MVS Sec.15 p.30</t>
        </is>
      </c>
    </row>
    <row r="1674">
      <c r="B1674" t="inlineStr">
        <is>
          <t>Governmental – Community Service Buildings</t>
        </is>
      </c>
      <c r="C1674" t="inlineStr">
        <is>
          <t>491</t>
        </is>
      </c>
      <c r="D1674" t="inlineStr">
        <is>
          <t>15</t>
        </is>
      </c>
      <c r="E1674" t="inlineStr">
        <is>
          <t>31</t>
        </is>
      </c>
      <c r="F1674" t="inlineStr">
        <is>
          <t>A-B</t>
        </is>
      </c>
      <c r="G1674" t="inlineStr">
        <is>
          <t>Average</t>
        </is>
      </c>
      <c r="H1674" t="n">
        <v>221</v>
      </c>
      <c r="I1674">
        <f>B1674&amp;"~"&amp;F1674&amp;"~"&amp;G1674</f>
        <v/>
      </c>
      <c r="J1674" t="inlineStr">
        <is>
          <t>MVS Sec.15 p.31</t>
        </is>
      </c>
    </row>
    <row r="1675">
      <c r="B1675" t="inlineStr">
        <is>
          <t>Governmental – Community Service Buildings</t>
        </is>
      </c>
      <c r="C1675" t="inlineStr">
        <is>
          <t>491</t>
        </is>
      </c>
      <c r="D1675" t="inlineStr">
        <is>
          <t>15</t>
        </is>
      </c>
      <c r="E1675" t="inlineStr">
        <is>
          <t>31</t>
        </is>
      </c>
      <c r="F1675" t="inlineStr">
        <is>
          <t>A-B</t>
        </is>
      </c>
      <c r="G1675" t="inlineStr">
        <is>
          <t>Low Cost</t>
        </is>
      </c>
      <c r="H1675" t="n">
        <v>168</v>
      </c>
      <c r="I1675">
        <f>B1675&amp;"~"&amp;F1675&amp;"~"&amp;G1675</f>
        <v/>
      </c>
      <c r="J1675" t="inlineStr">
        <is>
          <t>MVS Sec.15 p.31</t>
        </is>
      </c>
    </row>
    <row r="1676">
      <c r="B1676" t="inlineStr">
        <is>
          <t>Governmental – Community Service Buildings</t>
        </is>
      </c>
      <c r="C1676" t="inlineStr">
        <is>
          <t>491</t>
        </is>
      </c>
      <c r="D1676" t="inlineStr">
        <is>
          <t>15</t>
        </is>
      </c>
      <c r="E1676" t="inlineStr">
        <is>
          <t>31</t>
        </is>
      </c>
      <c r="F1676" t="inlineStr">
        <is>
          <t>C</t>
        </is>
      </c>
      <c r="G1676" t="inlineStr">
        <is>
          <t>Excellent</t>
        </is>
      </c>
      <c r="H1676" t="n">
        <v>311</v>
      </c>
      <c r="I1676">
        <f>B1676&amp;"~"&amp;F1676&amp;"~"&amp;G1676</f>
        <v/>
      </c>
      <c r="J1676" t="inlineStr">
        <is>
          <t>MVS Sec.15 p.31</t>
        </is>
      </c>
    </row>
    <row r="1677">
      <c r="B1677" t="inlineStr">
        <is>
          <t>Governmental – Community Service Buildings</t>
        </is>
      </c>
      <c r="C1677" t="inlineStr">
        <is>
          <t>491</t>
        </is>
      </c>
      <c r="D1677" t="inlineStr">
        <is>
          <t>15</t>
        </is>
      </c>
      <c r="E1677" t="inlineStr">
        <is>
          <t>31</t>
        </is>
      </c>
      <c r="F1677" t="inlineStr">
        <is>
          <t>C</t>
        </is>
      </c>
      <c r="G1677" t="inlineStr">
        <is>
          <t>Good</t>
        </is>
      </c>
      <c r="H1677" t="n">
        <v>230</v>
      </c>
      <c r="I1677">
        <f>B1677&amp;"~"&amp;F1677&amp;"~"&amp;G1677</f>
        <v/>
      </c>
      <c r="J1677" t="inlineStr">
        <is>
          <t>MVS Sec.15 p.31</t>
        </is>
      </c>
    </row>
    <row r="1678">
      <c r="B1678" t="inlineStr">
        <is>
          <t>Governmental – Community Service Buildings</t>
        </is>
      </c>
      <c r="C1678" t="inlineStr">
        <is>
          <t>491</t>
        </is>
      </c>
      <c r="D1678" t="inlineStr">
        <is>
          <t>15</t>
        </is>
      </c>
      <c r="E1678" t="inlineStr">
        <is>
          <t>31</t>
        </is>
      </c>
      <c r="F1678" t="inlineStr">
        <is>
          <t>C</t>
        </is>
      </c>
      <c r="G1678" t="inlineStr">
        <is>
          <t>Average</t>
        </is>
      </c>
      <c r="H1678" t="n">
        <v>169</v>
      </c>
      <c r="I1678">
        <f>B1678&amp;"~"&amp;F1678&amp;"~"&amp;G1678</f>
        <v/>
      </c>
      <c r="J1678" t="inlineStr">
        <is>
          <t>MVS Sec.15 p.31</t>
        </is>
      </c>
    </row>
    <row r="1679">
      <c r="B1679" t="inlineStr">
        <is>
          <t>Governmental – Community Service Buildings</t>
        </is>
      </c>
      <c r="C1679" t="inlineStr">
        <is>
          <t>491</t>
        </is>
      </c>
      <c r="D1679" t="inlineStr">
        <is>
          <t>15</t>
        </is>
      </c>
      <c r="E1679" t="inlineStr">
        <is>
          <t>31</t>
        </is>
      </c>
      <c r="F1679" t="inlineStr">
        <is>
          <t>C</t>
        </is>
      </c>
      <c r="G1679" t="inlineStr">
        <is>
          <t>Low Cost</t>
        </is>
      </c>
      <c r="H1679" t="n">
        <v>124</v>
      </c>
      <c r="I1679">
        <f>B1679&amp;"~"&amp;F1679&amp;"~"&amp;G1679</f>
        <v/>
      </c>
      <c r="J1679" t="inlineStr">
        <is>
          <t>MVS Sec.15 p.31</t>
        </is>
      </c>
    </row>
    <row r="1680">
      <c r="B1680" t="inlineStr">
        <is>
          <t>Governmental – Community Service Buildings</t>
        </is>
      </c>
      <c r="C1680" t="inlineStr">
        <is>
          <t>491</t>
        </is>
      </c>
      <c r="D1680" t="inlineStr">
        <is>
          <t>15</t>
        </is>
      </c>
      <c r="E1680" t="inlineStr">
        <is>
          <t>31</t>
        </is>
      </c>
      <c r="F1680" t="inlineStr">
        <is>
          <t>D</t>
        </is>
      </c>
      <c r="G1680" t="inlineStr">
        <is>
          <t>Excellent</t>
        </is>
      </c>
      <c r="H1680" t="n">
        <v>301</v>
      </c>
      <c r="I1680">
        <f>B1680&amp;"~"&amp;F1680&amp;"~"&amp;G1680</f>
        <v/>
      </c>
      <c r="J1680" t="inlineStr">
        <is>
          <t>MVS Sec.15 p.31</t>
        </is>
      </c>
    </row>
    <row r="1681">
      <c r="B1681" t="inlineStr">
        <is>
          <t>Governmental – Community Service Buildings</t>
        </is>
      </c>
      <c r="C1681" t="inlineStr">
        <is>
          <t>491</t>
        </is>
      </c>
      <c r="D1681" t="inlineStr">
        <is>
          <t>15</t>
        </is>
      </c>
      <c r="E1681" t="inlineStr">
        <is>
          <t>31</t>
        </is>
      </c>
      <c r="F1681" t="inlineStr">
        <is>
          <t>D</t>
        </is>
      </c>
      <c r="G1681" t="inlineStr">
        <is>
          <t>Good</t>
        </is>
      </c>
      <c r="H1681" t="n">
        <v>221</v>
      </c>
      <c r="I1681">
        <f>B1681&amp;"~"&amp;F1681&amp;"~"&amp;G1681</f>
        <v/>
      </c>
      <c r="J1681" t="inlineStr">
        <is>
          <t>MVS Sec.15 p.31</t>
        </is>
      </c>
    </row>
    <row r="1682">
      <c r="B1682" t="inlineStr">
        <is>
          <t>Governmental – Community Service Buildings</t>
        </is>
      </c>
      <c r="C1682" t="inlineStr">
        <is>
          <t>491</t>
        </is>
      </c>
      <c r="D1682" t="inlineStr">
        <is>
          <t>15</t>
        </is>
      </c>
      <c r="E1682" t="inlineStr">
        <is>
          <t>31</t>
        </is>
      </c>
      <c r="F1682" t="inlineStr">
        <is>
          <t>D</t>
        </is>
      </c>
      <c r="G1682" t="inlineStr">
        <is>
          <t>Average</t>
        </is>
      </c>
      <c r="H1682" t="n">
        <v>162</v>
      </c>
      <c r="I1682">
        <f>B1682&amp;"~"&amp;F1682&amp;"~"&amp;G1682</f>
        <v/>
      </c>
      <c r="J1682" t="inlineStr">
        <is>
          <t>MVS Sec.15 p.31</t>
        </is>
      </c>
    </row>
    <row r="1683">
      <c r="B1683" t="inlineStr">
        <is>
          <t>Governmental – Community Service Buildings</t>
        </is>
      </c>
      <c r="C1683" t="inlineStr">
        <is>
          <t>491</t>
        </is>
      </c>
      <c r="D1683" t="inlineStr">
        <is>
          <t>15</t>
        </is>
      </c>
      <c r="E1683" t="inlineStr">
        <is>
          <t>31</t>
        </is>
      </c>
      <c r="F1683" t="inlineStr">
        <is>
          <t>D</t>
        </is>
      </c>
      <c r="G1683" t="inlineStr">
        <is>
          <t>Low Cost</t>
        </is>
      </c>
      <c r="H1683" t="n">
        <v>118</v>
      </c>
      <c r="I1683">
        <f>B1683&amp;"~"&amp;F1683&amp;"~"&amp;G1683</f>
        <v/>
      </c>
      <c r="J1683" t="inlineStr">
        <is>
          <t>MVS Sec.15 p.31</t>
        </is>
      </c>
    </row>
    <row r="1684">
      <c r="B1684" t="inlineStr">
        <is>
          <t>Governmental – Community Service Buildings</t>
        </is>
      </c>
      <c r="C1684" t="inlineStr">
        <is>
          <t>491</t>
        </is>
      </c>
      <c r="D1684" t="inlineStr">
        <is>
          <t>15</t>
        </is>
      </c>
      <c r="E1684" t="inlineStr">
        <is>
          <t>31</t>
        </is>
      </c>
      <c r="F1684" t="inlineStr">
        <is>
          <t>DPOLE</t>
        </is>
      </c>
      <c r="G1684" t="inlineStr">
        <is>
          <t>Average</t>
        </is>
      </c>
      <c r="H1684" t="n">
        <v>154</v>
      </c>
      <c r="I1684">
        <f>B1684&amp;"~"&amp;F1684&amp;"~"&amp;G1684</f>
        <v/>
      </c>
      <c r="J1684" t="inlineStr">
        <is>
          <t>MVS Sec.15 p.31</t>
        </is>
      </c>
    </row>
    <row r="1685">
      <c r="B1685" t="inlineStr">
        <is>
          <t>Governmental – Community Service Buildings</t>
        </is>
      </c>
      <c r="C1685" t="inlineStr">
        <is>
          <t>491</t>
        </is>
      </c>
      <c r="D1685" t="inlineStr">
        <is>
          <t>15</t>
        </is>
      </c>
      <c r="E1685" t="inlineStr">
        <is>
          <t>31</t>
        </is>
      </c>
      <c r="F1685" t="inlineStr">
        <is>
          <t>DPOLE</t>
        </is>
      </c>
      <c r="G1685" t="inlineStr">
        <is>
          <t>Low Cost</t>
        </is>
      </c>
      <c r="H1685" t="n">
        <v>112</v>
      </c>
      <c r="I1685">
        <f>B1685&amp;"~"&amp;F1685&amp;"~"&amp;G1685</f>
        <v/>
      </c>
      <c r="J1685" t="inlineStr">
        <is>
          <t>MVS Sec.15 p.31</t>
        </is>
      </c>
    </row>
    <row r="1686">
      <c r="B1686" t="inlineStr">
        <is>
          <t>Governmental – Community Service Buildings</t>
        </is>
      </c>
      <c r="C1686" t="inlineStr">
        <is>
          <t>491</t>
        </is>
      </c>
      <c r="D1686" t="inlineStr">
        <is>
          <t>15</t>
        </is>
      </c>
      <c r="E1686" t="inlineStr">
        <is>
          <t>31</t>
        </is>
      </c>
      <c r="F1686" t="inlineStr">
        <is>
          <t>S</t>
        </is>
      </c>
      <c r="G1686" t="inlineStr">
        <is>
          <t>Good</t>
        </is>
      </c>
      <c r="H1686" t="n">
        <v>216</v>
      </c>
      <c r="I1686">
        <f>B1686&amp;"~"&amp;F1686&amp;"~"&amp;G1686</f>
        <v/>
      </c>
      <c r="J1686" t="inlineStr">
        <is>
          <t>MVS Sec.15 p.31</t>
        </is>
      </c>
    </row>
    <row r="1687">
      <c r="B1687" t="inlineStr">
        <is>
          <t>Governmental – Community Service Buildings</t>
        </is>
      </c>
      <c r="C1687" t="inlineStr">
        <is>
          <t>491</t>
        </is>
      </c>
      <c r="D1687" t="inlineStr">
        <is>
          <t>15</t>
        </is>
      </c>
      <c r="E1687" t="inlineStr">
        <is>
          <t>31</t>
        </is>
      </c>
      <c r="F1687" t="inlineStr">
        <is>
          <t>S</t>
        </is>
      </c>
      <c r="G1687" t="inlineStr">
        <is>
          <t>Average</t>
        </is>
      </c>
      <c r="H1687" t="n">
        <v>159</v>
      </c>
      <c r="I1687">
        <f>B1687&amp;"~"&amp;F1687&amp;"~"&amp;G1687</f>
        <v/>
      </c>
      <c r="J1687" t="inlineStr">
        <is>
          <t>MVS Sec.15 p.31</t>
        </is>
      </c>
    </row>
    <row r="1688">
      <c r="B1688" t="inlineStr">
        <is>
          <t>Governmental – Community Service Buildings</t>
        </is>
      </c>
      <c r="C1688" t="inlineStr">
        <is>
          <t>491</t>
        </is>
      </c>
      <c r="D1688" t="inlineStr">
        <is>
          <t>15</t>
        </is>
      </c>
      <c r="E1688" t="inlineStr">
        <is>
          <t>31</t>
        </is>
      </c>
      <c r="F1688" t="inlineStr">
        <is>
          <t>S</t>
        </is>
      </c>
      <c r="G1688" t="inlineStr">
        <is>
          <t>Low Cost</t>
        </is>
      </c>
      <c r="H1688" t="n">
        <v>116</v>
      </c>
      <c r="I1688">
        <f>B1688&amp;"~"&amp;F1688&amp;"~"&amp;G1688</f>
        <v/>
      </c>
      <c r="J1688" t="inlineStr">
        <is>
          <t>MVS Sec.15 p.31</t>
        </is>
      </c>
    </row>
    <row r="1689">
      <c r="B1689" t="inlineStr">
        <is>
          <t>Public Libraries</t>
        </is>
      </c>
      <c r="C1689" t="inlineStr">
        <is>
          <t>337</t>
        </is>
      </c>
      <c r="D1689" t="inlineStr">
        <is>
          <t>15</t>
        </is>
      </c>
      <c r="E1689" t="inlineStr">
        <is>
          <t>32</t>
        </is>
      </c>
      <c r="F1689" t="inlineStr">
        <is>
          <t>A</t>
        </is>
      </c>
      <c r="G1689" t="inlineStr">
        <is>
          <t>Good</t>
        </is>
      </c>
      <c r="H1689" t="n">
        <v>394</v>
      </c>
      <c r="I1689">
        <f>B1689&amp;"~"&amp;F1689&amp;"~"&amp;G1689</f>
        <v/>
      </c>
      <c r="J1689" t="inlineStr">
        <is>
          <t>MVS Sec.15 p.32</t>
        </is>
      </c>
    </row>
    <row r="1690">
      <c r="B1690" t="inlineStr">
        <is>
          <t>Public Libraries</t>
        </is>
      </c>
      <c r="C1690" t="inlineStr">
        <is>
          <t>337</t>
        </is>
      </c>
      <c r="D1690" t="inlineStr">
        <is>
          <t>15</t>
        </is>
      </c>
      <c r="E1690" t="inlineStr">
        <is>
          <t>32</t>
        </is>
      </c>
      <c r="F1690" t="inlineStr">
        <is>
          <t>A</t>
        </is>
      </c>
      <c r="G1690" t="inlineStr">
        <is>
          <t>Average</t>
        </is>
      </c>
      <c r="H1690" t="n">
        <v>290</v>
      </c>
      <c r="I1690">
        <f>B1690&amp;"~"&amp;F1690&amp;"~"&amp;G1690</f>
        <v/>
      </c>
      <c r="J1690" t="inlineStr">
        <is>
          <t>MVS Sec.15 p.32</t>
        </is>
      </c>
    </row>
    <row r="1691">
      <c r="B1691" t="inlineStr">
        <is>
          <t>Public Libraries</t>
        </is>
      </c>
      <c r="C1691" t="inlineStr">
        <is>
          <t>337</t>
        </is>
      </c>
      <c r="D1691" t="inlineStr">
        <is>
          <t>15</t>
        </is>
      </c>
      <c r="E1691" t="inlineStr">
        <is>
          <t>32</t>
        </is>
      </c>
      <c r="F1691" t="inlineStr">
        <is>
          <t>B</t>
        </is>
      </c>
      <c r="G1691" t="inlineStr">
        <is>
          <t>Good</t>
        </is>
      </c>
      <c r="H1691" t="n">
        <v>359</v>
      </c>
      <c r="I1691">
        <f>B1691&amp;"~"&amp;F1691&amp;"~"&amp;G1691</f>
        <v/>
      </c>
      <c r="J1691" t="inlineStr">
        <is>
          <t>MVS Sec.15 p.32</t>
        </is>
      </c>
    </row>
    <row r="1692">
      <c r="B1692" t="inlineStr">
        <is>
          <t>Public Libraries</t>
        </is>
      </c>
      <c r="C1692" t="inlineStr">
        <is>
          <t>337</t>
        </is>
      </c>
      <c r="D1692" t="inlineStr">
        <is>
          <t>15</t>
        </is>
      </c>
      <c r="E1692" t="inlineStr">
        <is>
          <t>32</t>
        </is>
      </c>
      <c r="F1692" t="inlineStr">
        <is>
          <t>B</t>
        </is>
      </c>
      <c r="G1692" t="inlineStr">
        <is>
          <t>Average</t>
        </is>
      </c>
      <c r="H1692" t="n">
        <v>264</v>
      </c>
      <c r="I1692">
        <f>B1692&amp;"~"&amp;F1692&amp;"~"&amp;G1692</f>
        <v/>
      </c>
      <c r="J1692" t="inlineStr">
        <is>
          <t>MVS Sec.15 p.32</t>
        </is>
      </c>
    </row>
    <row r="1693">
      <c r="B1693" t="inlineStr">
        <is>
          <t>Public Libraries</t>
        </is>
      </c>
      <c r="C1693" t="inlineStr">
        <is>
          <t>337</t>
        </is>
      </c>
      <c r="D1693" t="inlineStr">
        <is>
          <t>15</t>
        </is>
      </c>
      <c r="E1693" t="inlineStr">
        <is>
          <t>32</t>
        </is>
      </c>
      <c r="F1693" t="inlineStr">
        <is>
          <t>C</t>
        </is>
      </c>
      <c r="G1693" t="inlineStr">
        <is>
          <t>Excellent</t>
        </is>
      </c>
      <c r="H1693" t="n">
        <v>447</v>
      </c>
      <c r="I1693">
        <f>B1693&amp;"~"&amp;F1693&amp;"~"&amp;G1693</f>
        <v/>
      </c>
      <c r="J1693" t="inlineStr">
        <is>
          <t>MVS Sec.15 p.32</t>
        </is>
      </c>
    </row>
    <row r="1694">
      <c r="B1694" t="inlineStr">
        <is>
          <t>Public Libraries</t>
        </is>
      </c>
      <c r="C1694" t="inlineStr">
        <is>
          <t>337</t>
        </is>
      </c>
      <c r="D1694" t="inlineStr">
        <is>
          <t>15</t>
        </is>
      </c>
      <c r="E1694" t="inlineStr">
        <is>
          <t>32</t>
        </is>
      </c>
      <c r="F1694" t="inlineStr">
        <is>
          <t>C</t>
        </is>
      </c>
      <c r="G1694" t="inlineStr">
        <is>
          <t>Very Good</t>
        </is>
      </c>
      <c r="H1694" t="n">
        <v>350</v>
      </c>
      <c r="I1694">
        <f>B1694&amp;"~"&amp;F1694&amp;"~"&amp;G1694</f>
        <v/>
      </c>
      <c r="J1694" t="inlineStr">
        <is>
          <t>MVS Sec.15 p.32</t>
        </is>
      </c>
    </row>
    <row r="1695">
      <c r="B1695" t="inlineStr">
        <is>
          <t>Public Libraries</t>
        </is>
      </c>
      <c r="C1695" t="inlineStr">
        <is>
          <t>337</t>
        </is>
      </c>
      <c r="D1695" t="inlineStr">
        <is>
          <t>15</t>
        </is>
      </c>
      <c r="E1695" t="inlineStr">
        <is>
          <t>32</t>
        </is>
      </c>
      <c r="F1695" t="inlineStr">
        <is>
          <t>C</t>
        </is>
      </c>
      <c r="G1695" t="inlineStr">
        <is>
          <t>Good</t>
        </is>
      </c>
      <c r="H1695" t="n">
        <v>262</v>
      </c>
      <c r="I1695">
        <f>B1695&amp;"~"&amp;F1695&amp;"~"&amp;G1695</f>
        <v/>
      </c>
      <c r="J1695" t="inlineStr">
        <is>
          <t>MVS Sec.15 p.32</t>
        </is>
      </c>
    </row>
    <row r="1696">
      <c r="B1696" t="inlineStr">
        <is>
          <t>Public Libraries</t>
        </is>
      </c>
      <c r="C1696" t="inlineStr">
        <is>
          <t>337</t>
        </is>
      </c>
      <c r="D1696" t="inlineStr">
        <is>
          <t>15</t>
        </is>
      </c>
      <c r="E1696" t="inlineStr">
        <is>
          <t>32</t>
        </is>
      </c>
      <c r="F1696" t="inlineStr">
        <is>
          <t>C</t>
        </is>
      </c>
      <c r="G1696" t="inlineStr">
        <is>
          <t>Average</t>
        </is>
      </c>
      <c r="H1696" t="n">
        <v>195</v>
      </c>
      <c r="I1696">
        <f>B1696&amp;"~"&amp;F1696&amp;"~"&amp;G1696</f>
        <v/>
      </c>
      <c r="J1696" t="inlineStr">
        <is>
          <t>MVS Sec.15 p.32</t>
        </is>
      </c>
    </row>
    <row r="1697">
      <c r="B1697" t="inlineStr">
        <is>
          <t>Public Libraries</t>
        </is>
      </c>
      <c r="C1697" t="inlineStr">
        <is>
          <t>337</t>
        </is>
      </c>
      <c r="D1697" t="inlineStr">
        <is>
          <t>15</t>
        </is>
      </c>
      <c r="E1697" t="inlineStr">
        <is>
          <t>32</t>
        </is>
      </c>
      <c r="F1697" t="inlineStr">
        <is>
          <t>C</t>
        </is>
      </c>
      <c r="G1697" t="inlineStr">
        <is>
          <t>Low Cost</t>
        </is>
      </c>
      <c r="H1697" t="n">
        <v>148</v>
      </c>
      <c r="I1697">
        <f>B1697&amp;"~"&amp;F1697&amp;"~"&amp;G1697</f>
        <v/>
      </c>
      <c r="J1697" t="inlineStr">
        <is>
          <t>MVS Sec.15 p.32</t>
        </is>
      </c>
    </row>
    <row r="1698">
      <c r="B1698" t="inlineStr">
        <is>
          <t>Public Libraries</t>
        </is>
      </c>
      <c r="C1698" t="inlineStr">
        <is>
          <t>337</t>
        </is>
      </c>
      <c r="D1698" t="inlineStr">
        <is>
          <t>15</t>
        </is>
      </c>
      <c r="E1698" t="inlineStr">
        <is>
          <t>32</t>
        </is>
      </c>
      <c r="F1698" t="inlineStr">
        <is>
          <t>D</t>
        </is>
      </c>
      <c r="G1698" t="inlineStr">
        <is>
          <t>Excellent</t>
        </is>
      </c>
      <c r="H1698" t="n">
        <v>417</v>
      </c>
      <c r="I1698">
        <f>B1698&amp;"~"&amp;F1698&amp;"~"&amp;G1698</f>
        <v/>
      </c>
      <c r="J1698" t="inlineStr">
        <is>
          <t>MVS Sec.15 p.32</t>
        </is>
      </c>
    </row>
    <row r="1699">
      <c r="B1699" t="inlineStr">
        <is>
          <t>Public Libraries</t>
        </is>
      </c>
      <c r="C1699" t="inlineStr">
        <is>
          <t>337</t>
        </is>
      </c>
      <c r="D1699" t="inlineStr">
        <is>
          <t>15</t>
        </is>
      </c>
      <c r="E1699" t="inlineStr">
        <is>
          <t>32</t>
        </is>
      </c>
      <c r="F1699" t="inlineStr">
        <is>
          <t>D</t>
        </is>
      </c>
      <c r="G1699" t="inlineStr">
        <is>
          <t>Very Good</t>
        </is>
      </c>
      <c r="H1699" t="n">
        <v>323</v>
      </c>
      <c r="I1699">
        <f>B1699&amp;"~"&amp;F1699&amp;"~"&amp;G1699</f>
        <v/>
      </c>
      <c r="J1699" t="inlineStr">
        <is>
          <t>MVS Sec.15 p.32</t>
        </is>
      </c>
    </row>
    <row r="1700">
      <c r="B1700" t="inlineStr">
        <is>
          <t>Public Libraries</t>
        </is>
      </c>
      <c r="C1700" t="inlineStr">
        <is>
          <t>337</t>
        </is>
      </c>
      <c r="D1700" t="inlineStr">
        <is>
          <t>15</t>
        </is>
      </c>
      <c r="E1700" t="inlineStr">
        <is>
          <t>32</t>
        </is>
      </c>
      <c r="F1700" t="inlineStr">
        <is>
          <t>D</t>
        </is>
      </c>
      <c r="G1700" t="inlineStr">
        <is>
          <t>Good</t>
        </is>
      </c>
      <c r="H1700" t="n">
        <v>251</v>
      </c>
      <c r="I1700">
        <f>B1700&amp;"~"&amp;F1700&amp;"~"&amp;G1700</f>
        <v/>
      </c>
      <c r="J1700" t="inlineStr">
        <is>
          <t>MVS Sec.15 p.32</t>
        </is>
      </c>
    </row>
    <row r="1701">
      <c r="B1701" t="inlineStr">
        <is>
          <t>Public Libraries</t>
        </is>
      </c>
      <c r="C1701" t="inlineStr">
        <is>
          <t>337</t>
        </is>
      </c>
      <c r="D1701" t="inlineStr">
        <is>
          <t>15</t>
        </is>
      </c>
      <c r="E1701" t="inlineStr">
        <is>
          <t>32</t>
        </is>
      </c>
      <c r="F1701" t="inlineStr">
        <is>
          <t>D</t>
        </is>
      </c>
      <c r="G1701" t="inlineStr">
        <is>
          <t>Average</t>
        </is>
      </c>
      <c r="H1701" t="n">
        <v>186</v>
      </c>
      <c r="I1701">
        <f>B1701&amp;"~"&amp;F1701&amp;"~"&amp;G1701</f>
        <v/>
      </c>
      <c r="J1701" t="inlineStr">
        <is>
          <t>MVS Sec.15 p.32</t>
        </is>
      </c>
    </row>
    <row r="1702">
      <c r="B1702" t="inlineStr">
        <is>
          <t>Public Libraries</t>
        </is>
      </c>
      <c r="C1702" t="inlineStr">
        <is>
          <t>337</t>
        </is>
      </c>
      <c r="D1702" t="inlineStr">
        <is>
          <t>15</t>
        </is>
      </c>
      <c r="E1702" t="inlineStr">
        <is>
          <t>32</t>
        </is>
      </c>
      <c r="F1702" t="inlineStr">
        <is>
          <t>D</t>
        </is>
      </c>
      <c r="G1702" t="inlineStr">
        <is>
          <t>Low Cost</t>
        </is>
      </c>
      <c r="H1702" t="n">
        <v>140</v>
      </c>
      <c r="I1702">
        <f>B1702&amp;"~"&amp;F1702&amp;"~"&amp;G1702</f>
        <v/>
      </c>
      <c r="J1702" t="inlineStr">
        <is>
          <t>MVS Sec.15 p.32</t>
        </is>
      </c>
    </row>
    <row r="1703">
      <c r="B1703" t="inlineStr">
        <is>
          <t>Public Libraries</t>
        </is>
      </c>
      <c r="C1703" t="inlineStr">
        <is>
          <t>337</t>
        </is>
      </c>
      <c r="D1703" t="inlineStr">
        <is>
          <t>15</t>
        </is>
      </c>
      <c r="E1703" t="inlineStr">
        <is>
          <t>32</t>
        </is>
      </c>
      <c r="F1703" t="inlineStr">
        <is>
          <t>DPOLE</t>
        </is>
      </c>
      <c r="G1703" t="inlineStr">
        <is>
          <t>Low Cost</t>
        </is>
      </c>
      <c r="H1703" t="n">
        <v>129</v>
      </c>
      <c r="I1703">
        <f>B1703&amp;"~"&amp;F1703&amp;"~"&amp;G1703</f>
        <v/>
      </c>
      <c r="J1703" t="inlineStr">
        <is>
          <t>MVS Sec.15 p.32</t>
        </is>
      </c>
    </row>
    <row r="1704">
      <c r="B1704" t="inlineStr">
        <is>
          <t>Public Libraries</t>
        </is>
      </c>
      <c r="C1704" t="inlineStr">
        <is>
          <t>337</t>
        </is>
      </c>
      <c r="D1704" t="inlineStr">
        <is>
          <t>15</t>
        </is>
      </c>
      <c r="E1704" t="inlineStr">
        <is>
          <t>32</t>
        </is>
      </c>
      <c r="F1704" t="inlineStr">
        <is>
          <t>S</t>
        </is>
      </c>
      <c r="G1704" t="inlineStr">
        <is>
          <t>Good</t>
        </is>
      </c>
      <c r="H1704" t="n">
        <v>241</v>
      </c>
      <c r="I1704">
        <f>B1704&amp;"~"&amp;F1704&amp;"~"&amp;G1704</f>
        <v/>
      </c>
      <c r="J1704" t="inlineStr">
        <is>
          <t>MVS Sec.15 p.32</t>
        </is>
      </c>
    </row>
    <row r="1705">
      <c r="B1705" t="inlineStr">
        <is>
          <t>Public Libraries</t>
        </is>
      </c>
      <c r="C1705" t="inlineStr">
        <is>
          <t>337</t>
        </is>
      </c>
      <c r="D1705" t="inlineStr">
        <is>
          <t>15</t>
        </is>
      </c>
      <c r="E1705" t="inlineStr">
        <is>
          <t>32</t>
        </is>
      </c>
      <c r="F1705" t="inlineStr">
        <is>
          <t>S</t>
        </is>
      </c>
      <c r="G1705" t="inlineStr">
        <is>
          <t>Average</t>
        </is>
      </c>
      <c r="H1705" t="n">
        <v>178</v>
      </c>
      <c r="I1705">
        <f>B1705&amp;"~"&amp;F1705&amp;"~"&amp;G1705</f>
        <v/>
      </c>
      <c r="J1705" t="inlineStr">
        <is>
          <t>MVS Sec.15 p.32</t>
        </is>
      </c>
    </row>
    <row r="1706">
      <c r="B1706" t="inlineStr">
        <is>
          <t>Public Libraries</t>
        </is>
      </c>
      <c r="C1706" t="inlineStr">
        <is>
          <t>337</t>
        </is>
      </c>
      <c r="D1706" t="inlineStr">
        <is>
          <t>15</t>
        </is>
      </c>
      <c r="E1706" t="inlineStr">
        <is>
          <t>32</t>
        </is>
      </c>
      <c r="F1706" t="inlineStr">
        <is>
          <t>S</t>
        </is>
      </c>
      <c r="G1706" t="inlineStr">
        <is>
          <t>Low Cost</t>
        </is>
      </c>
      <c r="H1706" t="n">
        <v>134</v>
      </c>
      <c r="I1706">
        <f>B1706&amp;"~"&amp;F1706&amp;"~"&amp;G1706</f>
        <v/>
      </c>
      <c r="J1706" t="inlineStr">
        <is>
          <t>MVS Sec.15 p.32</t>
        </is>
      </c>
    </row>
    <row r="1707">
      <c r="B1707" t="inlineStr">
        <is>
          <t>Jails – Correctional Facilities</t>
        </is>
      </c>
      <c r="C1707" t="inlineStr">
        <is>
          <t>335</t>
        </is>
      </c>
      <c r="D1707" t="inlineStr">
        <is>
          <t>15</t>
        </is>
      </c>
      <c r="E1707" t="inlineStr">
        <is>
          <t>33</t>
        </is>
      </c>
      <c r="F1707" t="inlineStr">
        <is>
          <t>A-B</t>
        </is>
      </c>
      <c r="G1707" t="inlineStr">
        <is>
          <t>Excellent</t>
        </is>
      </c>
      <c r="H1707" t="n">
        <v>615</v>
      </c>
      <c r="I1707">
        <f>B1707&amp;"~"&amp;F1707&amp;"~"&amp;G1707</f>
        <v/>
      </c>
      <c r="J1707" t="inlineStr">
        <is>
          <t>MVS Sec.15 p.33</t>
        </is>
      </c>
    </row>
    <row r="1708">
      <c r="B1708" t="inlineStr">
        <is>
          <t>Jails – Correctional Facilities</t>
        </is>
      </c>
      <c r="C1708" t="inlineStr">
        <is>
          <t>335</t>
        </is>
      </c>
      <c r="D1708" t="inlineStr">
        <is>
          <t>15</t>
        </is>
      </c>
      <c r="E1708" t="inlineStr">
        <is>
          <t>33</t>
        </is>
      </c>
      <c r="F1708" t="inlineStr">
        <is>
          <t>A-B</t>
        </is>
      </c>
      <c r="G1708" t="inlineStr">
        <is>
          <t>Good</t>
        </is>
      </c>
      <c r="H1708" t="n">
        <v>450</v>
      </c>
      <c r="I1708">
        <f>B1708&amp;"~"&amp;F1708&amp;"~"&amp;G1708</f>
        <v/>
      </c>
      <c r="J1708" t="inlineStr">
        <is>
          <t>MVS Sec.15 p.33</t>
        </is>
      </c>
    </row>
    <row r="1709">
      <c r="B1709" t="inlineStr">
        <is>
          <t>Jails – Correctional Facilities</t>
        </is>
      </c>
      <c r="C1709" t="inlineStr">
        <is>
          <t>335</t>
        </is>
      </c>
      <c r="D1709" t="inlineStr">
        <is>
          <t>15</t>
        </is>
      </c>
      <c r="E1709" t="inlineStr">
        <is>
          <t>33</t>
        </is>
      </c>
      <c r="F1709" t="inlineStr">
        <is>
          <t>A-B</t>
        </is>
      </c>
      <c r="G1709" t="inlineStr">
        <is>
          <t>Average</t>
        </is>
      </c>
      <c r="H1709" t="n">
        <v>335</v>
      </c>
      <c r="I1709">
        <f>B1709&amp;"~"&amp;F1709&amp;"~"&amp;G1709</f>
        <v/>
      </c>
      <c r="J1709" t="inlineStr">
        <is>
          <t>MVS Sec.15 p.33</t>
        </is>
      </c>
    </row>
    <row r="1710">
      <c r="B1710" t="inlineStr">
        <is>
          <t>Jails – Correctional Facilities</t>
        </is>
      </c>
      <c r="C1710" t="inlineStr">
        <is>
          <t>335</t>
        </is>
      </c>
      <c r="D1710" t="inlineStr">
        <is>
          <t>15</t>
        </is>
      </c>
      <c r="E1710" t="inlineStr">
        <is>
          <t>33</t>
        </is>
      </c>
      <c r="F1710" t="inlineStr">
        <is>
          <t>C</t>
        </is>
      </c>
      <c r="G1710" t="inlineStr">
        <is>
          <t>Excellent</t>
        </is>
      </c>
      <c r="H1710" t="n">
        <v>499</v>
      </c>
      <c r="I1710">
        <f>B1710&amp;"~"&amp;F1710&amp;"~"&amp;G1710</f>
        <v/>
      </c>
      <c r="J1710" t="inlineStr">
        <is>
          <t>MVS Sec.15 p.33</t>
        </is>
      </c>
    </row>
    <row r="1711">
      <c r="B1711" t="inlineStr">
        <is>
          <t>Jails – Correctional Facilities</t>
        </is>
      </c>
      <c r="C1711" t="inlineStr">
        <is>
          <t>335</t>
        </is>
      </c>
      <c r="D1711" t="inlineStr">
        <is>
          <t>15</t>
        </is>
      </c>
      <c r="E1711" t="inlineStr">
        <is>
          <t>33</t>
        </is>
      </c>
      <c r="F1711" t="inlineStr">
        <is>
          <t>C</t>
        </is>
      </c>
      <c r="G1711" t="inlineStr">
        <is>
          <t>Good</t>
        </is>
      </c>
      <c r="H1711" t="n">
        <v>366</v>
      </c>
      <c r="I1711">
        <f>B1711&amp;"~"&amp;F1711&amp;"~"&amp;G1711</f>
        <v/>
      </c>
      <c r="J1711" t="inlineStr">
        <is>
          <t>MVS Sec.15 p.33</t>
        </is>
      </c>
    </row>
    <row r="1712">
      <c r="B1712" t="inlineStr">
        <is>
          <t>Jails – Correctional Facilities</t>
        </is>
      </c>
      <c r="C1712" t="inlineStr">
        <is>
          <t>335</t>
        </is>
      </c>
      <c r="D1712" t="inlineStr">
        <is>
          <t>15</t>
        </is>
      </c>
      <c r="E1712" t="inlineStr">
        <is>
          <t>33</t>
        </is>
      </c>
      <c r="F1712" t="inlineStr">
        <is>
          <t>C</t>
        </is>
      </c>
      <c r="G1712" t="inlineStr">
        <is>
          <t>Average</t>
        </is>
      </c>
      <c r="H1712" t="n">
        <v>273</v>
      </c>
      <c r="I1712">
        <f>B1712&amp;"~"&amp;F1712&amp;"~"&amp;G1712</f>
        <v/>
      </c>
      <c r="J1712" t="inlineStr">
        <is>
          <t>MVS Sec.15 p.33</t>
        </is>
      </c>
    </row>
    <row r="1713">
      <c r="B1713" t="inlineStr">
        <is>
          <t>Jails – Correctional Facilities</t>
        </is>
      </c>
      <c r="C1713" t="inlineStr">
        <is>
          <t>335</t>
        </is>
      </c>
      <c r="D1713" t="inlineStr">
        <is>
          <t>15</t>
        </is>
      </c>
      <c r="E1713" t="inlineStr">
        <is>
          <t>33</t>
        </is>
      </c>
      <c r="F1713" t="inlineStr">
        <is>
          <t>C</t>
        </is>
      </c>
      <c r="G1713" t="inlineStr">
        <is>
          <t>Low Cost</t>
        </is>
      </c>
      <c r="H1713" t="n">
        <v>204</v>
      </c>
      <c r="I1713">
        <f>B1713&amp;"~"&amp;F1713&amp;"~"&amp;G1713</f>
        <v/>
      </c>
      <c r="J1713" t="inlineStr">
        <is>
          <t>MVS Sec.15 p.33</t>
        </is>
      </c>
    </row>
    <row r="1714">
      <c r="B1714" t="inlineStr">
        <is>
          <t>Jails – Correctional Facilities</t>
        </is>
      </c>
      <c r="C1714" t="inlineStr">
        <is>
          <t>335</t>
        </is>
      </c>
      <c r="D1714" t="inlineStr">
        <is>
          <t>15</t>
        </is>
      </c>
      <c r="E1714" t="inlineStr">
        <is>
          <t>33</t>
        </is>
      </c>
      <c r="F1714" t="inlineStr">
        <is>
          <t>D</t>
        </is>
      </c>
      <c r="G1714" t="inlineStr">
        <is>
          <t>Excellent</t>
        </is>
      </c>
      <c r="H1714" t="n">
        <v>469</v>
      </c>
      <c r="I1714">
        <f>B1714&amp;"~"&amp;F1714&amp;"~"&amp;G1714</f>
        <v/>
      </c>
      <c r="J1714" t="inlineStr">
        <is>
          <t>MVS Sec.15 p.33</t>
        </is>
      </c>
    </row>
    <row r="1715">
      <c r="B1715" t="inlineStr">
        <is>
          <t>Jails – Correctional Facilities</t>
        </is>
      </c>
      <c r="C1715" t="inlineStr">
        <is>
          <t>335</t>
        </is>
      </c>
      <c r="D1715" t="inlineStr">
        <is>
          <t>15</t>
        </is>
      </c>
      <c r="E1715" t="inlineStr">
        <is>
          <t>33</t>
        </is>
      </c>
      <c r="F1715" t="inlineStr">
        <is>
          <t>D</t>
        </is>
      </c>
      <c r="G1715" t="inlineStr">
        <is>
          <t>Good</t>
        </is>
      </c>
      <c r="H1715" t="n">
        <v>349</v>
      </c>
      <c r="I1715">
        <f>B1715&amp;"~"&amp;F1715&amp;"~"&amp;G1715</f>
        <v/>
      </c>
      <c r="J1715" t="inlineStr">
        <is>
          <t>MVS Sec.15 p.33</t>
        </is>
      </c>
    </row>
    <row r="1716">
      <c r="B1716" t="inlineStr">
        <is>
          <t>Jails – Correctional Facilities</t>
        </is>
      </c>
      <c r="C1716" t="inlineStr">
        <is>
          <t>335</t>
        </is>
      </c>
      <c r="D1716" t="inlineStr">
        <is>
          <t>15</t>
        </is>
      </c>
      <c r="E1716" t="inlineStr">
        <is>
          <t>33</t>
        </is>
      </c>
      <c r="F1716" t="inlineStr">
        <is>
          <t>D</t>
        </is>
      </c>
      <c r="G1716" t="inlineStr">
        <is>
          <t>Average</t>
        </is>
      </c>
      <c r="H1716" t="n">
        <v>258</v>
      </c>
      <c r="I1716">
        <f>B1716&amp;"~"&amp;F1716&amp;"~"&amp;G1716</f>
        <v/>
      </c>
      <c r="J1716" t="inlineStr">
        <is>
          <t>MVS Sec.15 p.33</t>
        </is>
      </c>
    </row>
    <row r="1717">
      <c r="B1717" t="inlineStr">
        <is>
          <t>Jails – Correctional Facilities</t>
        </is>
      </c>
      <c r="C1717" t="inlineStr">
        <is>
          <t>335</t>
        </is>
      </c>
      <c r="D1717" t="inlineStr">
        <is>
          <t>15</t>
        </is>
      </c>
      <c r="E1717" t="inlineStr">
        <is>
          <t>33</t>
        </is>
      </c>
      <c r="F1717" t="inlineStr">
        <is>
          <t>S</t>
        </is>
      </c>
      <c r="G1717" t="inlineStr">
        <is>
          <t>Average</t>
        </is>
      </c>
      <c r="H1717" t="n">
        <v>256</v>
      </c>
      <c r="I1717">
        <f>B1717&amp;"~"&amp;F1717&amp;"~"&amp;G1717</f>
        <v/>
      </c>
      <c r="J1717" t="inlineStr">
        <is>
          <t>MVS Sec.15 p.33</t>
        </is>
      </c>
    </row>
    <row r="1718">
      <c r="B1718" t="inlineStr">
        <is>
          <t>Jails – Police Stations</t>
        </is>
      </c>
      <c r="C1718" t="inlineStr">
        <is>
          <t>489</t>
        </is>
      </c>
      <c r="D1718" t="inlineStr">
        <is>
          <t>15</t>
        </is>
      </c>
      <c r="E1718" t="inlineStr">
        <is>
          <t>33</t>
        </is>
      </c>
      <c r="F1718" t="inlineStr">
        <is>
          <t>A-B</t>
        </is>
      </c>
      <c r="G1718" t="inlineStr">
        <is>
          <t>Excellent</t>
        </is>
      </c>
      <c r="H1718" t="n">
        <v>405</v>
      </c>
      <c r="I1718">
        <f>B1718&amp;"~"&amp;F1718&amp;"~"&amp;G1718</f>
        <v/>
      </c>
      <c r="J1718" t="inlineStr">
        <is>
          <t>MVS Sec.15 p.33</t>
        </is>
      </c>
    </row>
    <row r="1719">
      <c r="B1719" t="inlineStr">
        <is>
          <t>Jails – Police Stations</t>
        </is>
      </c>
      <c r="C1719" t="inlineStr">
        <is>
          <t>489</t>
        </is>
      </c>
      <c r="D1719" t="inlineStr">
        <is>
          <t>15</t>
        </is>
      </c>
      <c r="E1719" t="inlineStr">
        <is>
          <t>33</t>
        </is>
      </c>
      <c r="F1719" t="inlineStr">
        <is>
          <t>A-B</t>
        </is>
      </c>
      <c r="G1719" t="inlineStr">
        <is>
          <t>Good</t>
        </is>
      </c>
      <c r="H1719" t="n">
        <v>305</v>
      </c>
      <c r="I1719">
        <f>B1719&amp;"~"&amp;F1719&amp;"~"&amp;G1719</f>
        <v/>
      </c>
      <c r="J1719" t="inlineStr">
        <is>
          <t>MVS Sec.15 p.33</t>
        </is>
      </c>
    </row>
    <row r="1720">
      <c r="B1720" t="inlineStr">
        <is>
          <t>Jails – Police Stations</t>
        </is>
      </c>
      <c r="C1720" t="inlineStr">
        <is>
          <t>489</t>
        </is>
      </c>
      <c r="D1720" t="inlineStr">
        <is>
          <t>15</t>
        </is>
      </c>
      <c r="E1720" t="inlineStr">
        <is>
          <t>33</t>
        </is>
      </c>
      <c r="F1720" t="inlineStr">
        <is>
          <t>A-B</t>
        </is>
      </c>
      <c r="G1720" t="inlineStr">
        <is>
          <t>Average</t>
        </is>
      </c>
      <c r="H1720" t="n">
        <v>240</v>
      </c>
      <c r="I1720">
        <f>B1720&amp;"~"&amp;F1720&amp;"~"&amp;G1720</f>
        <v/>
      </c>
      <c r="J1720" t="inlineStr">
        <is>
          <t>MVS Sec.15 p.33</t>
        </is>
      </c>
    </row>
    <row r="1721">
      <c r="B1721" t="inlineStr">
        <is>
          <t>Jails – Police Stations</t>
        </is>
      </c>
      <c r="C1721" t="inlineStr">
        <is>
          <t>489</t>
        </is>
      </c>
      <c r="D1721" t="inlineStr">
        <is>
          <t>15</t>
        </is>
      </c>
      <c r="E1721" t="inlineStr">
        <is>
          <t>33</t>
        </is>
      </c>
      <c r="F1721" t="inlineStr">
        <is>
          <t>A-B</t>
        </is>
      </c>
      <c r="G1721" t="inlineStr">
        <is>
          <t>Low Cost</t>
        </is>
      </c>
      <c r="H1721" t="n">
        <v>185</v>
      </c>
      <c r="I1721">
        <f>B1721&amp;"~"&amp;F1721&amp;"~"&amp;G1721</f>
        <v/>
      </c>
      <c r="J1721" t="inlineStr">
        <is>
          <t>MVS Sec.15 p.33</t>
        </is>
      </c>
    </row>
    <row r="1722">
      <c r="B1722" t="inlineStr">
        <is>
          <t>Jails – Police Stations</t>
        </is>
      </c>
      <c r="C1722" t="inlineStr">
        <is>
          <t>489</t>
        </is>
      </c>
      <c r="D1722" t="inlineStr">
        <is>
          <t>15</t>
        </is>
      </c>
      <c r="E1722" t="inlineStr">
        <is>
          <t>33</t>
        </is>
      </c>
      <c r="F1722" t="inlineStr">
        <is>
          <t>C</t>
        </is>
      </c>
      <c r="G1722" t="inlineStr">
        <is>
          <t>Excellent</t>
        </is>
      </c>
      <c r="H1722" t="n">
        <v>345</v>
      </c>
      <c r="I1722">
        <f>B1722&amp;"~"&amp;F1722&amp;"~"&amp;G1722</f>
        <v/>
      </c>
      <c r="J1722" t="inlineStr">
        <is>
          <t>MVS Sec.15 p.33</t>
        </is>
      </c>
    </row>
    <row r="1723">
      <c r="B1723" t="inlineStr">
        <is>
          <t>Jails – Police Stations</t>
        </is>
      </c>
      <c r="C1723" t="inlineStr">
        <is>
          <t>489</t>
        </is>
      </c>
      <c r="D1723" t="inlineStr">
        <is>
          <t>15</t>
        </is>
      </c>
      <c r="E1723" t="inlineStr">
        <is>
          <t>33</t>
        </is>
      </c>
      <c r="F1723" t="inlineStr">
        <is>
          <t>C</t>
        </is>
      </c>
      <c r="G1723" t="inlineStr">
        <is>
          <t>Good</t>
        </is>
      </c>
      <c r="H1723" t="n">
        <v>259</v>
      </c>
      <c r="I1723">
        <f>B1723&amp;"~"&amp;F1723&amp;"~"&amp;G1723</f>
        <v/>
      </c>
      <c r="J1723" t="inlineStr">
        <is>
          <t>MVS Sec.15 p.33</t>
        </is>
      </c>
    </row>
    <row r="1724">
      <c r="B1724" t="inlineStr">
        <is>
          <t>Jails – Police Stations</t>
        </is>
      </c>
      <c r="C1724" t="inlineStr">
        <is>
          <t>489</t>
        </is>
      </c>
      <c r="D1724" t="inlineStr">
        <is>
          <t>15</t>
        </is>
      </c>
      <c r="E1724" t="inlineStr">
        <is>
          <t>33</t>
        </is>
      </c>
      <c r="F1724" t="inlineStr">
        <is>
          <t>C</t>
        </is>
      </c>
      <c r="G1724" t="inlineStr">
        <is>
          <t>Average</t>
        </is>
      </c>
      <c r="H1724" t="n">
        <v>194</v>
      </c>
      <c r="I1724">
        <f>B1724&amp;"~"&amp;F1724&amp;"~"&amp;G1724</f>
        <v/>
      </c>
      <c r="J1724" t="inlineStr">
        <is>
          <t>MVS Sec.15 p.33</t>
        </is>
      </c>
    </row>
    <row r="1725">
      <c r="B1725" t="inlineStr">
        <is>
          <t>Jails – Police Stations</t>
        </is>
      </c>
      <c r="C1725" t="inlineStr">
        <is>
          <t>489</t>
        </is>
      </c>
      <c r="D1725" t="inlineStr">
        <is>
          <t>15</t>
        </is>
      </c>
      <c r="E1725" t="inlineStr">
        <is>
          <t>33</t>
        </is>
      </c>
      <c r="F1725" t="inlineStr">
        <is>
          <t>C</t>
        </is>
      </c>
      <c r="G1725" t="inlineStr">
        <is>
          <t>Low Cost</t>
        </is>
      </c>
      <c r="H1725" t="n">
        <v>146</v>
      </c>
      <c r="I1725">
        <f>B1725&amp;"~"&amp;F1725&amp;"~"&amp;G1725</f>
        <v/>
      </c>
      <c r="J1725" t="inlineStr">
        <is>
          <t>MVS Sec.15 p.33</t>
        </is>
      </c>
    </row>
    <row r="1726">
      <c r="B1726" t="inlineStr">
        <is>
          <t>Jails – Police Stations</t>
        </is>
      </c>
      <c r="C1726" t="inlineStr">
        <is>
          <t>489</t>
        </is>
      </c>
      <c r="D1726" t="inlineStr">
        <is>
          <t>15</t>
        </is>
      </c>
      <c r="E1726" t="inlineStr">
        <is>
          <t>33</t>
        </is>
      </c>
      <c r="F1726" t="inlineStr">
        <is>
          <t>D</t>
        </is>
      </c>
      <c r="G1726" t="inlineStr">
        <is>
          <t>Excellent</t>
        </is>
      </c>
      <c r="H1726" t="n">
        <v>331</v>
      </c>
      <c r="I1726">
        <f>B1726&amp;"~"&amp;F1726&amp;"~"&amp;G1726</f>
        <v/>
      </c>
      <c r="J1726" t="inlineStr">
        <is>
          <t>MVS Sec.15 p.33</t>
        </is>
      </c>
    </row>
    <row r="1727">
      <c r="B1727" t="inlineStr">
        <is>
          <t>Jails – Police Stations</t>
        </is>
      </c>
      <c r="C1727" t="inlineStr">
        <is>
          <t>489</t>
        </is>
      </c>
      <c r="D1727" t="inlineStr">
        <is>
          <t>15</t>
        </is>
      </c>
      <c r="E1727" t="inlineStr">
        <is>
          <t>33</t>
        </is>
      </c>
      <c r="F1727" t="inlineStr">
        <is>
          <t>D</t>
        </is>
      </c>
      <c r="G1727" t="inlineStr">
        <is>
          <t>Good</t>
        </is>
      </c>
      <c r="H1727" t="n">
        <v>248</v>
      </c>
      <c r="I1727">
        <f>B1727&amp;"~"&amp;F1727&amp;"~"&amp;G1727</f>
        <v/>
      </c>
      <c r="J1727" t="inlineStr">
        <is>
          <t>MVS Sec.15 p.33</t>
        </is>
      </c>
    </row>
    <row r="1728">
      <c r="B1728" t="inlineStr">
        <is>
          <t>Jails – Police Stations</t>
        </is>
      </c>
      <c r="C1728" t="inlineStr">
        <is>
          <t>489</t>
        </is>
      </c>
      <c r="D1728" t="inlineStr">
        <is>
          <t>15</t>
        </is>
      </c>
      <c r="E1728" t="inlineStr">
        <is>
          <t>33</t>
        </is>
      </c>
      <c r="F1728" t="inlineStr">
        <is>
          <t>D</t>
        </is>
      </c>
      <c r="G1728" t="inlineStr">
        <is>
          <t>Average</t>
        </is>
      </c>
      <c r="H1728" t="n">
        <v>186</v>
      </c>
      <c r="I1728">
        <f>B1728&amp;"~"&amp;F1728&amp;"~"&amp;G1728</f>
        <v/>
      </c>
      <c r="J1728" t="inlineStr">
        <is>
          <t>MVS Sec.15 p.33</t>
        </is>
      </c>
    </row>
    <row r="1729">
      <c r="B1729" t="inlineStr">
        <is>
          <t>Shell Office Buildings</t>
        </is>
      </c>
      <c r="C1729" t="inlineStr">
        <is>
          <t>492</t>
        </is>
      </c>
      <c r="D1729" t="inlineStr">
        <is>
          <t>15</t>
        </is>
      </c>
      <c r="E1729" t="inlineStr">
        <is>
          <t>34</t>
        </is>
      </c>
      <c r="F1729" t="inlineStr">
        <is>
          <t>A</t>
        </is>
      </c>
      <c r="G1729" t="inlineStr">
        <is>
          <t>Excellent</t>
        </is>
      </c>
      <c r="H1729" t="n">
        <v>248</v>
      </c>
      <c r="I1729">
        <f>B1729&amp;"~"&amp;F1729&amp;"~"&amp;G1729</f>
        <v/>
      </c>
      <c r="J1729" t="inlineStr">
        <is>
          <t>MVS Sec.15 p.34</t>
        </is>
      </c>
    </row>
    <row r="1730">
      <c r="B1730" t="inlineStr">
        <is>
          <t>Shell Office Buildings</t>
        </is>
      </c>
      <c r="C1730" t="inlineStr">
        <is>
          <t>492</t>
        </is>
      </c>
      <c r="D1730" t="inlineStr">
        <is>
          <t>15</t>
        </is>
      </c>
      <c r="E1730" t="inlineStr">
        <is>
          <t>34</t>
        </is>
      </c>
      <c r="F1730" t="inlineStr">
        <is>
          <t>A</t>
        </is>
      </c>
      <c r="G1730" t="inlineStr">
        <is>
          <t>Good</t>
        </is>
      </c>
      <c r="H1730" t="n">
        <v>193</v>
      </c>
      <c r="I1730">
        <f>B1730&amp;"~"&amp;F1730&amp;"~"&amp;G1730</f>
        <v/>
      </c>
      <c r="J1730" t="inlineStr">
        <is>
          <t>MVS Sec.15 p.34</t>
        </is>
      </c>
    </row>
    <row r="1731">
      <c r="B1731" t="inlineStr">
        <is>
          <t>Shell Office Buildings</t>
        </is>
      </c>
      <c r="C1731" t="inlineStr">
        <is>
          <t>492</t>
        </is>
      </c>
      <c r="D1731" t="inlineStr">
        <is>
          <t>15</t>
        </is>
      </c>
      <c r="E1731" t="inlineStr">
        <is>
          <t>34</t>
        </is>
      </c>
      <c r="F1731" t="inlineStr">
        <is>
          <t>A</t>
        </is>
      </c>
      <c r="G1731" t="inlineStr">
        <is>
          <t>Average</t>
        </is>
      </c>
      <c r="H1731" t="n">
        <v>151</v>
      </c>
      <c r="I1731">
        <f>B1731&amp;"~"&amp;F1731&amp;"~"&amp;G1731</f>
        <v/>
      </c>
      <c r="J1731" t="inlineStr">
        <is>
          <t>MVS Sec.15 p.34</t>
        </is>
      </c>
    </row>
    <row r="1732">
      <c r="B1732" t="inlineStr">
        <is>
          <t>Shell Office Buildings</t>
        </is>
      </c>
      <c r="C1732" t="inlineStr">
        <is>
          <t>492</t>
        </is>
      </c>
      <c r="D1732" t="inlineStr">
        <is>
          <t>15</t>
        </is>
      </c>
      <c r="E1732" t="inlineStr">
        <is>
          <t>34</t>
        </is>
      </c>
      <c r="F1732" t="inlineStr">
        <is>
          <t>A</t>
        </is>
      </c>
      <c r="G1732" t="inlineStr">
        <is>
          <t>Low Cost</t>
        </is>
      </c>
      <c r="H1732" t="n">
        <v>118</v>
      </c>
      <c r="I1732">
        <f>B1732&amp;"~"&amp;F1732&amp;"~"&amp;G1732</f>
        <v/>
      </c>
      <c r="J1732" t="inlineStr">
        <is>
          <t>MVS Sec.15 p.34</t>
        </is>
      </c>
    </row>
    <row r="1733">
      <c r="B1733" t="inlineStr">
        <is>
          <t>Shell Office Buildings</t>
        </is>
      </c>
      <c r="C1733" t="inlineStr">
        <is>
          <t>492</t>
        </is>
      </c>
      <c r="D1733" t="inlineStr">
        <is>
          <t>15</t>
        </is>
      </c>
      <c r="E1733" t="inlineStr">
        <is>
          <t>34</t>
        </is>
      </c>
      <c r="F1733" t="inlineStr">
        <is>
          <t>B</t>
        </is>
      </c>
      <c r="G1733" t="inlineStr">
        <is>
          <t>Excellent</t>
        </is>
      </c>
      <c r="H1733" t="n">
        <v>224</v>
      </c>
      <c r="I1733">
        <f>B1733&amp;"~"&amp;F1733&amp;"~"&amp;G1733</f>
        <v/>
      </c>
      <c r="J1733" t="inlineStr">
        <is>
          <t>MVS Sec.15 p.34</t>
        </is>
      </c>
    </row>
    <row r="1734">
      <c r="B1734" t="inlineStr">
        <is>
          <t>Shell Office Buildings</t>
        </is>
      </c>
      <c r="C1734" t="inlineStr">
        <is>
          <t>492</t>
        </is>
      </c>
      <c r="D1734" t="inlineStr">
        <is>
          <t>15</t>
        </is>
      </c>
      <c r="E1734" t="inlineStr">
        <is>
          <t>34</t>
        </is>
      </c>
      <c r="F1734" t="inlineStr">
        <is>
          <t>B</t>
        </is>
      </c>
      <c r="G1734" t="inlineStr">
        <is>
          <t>Good</t>
        </is>
      </c>
      <c r="H1734" t="n">
        <v>172</v>
      </c>
      <c r="I1734">
        <f>B1734&amp;"~"&amp;F1734&amp;"~"&amp;G1734</f>
        <v/>
      </c>
      <c r="J1734" t="inlineStr">
        <is>
          <t>MVS Sec.15 p.34</t>
        </is>
      </c>
    </row>
    <row r="1735">
      <c r="B1735" t="inlineStr">
        <is>
          <t>Shell Office Buildings</t>
        </is>
      </c>
      <c r="C1735" t="inlineStr">
        <is>
          <t>492</t>
        </is>
      </c>
      <c r="D1735" t="inlineStr">
        <is>
          <t>15</t>
        </is>
      </c>
      <c r="E1735" t="inlineStr">
        <is>
          <t>34</t>
        </is>
      </c>
      <c r="F1735" t="inlineStr">
        <is>
          <t>B</t>
        </is>
      </c>
      <c r="G1735" t="inlineStr">
        <is>
          <t>Average</t>
        </is>
      </c>
      <c r="H1735" t="n">
        <v>132</v>
      </c>
      <c r="I1735">
        <f>B1735&amp;"~"&amp;F1735&amp;"~"&amp;G1735</f>
        <v/>
      </c>
      <c r="J1735" t="inlineStr">
        <is>
          <t>MVS Sec.15 p.34</t>
        </is>
      </c>
    </row>
    <row r="1736">
      <c r="B1736" t="inlineStr">
        <is>
          <t>Shell Office Buildings</t>
        </is>
      </c>
      <c r="C1736" t="inlineStr">
        <is>
          <t>492</t>
        </is>
      </c>
      <c r="D1736" t="inlineStr">
        <is>
          <t>15</t>
        </is>
      </c>
      <c r="E1736" t="inlineStr">
        <is>
          <t>34</t>
        </is>
      </c>
      <c r="F1736" t="inlineStr">
        <is>
          <t>B</t>
        </is>
      </c>
      <c r="G1736" t="inlineStr">
        <is>
          <t>Low Cost</t>
        </is>
      </c>
      <c r="H1736" t="n">
        <v>102</v>
      </c>
      <c r="I1736">
        <f>B1736&amp;"~"&amp;F1736&amp;"~"&amp;G1736</f>
        <v/>
      </c>
      <c r="J1736" t="inlineStr">
        <is>
          <t>MVS Sec.15 p.34</t>
        </is>
      </c>
    </row>
    <row r="1737">
      <c r="B1737" t="inlineStr">
        <is>
          <t>Shell Office Buildings</t>
        </is>
      </c>
      <c r="C1737" t="inlineStr">
        <is>
          <t>492</t>
        </is>
      </c>
      <c r="D1737" t="inlineStr">
        <is>
          <t>15</t>
        </is>
      </c>
      <c r="E1737" t="inlineStr">
        <is>
          <t>35</t>
        </is>
      </c>
      <c r="F1737" t="inlineStr">
        <is>
          <t>C</t>
        </is>
      </c>
      <c r="G1737" t="inlineStr">
        <is>
          <t>Excellent</t>
        </is>
      </c>
      <c r="H1737" t="n">
        <v>192</v>
      </c>
      <c r="I1737">
        <f>B1737&amp;"~"&amp;F1737&amp;"~"&amp;G1737</f>
        <v/>
      </c>
      <c r="J1737" t="inlineStr">
        <is>
          <t>MVS Sec.15 p.35</t>
        </is>
      </c>
    </row>
    <row r="1738">
      <c r="B1738" t="inlineStr">
        <is>
          <t>Shell Office Buildings</t>
        </is>
      </c>
      <c r="C1738" t="inlineStr">
        <is>
          <t>492</t>
        </is>
      </c>
      <c r="D1738" t="inlineStr">
        <is>
          <t>15</t>
        </is>
      </c>
      <c r="E1738" t="inlineStr">
        <is>
          <t>35</t>
        </is>
      </c>
      <c r="F1738" t="inlineStr">
        <is>
          <t>C</t>
        </is>
      </c>
      <c r="G1738" t="inlineStr">
        <is>
          <t>Good</t>
        </is>
      </c>
      <c r="H1738" t="n">
        <v>128</v>
      </c>
      <c r="I1738">
        <f>B1738&amp;"~"&amp;F1738&amp;"~"&amp;G1738</f>
        <v/>
      </c>
      <c r="J1738" t="inlineStr">
        <is>
          <t>MVS Sec.15 p.35</t>
        </is>
      </c>
    </row>
    <row r="1739">
      <c r="B1739" t="inlineStr">
        <is>
          <t>Shell Office Buildings</t>
        </is>
      </c>
      <c r="C1739" t="inlineStr">
        <is>
          <t>492</t>
        </is>
      </c>
      <c r="D1739" t="inlineStr">
        <is>
          <t>15</t>
        </is>
      </c>
      <c r="E1739" t="inlineStr">
        <is>
          <t>35</t>
        </is>
      </c>
      <c r="F1739" t="inlineStr">
        <is>
          <t>C</t>
        </is>
      </c>
      <c r="G1739" t="inlineStr">
        <is>
          <t>Average</t>
        </is>
      </c>
      <c r="H1739" t="n">
        <v>85</v>
      </c>
      <c r="I1739">
        <f>B1739&amp;"~"&amp;F1739&amp;"~"&amp;G1739</f>
        <v/>
      </c>
      <c r="J1739" t="inlineStr">
        <is>
          <t>MVS Sec.15 p.35</t>
        </is>
      </c>
    </row>
    <row r="1740">
      <c r="B1740" t="inlineStr">
        <is>
          <t>Shell Office Buildings</t>
        </is>
      </c>
      <c r="C1740" t="inlineStr">
        <is>
          <t>492</t>
        </is>
      </c>
      <c r="D1740" t="inlineStr">
        <is>
          <t>15</t>
        </is>
      </c>
      <c r="E1740" t="inlineStr">
        <is>
          <t>35</t>
        </is>
      </c>
      <c r="F1740" t="inlineStr">
        <is>
          <t>C</t>
        </is>
      </c>
      <c r="G1740" t="inlineStr">
        <is>
          <t>Low Cost</t>
        </is>
      </c>
      <c r="H1740" t="n">
        <v>53.5</v>
      </c>
      <c r="I1740">
        <f>B1740&amp;"~"&amp;F1740&amp;"~"&amp;G1740</f>
        <v/>
      </c>
      <c r="J1740" t="inlineStr">
        <is>
          <t>MVS Sec.15 p.35</t>
        </is>
      </c>
    </row>
    <row r="1741">
      <c r="B1741" t="inlineStr">
        <is>
          <t>Shell Office Buildings</t>
        </is>
      </c>
      <c r="C1741" t="inlineStr">
        <is>
          <t>492</t>
        </is>
      </c>
      <c r="D1741" t="inlineStr">
        <is>
          <t>15</t>
        </is>
      </c>
      <c r="E1741" t="inlineStr">
        <is>
          <t>35</t>
        </is>
      </c>
      <c r="F1741" t="inlineStr">
        <is>
          <t>D</t>
        </is>
      </c>
      <c r="G1741" t="inlineStr">
        <is>
          <t>Excellent</t>
        </is>
      </c>
      <c r="H1741" t="n">
        <v>178</v>
      </c>
      <c r="I1741">
        <f>B1741&amp;"~"&amp;F1741&amp;"~"&amp;G1741</f>
        <v/>
      </c>
      <c r="J1741" t="inlineStr">
        <is>
          <t>MVS Sec.15 p.35</t>
        </is>
      </c>
    </row>
    <row r="1742">
      <c r="B1742" t="inlineStr">
        <is>
          <t>Shell Office Buildings</t>
        </is>
      </c>
      <c r="C1742" t="inlineStr">
        <is>
          <t>492</t>
        </is>
      </c>
      <c r="D1742" t="inlineStr">
        <is>
          <t>15</t>
        </is>
      </c>
      <c r="E1742" t="inlineStr">
        <is>
          <t>35</t>
        </is>
      </c>
      <c r="F1742" t="inlineStr">
        <is>
          <t>D</t>
        </is>
      </c>
      <c r="G1742" t="inlineStr">
        <is>
          <t>Good</t>
        </is>
      </c>
      <c r="H1742" t="n">
        <v>118</v>
      </c>
      <c r="I1742">
        <f>B1742&amp;"~"&amp;F1742&amp;"~"&amp;G1742</f>
        <v/>
      </c>
      <c r="J1742" t="inlineStr">
        <is>
          <t>MVS Sec.15 p.35</t>
        </is>
      </c>
    </row>
    <row r="1743">
      <c r="B1743" t="inlineStr">
        <is>
          <t>Shell Office Buildings</t>
        </is>
      </c>
      <c r="C1743" t="inlineStr">
        <is>
          <t>492</t>
        </is>
      </c>
      <c r="D1743" t="inlineStr">
        <is>
          <t>15</t>
        </is>
      </c>
      <c r="E1743" t="inlineStr">
        <is>
          <t>35</t>
        </is>
      </c>
      <c r="F1743" t="inlineStr">
        <is>
          <t>D</t>
        </is>
      </c>
      <c r="G1743" t="inlineStr">
        <is>
          <t>Average</t>
        </is>
      </c>
      <c r="H1743" t="n">
        <v>77</v>
      </c>
      <c r="I1743">
        <f>B1743&amp;"~"&amp;F1743&amp;"~"&amp;G1743</f>
        <v/>
      </c>
      <c r="J1743" t="inlineStr">
        <is>
          <t>MVS Sec.15 p.35</t>
        </is>
      </c>
    </row>
    <row r="1744">
      <c r="B1744" t="inlineStr">
        <is>
          <t>Shell Office Buildings</t>
        </is>
      </c>
      <c r="C1744" t="inlineStr">
        <is>
          <t>492</t>
        </is>
      </c>
      <c r="D1744" t="inlineStr">
        <is>
          <t>15</t>
        </is>
      </c>
      <c r="E1744" t="inlineStr">
        <is>
          <t>35</t>
        </is>
      </c>
      <c r="F1744" t="inlineStr">
        <is>
          <t>D</t>
        </is>
      </c>
      <c r="G1744" t="inlineStr">
        <is>
          <t>Low Cost</t>
        </is>
      </c>
      <c r="H1744" t="n">
        <v>48</v>
      </c>
      <c r="I1744">
        <f>B1744&amp;"~"&amp;F1744&amp;"~"&amp;G1744</f>
        <v/>
      </c>
      <c r="J1744" t="inlineStr">
        <is>
          <t>MVS Sec.15 p.35</t>
        </is>
      </c>
    </row>
    <row r="1745">
      <c r="B1745" t="inlineStr">
        <is>
          <t>Shell Office Buildings</t>
        </is>
      </c>
      <c r="C1745" t="inlineStr">
        <is>
          <t>492</t>
        </is>
      </c>
      <c r="D1745" t="inlineStr">
        <is>
          <t>15</t>
        </is>
      </c>
      <c r="E1745" t="inlineStr">
        <is>
          <t>35</t>
        </is>
      </c>
      <c r="F1745" t="inlineStr">
        <is>
          <t>DPOLE</t>
        </is>
      </c>
      <c r="G1745" t="inlineStr">
        <is>
          <t>Average</t>
        </is>
      </c>
      <c r="H1745" t="n">
        <v>62.5</v>
      </c>
      <c r="I1745">
        <f>B1745&amp;"~"&amp;F1745&amp;"~"&amp;G1745</f>
        <v/>
      </c>
      <c r="J1745" t="inlineStr">
        <is>
          <t>MVS Sec.15 p.35</t>
        </is>
      </c>
    </row>
    <row r="1746">
      <c r="B1746" t="inlineStr">
        <is>
          <t>Shell Office Buildings</t>
        </is>
      </c>
      <c r="C1746" t="inlineStr">
        <is>
          <t>492</t>
        </is>
      </c>
      <c r="D1746" t="inlineStr">
        <is>
          <t>15</t>
        </is>
      </c>
      <c r="E1746" t="inlineStr">
        <is>
          <t>35</t>
        </is>
      </c>
      <c r="F1746" t="inlineStr">
        <is>
          <t>DPOLE</t>
        </is>
      </c>
      <c r="G1746" t="inlineStr">
        <is>
          <t>Low Cost</t>
        </is>
      </c>
      <c r="H1746" t="n">
        <v>38.5</v>
      </c>
      <c r="I1746">
        <f>B1746&amp;"~"&amp;F1746&amp;"~"&amp;G1746</f>
        <v/>
      </c>
      <c r="J1746" t="inlineStr">
        <is>
          <t>MVS Sec.15 p.35</t>
        </is>
      </c>
    </row>
    <row r="1747">
      <c r="B1747" t="inlineStr">
        <is>
          <t>Shell Office Buildings</t>
        </is>
      </c>
      <c r="C1747" t="inlineStr">
        <is>
          <t>492</t>
        </is>
      </c>
      <c r="D1747" t="inlineStr">
        <is>
          <t>15</t>
        </is>
      </c>
      <c r="E1747" t="inlineStr">
        <is>
          <t>35</t>
        </is>
      </c>
      <c r="F1747" t="inlineStr">
        <is>
          <t>S</t>
        </is>
      </c>
      <c r="G1747" t="inlineStr">
        <is>
          <t>Good</t>
        </is>
      </c>
      <c r="H1747" t="n">
        <v>109</v>
      </c>
      <c r="I1747">
        <f>B1747&amp;"~"&amp;F1747&amp;"~"&amp;G1747</f>
        <v/>
      </c>
      <c r="J1747" t="inlineStr">
        <is>
          <t>MVS Sec.15 p.35</t>
        </is>
      </c>
    </row>
    <row r="1748">
      <c r="B1748" t="inlineStr">
        <is>
          <t>Shell Office Buildings</t>
        </is>
      </c>
      <c r="C1748" t="inlineStr">
        <is>
          <t>492</t>
        </is>
      </c>
      <c r="D1748" t="inlineStr">
        <is>
          <t>15</t>
        </is>
      </c>
      <c r="E1748" t="inlineStr">
        <is>
          <t>35</t>
        </is>
      </c>
      <c r="F1748" t="inlineStr">
        <is>
          <t>S</t>
        </is>
      </c>
      <c r="G1748" t="inlineStr">
        <is>
          <t>Average</t>
        </is>
      </c>
      <c r="H1748" t="n">
        <v>66.5</v>
      </c>
      <c r="I1748">
        <f>B1748&amp;"~"&amp;F1748&amp;"~"&amp;G1748</f>
        <v/>
      </c>
      <c r="J1748" t="inlineStr">
        <is>
          <t>MVS Sec.15 p.35</t>
        </is>
      </c>
    </row>
    <row r="1749">
      <c r="B1749" t="inlineStr">
        <is>
          <t>Shell Office Buildings</t>
        </is>
      </c>
      <c r="C1749" t="inlineStr">
        <is>
          <t>492</t>
        </is>
      </c>
      <c r="D1749" t="inlineStr">
        <is>
          <t>15</t>
        </is>
      </c>
      <c r="E1749" t="inlineStr">
        <is>
          <t>35</t>
        </is>
      </c>
      <c r="F1749" t="inlineStr">
        <is>
          <t>S</t>
        </is>
      </c>
      <c r="G1749" t="inlineStr">
        <is>
          <t>Low Cost</t>
        </is>
      </c>
      <c r="H1749" t="n">
        <v>41.75</v>
      </c>
      <c r="I1749">
        <f>B1749&amp;"~"&amp;F1749&amp;"~"&amp;G1749</f>
        <v/>
      </c>
      <c r="J1749" t="inlineStr">
        <is>
          <t>MVS Sec.15 p.35</t>
        </is>
      </c>
    </row>
    <row r="1750">
      <c r="B1750" t="inlineStr">
        <is>
          <t>Churches with Sunday Schools</t>
        </is>
      </c>
      <c r="C1750" t="inlineStr">
        <is>
          <t>308</t>
        </is>
      </c>
      <c r="D1750" t="inlineStr">
        <is>
          <t>16</t>
        </is>
      </c>
      <c r="E1750" t="inlineStr">
        <is>
          <t>8</t>
        </is>
      </c>
      <c r="F1750" t="inlineStr">
        <is>
          <t>A</t>
        </is>
      </c>
      <c r="G1750" t="inlineStr">
        <is>
          <t>Good</t>
        </is>
      </c>
      <c r="H1750" t="n">
        <v>358</v>
      </c>
      <c r="I1750">
        <f>B1750&amp;"~"&amp;F1750&amp;"~"&amp;G1750</f>
        <v/>
      </c>
      <c r="J1750" t="inlineStr">
        <is>
          <t>MVS Sec.16 p.8</t>
        </is>
      </c>
    </row>
    <row r="1751">
      <c r="B1751" t="inlineStr">
        <is>
          <t>Churches with Sunday Schools</t>
        </is>
      </c>
      <c r="C1751" t="inlineStr">
        <is>
          <t>308</t>
        </is>
      </c>
      <c r="D1751" t="inlineStr">
        <is>
          <t>16</t>
        </is>
      </c>
      <c r="E1751" t="inlineStr">
        <is>
          <t>8</t>
        </is>
      </c>
      <c r="F1751" t="inlineStr">
        <is>
          <t>A</t>
        </is>
      </c>
      <c r="G1751" t="inlineStr">
        <is>
          <t>Average</t>
        </is>
      </c>
      <c r="H1751" t="n">
        <v>263</v>
      </c>
      <c r="I1751">
        <f>B1751&amp;"~"&amp;F1751&amp;"~"&amp;G1751</f>
        <v/>
      </c>
      <c r="J1751" t="inlineStr">
        <is>
          <t>MVS Sec.16 p.8</t>
        </is>
      </c>
    </row>
    <row r="1752">
      <c r="B1752" t="inlineStr">
        <is>
          <t>Churches with Sunday Schools</t>
        </is>
      </c>
      <c r="C1752" t="inlineStr">
        <is>
          <t>308</t>
        </is>
      </c>
      <c r="D1752" t="inlineStr">
        <is>
          <t>16</t>
        </is>
      </c>
      <c r="E1752" t="inlineStr">
        <is>
          <t>8</t>
        </is>
      </c>
      <c r="F1752" t="inlineStr">
        <is>
          <t>B</t>
        </is>
      </c>
      <c r="G1752" t="inlineStr">
        <is>
          <t>Good</t>
        </is>
      </c>
      <c r="H1752" t="n">
        <v>323</v>
      </c>
      <c r="I1752">
        <f>B1752&amp;"~"&amp;F1752&amp;"~"&amp;G1752</f>
        <v/>
      </c>
      <c r="J1752" t="inlineStr">
        <is>
          <t>MVS Sec.16 p.8</t>
        </is>
      </c>
    </row>
    <row r="1753">
      <c r="B1753" t="inlineStr">
        <is>
          <t>Churches with Sunday Schools</t>
        </is>
      </c>
      <c r="C1753" t="inlineStr">
        <is>
          <t>308</t>
        </is>
      </c>
      <c r="D1753" t="inlineStr">
        <is>
          <t>16</t>
        </is>
      </c>
      <c r="E1753" t="inlineStr">
        <is>
          <t>8</t>
        </is>
      </c>
      <c r="F1753" t="inlineStr">
        <is>
          <t>B</t>
        </is>
      </c>
      <c r="G1753" t="inlineStr">
        <is>
          <t>Average</t>
        </is>
      </c>
      <c r="H1753" t="n">
        <v>238</v>
      </c>
      <c r="I1753">
        <f>B1753&amp;"~"&amp;F1753&amp;"~"&amp;G1753</f>
        <v/>
      </c>
      <c r="J1753" t="inlineStr">
        <is>
          <t>MVS Sec.16 p.8</t>
        </is>
      </c>
    </row>
    <row r="1754">
      <c r="B1754" t="inlineStr">
        <is>
          <t>Churches with Sunday Schools</t>
        </is>
      </c>
      <c r="C1754" t="inlineStr">
        <is>
          <t>308</t>
        </is>
      </c>
      <c r="D1754" t="inlineStr">
        <is>
          <t>16</t>
        </is>
      </c>
      <c r="E1754" t="inlineStr">
        <is>
          <t>8</t>
        </is>
      </c>
      <c r="F1754" t="inlineStr">
        <is>
          <t>C</t>
        </is>
      </c>
      <c r="G1754" t="inlineStr">
        <is>
          <t>Excellent</t>
        </is>
      </c>
      <c r="H1754" t="n">
        <v>340</v>
      </c>
      <c r="I1754">
        <f>B1754&amp;"~"&amp;F1754&amp;"~"&amp;G1754</f>
        <v/>
      </c>
      <c r="J1754" t="inlineStr">
        <is>
          <t>MVS Sec.16 p.8</t>
        </is>
      </c>
    </row>
    <row r="1755">
      <c r="B1755" t="inlineStr">
        <is>
          <t>Churches with Sunday Schools</t>
        </is>
      </c>
      <c r="C1755" t="inlineStr">
        <is>
          <t>308</t>
        </is>
      </c>
      <c r="D1755" t="inlineStr">
        <is>
          <t>16</t>
        </is>
      </c>
      <c r="E1755" t="inlineStr">
        <is>
          <t>8</t>
        </is>
      </c>
      <c r="F1755" t="inlineStr">
        <is>
          <t>C</t>
        </is>
      </c>
      <c r="G1755" t="inlineStr">
        <is>
          <t>Good</t>
        </is>
      </c>
      <c r="H1755" t="n">
        <v>254</v>
      </c>
      <c r="I1755">
        <f>B1755&amp;"~"&amp;F1755&amp;"~"&amp;G1755</f>
        <v/>
      </c>
      <c r="J1755" t="inlineStr">
        <is>
          <t>MVS Sec.16 p.8</t>
        </is>
      </c>
    </row>
    <row r="1756">
      <c r="B1756" t="inlineStr">
        <is>
          <t>Churches with Sunday Schools</t>
        </is>
      </c>
      <c r="C1756" t="inlineStr">
        <is>
          <t>308</t>
        </is>
      </c>
      <c r="D1756" t="inlineStr">
        <is>
          <t>16</t>
        </is>
      </c>
      <c r="E1756" t="inlineStr">
        <is>
          <t>8</t>
        </is>
      </c>
      <c r="F1756" t="inlineStr">
        <is>
          <t>C</t>
        </is>
      </c>
      <c r="G1756" t="inlineStr">
        <is>
          <t>Average</t>
        </is>
      </c>
      <c r="H1756" t="n">
        <v>182</v>
      </c>
      <c r="I1756">
        <f>B1756&amp;"~"&amp;F1756&amp;"~"&amp;G1756</f>
        <v/>
      </c>
      <c r="J1756" t="inlineStr">
        <is>
          <t>MVS Sec.16 p.8</t>
        </is>
      </c>
    </row>
    <row r="1757">
      <c r="B1757" t="inlineStr">
        <is>
          <t>Churches with Sunday Schools</t>
        </is>
      </c>
      <c r="C1757" t="inlineStr">
        <is>
          <t>308</t>
        </is>
      </c>
      <c r="D1757" t="inlineStr">
        <is>
          <t>16</t>
        </is>
      </c>
      <c r="E1757" t="inlineStr">
        <is>
          <t>8</t>
        </is>
      </c>
      <c r="F1757" t="inlineStr">
        <is>
          <t>D</t>
        </is>
      </c>
      <c r="G1757" t="inlineStr">
        <is>
          <t>Excellent</t>
        </is>
      </c>
      <c r="H1757" t="n">
        <v>321</v>
      </c>
      <c r="I1757">
        <f>B1757&amp;"~"&amp;F1757&amp;"~"&amp;G1757</f>
        <v/>
      </c>
      <c r="J1757" t="inlineStr">
        <is>
          <t>MVS Sec.16 p.8</t>
        </is>
      </c>
    </row>
    <row r="1758">
      <c r="B1758" t="inlineStr">
        <is>
          <t>Churches with Sunday Schools</t>
        </is>
      </c>
      <c r="C1758" t="inlineStr">
        <is>
          <t>308</t>
        </is>
      </c>
      <c r="D1758" t="inlineStr">
        <is>
          <t>16</t>
        </is>
      </c>
      <c r="E1758" t="inlineStr">
        <is>
          <t>8</t>
        </is>
      </c>
      <c r="F1758" t="inlineStr">
        <is>
          <t>D</t>
        </is>
      </c>
      <c r="G1758" t="inlineStr">
        <is>
          <t>Good</t>
        </is>
      </c>
      <c r="H1758" t="n">
        <v>241</v>
      </c>
      <c r="I1758">
        <f>B1758&amp;"~"&amp;F1758&amp;"~"&amp;G1758</f>
        <v/>
      </c>
      <c r="J1758" t="inlineStr">
        <is>
          <t>MVS Sec.16 p.8</t>
        </is>
      </c>
    </row>
    <row r="1759">
      <c r="B1759" t="inlineStr">
        <is>
          <t>Churches with Sunday Schools</t>
        </is>
      </c>
      <c r="C1759" t="inlineStr">
        <is>
          <t>308</t>
        </is>
      </c>
      <c r="D1759" t="inlineStr">
        <is>
          <t>16</t>
        </is>
      </c>
      <c r="E1759" t="inlineStr">
        <is>
          <t>8</t>
        </is>
      </c>
      <c r="F1759" t="inlineStr">
        <is>
          <t>D</t>
        </is>
      </c>
      <c r="G1759" t="inlineStr">
        <is>
          <t>Average</t>
        </is>
      </c>
      <c r="H1759" t="n">
        <v>174</v>
      </c>
      <c r="I1759">
        <f>B1759&amp;"~"&amp;F1759&amp;"~"&amp;G1759</f>
        <v/>
      </c>
      <c r="J1759" t="inlineStr">
        <is>
          <t>MVS Sec.16 p.8</t>
        </is>
      </c>
    </row>
    <row r="1760">
      <c r="B1760" t="inlineStr">
        <is>
          <t>Churches with Sunday Schools</t>
        </is>
      </c>
      <c r="C1760" t="inlineStr">
        <is>
          <t>308</t>
        </is>
      </c>
      <c r="D1760" t="inlineStr">
        <is>
          <t>16</t>
        </is>
      </c>
      <c r="E1760" t="inlineStr">
        <is>
          <t>8</t>
        </is>
      </c>
      <c r="F1760" t="inlineStr">
        <is>
          <t>DPOLE</t>
        </is>
      </c>
      <c r="G1760" t="inlineStr">
        <is>
          <t>Good</t>
        </is>
      </c>
      <c r="H1760" t="n">
        <v>230</v>
      </c>
      <c r="I1760">
        <f>B1760&amp;"~"&amp;F1760&amp;"~"&amp;G1760</f>
        <v/>
      </c>
      <c r="J1760" t="inlineStr">
        <is>
          <t>MVS Sec.16 p.8</t>
        </is>
      </c>
    </row>
    <row r="1761">
      <c r="B1761" t="inlineStr">
        <is>
          <t>Churches with Sunday Schools</t>
        </is>
      </c>
      <c r="C1761" t="inlineStr">
        <is>
          <t>308</t>
        </is>
      </c>
      <c r="D1761" t="inlineStr">
        <is>
          <t>16</t>
        </is>
      </c>
      <c r="E1761" t="inlineStr">
        <is>
          <t>8</t>
        </is>
      </c>
      <c r="F1761" t="inlineStr">
        <is>
          <t>S</t>
        </is>
      </c>
      <c r="G1761" t="inlineStr">
        <is>
          <t>Average</t>
        </is>
      </c>
      <c r="H1761" t="n">
        <v>168</v>
      </c>
      <c r="I1761">
        <f>B1761&amp;"~"&amp;F1761&amp;"~"&amp;G1761</f>
        <v/>
      </c>
      <c r="J1761" t="inlineStr">
        <is>
          <t>MVS Sec.16 p.8</t>
        </is>
      </c>
    </row>
    <row r="1762">
      <c r="B1762" t="inlineStr">
        <is>
          <t>Churches – Sanctuaries (Chapels)</t>
        </is>
      </c>
      <c r="C1762" t="inlineStr">
        <is>
          <t>309</t>
        </is>
      </c>
      <c r="D1762" t="inlineStr">
        <is>
          <t>16</t>
        </is>
      </c>
      <c r="E1762" t="inlineStr">
        <is>
          <t>9</t>
        </is>
      </c>
      <c r="F1762" t="inlineStr">
        <is>
          <t>A</t>
        </is>
      </c>
      <c r="G1762" t="inlineStr">
        <is>
          <t>Excellent</t>
        </is>
      </c>
      <c r="H1762" t="n">
        <v>520</v>
      </c>
      <c r="I1762">
        <f>B1762&amp;"~"&amp;F1762&amp;"~"&amp;G1762</f>
        <v/>
      </c>
      <c r="J1762" t="inlineStr">
        <is>
          <t>MVS Sec.16 p.9</t>
        </is>
      </c>
    </row>
    <row r="1763">
      <c r="B1763" t="inlineStr">
        <is>
          <t>Churches – Sanctuaries (Chapels)</t>
        </is>
      </c>
      <c r="C1763" t="inlineStr">
        <is>
          <t>309</t>
        </is>
      </c>
      <c r="D1763" t="inlineStr">
        <is>
          <t>16</t>
        </is>
      </c>
      <c r="E1763" t="inlineStr">
        <is>
          <t>9</t>
        </is>
      </c>
      <c r="F1763" t="inlineStr">
        <is>
          <t>A</t>
        </is>
      </c>
      <c r="G1763" t="inlineStr">
        <is>
          <t>Good</t>
        </is>
      </c>
      <c r="H1763" t="n">
        <v>383</v>
      </c>
      <c r="I1763">
        <f>B1763&amp;"~"&amp;F1763&amp;"~"&amp;G1763</f>
        <v/>
      </c>
      <c r="J1763" t="inlineStr">
        <is>
          <t>MVS Sec.16 p.9</t>
        </is>
      </c>
    </row>
    <row r="1764">
      <c r="B1764" t="inlineStr">
        <is>
          <t>Churches – Sanctuaries (Chapels)</t>
        </is>
      </c>
      <c r="C1764" t="inlineStr">
        <is>
          <t>309</t>
        </is>
      </c>
      <c r="D1764" t="inlineStr">
        <is>
          <t>16</t>
        </is>
      </c>
      <c r="E1764" t="inlineStr">
        <is>
          <t>9</t>
        </is>
      </c>
      <c r="F1764" t="inlineStr">
        <is>
          <t>A</t>
        </is>
      </c>
      <c r="G1764" t="inlineStr">
        <is>
          <t>Average</t>
        </is>
      </c>
      <c r="H1764" t="n">
        <v>275</v>
      </c>
      <c r="I1764">
        <f>B1764&amp;"~"&amp;F1764&amp;"~"&amp;G1764</f>
        <v/>
      </c>
      <c r="J1764" t="inlineStr">
        <is>
          <t>MVS Sec.16 p.9</t>
        </is>
      </c>
    </row>
    <row r="1765">
      <c r="B1765" t="inlineStr">
        <is>
          <t>Churches – Sanctuaries (Chapels)</t>
        </is>
      </c>
      <c r="C1765" t="inlineStr">
        <is>
          <t>309</t>
        </is>
      </c>
      <c r="D1765" t="inlineStr">
        <is>
          <t>16</t>
        </is>
      </c>
      <c r="E1765" t="inlineStr">
        <is>
          <t>9</t>
        </is>
      </c>
      <c r="F1765" t="inlineStr">
        <is>
          <t>B</t>
        </is>
      </c>
      <c r="G1765" t="inlineStr">
        <is>
          <t>Excellent</t>
        </is>
      </c>
      <c r="H1765" t="n">
        <v>469</v>
      </c>
      <c r="I1765">
        <f>B1765&amp;"~"&amp;F1765&amp;"~"&amp;G1765</f>
        <v/>
      </c>
      <c r="J1765" t="inlineStr">
        <is>
          <t>MVS Sec.16 p.9</t>
        </is>
      </c>
    </row>
    <row r="1766">
      <c r="B1766" t="inlineStr">
        <is>
          <t>Churches – Sanctuaries (Chapels)</t>
        </is>
      </c>
      <c r="C1766" t="inlineStr">
        <is>
          <t>309</t>
        </is>
      </c>
      <c r="D1766" t="inlineStr">
        <is>
          <t>16</t>
        </is>
      </c>
      <c r="E1766" t="inlineStr">
        <is>
          <t>9</t>
        </is>
      </c>
      <c r="F1766" t="inlineStr">
        <is>
          <t>B</t>
        </is>
      </c>
      <c r="G1766" t="inlineStr">
        <is>
          <t>Good</t>
        </is>
      </c>
      <c r="H1766" t="n">
        <v>346</v>
      </c>
      <c r="I1766">
        <f>B1766&amp;"~"&amp;F1766&amp;"~"&amp;G1766</f>
        <v/>
      </c>
      <c r="J1766" t="inlineStr">
        <is>
          <t>MVS Sec.16 p.9</t>
        </is>
      </c>
    </row>
    <row r="1767">
      <c r="B1767" t="inlineStr">
        <is>
          <t>Churches – Sanctuaries (Chapels)</t>
        </is>
      </c>
      <c r="C1767" t="inlineStr">
        <is>
          <t>309</t>
        </is>
      </c>
      <c r="D1767" t="inlineStr">
        <is>
          <t>16</t>
        </is>
      </c>
      <c r="E1767" t="inlineStr">
        <is>
          <t>9</t>
        </is>
      </c>
      <c r="F1767" t="inlineStr">
        <is>
          <t>B</t>
        </is>
      </c>
      <c r="G1767" t="inlineStr">
        <is>
          <t>Average</t>
        </is>
      </c>
      <c r="H1767" t="n">
        <v>249</v>
      </c>
      <c r="I1767">
        <f>B1767&amp;"~"&amp;F1767&amp;"~"&amp;G1767</f>
        <v/>
      </c>
      <c r="J1767" t="inlineStr">
        <is>
          <t>MVS Sec.16 p.9</t>
        </is>
      </c>
    </row>
    <row r="1768">
      <c r="B1768" t="inlineStr">
        <is>
          <t>Churches – Sanctuaries (Chapels)</t>
        </is>
      </c>
      <c r="C1768" t="inlineStr">
        <is>
          <t>309</t>
        </is>
      </c>
      <c r="D1768" t="inlineStr">
        <is>
          <t>16</t>
        </is>
      </c>
      <c r="E1768" t="inlineStr">
        <is>
          <t>9</t>
        </is>
      </c>
      <c r="F1768" t="inlineStr">
        <is>
          <t>C</t>
        </is>
      </c>
      <c r="G1768" t="inlineStr">
        <is>
          <t>Excellent</t>
        </is>
      </c>
      <c r="H1768" t="n">
        <v>359</v>
      </c>
      <c r="I1768">
        <f>B1768&amp;"~"&amp;F1768&amp;"~"&amp;G1768</f>
        <v/>
      </c>
      <c r="J1768" t="inlineStr">
        <is>
          <t>MVS Sec.16 p.9</t>
        </is>
      </c>
    </row>
    <row r="1769">
      <c r="B1769" t="inlineStr">
        <is>
          <t>Churches – Sanctuaries (Chapels)</t>
        </is>
      </c>
      <c r="C1769" t="inlineStr">
        <is>
          <t>309</t>
        </is>
      </c>
      <c r="D1769" t="inlineStr">
        <is>
          <t>16</t>
        </is>
      </c>
      <c r="E1769" t="inlineStr">
        <is>
          <t>9</t>
        </is>
      </c>
      <c r="F1769" t="inlineStr">
        <is>
          <t>C</t>
        </is>
      </c>
      <c r="G1769" t="inlineStr">
        <is>
          <t>Good</t>
        </is>
      </c>
      <c r="H1769" t="n">
        <v>264</v>
      </c>
      <c r="I1769">
        <f>B1769&amp;"~"&amp;F1769&amp;"~"&amp;G1769</f>
        <v/>
      </c>
      <c r="J1769" t="inlineStr">
        <is>
          <t>MVS Sec.16 p.9</t>
        </is>
      </c>
    </row>
    <row r="1770">
      <c r="B1770" t="inlineStr">
        <is>
          <t>Churches – Sanctuaries (Chapels)</t>
        </is>
      </c>
      <c r="C1770" t="inlineStr">
        <is>
          <t>309</t>
        </is>
      </c>
      <c r="D1770" t="inlineStr">
        <is>
          <t>16</t>
        </is>
      </c>
      <c r="E1770" t="inlineStr">
        <is>
          <t>9</t>
        </is>
      </c>
      <c r="F1770" t="inlineStr">
        <is>
          <t>C</t>
        </is>
      </c>
      <c r="G1770" t="inlineStr">
        <is>
          <t>Average</t>
        </is>
      </c>
      <c r="H1770" t="n">
        <v>188</v>
      </c>
      <c r="I1770">
        <f>B1770&amp;"~"&amp;F1770&amp;"~"&amp;G1770</f>
        <v/>
      </c>
      <c r="J1770" t="inlineStr">
        <is>
          <t>MVS Sec.16 p.9</t>
        </is>
      </c>
    </row>
    <row r="1771">
      <c r="B1771" t="inlineStr">
        <is>
          <t>Churches – Sanctuaries (Chapels)</t>
        </is>
      </c>
      <c r="C1771" t="inlineStr">
        <is>
          <t>309</t>
        </is>
      </c>
      <c r="D1771" t="inlineStr">
        <is>
          <t>16</t>
        </is>
      </c>
      <c r="E1771" t="inlineStr">
        <is>
          <t>9</t>
        </is>
      </c>
      <c r="F1771" t="inlineStr">
        <is>
          <t>D</t>
        </is>
      </c>
      <c r="G1771" t="inlineStr">
        <is>
          <t>Excellent</t>
        </is>
      </c>
      <c r="H1771" t="n">
        <v>345</v>
      </c>
      <c r="I1771">
        <f>B1771&amp;"~"&amp;F1771&amp;"~"&amp;G1771</f>
        <v/>
      </c>
      <c r="J1771" t="inlineStr">
        <is>
          <t>MVS Sec.16 p.9</t>
        </is>
      </c>
    </row>
    <row r="1772">
      <c r="B1772" t="inlineStr">
        <is>
          <t>Churches – Sanctuaries (Chapels)</t>
        </is>
      </c>
      <c r="C1772" t="inlineStr">
        <is>
          <t>309</t>
        </is>
      </c>
      <c r="D1772" t="inlineStr">
        <is>
          <t>16</t>
        </is>
      </c>
      <c r="E1772" t="inlineStr">
        <is>
          <t>9</t>
        </is>
      </c>
      <c r="F1772" t="inlineStr">
        <is>
          <t>D</t>
        </is>
      </c>
      <c r="G1772" t="inlineStr">
        <is>
          <t>Good</t>
        </is>
      </c>
      <c r="H1772" t="n">
        <v>254</v>
      </c>
      <c r="I1772">
        <f>B1772&amp;"~"&amp;F1772&amp;"~"&amp;G1772</f>
        <v/>
      </c>
      <c r="J1772" t="inlineStr">
        <is>
          <t>MVS Sec.16 p.9</t>
        </is>
      </c>
    </row>
    <row r="1773">
      <c r="B1773" t="inlineStr">
        <is>
          <t>Churches – Sanctuaries (Chapels)</t>
        </is>
      </c>
      <c r="C1773" t="inlineStr">
        <is>
          <t>309</t>
        </is>
      </c>
      <c r="D1773" t="inlineStr">
        <is>
          <t>16</t>
        </is>
      </c>
      <c r="E1773" t="inlineStr">
        <is>
          <t>9</t>
        </is>
      </c>
      <c r="F1773" t="inlineStr">
        <is>
          <t>D</t>
        </is>
      </c>
      <c r="G1773" t="inlineStr">
        <is>
          <t>Average</t>
        </is>
      </c>
      <c r="H1773" t="n">
        <v>181</v>
      </c>
      <c r="I1773">
        <f>B1773&amp;"~"&amp;F1773&amp;"~"&amp;G1773</f>
        <v/>
      </c>
      <c r="J1773" t="inlineStr">
        <is>
          <t>MVS Sec.16 p.9</t>
        </is>
      </c>
    </row>
    <row r="1774">
      <c r="B1774" t="inlineStr">
        <is>
          <t>Churches – Sanctuaries (Chapels)</t>
        </is>
      </c>
      <c r="C1774" t="inlineStr">
        <is>
          <t>309</t>
        </is>
      </c>
      <c r="D1774" t="inlineStr">
        <is>
          <t>16</t>
        </is>
      </c>
      <c r="E1774" t="inlineStr">
        <is>
          <t>9</t>
        </is>
      </c>
      <c r="F1774" t="inlineStr">
        <is>
          <t>DPOLE</t>
        </is>
      </c>
      <c r="G1774" t="inlineStr">
        <is>
          <t>Average</t>
        </is>
      </c>
      <c r="H1774" t="n">
        <v>164</v>
      </c>
      <c r="I1774">
        <f>B1774&amp;"~"&amp;F1774&amp;"~"&amp;G1774</f>
        <v/>
      </c>
      <c r="J1774" t="inlineStr">
        <is>
          <t>MVS Sec.16 p.9</t>
        </is>
      </c>
    </row>
    <row r="1775">
      <c r="B1775" t="inlineStr">
        <is>
          <t>Churches – Sanctuaries (Chapels)</t>
        </is>
      </c>
      <c r="C1775" t="inlineStr">
        <is>
          <t>309</t>
        </is>
      </c>
      <c r="D1775" t="inlineStr">
        <is>
          <t>16</t>
        </is>
      </c>
      <c r="E1775" t="inlineStr">
        <is>
          <t>9</t>
        </is>
      </c>
      <c r="F1775" t="inlineStr">
        <is>
          <t>S</t>
        </is>
      </c>
      <c r="G1775" t="inlineStr">
        <is>
          <t>Good</t>
        </is>
      </c>
      <c r="H1775" t="n">
        <v>238</v>
      </c>
      <c r="I1775">
        <f>B1775&amp;"~"&amp;F1775&amp;"~"&amp;G1775</f>
        <v/>
      </c>
      <c r="J1775" t="inlineStr">
        <is>
          <t>MVS Sec.16 p.9</t>
        </is>
      </c>
    </row>
    <row r="1776">
      <c r="B1776" t="inlineStr">
        <is>
          <t>Churches – Sanctuaries (Chapels)</t>
        </is>
      </c>
      <c r="C1776" t="inlineStr">
        <is>
          <t>309</t>
        </is>
      </c>
      <c r="D1776" t="inlineStr">
        <is>
          <t>16</t>
        </is>
      </c>
      <c r="E1776" t="inlineStr">
        <is>
          <t>9</t>
        </is>
      </c>
      <c r="F1776" t="inlineStr">
        <is>
          <t>S</t>
        </is>
      </c>
      <c r="G1776" t="inlineStr">
        <is>
          <t>Average</t>
        </is>
      </c>
      <c r="H1776" t="n">
        <v>172</v>
      </c>
      <c r="I1776">
        <f>B1776&amp;"~"&amp;F1776&amp;"~"&amp;G1776</f>
        <v/>
      </c>
      <c r="J1776" t="inlineStr">
        <is>
          <t>MVS Sec.16 p.9</t>
        </is>
      </c>
    </row>
    <row r="1777">
      <c r="B1777" t="inlineStr">
        <is>
          <t>Fellowship Halls</t>
        </is>
      </c>
      <c r="C1777" t="inlineStr">
        <is>
          <t>516</t>
        </is>
      </c>
      <c r="D1777" t="inlineStr">
        <is>
          <t>16</t>
        </is>
      </c>
      <c r="E1777" t="inlineStr">
        <is>
          <t>10</t>
        </is>
      </c>
      <c r="F1777" t="inlineStr">
        <is>
          <t>A-B</t>
        </is>
      </c>
      <c r="G1777" t="inlineStr">
        <is>
          <t>Good</t>
        </is>
      </c>
      <c r="H1777" t="n">
        <v>282</v>
      </c>
      <c r="I1777">
        <f>B1777&amp;"~"&amp;F1777&amp;"~"&amp;G1777</f>
        <v/>
      </c>
      <c r="J1777" t="inlineStr">
        <is>
          <t>MVS Sec.16 p.10</t>
        </is>
      </c>
    </row>
    <row r="1778">
      <c r="B1778" t="inlineStr">
        <is>
          <t>Fellowship Halls</t>
        </is>
      </c>
      <c r="C1778" t="inlineStr">
        <is>
          <t>516</t>
        </is>
      </c>
      <c r="D1778" t="inlineStr">
        <is>
          <t>16</t>
        </is>
      </c>
      <c r="E1778" t="inlineStr">
        <is>
          <t>10</t>
        </is>
      </c>
      <c r="F1778" t="inlineStr">
        <is>
          <t>A-B</t>
        </is>
      </c>
      <c r="G1778" t="inlineStr">
        <is>
          <t>Average</t>
        </is>
      </c>
      <c r="H1778" t="n">
        <v>206</v>
      </c>
      <c r="I1778">
        <f>B1778&amp;"~"&amp;F1778&amp;"~"&amp;G1778</f>
        <v/>
      </c>
      <c r="J1778" t="inlineStr">
        <is>
          <t>MVS Sec.16 p.10</t>
        </is>
      </c>
    </row>
    <row r="1779">
      <c r="B1779" t="inlineStr">
        <is>
          <t>Fellowship Halls</t>
        </is>
      </c>
      <c r="C1779" t="inlineStr">
        <is>
          <t>516</t>
        </is>
      </c>
      <c r="D1779" t="inlineStr">
        <is>
          <t>16</t>
        </is>
      </c>
      <c r="E1779" t="inlineStr">
        <is>
          <t>10</t>
        </is>
      </c>
      <c r="F1779" t="inlineStr">
        <is>
          <t>C</t>
        </is>
      </c>
      <c r="G1779" t="inlineStr">
        <is>
          <t>Excellent</t>
        </is>
      </c>
      <c r="H1779" t="n">
        <v>275</v>
      </c>
      <c r="I1779">
        <f>B1779&amp;"~"&amp;F1779&amp;"~"&amp;G1779</f>
        <v/>
      </c>
      <c r="J1779" t="inlineStr">
        <is>
          <t>MVS Sec.16 p.10</t>
        </is>
      </c>
    </row>
    <row r="1780">
      <c r="B1780" t="inlineStr">
        <is>
          <t>Fellowship Halls</t>
        </is>
      </c>
      <c r="C1780" t="inlineStr">
        <is>
          <t>516</t>
        </is>
      </c>
      <c r="D1780" t="inlineStr">
        <is>
          <t>16</t>
        </is>
      </c>
      <c r="E1780" t="inlineStr">
        <is>
          <t>10</t>
        </is>
      </c>
      <c r="F1780" t="inlineStr">
        <is>
          <t>C</t>
        </is>
      </c>
      <c r="G1780" t="inlineStr">
        <is>
          <t>Good</t>
        </is>
      </c>
      <c r="H1780" t="n">
        <v>199</v>
      </c>
      <c r="I1780">
        <f>B1780&amp;"~"&amp;F1780&amp;"~"&amp;G1780</f>
        <v/>
      </c>
      <c r="J1780" t="inlineStr">
        <is>
          <t>MVS Sec.16 p.10</t>
        </is>
      </c>
    </row>
    <row r="1781">
      <c r="B1781" t="inlineStr">
        <is>
          <t>Fellowship Halls</t>
        </is>
      </c>
      <c r="C1781" t="inlineStr">
        <is>
          <t>516</t>
        </is>
      </c>
      <c r="D1781" t="inlineStr">
        <is>
          <t>16</t>
        </is>
      </c>
      <c r="E1781" t="inlineStr">
        <is>
          <t>10</t>
        </is>
      </c>
      <c r="F1781" t="inlineStr">
        <is>
          <t>C</t>
        </is>
      </c>
      <c r="G1781" t="inlineStr">
        <is>
          <t>Average</t>
        </is>
      </c>
      <c r="H1781" t="n">
        <v>142</v>
      </c>
      <c r="I1781">
        <f>B1781&amp;"~"&amp;F1781&amp;"~"&amp;G1781</f>
        <v/>
      </c>
      <c r="J1781" t="inlineStr">
        <is>
          <t>MVS Sec.16 p.10</t>
        </is>
      </c>
    </row>
    <row r="1782">
      <c r="B1782" t="inlineStr">
        <is>
          <t>Fellowship Halls</t>
        </is>
      </c>
      <c r="C1782" t="inlineStr">
        <is>
          <t>516</t>
        </is>
      </c>
      <c r="D1782" t="inlineStr">
        <is>
          <t>16</t>
        </is>
      </c>
      <c r="E1782" t="inlineStr">
        <is>
          <t>10</t>
        </is>
      </c>
      <c r="F1782" t="inlineStr">
        <is>
          <t>D</t>
        </is>
      </c>
      <c r="G1782" t="inlineStr">
        <is>
          <t>Good</t>
        </is>
      </c>
      <c r="H1782" t="n">
        <v>189</v>
      </c>
      <c r="I1782">
        <f>B1782&amp;"~"&amp;F1782&amp;"~"&amp;G1782</f>
        <v/>
      </c>
      <c r="J1782" t="inlineStr">
        <is>
          <t>MVS Sec.16 p.10</t>
        </is>
      </c>
    </row>
    <row r="1783">
      <c r="B1783" t="inlineStr">
        <is>
          <t>Fellowship Halls</t>
        </is>
      </c>
      <c r="C1783" t="inlineStr">
        <is>
          <t>516</t>
        </is>
      </c>
      <c r="D1783" t="inlineStr">
        <is>
          <t>16</t>
        </is>
      </c>
      <c r="E1783" t="inlineStr">
        <is>
          <t>10</t>
        </is>
      </c>
      <c r="F1783" t="inlineStr">
        <is>
          <t>D</t>
        </is>
      </c>
      <c r="G1783" t="inlineStr">
        <is>
          <t>Average</t>
        </is>
      </c>
      <c r="H1783" t="n">
        <v>135</v>
      </c>
      <c r="I1783">
        <f>B1783&amp;"~"&amp;F1783&amp;"~"&amp;G1783</f>
        <v/>
      </c>
      <c r="J1783" t="inlineStr">
        <is>
          <t>MVS Sec.16 p.10</t>
        </is>
      </c>
    </row>
    <row r="1784">
      <c r="B1784" t="inlineStr">
        <is>
          <t>Fellowship Halls</t>
        </is>
      </c>
      <c r="C1784" t="inlineStr">
        <is>
          <t>516</t>
        </is>
      </c>
      <c r="D1784" t="inlineStr">
        <is>
          <t>16</t>
        </is>
      </c>
      <c r="E1784" t="inlineStr">
        <is>
          <t>10</t>
        </is>
      </c>
      <c r="F1784" t="inlineStr">
        <is>
          <t>D</t>
        </is>
      </c>
      <c r="G1784" t="inlineStr">
        <is>
          <t>Cheap</t>
        </is>
      </c>
      <c r="H1784" t="n">
        <v>72.5</v>
      </c>
      <c r="I1784">
        <f>B1784&amp;"~"&amp;F1784&amp;"~"&amp;G1784</f>
        <v/>
      </c>
      <c r="J1784" t="inlineStr">
        <is>
          <t>MVS Sec.16 p.10</t>
        </is>
      </c>
    </row>
    <row r="1785">
      <c r="B1785" t="inlineStr">
        <is>
          <t>Fellowship Halls</t>
        </is>
      </c>
      <c r="C1785" t="inlineStr">
        <is>
          <t>516</t>
        </is>
      </c>
      <c r="D1785" t="inlineStr">
        <is>
          <t>16</t>
        </is>
      </c>
      <c r="E1785" t="inlineStr">
        <is>
          <t>10</t>
        </is>
      </c>
      <c r="F1785" t="inlineStr">
        <is>
          <t>DPOLE</t>
        </is>
      </c>
      <c r="G1785" t="inlineStr">
        <is>
          <t>Average</t>
        </is>
      </c>
      <c r="H1785" t="n">
        <v>122</v>
      </c>
      <c r="I1785">
        <f>B1785&amp;"~"&amp;F1785&amp;"~"&amp;G1785</f>
        <v/>
      </c>
      <c r="J1785" t="inlineStr">
        <is>
          <t>MVS Sec.16 p.10</t>
        </is>
      </c>
    </row>
    <row r="1786">
      <c r="B1786" t="inlineStr">
        <is>
          <t>Fellowship Halls</t>
        </is>
      </c>
      <c r="C1786" t="inlineStr">
        <is>
          <t>516</t>
        </is>
      </c>
      <c r="D1786" t="inlineStr">
        <is>
          <t>16</t>
        </is>
      </c>
      <c r="E1786" t="inlineStr">
        <is>
          <t>10</t>
        </is>
      </c>
      <c r="F1786" t="inlineStr">
        <is>
          <t>DPOLE</t>
        </is>
      </c>
      <c r="G1786" t="inlineStr">
        <is>
          <t>Cheap</t>
        </is>
      </c>
      <c r="H1786" t="n">
        <v>68.5</v>
      </c>
      <c r="I1786">
        <f>B1786&amp;"~"&amp;F1786&amp;"~"&amp;G1786</f>
        <v/>
      </c>
      <c r="J1786" t="inlineStr">
        <is>
          <t>MVS Sec.16 p.10</t>
        </is>
      </c>
    </row>
    <row r="1787">
      <c r="B1787" t="inlineStr">
        <is>
          <t>Fellowship Halls</t>
        </is>
      </c>
      <c r="C1787" t="inlineStr">
        <is>
          <t>516</t>
        </is>
      </c>
      <c r="D1787" t="inlineStr">
        <is>
          <t>16</t>
        </is>
      </c>
      <c r="E1787" t="inlineStr">
        <is>
          <t>10</t>
        </is>
      </c>
      <c r="F1787" t="inlineStr">
        <is>
          <t>S</t>
        </is>
      </c>
      <c r="G1787" t="inlineStr">
        <is>
          <t>Good</t>
        </is>
      </c>
      <c r="H1787" t="n">
        <v>182</v>
      </c>
      <c r="I1787">
        <f>B1787&amp;"~"&amp;F1787&amp;"~"&amp;G1787</f>
        <v/>
      </c>
      <c r="J1787" t="inlineStr">
        <is>
          <t>MVS Sec.16 p.10</t>
        </is>
      </c>
    </row>
    <row r="1788">
      <c r="B1788" t="inlineStr">
        <is>
          <t>Fellowship Halls</t>
        </is>
      </c>
      <c r="C1788" t="inlineStr">
        <is>
          <t>516</t>
        </is>
      </c>
      <c r="D1788" t="inlineStr">
        <is>
          <t>16</t>
        </is>
      </c>
      <c r="E1788" t="inlineStr">
        <is>
          <t>10</t>
        </is>
      </c>
      <c r="F1788" t="inlineStr">
        <is>
          <t>S</t>
        </is>
      </c>
      <c r="G1788" t="inlineStr">
        <is>
          <t>Average</t>
        </is>
      </c>
      <c r="H1788" t="n">
        <v>130</v>
      </c>
      <c r="I1788">
        <f>B1788&amp;"~"&amp;F1788&amp;"~"&amp;G1788</f>
        <v/>
      </c>
      <c r="J1788" t="inlineStr">
        <is>
          <t>MVS Sec.16 p.10</t>
        </is>
      </c>
    </row>
    <row r="1789">
      <c r="B1789" t="inlineStr">
        <is>
          <t>Fellowship Halls</t>
        </is>
      </c>
      <c r="C1789" t="inlineStr">
        <is>
          <t>516</t>
        </is>
      </c>
      <c r="D1789" t="inlineStr">
        <is>
          <t>16</t>
        </is>
      </c>
      <c r="E1789" t="inlineStr">
        <is>
          <t>10</t>
        </is>
      </c>
      <c r="F1789" t="inlineStr">
        <is>
          <t>S</t>
        </is>
      </c>
      <c r="G1789" t="inlineStr">
        <is>
          <t>Cheap</t>
        </is>
      </c>
      <c r="H1789" t="n">
        <v>70</v>
      </c>
      <c r="I1789">
        <f>B1789&amp;"~"&amp;F1789&amp;"~"&amp;G1789</f>
        <v/>
      </c>
      <c r="J1789" t="inlineStr">
        <is>
          <t>MVS Sec.16 p.10</t>
        </is>
      </c>
    </row>
    <row r="1790">
      <c r="B1790" t="inlineStr">
        <is>
          <t>Foyers / Narthexes</t>
        </is>
      </c>
      <c r="C1790" t="inlineStr">
        <is>
          <t>517</t>
        </is>
      </c>
      <c r="D1790" t="inlineStr">
        <is>
          <t>16</t>
        </is>
      </c>
      <c r="E1790" t="inlineStr">
        <is>
          <t>10</t>
        </is>
      </c>
      <c r="F1790" t="inlineStr">
        <is>
          <t>A-B</t>
        </is>
      </c>
      <c r="G1790" t="inlineStr">
        <is>
          <t>Excellent</t>
        </is>
      </c>
      <c r="H1790" t="n">
        <v>396</v>
      </c>
      <c r="I1790">
        <f>B1790&amp;"~"&amp;F1790&amp;"~"&amp;G1790</f>
        <v/>
      </c>
      <c r="J1790" t="inlineStr">
        <is>
          <t>MVS Sec.16 p.10</t>
        </is>
      </c>
    </row>
    <row r="1791">
      <c r="B1791" t="inlineStr">
        <is>
          <t>Foyers / Narthexes</t>
        </is>
      </c>
      <c r="C1791" t="inlineStr">
        <is>
          <t>517</t>
        </is>
      </c>
      <c r="D1791" t="inlineStr">
        <is>
          <t>16</t>
        </is>
      </c>
      <c r="E1791" t="inlineStr">
        <is>
          <t>10</t>
        </is>
      </c>
      <c r="F1791" t="inlineStr">
        <is>
          <t>A-B</t>
        </is>
      </c>
      <c r="G1791" t="inlineStr">
        <is>
          <t>Good</t>
        </is>
      </c>
      <c r="H1791" t="n">
        <v>303</v>
      </c>
      <c r="I1791">
        <f>B1791&amp;"~"&amp;F1791&amp;"~"&amp;G1791</f>
        <v/>
      </c>
      <c r="J1791" t="inlineStr">
        <is>
          <t>MVS Sec.16 p.10</t>
        </is>
      </c>
    </row>
    <row r="1792">
      <c r="B1792" t="inlineStr">
        <is>
          <t>Foyers / Narthexes</t>
        </is>
      </c>
      <c r="C1792" t="inlineStr">
        <is>
          <t>517</t>
        </is>
      </c>
      <c r="D1792" t="inlineStr">
        <is>
          <t>16</t>
        </is>
      </c>
      <c r="E1792" t="inlineStr">
        <is>
          <t>10</t>
        </is>
      </c>
      <c r="F1792" t="inlineStr">
        <is>
          <t>A-B</t>
        </is>
      </c>
      <c r="G1792" t="inlineStr">
        <is>
          <t>Average</t>
        </is>
      </c>
      <c r="H1792" t="n">
        <v>225</v>
      </c>
      <c r="I1792">
        <f>B1792&amp;"~"&amp;F1792&amp;"~"&amp;G1792</f>
        <v/>
      </c>
      <c r="J1792" t="inlineStr">
        <is>
          <t>MVS Sec.16 p.10</t>
        </is>
      </c>
    </row>
    <row r="1793">
      <c r="B1793" t="inlineStr">
        <is>
          <t>Foyers / Narthexes</t>
        </is>
      </c>
      <c r="C1793" t="inlineStr">
        <is>
          <t>517</t>
        </is>
      </c>
      <c r="D1793" t="inlineStr">
        <is>
          <t>16</t>
        </is>
      </c>
      <c r="E1793" t="inlineStr">
        <is>
          <t>10</t>
        </is>
      </c>
      <c r="F1793" t="inlineStr">
        <is>
          <t>CDS</t>
        </is>
      </c>
      <c r="G1793" t="inlineStr">
        <is>
          <t>Excellent</t>
        </is>
      </c>
      <c r="H1793" t="n">
        <v>314</v>
      </c>
      <c r="I1793">
        <f>B1793&amp;"~"&amp;F1793&amp;"~"&amp;G1793</f>
        <v/>
      </c>
      <c r="J1793" t="inlineStr">
        <is>
          <t>MVS Sec.16 p.10</t>
        </is>
      </c>
    </row>
    <row r="1794">
      <c r="B1794" t="inlineStr">
        <is>
          <t>Foyers / Narthexes</t>
        </is>
      </c>
      <c r="C1794" t="inlineStr">
        <is>
          <t>517</t>
        </is>
      </c>
      <c r="D1794" t="inlineStr">
        <is>
          <t>16</t>
        </is>
      </c>
      <c r="E1794" t="inlineStr">
        <is>
          <t>10</t>
        </is>
      </c>
      <c r="F1794" t="inlineStr">
        <is>
          <t>CDS</t>
        </is>
      </c>
      <c r="G1794" t="inlineStr">
        <is>
          <t>Good</t>
        </is>
      </c>
      <c r="H1794" t="n">
        <v>236</v>
      </c>
      <c r="I1794">
        <f>B1794&amp;"~"&amp;F1794&amp;"~"&amp;G1794</f>
        <v/>
      </c>
      <c r="J1794" t="inlineStr">
        <is>
          <t>MVS Sec.16 p.10</t>
        </is>
      </c>
    </row>
    <row r="1795">
      <c r="B1795" t="inlineStr">
        <is>
          <t>Foyers / Narthexes</t>
        </is>
      </c>
      <c r="C1795" t="inlineStr">
        <is>
          <t>517</t>
        </is>
      </c>
      <c r="D1795" t="inlineStr">
        <is>
          <t>16</t>
        </is>
      </c>
      <c r="E1795" t="inlineStr">
        <is>
          <t>10</t>
        </is>
      </c>
      <c r="F1795" t="inlineStr">
        <is>
          <t>CDS</t>
        </is>
      </c>
      <c r="G1795" t="inlineStr">
        <is>
          <t>Average</t>
        </is>
      </c>
      <c r="H1795" t="n">
        <v>171</v>
      </c>
      <c r="I1795">
        <f>B1795&amp;"~"&amp;F1795&amp;"~"&amp;G1795</f>
        <v/>
      </c>
      <c r="J1795" t="inlineStr">
        <is>
          <t>MVS Sec.16 p.10</t>
        </is>
      </c>
    </row>
    <row r="1796">
      <c r="B1796" t="inlineStr">
        <is>
          <t>Church Educational Wings</t>
        </is>
      </c>
      <c r="C1796" t="inlineStr">
        <is>
          <t>173</t>
        </is>
      </c>
      <c r="D1796" t="inlineStr">
        <is>
          <t>16</t>
        </is>
      </c>
      <c r="E1796" t="inlineStr">
        <is>
          <t>11</t>
        </is>
      </c>
      <c r="F1796" t="inlineStr">
        <is>
          <t>A</t>
        </is>
      </c>
      <c r="G1796" t="inlineStr">
        <is>
          <t>Good</t>
        </is>
      </c>
      <c r="H1796" t="n">
        <v>238</v>
      </c>
      <c r="I1796">
        <f>B1796&amp;"~"&amp;F1796&amp;"~"&amp;G1796</f>
        <v/>
      </c>
      <c r="J1796" t="inlineStr">
        <is>
          <t>MVS Sec.16 p.11</t>
        </is>
      </c>
    </row>
    <row r="1797">
      <c r="B1797" t="inlineStr">
        <is>
          <t>Church Educational Wings</t>
        </is>
      </c>
      <c r="C1797" t="inlineStr">
        <is>
          <t>173</t>
        </is>
      </c>
      <c r="D1797" t="inlineStr">
        <is>
          <t>16</t>
        </is>
      </c>
      <c r="E1797" t="inlineStr">
        <is>
          <t>11</t>
        </is>
      </c>
      <c r="F1797" t="inlineStr">
        <is>
          <t>A</t>
        </is>
      </c>
      <c r="G1797" t="inlineStr">
        <is>
          <t>Average</t>
        </is>
      </c>
      <c r="H1797" t="n">
        <v>185</v>
      </c>
      <c r="I1797">
        <f>B1797&amp;"~"&amp;F1797&amp;"~"&amp;G1797</f>
        <v/>
      </c>
      <c r="J1797" t="inlineStr">
        <is>
          <t>MVS Sec.16 p.11</t>
        </is>
      </c>
    </row>
    <row r="1798">
      <c r="B1798" t="inlineStr">
        <is>
          <t>Church Educational Wings</t>
        </is>
      </c>
      <c r="C1798" t="inlineStr">
        <is>
          <t>173</t>
        </is>
      </c>
      <c r="D1798" t="inlineStr">
        <is>
          <t>16</t>
        </is>
      </c>
      <c r="E1798" t="inlineStr">
        <is>
          <t>11</t>
        </is>
      </c>
      <c r="F1798" t="inlineStr">
        <is>
          <t>B</t>
        </is>
      </c>
      <c r="G1798" t="inlineStr">
        <is>
          <t>Good</t>
        </is>
      </c>
      <c r="H1798" t="n">
        <v>218</v>
      </c>
      <c r="I1798">
        <f>B1798&amp;"~"&amp;F1798&amp;"~"&amp;G1798</f>
        <v/>
      </c>
      <c r="J1798" t="inlineStr">
        <is>
          <t>MVS Sec.16 p.11</t>
        </is>
      </c>
    </row>
    <row r="1799">
      <c r="B1799" t="inlineStr">
        <is>
          <t>Church Educational Wings</t>
        </is>
      </c>
      <c r="C1799" t="inlineStr">
        <is>
          <t>173</t>
        </is>
      </c>
      <c r="D1799" t="inlineStr">
        <is>
          <t>16</t>
        </is>
      </c>
      <c r="E1799" t="inlineStr">
        <is>
          <t>11</t>
        </is>
      </c>
      <c r="F1799" t="inlineStr">
        <is>
          <t>B</t>
        </is>
      </c>
      <c r="G1799" t="inlineStr">
        <is>
          <t>Average</t>
        </is>
      </c>
      <c r="H1799" t="n">
        <v>169</v>
      </c>
      <c r="I1799">
        <f>B1799&amp;"~"&amp;F1799&amp;"~"&amp;G1799</f>
        <v/>
      </c>
      <c r="J1799" t="inlineStr">
        <is>
          <t>MVS Sec.16 p.11</t>
        </is>
      </c>
    </row>
    <row r="1800">
      <c r="B1800" t="inlineStr">
        <is>
          <t>Church Educational Wings</t>
        </is>
      </c>
      <c r="C1800" t="inlineStr">
        <is>
          <t>173</t>
        </is>
      </c>
      <c r="D1800" t="inlineStr">
        <is>
          <t>16</t>
        </is>
      </c>
      <c r="E1800" t="inlineStr">
        <is>
          <t>11</t>
        </is>
      </c>
      <c r="F1800" t="inlineStr">
        <is>
          <t>C</t>
        </is>
      </c>
      <c r="G1800" t="inlineStr">
        <is>
          <t>Excellent</t>
        </is>
      </c>
      <c r="H1800" t="n">
        <v>223</v>
      </c>
      <c r="I1800">
        <f>B1800&amp;"~"&amp;F1800&amp;"~"&amp;G1800</f>
        <v/>
      </c>
      <c r="J1800" t="inlineStr">
        <is>
          <t>MVS Sec.16 p.11</t>
        </is>
      </c>
    </row>
    <row r="1801">
      <c r="B1801" t="inlineStr">
        <is>
          <t>Church Educational Wings</t>
        </is>
      </c>
      <c r="C1801" t="inlineStr">
        <is>
          <t>173</t>
        </is>
      </c>
      <c r="D1801" t="inlineStr">
        <is>
          <t>16</t>
        </is>
      </c>
      <c r="E1801" t="inlineStr">
        <is>
          <t>11</t>
        </is>
      </c>
      <c r="F1801" t="inlineStr">
        <is>
          <t>C</t>
        </is>
      </c>
      <c r="G1801" t="inlineStr">
        <is>
          <t>Good</t>
        </is>
      </c>
      <c r="H1801" t="n">
        <v>173</v>
      </c>
      <c r="I1801">
        <f>B1801&amp;"~"&amp;F1801&amp;"~"&amp;G1801</f>
        <v/>
      </c>
      <c r="J1801" t="inlineStr">
        <is>
          <t>MVS Sec.16 p.11</t>
        </is>
      </c>
    </row>
    <row r="1802">
      <c r="B1802" t="inlineStr">
        <is>
          <t>Church Educational Wings</t>
        </is>
      </c>
      <c r="C1802" t="inlineStr">
        <is>
          <t>173</t>
        </is>
      </c>
      <c r="D1802" t="inlineStr">
        <is>
          <t>16</t>
        </is>
      </c>
      <c r="E1802" t="inlineStr">
        <is>
          <t>11</t>
        </is>
      </c>
      <c r="F1802" t="inlineStr">
        <is>
          <t>C</t>
        </is>
      </c>
      <c r="G1802" t="inlineStr">
        <is>
          <t>Average</t>
        </is>
      </c>
      <c r="H1802" t="n">
        <v>133</v>
      </c>
      <c r="I1802">
        <f>B1802&amp;"~"&amp;F1802&amp;"~"&amp;G1802</f>
        <v/>
      </c>
      <c r="J1802" t="inlineStr">
        <is>
          <t>MVS Sec.16 p.11</t>
        </is>
      </c>
    </row>
    <row r="1803">
      <c r="B1803" t="inlineStr">
        <is>
          <t>Church Educational Wings</t>
        </is>
      </c>
      <c r="C1803" t="inlineStr">
        <is>
          <t>173</t>
        </is>
      </c>
      <c r="D1803" t="inlineStr">
        <is>
          <t>16</t>
        </is>
      </c>
      <c r="E1803" t="inlineStr">
        <is>
          <t>11</t>
        </is>
      </c>
      <c r="F1803" t="inlineStr">
        <is>
          <t>D</t>
        </is>
      </c>
      <c r="G1803" t="inlineStr">
        <is>
          <t>Excellent</t>
        </is>
      </c>
      <c r="H1803" t="n">
        <v>215</v>
      </c>
      <c r="I1803">
        <f>B1803&amp;"~"&amp;F1803&amp;"~"&amp;G1803</f>
        <v/>
      </c>
      <c r="J1803" t="inlineStr">
        <is>
          <t>MVS Sec.16 p.11</t>
        </is>
      </c>
    </row>
    <row r="1804">
      <c r="B1804" t="inlineStr">
        <is>
          <t>Church Educational Wings</t>
        </is>
      </c>
      <c r="C1804" t="inlineStr">
        <is>
          <t>173</t>
        </is>
      </c>
      <c r="D1804" t="inlineStr">
        <is>
          <t>16</t>
        </is>
      </c>
      <c r="E1804" t="inlineStr">
        <is>
          <t>11</t>
        </is>
      </c>
      <c r="F1804" t="inlineStr">
        <is>
          <t>D</t>
        </is>
      </c>
      <c r="G1804" t="inlineStr">
        <is>
          <t>Good</t>
        </is>
      </c>
      <c r="H1804" t="n">
        <v>165</v>
      </c>
      <c r="I1804">
        <f>B1804&amp;"~"&amp;F1804&amp;"~"&amp;G1804</f>
        <v/>
      </c>
      <c r="J1804" t="inlineStr">
        <is>
          <t>MVS Sec.16 p.11</t>
        </is>
      </c>
    </row>
    <row r="1805">
      <c r="B1805" t="inlineStr">
        <is>
          <t>Church Educational Wings</t>
        </is>
      </c>
      <c r="C1805" t="inlineStr">
        <is>
          <t>173</t>
        </is>
      </c>
      <c r="D1805" t="inlineStr">
        <is>
          <t>16</t>
        </is>
      </c>
      <c r="E1805" t="inlineStr">
        <is>
          <t>11</t>
        </is>
      </c>
      <c r="F1805" t="inlineStr">
        <is>
          <t>D</t>
        </is>
      </c>
      <c r="G1805" t="inlineStr">
        <is>
          <t>Average</t>
        </is>
      </c>
      <c r="H1805" t="n">
        <v>126</v>
      </c>
      <c r="I1805">
        <f>B1805&amp;"~"&amp;F1805&amp;"~"&amp;G1805</f>
        <v/>
      </c>
      <c r="J1805" t="inlineStr">
        <is>
          <t>MVS Sec.16 p.11</t>
        </is>
      </c>
    </row>
    <row r="1806">
      <c r="B1806" t="inlineStr">
        <is>
          <t>Church Educational Wings</t>
        </is>
      </c>
      <c r="C1806" t="inlineStr">
        <is>
          <t>173</t>
        </is>
      </c>
      <c r="D1806" t="inlineStr">
        <is>
          <t>16</t>
        </is>
      </c>
      <c r="E1806" t="inlineStr">
        <is>
          <t>11</t>
        </is>
      </c>
      <c r="F1806" t="inlineStr">
        <is>
          <t>DPOLE</t>
        </is>
      </c>
      <c r="G1806" t="inlineStr">
        <is>
          <t>Average</t>
        </is>
      </c>
      <c r="H1806" t="n">
        <v>118</v>
      </c>
      <c r="I1806">
        <f>B1806&amp;"~"&amp;F1806&amp;"~"&amp;G1806</f>
        <v/>
      </c>
      <c r="J1806" t="inlineStr">
        <is>
          <t>MVS Sec.16 p.11</t>
        </is>
      </c>
    </row>
    <row r="1807">
      <c r="B1807" t="inlineStr">
        <is>
          <t>Church Educational Wings</t>
        </is>
      </c>
      <c r="C1807" t="inlineStr">
        <is>
          <t>173</t>
        </is>
      </c>
      <c r="D1807" t="inlineStr">
        <is>
          <t>16</t>
        </is>
      </c>
      <c r="E1807" t="inlineStr">
        <is>
          <t>11</t>
        </is>
      </c>
      <c r="F1807" t="inlineStr">
        <is>
          <t>S</t>
        </is>
      </c>
      <c r="G1807" t="inlineStr">
        <is>
          <t>Good</t>
        </is>
      </c>
      <c r="H1807" t="n">
        <v>163</v>
      </c>
      <c r="I1807">
        <f>B1807&amp;"~"&amp;F1807&amp;"~"&amp;G1807</f>
        <v/>
      </c>
      <c r="J1807" t="inlineStr">
        <is>
          <t>MVS Sec.16 p.11</t>
        </is>
      </c>
    </row>
    <row r="1808">
      <c r="B1808" t="inlineStr">
        <is>
          <t>Church Educational Wings</t>
        </is>
      </c>
      <c r="C1808" t="inlineStr">
        <is>
          <t>173</t>
        </is>
      </c>
      <c r="D1808" t="inlineStr">
        <is>
          <t>16</t>
        </is>
      </c>
      <c r="E1808" t="inlineStr">
        <is>
          <t>11</t>
        </is>
      </c>
      <c r="F1808" t="inlineStr">
        <is>
          <t>S</t>
        </is>
      </c>
      <c r="G1808" t="inlineStr">
        <is>
          <t>Average</t>
        </is>
      </c>
      <c r="H1808" t="n">
        <v>124</v>
      </c>
      <c r="I1808">
        <f>B1808&amp;"~"&amp;F1808&amp;"~"&amp;G1808</f>
        <v/>
      </c>
      <c r="J1808" t="inlineStr">
        <is>
          <t>MVS Sec.16 p.11</t>
        </is>
      </c>
    </row>
    <row r="1809">
      <c r="B1809" t="inlineStr">
        <is>
          <t>Theaters: Live-Stage</t>
        </is>
      </c>
      <c r="C1809" t="inlineStr">
        <is>
          <t>379</t>
        </is>
      </c>
      <c r="D1809" t="inlineStr">
        <is>
          <t>16</t>
        </is>
      </c>
      <c r="E1809" t="inlineStr">
        <is>
          <t>12</t>
        </is>
      </c>
      <c r="F1809" t="inlineStr">
        <is>
          <t>A</t>
        </is>
      </c>
      <c r="G1809" t="inlineStr">
        <is>
          <t>Excellent</t>
        </is>
      </c>
      <c r="H1809" t="n">
        <v>540</v>
      </c>
      <c r="I1809">
        <f>B1809&amp;"~"&amp;F1809&amp;"~"&amp;G1809</f>
        <v/>
      </c>
      <c r="J1809" t="inlineStr">
        <is>
          <t>MVS Sec.16 p.12</t>
        </is>
      </c>
    </row>
    <row r="1810">
      <c r="B1810" t="inlineStr">
        <is>
          <t>Theaters: Live-Stage</t>
        </is>
      </c>
      <c r="C1810" t="inlineStr">
        <is>
          <t>379</t>
        </is>
      </c>
      <c r="D1810" t="inlineStr">
        <is>
          <t>16</t>
        </is>
      </c>
      <c r="E1810" t="inlineStr">
        <is>
          <t>12</t>
        </is>
      </c>
      <c r="F1810" t="inlineStr">
        <is>
          <t>A</t>
        </is>
      </c>
      <c r="G1810" t="inlineStr">
        <is>
          <t>Good</t>
        </is>
      </c>
      <c r="H1810" t="n">
        <v>391</v>
      </c>
      <c r="I1810">
        <f>B1810&amp;"~"&amp;F1810&amp;"~"&amp;G1810</f>
        <v/>
      </c>
      <c r="J1810" t="inlineStr">
        <is>
          <t>MVS Sec.16 p.12</t>
        </is>
      </c>
    </row>
    <row r="1811">
      <c r="B1811" t="inlineStr">
        <is>
          <t>Theaters: Live-Stage</t>
        </is>
      </c>
      <c r="C1811" t="inlineStr">
        <is>
          <t>379</t>
        </is>
      </c>
      <c r="D1811" t="inlineStr">
        <is>
          <t>16</t>
        </is>
      </c>
      <c r="E1811" t="inlineStr">
        <is>
          <t>12</t>
        </is>
      </c>
      <c r="F1811" t="inlineStr">
        <is>
          <t>A</t>
        </is>
      </c>
      <c r="G1811" t="inlineStr">
        <is>
          <t>Average</t>
        </is>
      </c>
      <c r="H1811" t="n">
        <v>292</v>
      </c>
      <c r="I1811">
        <f>B1811&amp;"~"&amp;F1811&amp;"~"&amp;G1811</f>
        <v/>
      </c>
      <c r="J1811" t="inlineStr">
        <is>
          <t>MVS Sec.16 p.12</t>
        </is>
      </c>
    </row>
    <row r="1812">
      <c r="B1812" t="inlineStr">
        <is>
          <t>Theaters: Live-Stage</t>
        </is>
      </c>
      <c r="C1812" t="inlineStr">
        <is>
          <t>379</t>
        </is>
      </c>
      <c r="D1812" t="inlineStr">
        <is>
          <t>16</t>
        </is>
      </c>
      <c r="E1812" t="inlineStr">
        <is>
          <t>12</t>
        </is>
      </c>
      <c r="F1812" t="inlineStr">
        <is>
          <t>B</t>
        </is>
      </c>
      <c r="G1812" t="inlineStr">
        <is>
          <t>Excellent</t>
        </is>
      </c>
      <c r="H1812" t="n">
        <v>483</v>
      </c>
      <c r="I1812">
        <f>B1812&amp;"~"&amp;F1812&amp;"~"&amp;G1812</f>
        <v/>
      </c>
      <c r="J1812" t="inlineStr">
        <is>
          <t>MVS Sec.16 p.12</t>
        </is>
      </c>
    </row>
    <row r="1813">
      <c r="B1813" t="inlineStr">
        <is>
          <t>Theaters: Live-Stage</t>
        </is>
      </c>
      <c r="C1813" t="inlineStr">
        <is>
          <t>379</t>
        </is>
      </c>
      <c r="D1813" t="inlineStr">
        <is>
          <t>16</t>
        </is>
      </c>
      <c r="E1813" t="inlineStr">
        <is>
          <t>12</t>
        </is>
      </c>
      <c r="F1813" t="inlineStr">
        <is>
          <t>B</t>
        </is>
      </c>
      <c r="G1813" t="inlineStr">
        <is>
          <t>Good</t>
        </is>
      </c>
      <c r="H1813" t="n">
        <v>353</v>
      </c>
      <c r="I1813">
        <f>B1813&amp;"~"&amp;F1813&amp;"~"&amp;G1813</f>
        <v/>
      </c>
      <c r="J1813" t="inlineStr">
        <is>
          <t>MVS Sec.16 p.12</t>
        </is>
      </c>
    </row>
    <row r="1814">
      <c r="B1814" t="inlineStr">
        <is>
          <t>Theaters: Live-Stage</t>
        </is>
      </c>
      <c r="C1814" t="inlineStr">
        <is>
          <t>379</t>
        </is>
      </c>
      <c r="D1814" t="inlineStr">
        <is>
          <t>16</t>
        </is>
      </c>
      <c r="E1814" t="inlineStr">
        <is>
          <t>12</t>
        </is>
      </c>
      <c r="F1814" t="inlineStr">
        <is>
          <t>B</t>
        </is>
      </c>
      <c r="G1814" t="inlineStr">
        <is>
          <t>Average</t>
        </is>
      </c>
      <c r="H1814" t="n">
        <v>266</v>
      </c>
      <c r="I1814">
        <f>B1814&amp;"~"&amp;F1814&amp;"~"&amp;G1814</f>
        <v/>
      </c>
      <c r="J1814" t="inlineStr">
        <is>
          <t>MVS Sec.16 p.12</t>
        </is>
      </c>
    </row>
    <row r="1815">
      <c r="B1815" t="inlineStr">
        <is>
          <t>Theaters: Live-Stage</t>
        </is>
      </c>
      <c r="C1815" t="inlineStr">
        <is>
          <t>379</t>
        </is>
      </c>
      <c r="D1815" t="inlineStr">
        <is>
          <t>16</t>
        </is>
      </c>
      <c r="E1815" t="inlineStr">
        <is>
          <t>12</t>
        </is>
      </c>
      <c r="F1815" t="inlineStr">
        <is>
          <t>C</t>
        </is>
      </c>
      <c r="G1815" t="inlineStr">
        <is>
          <t>Excellent</t>
        </is>
      </c>
      <c r="H1815" t="n">
        <v>377</v>
      </c>
      <c r="I1815">
        <f>B1815&amp;"~"&amp;F1815&amp;"~"&amp;G1815</f>
        <v/>
      </c>
      <c r="J1815" t="inlineStr">
        <is>
          <t>MVS Sec.16 p.12</t>
        </is>
      </c>
    </row>
    <row r="1816">
      <c r="B1816" t="inlineStr">
        <is>
          <t>Theaters: Live-Stage</t>
        </is>
      </c>
      <c r="C1816" t="inlineStr">
        <is>
          <t>379</t>
        </is>
      </c>
      <c r="D1816" t="inlineStr">
        <is>
          <t>16</t>
        </is>
      </c>
      <c r="E1816" t="inlineStr">
        <is>
          <t>12</t>
        </is>
      </c>
      <c r="F1816" t="inlineStr">
        <is>
          <t>C</t>
        </is>
      </c>
      <c r="G1816" t="inlineStr">
        <is>
          <t>Good</t>
        </is>
      </c>
      <c r="H1816" t="n">
        <v>261</v>
      </c>
      <c r="I1816">
        <f>B1816&amp;"~"&amp;F1816&amp;"~"&amp;G1816</f>
        <v/>
      </c>
      <c r="J1816" t="inlineStr">
        <is>
          <t>MVS Sec.16 p.12</t>
        </is>
      </c>
    </row>
    <row r="1817">
      <c r="B1817" t="inlineStr">
        <is>
          <t>Theaters: Live-Stage</t>
        </is>
      </c>
      <c r="C1817" t="inlineStr">
        <is>
          <t>379</t>
        </is>
      </c>
      <c r="D1817" t="inlineStr">
        <is>
          <t>16</t>
        </is>
      </c>
      <c r="E1817" t="inlineStr">
        <is>
          <t>12</t>
        </is>
      </c>
      <c r="F1817" t="inlineStr">
        <is>
          <t>C</t>
        </is>
      </c>
      <c r="G1817" t="inlineStr">
        <is>
          <t>Average</t>
        </is>
      </c>
      <c r="H1817" t="n">
        <v>174</v>
      </c>
      <c r="I1817">
        <f>B1817&amp;"~"&amp;F1817&amp;"~"&amp;G1817</f>
        <v/>
      </c>
      <c r="J1817" t="inlineStr">
        <is>
          <t>MVS Sec.16 p.12</t>
        </is>
      </c>
    </row>
    <row r="1818">
      <c r="B1818" t="inlineStr">
        <is>
          <t>Theaters: Live-Stage</t>
        </is>
      </c>
      <c r="C1818" t="inlineStr">
        <is>
          <t>379</t>
        </is>
      </c>
      <c r="D1818" t="inlineStr">
        <is>
          <t>16</t>
        </is>
      </c>
      <c r="E1818" t="inlineStr">
        <is>
          <t>12</t>
        </is>
      </c>
      <c r="F1818" t="inlineStr">
        <is>
          <t>D</t>
        </is>
      </c>
      <c r="G1818" t="inlineStr">
        <is>
          <t>Good</t>
        </is>
      </c>
      <c r="H1818" t="n">
        <v>250</v>
      </c>
      <c r="I1818">
        <f>B1818&amp;"~"&amp;F1818&amp;"~"&amp;G1818</f>
        <v/>
      </c>
      <c r="J1818" t="inlineStr">
        <is>
          <t>MVS Sec.16 p.12</t>
        </is>
      </c>
    </row>
    <row r="1819">
      <c r="B1819" t="inlineStr">
        <is>
          <t>Theaters: Live-Stage</t>
        </is>
      </c>
      <c r="C1819" t="inlineStr">
        <is>
          <t>379</t>
        </is>
      </c>
      <c r="D1819" t="inlineStr">
        <is>
          <t>16</t>
        </is>
      </c>
      <c r="E1819" t="inlineStr">
        <is>
          <t>12</t>
        </is>
      </c>
      <c r="F1819" t="inlineStr">
        <is>
          <t>DPOLE</t>
        </is>
      </c>
      <c r="G1819" t="inlineStr">
        <is>
          <t>Average</t>
        </is>
      </c>
      <c r="H1819" t="n">
        <v>166</v>
      </c>
      <c r="I1819">
        <f>B1819&amp;"~"&amp;F1819&amp;"~"&amp;G1819</f>
        <v/>
      </c>
      <c r="J1819" t="inlineStr">
        <is>
          <t>MVS Sec.16 p.12</t>
        </is>
      </c>
    </row>
    <row r="1820">
      <c r="B1820" t="inlineStr">
        <is>
          <t>Theaters: Live-Stage</t>
        </is>
      </c>
      <c r="C1820" t="inlineStr">
        <is>
          <t>379</t>
        </is>
      </c>
      <c r="D1820" t="inlineStr">
        <is>
          <t>16</t>
        </is>
      </c>
      <c r="E1820" t="inlineStr">
        <is>
          <t>12</t>
        </is>
      </c>
      <c r="F1820" t="inlineStr">
        <is>
          <t>S</t>
        </is>
      </c>
      <c r="G1820" t="inlineStr">
        <is>
          <t>Average</t>
        </is>
      </c>
      <c r="H1820" t="n">
        <v>162</v>
      </c>
      <c r="I1820">
        <f>B1820&amp;"~"&amp;F1820&amp;"~"&amp;G1820</f>
        <v/>
      </c>
      <c r="J1820" t="inlineStr">
        <is>
          <t>MVS Sec.16 p.12</t>
        </is>
      </c>
    </row>
    <row r="1821">
      <c r="B1821" t="inlineStr">
        <is>
          <t>Theaters: Cinema</t>
        </is>
      </c>
      <c r="C1821" t="inlineStr">
        <is>
          <t>380</t>
        </is>
      </c>
      <c r="D1821" t="inlineStr">
        <is>
          <t>16</t>
        </is>
      </c>
      <c r="E1821" t="inlineStr">
        <is>
          <t>13</t>
        </is>
      </c>
      <c r="F1821" t="inlineStr">
        <is>
          <t>A</t>
        </is>
      </c>
      <c r="G1821" t="inlineStr">
        <is>
          <t>Good</t>
        </is>
      </c>
      <c r="H1821" t="n">
        <v>340</v>
      </c>
      <c r="I1821">
        <f>B1821&amp;"~"&amp;F1821&amp;"~"&amp;G1821</f>
        <v/>
      </c>
      <c r="J1821" t="inlineStr">
        <is>
          <t>MVS Sec.16 p.13</t>
        </is>
      </c>
    </row>
    <row r="1822">
      <c r="B1822" t="inlineStr">
        <is>
          <t>Theaters: Cinema</t>
        </is>
      </c>
      <c r="C1822" t="inlineStr">
        <is>
          <t>380</t>
        </is>
      </c>
      <c r="D1822" t="inlineStr">
        <is>
          <t>16</t>
        </is>
      </c>
      <c r="E1822" t="inlineStr">
        <is>
          <t>13</t>
        </is>
      </c>
      <c r="F1822" t="inlineStr">
        <is>
          <t>A</t>
        </is>
      </c>
      <c r="G1822" t="inlineStr">
        <is>
          <t>Average</t>
        </is>
      </c>
      <c r="H1822" t="n">
        <v>255</v>
      </c>
      <c r="I1822">
        <f>B1822&amp;"~"&amp;F1822&amp;"~"&amp;G1822</f>
        <v/>
      </c>
      <c r="J1822" t="inlineStr">
        <is>
          <t>MVS Sec.16 p.13</t>
        </is>
      </c>
    </row>
    <row r="1823">
      <c r="B1823" t="inlineStr">
        <is>
          <t>Theaters: Cinema</t>
        </is>
      </c>
      <c r="C1823" t="inlineStr">
        <is>
          <t>380</t>
        </is>
      </c>
      <c r="D1823" t="inlineStr">
        <is>
          <t>16</t>
        </is>
      </c>
      <c r="E1823" t="inlineStr">
        <is>
          <t>13</t>
        </is>
      </c>
      <c r="F1823" t="inlineStr">
        <is>
          <t>B</t>
        </is>
      </c>
      <c r="G1823" t="inlineStr">
        <is>
          <t>Good</t>
        </is>
      </c>
      <c r="H1823" t="n">
        <v>306</v>
      </c>
      <c r="I1823">
        <f>B1823&amp;"~"&amp;F1823&amp;"~"&amp;G1823</f>
        <v/>
      </c>
      <c r="J1823" t="inlineStr">
        <is>
          <t>MVS Sec.16 p.13</t>
        </is>
      </c>
    </row>
    <row r="1824">
      <c r="B1824" t="inlineStr">
        <is>
          <t>Theaters: Cinema</t>
        </is>
      </c>
      <c r="C1824" t="inlineStr">
        <is>
          <t>380</t>
        </is>
      </c>
      <c r="D1824" t="inlineStr">
        <is>
          <t>16</t>
        </is>
      </c>
      <c r="E1824" t="inlineStr">
        <is>
          <t>13</t>
        </is>
      </c>
      <c r="F1824" t="inlineStr">
        <is>
          <t>B</t>
        </is>
      </c>
      <c r="G1824" t="inlineStr">
        <is>
          <t>Average</t>
        </is>
      </c>
      <c r="H1824" t="n">
        <v>233</v>
      </c>
      <c r="I1824">
        <f>B1824&amp;"~"&amp;F1824&amp;"~"&amp;G1824</f>
        <v/>
      </c>
      <c r="J1824" t="inlineStr">
        <is>
          <t>MVS Sec.16 p.13</t>
        </is>
      </c>
    </row>
    <row r="1825">
      <c r="B1825" t="inlineStr">
        <is>
          <t>Theaters: Cinema</t>
        </is>
      </c>
      <c r="C1825" t="inlineStr">
        <is>
          <t>380</t>
        </is>
      </c>
      <c r="D1825" t="inlineStr">
        <is>
          <t>16</t>
        </is>
      </c>
      <c r="E1825" t="inlineStr">
        <is>
          <t>13</t>
        </is>
      </c>
      <c r="F1825" t="inlineStr">
        <is>
          <t>B</t>
        </is>
      </c>
      <c r="G1825" t="inlineStr">
        <is>
          <t>Excellent</t>
        </is>
      </c>
      <c r="H1825" t="n">
        <v>306</v>
      </c>
      <c r="I1825">
        <f>B1825&amp;"~"&amp;F1825&amp;"~"&amp;G1825</f>
        <v/>
      </c>
      <c r="J1825" t="inlineStr">
        <is>
          <t>MVS Sec.16 p.13</t>
        </is>
      </c>
    </row>
    <row r="1826">
      <c r="B1826" t="inlineStr">
        <is>
          <t>Theaters: Cinema</t>
        </is>
      </c>
      <c r="C1826" t="inlineStr">
        <is>
          <t>380</t>
        </is>
      </c>
      <c r="D1826" t="inlineStr">
        <is>
          <t>16</t>
        </is>
      </c>
      <c r="E1826" t="inlineStr">
        <is>
          <t>13</t>
        </is>
      </c>
      <c r="F1826" t="inlineStr">
        <is>
          <t>C</t>
        </is>
      </c>
      <c r="G1826" t="inlineStr">
        <is>
          <t>Very Good</t>
        </is>
      </c>
      <c r="H1826" t="n">
        <v>256</v>
      </c>
      <c r="I1826">
        <f>B1826&amp;"~"&amp;F1826&amp;"~"&amp;G1826</f>
        <v/>
      </c>
      <c r="J1826" t="inlineStr">
        <is>
          <t>MVS Sec.16 p.13</t>
        </is>
      </c>
    </row>
    <row r="1827">
      <c r="B1827" t="inlineStr">
        <is>
          <t>Theaters: Cinema</t>
        </is>
      </c>
      <c r="C1827" t="inlineStr">
        <is>
          <t>380</t>
        </is>
      </c>
      <c r="D1827" t="inlineStr">
        <is>
          <t>16</t>
        </is>
      </c>
      <c r="E1827" t="inlineStr">
        <is>
          <t>13</t>
        </is>
      </c>
      <c r="F1827" t="inlineStr">
        <is>
          <t>C</t>
        </is>
      </c>
      <c r="G1827" t="inlineStr">
        <is>
          <t>Good</t>
        </is>
      </c>
      <c r="H1827" t="n">
        <v>207</v>
      </c>
      <c r="I1827">
        <f>B1827&amp;"~"&amp;F1827&amp;"~"&amp;G1827</f>
        <v/>
      </c>
      <c r="J1827" t="inlineStr">
        <is>
          <t>MVS Sec.16 p.13</t>
        </is>
      </c>
    </row>
    <row r="1828">
      <c r="B1828" t="inlineStr">
        <is>
          <t>Theaters: Cinema</t>
        </is>
      </c>
      <c r="C1828" t="inlineStr">
        <is>
          <t>380</t>
        </is>
      </c>
      <c r="D1828" t="inlineStr">
        <is>
          <t>16</t>
        </is>
      </c>
      <c r="E1828" t="inlineStr">
        <is>
          <t>13</t>
        </is>
      </c>
      <c r="F1828" t="inlineStr">
        <is>
          <t>C</t>
        </is>
      </c>
      <c r="G1828" t="inlineStr">
        <is>
          <t>Average</t>
        </is>
      </c>
      <c r="H1828" t="n">
        <v>146</v>
      </c>
      <c r="I1828">
        <f>B1828&amp;"~"&amp;F1828&amp;"~"&amp;G1828</f>
        <v/>
      </c>
      <c r="J1828" t="inlineStr">
        <is>
          <t>MVS Sec.16 p.13</t>
        </is>
      </c>
    </row>
    <row r="1829">
      <c r="B1829" t="inlineStr">
        <is>
          <t>Theaters: Cinema</t>
        </is>
      </c>
      <c r="C1829" t="inlineStr">
        <is>
          <t>380</t>
        </is>
      </c>
      <c r="D1829" t="inlineStr">
        <is>
          <t>16</t>
        </is>
      </c>
      <c r="E1829" t="inlineStr">
        <is>
          <t>13</t>
        </is>
      </c>
      <c r="F1829" t="inlineStr">
        <is>
          <t>C</t>
        </is>
      </c>
      <c r="G1829" t="inlineStr">
        <is>
          <t>Fair</t>
        </is>
      </c>
      <c r="H1829" t="n">
        <v>123</v>
      </c>
      <c r="I1829">
        <f>B1829&amp;"~"&amp;F1829&amp;"~"&amp;G1829</f>
        <v/>
      </c>
      <c r="J1829" t="inlineStr">
        <is>
          <t>MVS Sec.16 p.13</t>
        </is>
      </c>
    </row>
    <row r="1830">
      <c r="B1830" t="inlineStr">
        <is>
          <t>Theaters: Cinema</t>
        </is>
      </c>
      <c r="C1830" t="inlineStr">
        <is>
          <t>380</t>
        </is>
      </c>
      <c r="D1830" t="inlineStr">
        <is>
          <t>16</t>
        </is>
      </c>
      <c r="E1830" t="inlineStr">
        <is>
          <t>13</t>
        </is>
      </c>
      <c r="F1830" t="inlineStr">
        <is>
          <t>D</t>
        </is>
      </c>
      <c r="G1830" t="inlineStr">
        <is>
          <t>Very Good</t>
        </is>
      </c>
      <c r="H1830" t="n">
        <v>245</v>
      </c>
      <c r="I1830">
        <f>B1830&amp;"~"&amp;F1830&amp;"~"&amp;G1830</f>
        <v/>
      </c>
      <c r="J1830" t="inlineStr">
        <is>
          <t>MVS Sec.16 p.13</t>
        </is>
      </c>
    </row>
    <row r="1831">
      <c r="B1831" t="inlineStr">
        <is>
          <t>Theaters: Cinema</t>
        </is>
      </c>
      <c r="C1831" t="inlineStr">
        <is>
          <t>380</t>
        </is>
      </c>
      <c r="D1831" t="inlineStr">
        <is>
          <t>16</t>
        </is>
      </c>
      <c r="E1831" t="inlineStr">
        <is>
          <t>13</t>
        </is>
      </c>
      <c r="F1831" t="inlineStr">
        <is>
          <t>D</t>
        </is>
      </c>
      <c r="G1831" t="inlineStr">
        <is>
          <t>Good</t>
        </is>
      </c>
      <c r="H1831" t="n">
        <v>197</v>
      </c>
      <c r="I1831">
        <f>B1831&amp;"~"&amp;F1831&amp;"~"&amp;G1831</f>
        <v/>
      </c>
      <c r="J1831" t="inlineStr">
        <is>
          <t>MVS Sec.16 p.13</t>
        </is>
      </c>
    </row>
    <row r="1832">
      <c r="B1832" t="inlineStr">
        <is>
          <t>Theaters: Cinema</t>
        </is>
      </c>
      <c r="C1832" t="inlineStr">
        <is>
          <t>380</t>
        </is>
      </c>
      <c r="D1832" t="inlineStr">
        <is>
          <t>16</t>
        </is>
      </c>
      <c r="E1832" t="inlineStr">
        <is>
          <t>13</t>
        </is>
      </c>
      <c r="F1832" t="inlineStr">
        <is>
          <t>D</t>
        </is>
      </c>
      <c r="G1832" t="inlineStr">
        <is>
          <t>Average</t>
        </is>
      </c>
      <c r="H1832" t="n">
        <v>138</v>
      </c>
      <c r="I1832">
        <f>B1832&amp;"~"&amp;F1832&amp;"~"&amp;G1832</f>
        <v/>
      </c>
      <c r="J1832" t="inlineStr">
        <is>
          <t>MVS Sec.16 p.13</t>
        </is>
      </c>
    </row>
    <row r="1833">
      <c r="B1833" t="inlineStr">
        <is>
          <t>Theaters: Cinema</t>
        </is>
      </c>
      <c r="C1833" t="inlineStr">
        <is>
          <t>380</t>
        </is>
      </c>
      <c r="D1833" t="inlineStr">
        <is>
          <t>16</t>
        </is>
      </c>
      <c r="E1833" t="inlineStr">
        <is>
          <t>13</t>
        </is>
      </c>
      <c r="F1833" t="inlineStr">
        <is>
          <t>D</t>
        </is>
      </c>
      <c r="G1833" t="inlineStr">
        <is>
          <t>Fair</t>
        </is>
      </c>
      <c r="H1833" t="n">
        <v>117</v>
      </c>
      <c r="I1833">
        <f>B1833&amp;"~"&amp;F1833&amp;"~"&amp;G1833</f>
        <v/>
      </c>
      <c r="J1833" t="inlineStr">
        <is>
          <t>MVS Sec.16 p.13</t>
        </is>
      </c>
    </row>
    <row r="1834">
      <c r="B1834" t="inlineStr">
        <is>
          <t>Theaters: Cinema</t>
        </is>
      </c>
      <c r="C1834" t="inlineStr">
        <is>
          <t>380</t>
        </is>
      </c>
      <c r="D1834" t="inlineStr">
        <is>
          <t>16</t>
        </is>
      </c>
      <c r="E1834" t="inlineStr">
        <is>
          <t>13</t>
        </is>
      </c>
      <c r="F1834" t="inlineStr">
        <is>
          <t>DPOLE</t>
        </is>
      </c>
      <c r="G1834" t="inlineStr">
        <is>
          <t>Good</t>
        </is>
      </c>
      <c r="H1834" t="n">
        <v>196</v>
      </c>
      <c r="I1834">
        <f>B1834&amp;"~"&amp;F1834&amp;"~"&amp;G1834</f>
        <v/>
      </c>
      <c r="J1834" t="inlineStr">
        <is>
          <t>MVS Sec.16 p.13</t>
        </is>
      </c>
    </row>
    <row r="1835">
      <c r="B1835" t="inlineStr">
        <is>
          <t>Theaters: Cinema</t>
        </is>
      </c>
      <c r="C1835" t="inlineStr">
        <is>
          <t>380</t>
        </is>
      </c>
      <c r="D1835" t="inlineStr">
        <is>
          <t>16</t>
        </is>
      </c>
      <c r="E1835" t="inlineStr">
        <is>
          <t>13</t>
        </is>
      </c>
      <c r="F1835" t="inlineStr">
        <is>
          <t>S</t>
        </is>
      </c>
      <c r="G1835" t="inlineStr">
        <is>
          <t>Average</t>
        </is>
      </c>
      <c r="H1835" t="n">
        <v>137</v>
      </c>
      <c r="I1835">
        <f>B1835&amp;"~"&amp;F1835&amp;"~"&amp;G1835</f>
        <v/>
      </c>
      <c r="J1835" t="inlineStr">
        <is>
          <t>MVS Sec.16 p.13</t>
        </is>
      </c>
    </row>
    <row r="1836">
      <c r="B1836" t="inlineStr">
        <is>
          <t>Theaters: Cinema</t>
        </is>
      </c>
      <c r="C1836" t="inlineStr">
        <is>
          <t>380</t>
        </is>
      </c>
      <c r="D1836" t="inlineStr">
        <is>
          <t>16</t>
        </is>
      </c>
      <c r="E1836" t="inlineStr">
        <is>
          <t>13</t>
        </is>
      </c>
      <c r="F1836" t="inlineStr">
        <is>
          <t>S</t>
        </is>
      </c>
      <c r="G1836" t="inlineStr">
        <is>
          <t>Fair</t>
        </is>
      </c>
      <c r="H1836" t="n">
        <v>115</v>
      </c>
      <c r="I1836">
        <f>B1836&amp;"~"&amp;F1836&amp;"~"&amp;G1836</f>
        <v/>
      </c>
      <c r="J1836" t="inlineStr">
        <is>
          <t>MVS Sec.16 p.13</t>
        </is>
      </c>
    </row>
    <row r="1837">
      <c r="B1837" t="inlineStr">
        <is>
          <t>Auditoriums</t>
        </is>
      </c>
      <c r="C1837" t="inlineStr">
        <is>
          <t>302</t>
        </is>
      </c>
      <c r="D1837" t="inlineStr">
        <is>
          <t>16</t>
        </is>
      </c>
      <c r="E1837" t="inlineStr">
        <is>
          <t>14</t>
        </is>
      </c>
      <c r="F1837" t="inlineStr">
        <is>
          <t>A</t>
        </is>
      </c>
      <c r="G1837" t="inlineStr">
        <is>
          <t>Excellent</t>
        </is>
      </c>
      <c r="H1837" t="n">
        <v>525</v>
      </c>
      <c r="I1837">
        <f>B1837&amp;"~"&amp;F1837&amp;"~"&amp;G1837</f>
        <v/>
      </c>
      <c r="J1837" t="inlineStr">
        <is>
          <t>MVS Sec.16 p.14</t>
        </is>
      </c>
    </row>
    <row r="1838">
      <c r="B1838" t="inlineStr">
        <is>
          <t>Auditoriums</t>
        </is>
      </c>
      <c r="C1838" t="inlineStr">
        <is>
          <t>302</t>
        </is>
      </c>
      <c r="D1838" t="inlineStr">
        <is>
          <t>16</t>
        </is>
      </c>
      <c r="E1838" t="inlineStr">
        <is>
          <t>14</t>
        </is>
      </c>
      <c r="F1838" t="inlineStr">
        <is>
          <t>A</t>
        </is>
      </c>
      <c r="G1838" t="inlineStr">
        <is>
          <t>Good</t>
        </is>
      </c>
      <c r="H1838" t="n">
        <v>369</v>
      </c>
      <c r="I1838">
        <f>B1838&amp;"~"&amp;F1838&amp;"~"&amp;G1838</f>
        <v/>
      </c>
      <c r="J1838" t="inlineStr">
        <is>
          <t>MVS Sec.16 p.14</t>
        </is>
      </c>
    </row>
    <row r="1839">
      <c r="B1839" t="inlineStr">
        <is>
          <t>Auditoriums</t>
        </is>
      </c>
      <c r="C1839" t="inlineStr">
        <is>
          <t>302</t>
        </is>
      </c>
      <c r="D1839" t="inlineStr">
        <is>
          <t>16</t>
        </is>
      </c>
      <c r="E1839" t="inlineStr">
        <is>
          <t>14</t>
        </is>
      </c>
      <c r="F1839" t="inlineStr">
        <is>
          <t>A</t>
        </is>
      </c>
      <c r="G1839" t="inlineStr">
        <is>
          <t>Average</t>
        </is>
      </c>
      <c r="H1839" t="n">
        <v>267</v>
      </c>
      <c r="I1839">
        <f>B1839&amp;"~"&amp;F1839&amp;"~"&amp;G1839</f>
        <v/>
      </c>
      <c r="J1839" t="inlineStr">
        <is>
          <t>MVS Sec.16 p.14</t>
        </is>
      </c>
    </row>
    <row r="1840">
      <c r="B1840" t="inlineStr">
        <is>
          <t>Auditoriums</t>
        </is>
      </c>
      <c r="C1840" t="inlineStr">
        <is>
          <t>302</t>
        </is>
      </c>
      <c r="D1840" t="inlineStr">
        <is>
          <t>16</t>
        </is>
      </c>
      <c r="E1840" t="inlineStr">
        <is>
          <t>14</t>
        </is>
      </c>
      <c r="F1840" t="inlineStr">
        <is>
          <t>B</t>
        </is>
      </c>
      <c r="G1840" t="inlineStr">
        <is>
          <t>Excellent</t>
        </is>
      </c>
      <c r="H1840" t="n">
        <v>472</v>
      </c>
      <c r="I1840">
        <f>B1840&amp;"~"&amp;F1840&amp;"~"&amp;G1840</f>
        <v/>
      </c>
      <c r="J1840" t="inlineStr">
        <is>
          <t>MVS Sec.16 p.14</t>
        </is>
      </c>
    </row>
    <row r="1841">
      <c r="B1841" t="inlineStr">
        <is>
          <t>Auditoriums</t>
        </is>
      </c>
      <c r="C1841" t="inlineStr">
        <is>
          <t>302</t>
        </is>
      </c>
      <c r="D1841" t="inlineStr">
        <is>
          <t>16</t>
        </is>
      </c>
      <c r="E1841" t="inlineStr">
        <is>
          <t>14</t>
        </is>
      </c>
      <c r="F1841" t="inlineStr">
        <is>
          <t>B</t>
        </is>
      </c>
      <c r="G1841" t="inlineStr">
        <is>
          <t>Good</t>
        </is>
      </c>
      <c r="H1841" t="n">
        <v>332</v>
      </c>
      <c r="I1841">
        <f>B1841&amp;"~"&amp;F1841&amp;"~"&amp;G1841</f>
        <v/>
      </c>
      <c r="J1841" t="inlineStr">
        <is>
          <t>MVS Sec.16 p.14</t>
        </is>
      </c>
    </row>
    <row r="1842">
      <c r="B1842" t="inlineStr">
        <is>
          <t>Auditoriums</t>
        </is>
      </c>
      <c r="C1842" t="inlineStr">
        <is>
          <t>302</t>
        </is>
      </c>
      <c r="D1842" t="inlineStr">
        <is>
          <t>16</t>
        </is>
      </c>
      <c r="E1842" t="inlineStr">
        <is>
          <t>14</t>
        </is>
      </c>
      <c r="F1842" t="inlineStr">
        <is>
          <t>B</t>
        </is>
      </c>
      <c r="G1842" t="inlineStr">
        <is>
          <t>Average</t>
        </is>
      </c>
      <c r="H1842" t="n">
        <v>242</v>
      </c>
      <c r="I1842">
        <f>B1842&amp;"~"&amp;F1842&amp;"~"&amp;G1842</f>
        <v/>
      </c>
      <c r="J1842" t="inlineStr">
        <is>
          <t>MVS Sec.16 p.14</t>
        </is>
      </c>
    </row>
    <row r="1843">
      <c r="B1843" t="inlineStr">
        <is>
          <t>Auditoriums</t>
        </is>
      </c>
      <c r="C1843" t="inlineStr">
        <is>
          <t>302</t>
        </is>
      </c>
      <c r="D1843" t="inlineStr">
        <is>
          <t>16</t>
        </is>
      </c>
      <c r="E1843" t="inlineStr">
        <is>
          <t>14</t>
        </is>
      </c>
      <c r="F1843" t="inlineStr">
        <is>
          <t>C</t>
        </is>
      </c>
      <c r="G1843" t="inlineStr">
        <is>
          <t>Excellent</t>
        </is>
      </c>
      <c r="H1843" t="n">
        <v>344</v>
      </c>
      <c r="I1843">
        <f>B1843&amp;"~"&amp;F1843&amp;"~"&amp;G1843</f>
        <v/>
      </c>
      <c r="J1843" t="inlineStr">
        <is>
          <t>MVS Sec.16 p.14</t>
        </is>
      </c>
    </row>
    <row r="1844">
      <c r="B1844" t="inlineStr">
        <is>
          <t>Auditoriums</t>
        </is>
      </c>
      <c r="C1844" t="inlineStr">
        <is>
          <t>302</t>
        </is>
      </c>
      <c r="D1844" t="inlineStr">
        <is>
          <t>16</t>
        </is>
      </c>
      <c r="E1844" t="inlineStr">
        <is>
          <t>14</t>
        </is>
      </c>
      <c r="F1844" t="inlineStr">
        <is>
          <t>C</t>
        </is>
      </c>
      <c r="G1844" t="inlineStr">
        <is>
          <t>Good</t>
        </is>
      </c>
      <c r="H1844" t="n">
        <v>249</v>
      </c>
      <c r="I1844">
        <f>B1844&amp;"~"&amp;F1844&amp;"~"&amp;G1844</f>
        <v/>
      </c>
      <c r="J1844" t="inlineStr">
        <is>
          <t>MVS Sec.16 p.14</t>
        </is>
      </c>
    </row>
    <row r="1845">
      <c r="B1845" t="inlineStr">
        <is>
          <t>Auditoriums</t>
        </is>
      </c>
      <c r="C1845" t="inlineStr">
        <is>
          <t>302</t>
        </is>
      </c>
      <c r="D1845" t="inlineStr">
        <is>
          <t>16</t>
        </is>
      </c>
      <c r="E1845" t="inlineStr">
        <is>
          <t>14</t>
        </is>
      </c>
      <c r="F1845" t="inlineStr">
        <is>
          <t>C</t>
        </is>
      </c>
      <c r="G1845" t="inlineStr">
        <is>
          <t>Average</t>
        </is>
      </c>
      <c r="H1845" t="n">
        <v>174</v>
      </c>
      <c r="I1845">
        <f>B1845&amp;"~"&amp;F1845&amp;"~"&amp;G1845</f>
        <v/>
      </c>
      <c r="J1845" t="inlineStr">
        <is>
          <t>MVS Sec.16 p.14</t>
        </is>
      </c>
    </row>
    <row r="1846">
      <c r="B1846" t="inlineStr">
        <is>
          <t>Auditoriums</t>
        </is>
      </c>
      <c r="C1846" t="inlineStr">
        <is>
          <t>302</t>
        </is>
      </c>
      <c r="D1846" t="inlineStr">
        <is>
          <t>16</t>
        </is>
      </c>
      <c r="E1846" t="inlineStr">
        <is>
          <t>14</t>
        </is>
      </c>
      <c r="F1846" t="inlineStr">
        <is>
          <t>D</t>
        </is>
      </c>
      <c r="G1846" t="inlineStr">
        <is>
          <t>Good</t>
        </is>
      </c>
      <c r="H1846" t="n">
        <v>238</v>
      </c>
      <c r="I1846">
        <f>B1846&amp;"~"&amp;F1846&amp;"~"&amp;G1846</f>
        <v/>
      </c>
      <c r="J1846" t="inlineStr">
        <is>
          <t>MVS Sec.16 p.14</t>
        </is>
      </c>
    </row>
    <row r="1847">
      <c r="B1847" t="inlineStr">
        <is>
          <t>Auditoriums</t>
        </is>
      </c>
      <c r="C1847" t="inlineStr">
        <is>
          <t>302</t>
        </is>
      </c>
      <c r="D1847" t="inlineStr">
        <is>
          <t>16</t>
        </is>
      </c>
      <c r="E1847" t="inlineStr">
        <is>
          <t>14</t>
        </is>
      </c>
      <c r="F1847" t="inlineStr">
        <is>
          <t>DPOLE</t>
        </is>
      </c>
      <c r="G1847" t="inlineStr">
        <is>
          <t>Average</t>
        </is>
      </c>
      <c r="H1847" t="n">
        <v>165</v>
      </c>
      <c r="I1847">
        <f>B1847&amp;"~"&amp;F1847&amp;"~"&amp;G1847</f>
        <v/>
      </c>
      <c r="J1847" t="inlineStr">
        <is>
          <t>MVS Sec.16 p.14</t>
        </is>
      </c>
    </row>
    <row r="1848">
      <c r="B1848" t="inlineStr">
        <is>
          <t>Auditoriums</t>
        </is>
      </c>
      <c r="C1848" t="inlineStr">
        <is>
          <t>302</t>
        </is>
      </c>
      <c r="D1848" t="inlineStr">
        <is>
          <t>16</t>
        </is>
      </c>
      <c r="E1848" t="inlineStr">
        <is>
          <t>14</t>
        </is>
      </c>
      <c r="F1848" t="inlineStr">
        <is>
          <t>S</t>
        </is>
      </c>
      <c r="G1848" t="inlineStr">
        <is>
          <t>Average</t>
        </is>
      </c>
      <c r="H1848" t="n">
        <v>162</v>
      </c>
      <c r="I1848">
        <f>B1848&amp;"~"&amp;F1848&amp;"~"&amp;G1848</f>
        <v/>
      </c>
      <c r="J1848" t="inlineStr">
        <is>
          <t>MVS Sec.16 p.14</t>
        </is>
      </c>
    </row>
    <row r="1849">
      <c r="B1849" t="inlineStr">
        <is>
          <t>Fraternal Buildings</t>
        </is>
      </c>
      <c r="C1849" t="inlineStr">
        <is>
          <t>323</t>
        </is>
      </c>
      <c r="D1849" t="inlineStr">
        <is>
          <t>16</t>
        </is>
      </c>
      <c r="E1849" t="inlineStr">
        <is>
          <t>15</t>
        </is>
      </c>
      <c r="F1849" t="inlineStr">
        <is>
          <t>A</t>
        </is>
      </c>
      <c r="G1849" t="inlineStr">
        <is>
          <t>Average</t>
        </is>
      </c>
      <c r="H1849" t="n">
        <v>261</v>
      </c>
      <c r="I1849">
        <f>B1849&amp;"~"&amp;F1849&amp;"~"&amp;G1849</f>
        <v/>
      </c>
      <c r="J1849" t="inlineStr">
        <is>
          <t>MVS Sec.16 p.15</t>
        </is>
      </c>
    </row>
    <row r="1850">
      <c r="B1850" t="inlineStr">
        <is>
          <t>Fraternal Buildings</t>
        </is>
      </c>
      <c r="C1850" t="inlineStr">
        <is>
          <t>323</t>
        </is>
      </c>
      <c r="D1850" t="inlineStr">
        <is>
          <t>16</t>
        </is>
      </c>
      <c r="E1850" t="inlineStr">
        <is>
          <t>15</t>
        </is>
      </c>
      <c r="F1850" t="inlineStr">
        <is>
          <t>B</t>
        </is>
      </c>
      <c r="G1850" t="inlineStr">
        <is>
          <t>Average</t>
        </is>
      </c>
      <c r="H1850" t="n">
        <v>236</v>
      </c>
      <c r="I1850">
        <f>B1850&amp;"~"&amp;F1850&amp;"~"&amp;G1850</f>
        <v/>
      </c>
      <c r="J1850" t="inlineStr">
        <is>
          <t>MVS Sec.16 p.15</t>
        </is>
      </c>
    </row>
    <row r="1851">
      <c r="B1851" t="inlineStr">
        <is>
          <t>Fraternal Buildings</t>
        </is>
      </c>
      <c r="C1851" t="inlineStr">
        <is>
          <t>323</t>
        </is>
      </c>
      <c r="D1851" t="inlineStr">
        <is>
          <t>16</t>
        </is>
      </c>
      <c r="E1851" t="inlineStr">
        <is>
          <t>15</t>
        </is>
      </c>
      <c r="F1851" t="inlineStr">
        <is>
          <t>C</t>
        </is>
      </c>
      <c r="G1851" t="inlineStr">
        <is>
          <t>Excellent</t>
        </is>
      </c>
      <c r="H1851" t="n">
        <v>315</v>
      </c>
      <c r="I1851">
        <f>B1851&amp;"~"&amp;F1851&amp;"~"&amp;G1851</f>
        <v/>
      </c>
      <c r="J1851" t="inlineStr">
        <is>
          <t>MVS Sec.16 p.15</t>
        </is>
      </c>
    </row>
    <row r="1852">
      <c r="B1852" t="inlineStr">
        <is>
          <t>Fraternal Buildings</t>
        </is>
      </c>
      <c r="C1852" t="inlineStr">
        <is>
          <t>323</t>
        </is>
      </c>
      <c r="D1852" t="inlineStr">
        <is>
          <t>16</t>
        </is>
      </c>
      <c r="E1852" t="inlineStr">
        <is>
          <t>15</t>
        </is>
      </c>
      <c r="F1852" t="inlineStr">
        <is>
          <t>C</t>
        </is>
      </c>
      <c r="G1852" t="inlineStr">
        <is>
          <t>Good</t>
        </is>
      </c>
      <c r="H1852" t="n">
        <v>237</v>
      </c>
      <c r="I1852">
        <f>B1852&amp;"~"&amp;F1852&amp;"~"&amp;G1852</f>
        <v/>
      </c>
      <c r="J1852" t="inlineStr">
        <is>
          <t>MVS Sec.16 p.15</t>
        </is>
      </c>
    </row>
    <row r="1853">
      <c r="B1853" t="inlineStr">
        <is>
          <t>Fraternal Buildings</t>
        </is>
      </c>
      <c r="C1853" t="inlineStr">
        <is>
          <t>323</t>
        </is>
      </c>
      <c r="D1853" t="inlineStr">
        <is>
          <t>16</t>
        </is>
      </c>
      <c r="E1853" t="inlineStr">
        <is>
          <t>15</t>
        </is>
      </c>
      <c r="F1853" t="inlineStr">
        <is>
          <t>C</t>
        </is>
      </c>
      <c r="G1853" t="inlineStr">
        <is>
          <t>Average</t>
        </is>
      </c>
      <c r="H1853" t="n">
        <v>171</v>
      </c>
      <c r="I1853">
        <f>B1853&amp;"~"&amp;F1853&amp;"~"&amp;G1853</f>
        <v/>
      </c>
      <c r="J1853" t="inlineStr">
        <is>
          <t>MVS Sec.16 p.15</t>
        </is>
      </c>
    </row>
    <row r="1854">
      <c r="B1854" t="inlineStr">
        <is>
          <t>Fraternal Buildings</t>
        </is>
      </c>
      <c r="C1854" t="inlineStr">
        <is>
          <t>323</t>
        </is>
      </c>
      <c r="D1854" t="inlineStr">
        <is>
          <t>16</t>
        </is>
      </c>
      <c r="E1854" t="inlineStr">
        <is>
          <t>15</t>
        </is>
      </c>
      <c r="F1854" t="inlineStr">
        <is>
          <t>D</t>
        </is>
      </c>
      <c r="G1854" t="inlineStr">
        <is>
          <t>Good</t>
        </is>
      </c>
      <c r="H1854" t="n">
        <v>228</v>
      </c>
      <c r="I1854">
        <f>B1854&amp;"~"&amp;F1854&amp;"~"&amp;G1854</f>
        <v/>
      </c>
      <c r="J1854" t="inlineStr">
        <is>
          <t>MVS Sec.16 p.15</t>
        </is>
      </c>
    </row>
    <row r="1855">
      <c r="B1855" t="inlineStr">
        <is>
          <t>Fraternal Buildings</t>
        </is>
      </c>
      <c r="C1855" t="inlineStr">
        <is>
          <t>323</t>
        </is>
      </c>
      <c r="D1855" t="inlineStr">
        <is>
          <t>16</t>
        </is>
      </c>
      <c r="E1855" t="inlineStr">
        <is>
          <t>15</t>
        </is>
      </c>
      <c r="F1855" t="inlineStr">
        <is>
          <t>DPOLE</t>
        </is>
      </c>
      <c r="G1855" t="inlineStr">
        <is>
          <t>Average</t>
        </is>
      </c>
      <c r="H1855" t="n">
        <v>163</v>
      </c>
      <c r="I1855">
        <f>B1855&amp;"~"&amp;F1855&amp;"~"&amp;G1855</f>
        <v/>
      </c>
      <c r="J1855" t="inlineStr">
        <is>
          <t>MVS Sec.16 p.15</t>
        </is>
      </c>
    </row>
    <row r="1856">
      <c r="B1856" t="inlineStr">
        <is>
          <t>Fraternal Buildings</t>
        </is>
      </c>
      <c r="C1856" t="inlineStr">
        <is>
          <t>323</t>
        </is>
      </c>
      <c r="D1856" t="inlineStr">
        <is>
          <t>16</t>
        </is>
      </c>
      <c r="E1856" t="inlineStr">
        <is>
          <t>15</t>
        </is>
      </c>
      <c r="F1856" t="inlineStr">
        <is>
          <t>S</t>
        </is>
      </c>
      <c r="G1856" t="inlineStr">
        <is>
          <t>Average</t>
        </is>
      </c>
      <c r="H1856" t="n">
        <v>159</v>
      </c>
      <c r="I1856">
        <f>B1856&amp;"~"&amp;F1856&amp;"~"&amp;G1856</f>
        <v/>
      </c>
      <c r="J1856" t="inlineStr">
        <is>
          <t>MVS Sec.16 p.15</t>
        </is>
      </c>
    </row>
    <row r="1857">
      <c r="B1857" t="inlineStr">
        <is>
          <t>Visitor Centers</t>
        </is>
      </c>
      <c r="C1857" t="inlineStr">
        <is>
          <t>574</t>
        </is>
      </c>
      <c r="D1857" t="inlineStr">
        <is>
          <t>16</t>
        </is>
      </c>
      <c r="E1857" t="inlineStr">
        <is>
          <t>15</t>
        </is>
      </c>
      <c r="F1857" t="inlineStr">
        <is>
          <t>A-B</t>
        </is>
      </c>
      <c r="G1857" t="inlineStr">
        <is>
          <t>Good</t>
        </is>
      </c>
      <c r="H1857" t="n">
        <v>334</v>
      </c>
      <c r="I1857">
        <f>B1857&amp;"~"&amp;F1857&amp;"~"&amp;G1857</f>
        <v/>
      </c>
      <c r="J1857" t="inlineStr">
        <is>
          <t>MVS Sec.16 p.15</t>
        </is>
      </c>
    </row>
    <row r="1858">
      <c r="B1858" t="inlineStr">
        <is>
          <t>Visitor Centers</t>
        </is>
      </c>
      <c r="C1858" t="inlineStr">
        <is>
          <t>574</t>
        </is>
      </c>
      <c r="D1858" t="inlineStr">
        <is>
          <t>16</t>
        </is>
      </c>
      <c r="E1858" t="inlineStr">
        <is>
          <t>15</t>
        </is>
      </c>
      <c r="F1858" t="inlineStr">
        <is>
          <t>A-B</t>
        </is>
      </c>
      <c r="G1858" t="inlineStr">
        <is>
          <t>Average</t>
        </is>
      </c>
      <c r="H1858" t="n">
        <v>241</v>
      </c>
      <c r="I1858">
        <f>B1858&amp;"~"&amp;F1858&amp;"~"&amp;G1858</f>
        <v/>
      </c>
      <c r="J1858" t="inlineStr">
        <is>
          <t>MVS Sec.16 p.15</t>
        </is>
      </c>
    </row>
    <row r="1859">
      <c r="B1859" t="inlineStr">
        <is>
          <t>Visitor Centers</t>
        </is>
      </c>
      <c r="C1859" t="inlineStr">
        <is>
          <t>574</t>
        </is>
      </c>
      <c r="D1859" t="inlineStr">
        <is>
          <t>16</t>
        </is>
      </c>
      <c r="E1859" t="inlineStr">
        <is>
          <t>15</t>
        </is>
      </c>
      <c r="F1859" t="inlineStr">
        <is>
          <t>C</t>
        </is>
      </c>
      <c r="G1859" t="inlineStr">
        <is>
          <t>Excellent</t>
        </is>
      </c>
      <c r="H1859" t="n">
        <v>309</v>
      </c>
      <c r="I1859">
        <f>B1859&amp;"~"&amp;F1859&amp;"~"&amp;G1859</f>
        <v/>
      </c>
      <c r="J1859" t="inlineStr">
        <is>
          <t>MVS Sec.16 p.15</t>
        </is>
      </c>
    </row>
    <row r="1860">
      <c r="B1860" t="inlineStr">
        <is>
          <t>Visitor Centers</t>
        </is>
      </c>
      <c r="C1860" t="inlineStr">
        <is>
          <t>574</t>
        </is>
      </c>
      <c r="D1860" t="inlineStr">
        <is>
          <t>16</t>
        </is>
      </c>
      <c r="E1860" t="inlineStr">
        <is>
          <t>15</t>
        </is>
      </c>
      <c r="F1860" t="inlineStr">
        <is>
          <t>C</t>
        </is>
      </c>
      <c r="G1860" t="inlineStr">
        <is>
          <t>Good</t>
        </is>
      </c>
      <c r="H1860" t="n">
        <v>230</v>
      </c>
      <c r="I1860">
        <f>B1860&amp;"~"&amp;F1860&amp;"~"&amp;G1860</f>
        <v/>
      </c>
      <c r="J1860" t="inlineStr">
        <is>
          <t>MVS Sec.16 p.15</t>
        </is>
      </c>
    </row>
    <row r="1861">
      <c r="B1861" t="inlineStr">
        <is>
          <t>Visitor Centers</t>
        </is>
      </c>
      <c r="C1861" t="inlineStr">
        <is>
          <t>574</t>
        </is>
      </c>
      <c r="D1861" t="inlineStr">
        <is>
          <t>16</t>
        </is>
      </c>
      <c r="E1861" t="inlineStr">
        <is>
          <t>15</t>
        </is>
      </c>
      <c r="F1861" t="inlineStr">
        <is>
          <t>C</t>
        </is>
      </c>
      <c r="G1861" t="inlineStr">
        <is>
          <t>Average</t>
        </is>
      </c>
      <c r="H1861" t="n">
        <v>166</v>
      </c>
      <c r="I1861">
        <f>B1861&amp;"~"&amp;F1861&amp;"~"&amp;G1861</f>
        <v/>
      </c>
      <c r="J1861" t="inlineStr">
        <is>
          <t>MVS Sec.16 p.15</t>
        </is>
      </c>
    </row>
    <row r="1862">
      <c r="B1862" t="inlineStr">
        <is>
          <t>Visitor Centers</t>
        </is>
      </c>
      <c r="C1862" t="inlineStr">
        <is>
          <t>574</t>
        </is>
      </c>
      <c r="D1862" t="inlineStr">
        <is>
          <t>16</t>
        </is>
      </c>
      <c r="E1862" t="inlineStr">
        <is>
          <t>15</t>
        </is>
      </c>
      <c r="F1862" t="inlineStr">
        <is>
          <t>D</t>
        </is>
      </c>
      <c r="G1862" t="inlineStr">
        <is>
          <t>Excellent</t>
        </is>
      </c>
      <c r="H1862" t="n">
        <v>297</v>
      </c>
      <c r="I1862">
        <f>B1862&amp;"~"&amp;F1862&amp;"~"&amp;G1862</f>
        <v/>
      </c>
      <c r="J1862" t="inlineStr">
        <is>
          <t>MVS Sec.16 p.15</t>
        </is>
      </c>
    </row>
    <row r="1863">
      <c r="B1863" t="inlineStr">
        <is>
          <t>Visitor Centers</t>
        </is>
      </c>
      <c r="C1863" t="inlineStr">
        <is>
          <t>574</t>
        </is>
      </c>
      <c r="D1863" t="inlineStr">
        <is>
          <t>16</t>
        </is>
      </c>
      <c r="E1863" t="inlineStr">
        <is>
          <t>15</t>
        </is>
      </c>
      <c r="F1863" t="inlineStr">
        <is>
          <t>D</t>
        </is>
      </c>
      <c r="G1863" t="inlineStr">
        <is>
          <t>Good</t>
        </is>
      </c>
      <c r="H1863" t="n">
        <v>220</v>
      </c>
      <c r="I1863">
        <f>B1863&amp;"~"&amp;F1863&amp;"~"&amp;G1863</f>
        <v/>
      </c>
      <c r="J1863" t="inlineStr">
        <is>
          <t>MVS Sec.16 p.15</t>
        </is>
      </c>
    </row>
    <row r="1864">
      <c r="B1864" t="inlineStr">
        <is>
          <t>Visitor Centers</t>
        </is>
      </c>
      <c r="C1864" t="inlineStr">
        <is>
          <t>574</t>
        </is>
      </c>
      <c r="D1864" t="inlineStr">
        <is>
          <t>16</t>
        </is>
      </c>
      <c r="E1864" t="inlineStr">
        <is>
          <t>15</t>
        </is>
      </c>
      <c r="F1864" t="inlineStr">
        <is>
          <t>D</t>
        </is>
      </c>
      <c r="G1864" t="inlineStr">
        <is>
          <t>Average</t>
        </is>
      </c>
      <c r="H1864" t="n">
        <v>159</v>
      </c>
      <c r="I1864">
        <f>B1864&amp;"~"&amp;F1864&amp;"~"&amp;G1864</f>
        <v/>
      </c>
      <c r="J1864" t="inlineStr">
        <is>
          <t>MVS Sec.16 p.15</t>
        </is>
      </c>
    </row>
    <row r="1865">
      <c r="B1865" t="inlineStr">
        <is>
          <t>Visitor Centers</t>
        </is>
      </c>
      <c r="C1865" t="inlineStr">
        <is>
          <t>574</t>
        </is>
      </c>
      <c r="D1865" t="inlineStr">
        <is>
          <t>16</t>
        </is>
      </c>
      <c r="E1865" t="inlineStr">
        <is>
          <t>15</t>
        </is>
      </c>
      <c r="F1865" t="inlineStr">
        <is>
          <t>DPOLE</t>
        </is>
      </c>
      <c r="G1865" t="inlineStr">
        <is>
          <t>Average</t>
        </is>
      </c>
      <c r="H1865" t="n">
        <v>150</v>
      </c>
      <c r="I1865">
        <f>B1865&amp;"~"&amp;F1865&amp;"~"&amp;G1865</f>
        <v/>
      </c>
      <c r="J1865" t="inlineStr">
        <is>
          <t>MVS Sec.16 p.15</t>
        </is>
      </c>
    </row>
    <row r="1866">
      <c r="B1866" t="inlineStr">
        <is>
          <t>Convention Centers</t>
        </is>
      </c>
      <c r="C1866" t="inlineStr">
        <is>
          <t>482</t>
        </is>
      </c>
      <c r="D1866" t="inlineStr">
        <is>
          <t>16</t>
        </is>
      </c>
      <c r="E1866" t="inlineStr">
        <is>
          <t>16</t>
        </is>
      </c>
      <c r="F1866" t="inlineStr">
        <is>
          <t>A</t>
        </is>
      </c>
      <c r="G1866" t="inlineStr">
        <is>
          <t>Good</t>
        </is>
      </c>
      <c r="H1866" t="n">
        <v>369</v>
      </c>
      <c r="I1866">
        <f>B1866&amp;"~"&amp;F1866&amp;"~"&amp;G1866</f>
        <v/>
      </c>
      <c r="J1866" t="inlineStr">
        <is>
          <t>MVS Sec.16 p.16</t>
        </is>
      </c>
    </row>
    <row r="1867">
      <c r="B1867" t="inlineStr">
        <is>
          <t>Convention Centers</t>
        </is>
      </c>
      <c r="C1867" t="inlineStr">
        <is>
          <t>482</t>
        </is>
      </c>
      <c r="D1867" t="inlineStr">
        <is>
          <t>16</t>
        </is>
      </c>
      <c r="E1867" t="inlineStr">
        <is>
          <t>16</t>
        </is>
      </c>
      <c r="F1867" t="inlineStr">
        <is>
          <t>A</t>
        </is>
      </c>
      <c r="G1867" t="inlineStr">
        <is>
          <t>Average</t>
        </is>
      </c>
      <c r="H1867" t="n">
        <v>265</v>
      </c>
      <c r="I1867">
        <f>B1867&amp;"~"&amp;F1867&amp;"~"&amp;G1867</f>
        <v/>
      </c>
      <c r="J1867" t="inlineStr">
        <is>
          <t>MVS Sec.16 p.16</t>
        </is>
      </c>
    </row>
    <row r="1868">
      <c r="B1868" t="inlineStr">
        <is>
          <t>Convention Centers</t>
        </is>
      </c>
      <c r="C1868" t="inlineStr">
        <is>
          <t>482</t>
        </is>
      </c>
      <c r="D1868" t="inlineStr">
        <is>
          <t>16</t>
        </is>
      </c>
      <c r="E1868" t="inlineStr">
        <is>
          <t>16</t>
        </is>
      </c>
      <c r="F1868" t="inlineStr">
        <is>
          <t>B</t>
        </is>
      </c>
      <c r="G1868" t="inlineStr">
        <is>
          <t>Good</t>
        </is>
      </c>
      <c r="H1868" t="n">
        <v>333</v>
      </c>
      <c r="I1868">
        <f>B1868&amp;"~"&amp;F1868&amp;"~"&amp;G1868</f>
        <v/>
      </c>
      <c r="J1868" t="inlineStr">
        <is>
          <t>MVS Sec.16 p.16</t>
        </is>
      </c>
    </row>
    <row r="1869">
      <c r="B1869" t="inlineStr">
        <is>
          <t>Convention Centers</t>
        </is>
      </c>
      <c r="C1869" t="inlineStr">
        <is>
          <t>482</t>
        </is>
      </c>
      <c r="D1869" t="inlineStr">
        <is>
          <t>16</t>
        </is>
      </c>
      <c r="E1869" t="inlineStr">
        <is>
          <t>16</t>
        </is>
      </c>
      <c r="F1869" t="inlineStr">
        <is>
          <t>B</t>
        </is>
      </c>
      <c r="G1869" t="inlineStr">
        <is>
          <t>Average</t>
        </is>
      </c>
      <c r="H1869" t="n">
        <v>241</v>
      </c>
      <c r="I1869">
        <f>B1869&amp;"~"&amp;F1869&amp;"~"&amp;G1869</f>
        <v/>
      </c>
      <c r="J1869" t="inlineStr">
        <is>
          <t>MVS Sec.16 p.16</t>
        </is>
      </c>
    </row>
    <row r="1870">
      <c r="B1870" t="inlineStr">
        <is>
          <t>Convention Centers</t>
        </is>
      </c>
      <c r="C1870" t="inlineStr">
        <is>
          <t>482</t>
        </is>
      </c>
      <c r="D1870" t="inlineStr">
        <is>
          <t>16</t>
        </is>
      </c>
      <c r="E1870" t="inlineStr">
        <is>
          <t>16</t>
        </is>
      </c>
      <c r="F1870" t="inlineStr">
        <is>
          <t>C</t>
        </is>
      </c>
      <c r="G1870" t="inlineStr">
        <is>
          <t>Excellent</t>
        </is>
      </c>
      <c r="H1870" t="n">
        <v>298</v>
      </c>
      <c r="I1870">
        <f>B1870&amp;"~"&amp;F1870&amp;"~"&amp;G1870</f>
        <v/>
      </c>
      <c r="J1870" t="inlineStr">
        <is>
          <t>MVS Sec.16 p.16</t>
        </is>
      </c>
    </row>
    <row r="1871">
      <c r="B1871" t="inlineStr">
        <is>
          <t>Convention Centers</t>
        </is>
      </c>
      <c r="C1871" t="inlineStr">
        <is>
          <t>482</t>
        </is>
      </c>
      <c r="D1871" t="inlineStr">
        <is>
          <t>16</t>
        </is>
      </c>
      <c r="E1871" t="inlineStr">
        <is>
          <t>16</t>
        </is>
      </c>
      <c r="F1871" t="inlineStr">
        <is>
          <t>C</t>
        </is>
      </c>
      <c r="G1871" t="inlineStr">
        <is>
          <t>Good</t>
        </is>
      </c>
      <c r="H1871" t="n">
        <v>236</v>
      </c>
      <c r="I1871">
        <f>B1871&amp;"~"&amp;F1871&amp;"~"&amp;G1871</f>
        <v/>
      </c>
      <c r="J1871" t="inlineStr">
        <is>
          <t>MVS Sec.16 p.16</t>
        </is>
      </c>
    </row>
    <row r="1872">
      <c r="B1872" t="inlineStr">
        <is>
          <t>Convention Centers</t>
        </is>
      </c>
      <c r="C1872" t="inlineStr">
        <is>
          <t>482</t>
        </is>
      </c>
      <c r="D1872" t="inlineStr">
        <is>
          <t>16</t>
        </is>
      </c>
      <c r="E1872" t="inlineStr">
        <is>
          <t>16</t>
        </is>
      </c>
      <c r="F1872" t="inlineStr">
        <is>
          <t>C</t>
        </is>
      </c>
      <c r="G1872" t="inlineStr">
        <is>
          <t>Average</t>
        </is>
      </c>
      <c r="H1872" t="n">
        <v>179</v>
      </c>
      <c r="I1872">
        <f>B1872&amp;"~"&amp;F1872&amp;"~"&amp;G1872</f>
        <v/>
      </c>
      <c r="J1872" t="inlineStr">
        <is>
          <t>MVS Sec.16 p.16</t>
        </is>
      </c>
    </row>
    <row r="1873">
      <c r="B1873" t="inlineStr">
        <is>
          <t>Convention Centers</t>
        </is>
      </c>
      <c r="C1873" t="inlineStr">
        <is>
          <t>482</t>
        </is>
      </c>
      <c r="D1873" t="inlineStr">
        <is>
          <t>16</t>
        </is>
      </c>
      <c r="E1873" t="inlineStr">
        <is>
          <t>16</t>
        </is>
      </c>
      <c r="F1873" t="inlineStr">
        <is>
          <t>D</t>
        </is>
      </c>
      <c r="G1873" t="inlineStr">
        <is>
          <t>Excellent</t>
        </is>
      </c>
      <c r="H1873" t="n">
        <v>285</v>
      </c>
      <c r="I1873">
        <f>B1873&amp;"~"&amp;F1873&amp;"~"&amp;G1873</f>
        <v/>
      </c>
      <c r="J1873" t="inlineStr">
        <is>
          <t>MVS Sec.16 p.16</t>
        </is>
      </c>
    </row>
    <row r="1874">
      <c r="B1874" t="inlineStr">
        <is>
          <t>Convention Centers</t>
        </is>
      </c>
      <c r="C1874" t="inlineStr">
        <is>
          <t>482</t>
        </is>
      </c>
      <c r="D1874" t="inlineStr">
        <is>
          <t>16</t>
        </is>
      </c>
      <c r="E1874" t="inlineStr">
        <is>
          <t>16</t>
        </is>
      </c>
      <c r="F1874" t="inlineStr">
        <is>
          <t>D</t>
        </is>
      </c>
      <c r="G1874" t="inlineStr">
        <is>
          <t>Good</t>
        </is>
      </c>
      <c r="H1874" t="n">
        <v>226</v>
      </c>
      <c r="I1874">
        <f>B1874&amp;"~"&amp;F1874&amp;"~"&amp;G1874</f>
        <v/>
      </c>
      <c r="J1874" t="inlineStr">
        <is>
          <t>MVS Sec.16 p.16</t>
        </is>
      </c>
    </row>
    <row r="1875">
      <c r="B1875" t="inlineStr">
        <is>
          <t>Convention Centers</t>
        </is>
      </c>
      <c r="C1875" t="inlineStr">
        <is>
          <t>482</t>
        </is>
      </c>
      <c r="D1875" t="inlineStr">
        <is>
          <t>16</t>
        </is>
      </c>
      <c r="E1875" t="inlineStr">
        <is>
          <t>16</t>
        </is>
      </c>
      <c r="F1875" t="inlineStr">
        <is>
          <t>D</t>
        </is>
      </c>
      <c r="G1875" t="inlineStr">
        <is>
          <t>Average</t>
        </is>
      </c>
      <c r="H1875" t="n">
        <v>172</v>
      </c>
      <c r="I1875">
        <f>B1875&amp;"~"&amp;F1875&amp;"~"&amp;G1875</f>
        <v/>
      </c>
      <c r="J1875" t="inlineStr">
        <is>
          <t>MVS Sec.16 p.16</t>
        </is>
      </c>
    </row>
    <row r="1876">
      <c r="B1876" t="inlineStr">
        <is>
          <t>Casinos</t>
        </is>
      </c>
      <c r="C1876" t="inlineStr">
        <is>
          <t>515</t>
        </is>
      </c>
      <c r="D1876" t="inlineStr">
        <is>
          <t>16</t>
        </is>
      </c>
      <c r="E1876" t="inlineStr">
        <is>
          <t>17</t>
        </is>
      </c>
      <c r="F1876" t="inlineStr">
        <is>
          <t>C</t>
        </is>
      </c>
      <c r="G1876" t="inlineStr">
        <is>
          <t>Excellent</t>
        </is>
      </c>
      <c r="H1876" t="n">
        <v>361</v>
      </c>
      <c r="I1876">
        <f>B1876&amp;"~"&amp;F1876&amp;"~"&amp;G1876</f>
        <v/>
      </c>
      <c r="J1876" t="inlineStr">
        <is>
          <t>MVS Sec.16 p.17</t>
        </is>
      </c>
    </row>
    <row r="1877">
      <c r="B1877" t="inlineStr">
        <is>
          <t>Casinos</t>
        </is>
      </c>
      <c r="C1877" t="inlineStr">
        <is>
          <t>515</t>
        </is>
      </c>
      <c r="D1877" t="inlineStr">
        <is>
          <t>16</t>
        </is>
      </c>
      <c r="E1877" t="inlineStr">
        <is>
          <t>17</t>
        </is>
      </c>
      <c r="F1877" t="inlineStr">
        <is>
          <t>C</t>
        </is>
      </c>
      <c r="G1877" t="inlineStr">
        <is>
          <t>Very Good</t>
        </is>
      </c>
      <c r="H1877" t="n">
        <v>310</v>
      </c>
      <c r="I1877">
        <f>B1877&amp;"~"&amp;F1877&amp;"~"&amp;G1877</f>
        <v/>
      </c>
      <c r="J1877" t="inlineStr">
        <is>
          <t>MVS Sec.16 p.17</t>
        </is>
      </c>
    </row>
    <row r="1878">
      <c r="B1878" t="inlineStr">
        <is>
          <t>Casinos</t>
        </is>
      </c>
      <c r="C1878" t="inlineStr">
        <is>
          <t>515</t>
        </is>
      </c>
      <c r="D1878" t="inlineStr">
        <is>
          <t>16</t>
        </is>
      </c>
      <c r="E1878" t="inlineStr">
        <is>
          <t>17</t>
        </is>
      </c>
      <c r="F1878" t="inlineStr">
        <is>
          <t>C</t>
        </is>
      </c>
      <c r="G1878" t="inlineStr">
        <is>
          <t>Good</t>
        </is>
      </c>
      <c r="H1878" t="n">
        <v>254</v>
      </c>
      <c r="I1878">
        <f>B1878&amp;"~"&amp;F1878&amp;"~"&amp;G1878</f>
        <v/>
      </c>
      <c r="J1878" t="inlineStr">
        <is>
          <t>MVS Sec.16 p.17</t>
        </is>
      </c>
    </row>
    <row r="1879">
      <c r="B1879" t="inlineStr">
        <is>
          <t>Casinos</t>
        </is>
      </c>
      <c r="C1879" t="inlineStr">
        <is>
          <t>515</t>
        </is>
      </c>
      <c r="D1879" t="inlineStr">
        <is>
          <t>16</t>
        </is>
      </c>
      <c r="E1879" t="inlineStr">
        <is>
          <t>17</t>
        </is>
      </c>
      <c r="F1879" t="inlineStr">
        <is>
          <t>C</t>
        </is>
      </c>
      <c r="G1879" t="inlineStr">
        <is>
          <t>Average</t>
        </is>
      </c>
      <c r="H1879" t="n">
        <v>188</v>
      </c>
      <c r="I1879">
        <f>B1879&amp;"~"&amp;F1879&amp;"~"&amp;G1879</f>
        <v/>
      </c>
      <c r="J1879" t="inlineStr">
        <is>
          <t>MVS Sec.16 p.17</t>
        </is>
      </c>
    </row>
    <row r="1880">
      <c r="B1880" t="inlineStr">
        <is>
          <t>Casinos</t>
        </is>
      </c>
      <c r="C1880" t="inlineStr">
        <is>
          <t>515</t>
        </is>
      </c>
      <c r="D1880" t="inlineStr">
        <is>
          <t>16</t>
        </is>
      </c>
      <c r="E1880" t="inlineStr">
        <is>
          <t>17</t>
        </is>
      </c>
      <c r="F1880" t="inlineStr">
        <is>
          <t>D</t>
        </is>
      </c>
      <c r="G1880" t="inlineStr">
        <is>
          <t>Excellent</t>
        </is>
      </c>
      <c r="H1880" t="n">
        <v>350</v>
      </c>
      <c r="I1880">
        <f>B1880&amp;"~"&amp;F1880&amp;"~"&amp;G1880</f>
        <v/>
      </c>
      <c r="J1880" t="inlineStr">
        <is>
          <t>MVS Sec.16 p.17</t>
        </is>
      </c>
    </row>
    <row r="1881">
      <c r="B1881" t="inlineStr">
        <is>
          <t>Casinos</t>
        </is>
      </c>
      <c r="C1881" t="inlineStr">
        <is>
          <t>515</t>
        </is>
      </c>
      <c r="D1881" t="inlineStr">
        <is>
          <t>16</t>
        </is>
      </c>
      <c r="E1881" t="inlineStr">
        <is>
          <t>17</t>
        </is>
      </c>
      <c r="F1881" t="inlineStr">
        <is>
          <t>D</t>
        </is>
      </c>
      <c r="G1881" t="inlineStr">
        <is>
          <t>Very Good</t>
        </is>
      </c>
      <c r="H1881" t="n">
        <v>300</v>
      </c>
      <c r="I1881">
        <f>B1881&amp;"~"&amp;F1881&amp;"~"&amp;G1881</f>
        <v/>
      </c>
      <c r="J1881" t="inlineStr">
        <is>
          <t>MVS Sec.16 p.17</t>
        </is>
      </c>
    </row>
    <row r="1882">
      <c r="B1882" t="inlineStr">
        <is>
          <t>Casinos</t>
        </is>
      </c>
      <c r="C1882" t="inlineStr">
        <is>
          <t>515</t>
        </is>
      </c>
      <c r="D1882" t="inlineStr">
        <is>
          <t>16</t>
        </is>
      </c>
      <c r="E1882" t="inlineStr">
        <is>
          <t>17</t>
        </is>
      </c>
      <c r="F1882" t="inlineStr">
        <is>
          <t>D</t>
        </is>
      </c>
      <c r="G1882" t="inlineStr">
        <is>
          <t>Good</t>
        </is>
      </c>
      <c r="H1882" t="n">
        <v>245</v>
      </c>
      <c r="I1882">
        <f>B1882&amp;"~"&amp;F1882&amp;"~"&amp;G1882</f>
        <v/>
      </c>
      <c r="J1882" t="inlineStr">
        <is>
          <t>MVS Sec.16 p.17</t>
        </is>
      </c>
    </row>
    <row r="1883">
      <c r="B1883" t="inlineStr">
        <is>
          <t>Casinos</t>
        </is>
      </c>
      <c r="C1883" t="inlineStr">
        <is>
          <t>515</t>
        </is>
      </c>
      <c r="D1883" t="inlineStr">
        <is>
          <t>16</t>
        </is>
      </c>
      <c r="E1883" t="inlineStr">
        <is>
          <t>17</t>
        </is>
      </c>
      <c r="F1883" t="inlineStr">
        <is>
          <t>D</t>
        </is>
      </c>
      <c r="G1883" t="inlineStr">
        <is>
          <t>Average</t>
        </is>
      </c>
      <c r="H1883" t="n">
        <v>180</v>
      </c>
      <c r="I1883">
        <f>B1883&amp;"~"&amp;F1883&amp;"~"&amp;G1883</f>
        <v/>
      </c>
      <c r="J1883" t="inlineStr">
        <is>
          <t>MVS Sec.16 p.17</t>
        </is>
      </c>
    </row>
    <row r="1884">
      <c r="B1884" t="inlineStr">
        <is>
          <t>Casinos</t>
        </is>
      </c>
      <c r="C1884" t="inlineStr">
        <is>
          <t>515</t>
        </is>
      </c>
      <c r="D1884" t="inlineStr">
        <is>
          <t>16</t>
        </is>
      </c>
      <c r="E1884" t="inlineStr">
        <is>
          <t>17</t>
        </is>
      </c>
      <c r="F1884" t="inlineStr">
        <is>
          <t>S</t>
        </is>
      </c>
      <c r="G1884" t="inlineStr">
        <is>
          <t>Average</t>
        </is>
      </c>
      <c r="H1884" t="n">
        <v>178</v>
      </c>
      <c r="I1884">
        <f>B1884&amp;"~"&amp;F1884&amp;"~"&amp;G1884</f>
        <v/>
      </c>
      <c r="J1884" t="inlineStr">
        <is>
          <t>MVS Sec.16 p.17</t>
        </is>
      </c>
    </row>
    <row r="1885">
      <c r="B1885" t="inlineStr">
        <is>
          <t>Community Recreation Centers</t>
        </is>
      </c>
      <c r="C1885" t="inlineStr">
        <is>
          <t>514</t>
        </is>
      </c>
      <c r="D1885" t="inlineStr">
        <is>
          <t>16</t>
        </is>
      </c>
      <c r="E1885" t="inlineStr">
        <is>
          <t>18</t>
        </is>
      </c>
      <c r="F1885" t="inlineStr">
        <is>
          <t>A-B</t>
        </is>
      </c>
      <c r="G1885" t="inlineStr">
        <is>
          <t>Good</t>
        </is>
      </c>
      <c r="H1885" t="n">
        <v>314</v>
      </c>
      <c r="I1885">
        <f>B1885&amp;"~"&amp;F1885&amp;"~"&amp;G1885</f>
        <v/>
      </c>
      <c r="J1885" t="inlineStr">
        <is>
          <t>MVS Sec.16 p.18</t>
        </is>
      </c>
    </row>
    <row r="1886">
      <c r="B1886" t="inlineStr">
        <is>
          <t>Community Recreation Centers</t>
        </is>
      </c>
      <c r="C1886" t="inlineStr">
        <is>
          <t>514</t>
        </is>
      </c>
      <c r="D1886" t="inlineStr">
        <is>
          <t>16</t>
        </is>
      </c>
      <c r="E1886" t="inlineStr">
        <is>
          <t>18</t>
        </is>
      </c>
      <c r="F1886" t="inlineStr">
        <is>
          <t>A-B</t>
        </is>
      </c>
      <c r="G1886" t="inlineStr">
        <is>
          <t>Average</t>
        </is>
      </c>
      <c r="H1886" t="n">
        <v>242</v>
      </c>
      <c r="I1886">
        <f>B1886&amp;"~"&amp;F1886&amp;"~"&amp;G1886</f>
        <v/>
      </c>
      <c r="J1886" t="inlineStr">
        <is>
          <t>MVS Sec.16 p.18</t>
        </is>
      </c>
    </row>
    <row r="1887">
      <c r="B1887" t="inlineStr">
        <is>
          <t>Community Recreation Centers</t>
        </is>
      </c>
      <c r="C1887" t="inlineStr">
        <is>
          <t>514</t>
        </is>
      </c>
      <c r="D1887" t="inlineStr">
        <is>
          <t>16</t>
        </is>
      </c>
      <c r="E1887" t="inlineStr">
        <is>
          <t>18</t>
        </is>
      </c>
      <c r="F1887" t="inlineStr">
        <is>
          <t>C</t>
        </is>
      </c>
      <c r="G1887" t="inlineStr">
        <is>
          <t>Excellent</t>
        </is>
      </c>
      <c r="H1887" t="n">
        <v>312</v>
      </c>
      <c r="I1887">
        <f>B1887&amp;"~"&amp;F1887&amp;"~"&amp;G1887</f>
        <v/>
      </c>
      <c r="J1887" t="inlineStr">
        <is>
          <t>MVS Sec.16 p.18</t>
        </is>
      </c>
    </row>
    <row r="1888">
      <c r="B1888" t="inlineStr">
        <is>
          <t>Community Recreation Centers</t>
        </is>
      </c>
      <c r="C1888" t="inlineStr">
        <is>
          <t>514</t>
        </is>
      </c>
      <c r="D1888" t="inlineStr">
        <is>
          <t>16</t>
        </is>
      </c>
      <c r="E1888" t="inlineStr">
        <is>
          <t>18</t>
        </is>
      </c>
      <c r="F1888" t="inlineStr">
        <is>
          <t>C</t>
        </is>
      </c>
      <c r="G1888" t="inlineStr">
        <is>
          <t>Good</t>
        </is>
      </c>
      <c r="H1888" t="n">
        <v>236</v>
      </c>
      <c r="I1888">
        <f>B1888&amp;"~"&amp;F1888&amp;"~"&amp;G1888</f>
        <v/>
      </c>
      <c r="J1888" t="inlineStr">
        <is>
          <t>MVS Sec.16 p.18</t>
        </is>
      </c>
    </row>
    <row r="1889">
      <c r="B1889" t="inlineStr">
        <is>
          <t>Community Recreation Centers</t>
        </is>
      </c>
      <c r="C1889" t="inlineStr">
        <is>
          <t>514</t>
        </is>
      </c>
      <c r="D1889" t="inlineStr">
        <is>
          <t>16</t>
        </is>
      </c>
      <c r="E1889" t="inlineStr">
        <is>
          <t>18</t>
        </is>
      </c>
      <c r="F1889" t="inlineStr">
        <is>
          <t>C</t>
        </is>
      </c>
      <c r="G1889" t="inlineStr">
        <is>
          <t>Average</t>
        </is>
      </c>
      <c r="H1889" t="n">
        <v>180</v>
      </c>
      <c r="I1889">
        <f>B1889&amp;"~"&amp;F1889&amp;"~"&amp;G1889</f>
        <v/>
      </c>
      <c r="J1889" t="inlineStr">
        <is>
          <t>MVS Sec.16 p.18</t>
        </is>
      </c>
    </row>
    <row r="1890">
      <c r="B1890" t="inlineStr">
        <is>
          <t>Community Recreation Centers</t>
        </is>
      </c>
      <c r="C1890" t="inlineStr">
        <is>
          <t>514</t>
        </is>
      </c>
      <c r="D1890" t="inlineStr">
        <is>
          <t>16</t>
        </is>
      </c>
      <c r="E1890" t="inlineStr">
        <is>
          <t>18</t>
        </is>
      </c>
      <c r="F1890" t="inlineStr">
        <is>
          <t>D</t>
        </is>
      </c>
      <c r="G1890" t="inlineStr">
        <is>
          <t>Excellent</t>
        </is>
      </c>
      <c r="H1890" t="n">
        <v>303</v>
      </c>
      <c r="I1890">
        <f>B1890&amp;"~"&amp;F1890&amp;"~"&amp;G1890</f>
        <v/>
      </c>
      <c r="J1890" t="inlineStr">
        <is>
          <t>MVS Sec.16 p.18</t>
        </is>
      </c>
    </row>
    <row r="1891">
      <c r="B1891" t="inlineStr">
        <is>
          <t>Community Recreation Centers</t>
        </is>
      </c>
      <c r="C1891" t="inlineStr">
        <is>
          <t>514</t>
        </is>
      </c>
      <c r="D1891" t="inlineStr">
        <is>
          <t>16</t>
        </is>
      </c>
      <c r="E1891" t="inlineStr">
        <is>
          <t>18</t>
        </is>
      </c>
      <c r="F1891" t="inlineStr">
        <is>
          <t>D</t>
        </is>
      </c>
      <c r="G1891" t="inlineStr">
        <is>
          <t>Good</t>
        </is>
      </c>
      <c r="H1891" t="n">
        <v>229</v>
      </c>
      <c r="I1891">
        <f>B1891&amp;"~"&amp;F1891&amp;"~"&amp;G1891</f>
        <v/>
      </c>
      <c r="J1891" t="inlineStr">
        <is>
          <t>MVS Sec.16 p.18</t>
        </is>
      </c>
    </row>
    <row r="1892">
      <c r="B1892" t="inlineStr">
        <is>
          <t>Community Recreation Centers</t>
        </is>
      </c>
      <c r="C1892" t="inlineStr">
        <is>
          <t>514</t>
        </is>
      </c>
      <c r="D1892" t="inlineStr">
        <is>
          <t>16</t>
        </is>
      </c>
      <c r="E1892" t="inlineStr">
        <is>
          <t>18</t>
        </is>
      </c>
      <c r="F1892" t="inlineStr">
        <is>
          <t>D</t>
        </is>
      </c>
      <c r="G1892" t="inlineStr">
        <is>
          <t>Average</t>
        </is>
      </c>
      <c r="H1892" t="n">
        <v>174</v>
      </c>
      <c r="I1892">
        <f>B1892&amp;"~"&amp;F1892&amp;"~"&amp;G1892</f>
        <v/>
      </c>
      <c r="J1892" t="inlineStr">
        <is>
          <t>MVS Sec.16 p.18</t>
        </is>
      </c>
    </row>
    <row r="1893">
      <c r="B1893" t="inlineStr">
        <is>
          <t>Community Recreation Centers</t>
        </is>
      </c>
      <c r="C1893" t="inlineStr">
        <is>
          <t>514</t>
        </is>
      </c>
      <c r="D1893" t="inlineStr">
        <is>
          <t>16</t>
        </is>
      </c>
      <c r="E1893" t="inlineStr">
        <is>
          <t>18</t>
        </is>
      </c>
      <c r="F1893" t="inlineStr">
        <is>
          <t>S</t>
        </is>
      </c>
      <c r="G1893" t="inlineStr">
        <is>
          <t>Good</t>
        </is>
      </c>
      <c r="H1893" t="n">
        <v>227</v>
      </c>
      <c r="I1893">
        <f>B1893&amp;"~"&amp;F1893&amp;"~"&amp;G1893</f>
        <v/>
      </c>
      <c r="J1893" t="inlineStr">
        <is>
          <t>MVS Sec.16 p.18</t>
        </is>
      </c>
    </row>
    <row r="1894">
      <c r="B1894" t="inlineStr">
        <is>
          <t>Community Recreation Centers</t>
        </is>
      </c>
      <c r="C1894" t="inlineStr">
        <is>
          <t>514</t>
        </is>
      </c>
      <c r="D1894" t="inlineStr">
        <is>
          <t>16</t>
        </is>
      </c>
      <c r="E1894" t="inlineStr">
        <is>
          <t>18</t>
        </is>
      </c>
      <c r="F1894" t="inlineStr">
        <is>
          <t>S</t>
        </is>
      </c>
      <c r="G1894" t="inlineStr">
        <is>
          <t>Average</t>
        </is>
      </c>
      <c r="H1894" t="n">
        <v>172</v>
      </c>
      <c r="I1894">
        <f>B1894&amp;"~"&amp;F1894&amp;"~"&amp;G1894</f>
        <v/>
      </c>
      <c r="J1894" t="inlineStr">
        <is>
          <t>MVS Sec.16 p.18</t>
        </is>
      </c>
    </row>
    <row r="1895">
      <c r="B1895" t="inlineStr">
        <is>
          <t>Arcade Buildings</t>
        </is>
      </c>
      <c r="C1895" t="inlineStr">
        <is>
          <t>573</t>
        </is>
      </c>
      <c r="D1895" t="inlineStr">
        <is>
          <t>16</t>
        </is>
      </c>
      <c r="E1895" t="inlineStr">
        <is>
          <t>18</t>
        </is>
      </c>
      <c r="F1895" t="inlineStr">
        <is>
          <t>C</t>
        </is>
      </c>
      <c r="G1895" t="inlineStr">
        <is>
          <t>Excellent</t>
        </is>
      </c>
      <c r="H1895" t="n">
        <v>208</v>
      </c>
      <c r="I1895">
        <f>B1895&amp;"~"&amp;F1895&amp;"~"&amp;G1895</f>
        <v/>
      </c>
      <c r="J1895" t="inlineStr">
        <is>
          <t>MVS Sec.16 p.18</t>
        </is>
      </c>
    </row>
    <row r="1896">
      <c r="B1896" t="inlineStr">
        <is>
          <t>Arcade Buildings</t>
        </is>
      </c>
      <c r="C1896" t="inlineStr">
        <is>
          <t>573</t>
        </is>
      </c>
      <c r="D1896" t="inlineStr">
        <is>
          <t>16</t>
        </is>
      </c>
      <c r="E1896" t="inlineStr">
        <is>
          <t>18</t>
        </is>
      </c>
      <c r="F1896" t="inlineStr">
        <is>
          <t>C</t>
        </is>
      </c>
      <c r="G1896" t="inlineStr">
        <is>
          <t>Good</t>
        </is>
      </c>
      <c r="H1896" t="n">
        <v>153</v>
      </c>
      <c r="I1896">
        <f>B1896&amp;"~"&amp;F1896&amp;"~"&amp;G1896</f>
        <v/>
      </c>
      <c r="J1896" t="inlineStr">
        <is>
          <t>MVS Sec.16 p.18</t>
        </is>
      </c>
    </row>
    <row r="1897">
      <c r="B1897" t="inlineStr">
        <is>
          <t>Arcade Buildings</t>
        </is>
      </c>
      <c r="C1897" t="inlineStr">
        <is>
          <t>573</t>
        </is>
      </c>
      <c r="D1897" t="inlineStr">
        <is>
          <t>16</t>
        </is>
      </c>
      <c r="E1897" t="inlineStr">
        <is>
          <t>18</t>
        </is>
      </c>
      <c r="F1897" t="inlineStr">
        <is>
          <t>C</t>
        </is>
      </c>
      <c r="G1897" t="inlineStr">
        <is>
          <t>Average</t>
        </is>
      </c>
      <c r="H1897" t="n">
        <v>113</v>
      </c>
      <c r="I1897">
        <f>B1897&amp;"~"&amp;F1897&amp;"~"&amp;G1897</f>
        <v/>
      </c>
      <c r="J1897" t="inlineStr">
        <is>
          <t>MVS Sec.16 p.18</t>
        </is>
      </c>
    </row>
    <row r="1898">
      <c r="B1898" t="inlineStr">
        <is>
          <t>Arcade Buildings</t>
        </is>
      </c>
      <c r="C1898" t="inlineStr">
        <is>
          <t>573</t>
        </is>
      </c>
      <c r="D1898" t="inlineStr">
        <is>
          <t>16</t>
        </is>
      </c>
      <c r="E1898" t="inlineStr">
        <is>
          <t>18</t>
        </is>
      </c>
      <c r="F1898" t="inlineStr">
        <is>
          <t>D</t>
        </is>
      </c>
      <c r="G1898" t="inlineStr">
        <is>
          <t>Good</t>
        </is>
      </c>
      <c r="H1898" t="n">
        <v>146</v>
      </c>
      <c r="I1898">
        <f>B1898&amp;"~"&amp;F1898&amp;"~"&amp;G1898</f>
        <v/>
      </c>
      <c r="J1898" t="inlineStr">
        <is>
          <t>MVS Sec.16 p.18</t>
        </is>
      </c>
    </row>
    <row r="1899">
      <c r="B1899" t="inlineStr">
        <is>
          <t>Arcade Buildings</t>
        </is>
      </c>
      <c r="C1899" t="inlineStr">
        <is>
          <t>573</t>
        </is>
      </c>
      <c r="D1899" t="inlineStr">
        <is>
          <t>16</t>
        </is>
      </c>
      <c r="E1899" t="inlineStr">
        <is>
          <t>18</t>
        </is>
      </c>
      <c r="F1899" t="inlineStr">
        <is>
          <t>D</t>
        </is>
      </c>
      <c r="G1899" t="inlineStr">
        <is>
          <t>Average</t>
        </is>
      </c>
      <c r="H1899" t="n">
        <v>108</v>
      </c>
      <c r="I1899">
        <f>B1899&amp;"~"&amp;F1899&amp;"~"&amp;G1899</f>
        <v/>
      </c>
      <c r="J1899" t="inlineStr">
        <is>
          <t>MVS Sec.16 p.18</t>
        </is>
      </c>
    </row>
    <row r="1900">
      <c r="B1900" t="inlineStr">
        <is>
          <t>Arcade Buildings</t>
        </is>
      </c>
      <c r="C1900" t="inlineStr">
        <is>
          <t>573</t>
        </is>
      </c>
      <c r="D1900" t="inlineStr">
        <is>
          <t>16</t>
        </is>
      </c>
      <c r="E1900" t="inlineStr">
        <is>
          <t>18</t>
        </is>
      </c>
      <c r="F1900" t="inlineStr">
        <is>
          <t>DPOLE</t>
        </is>
      </c>
      <c r="G1900" t="inlineStr">
        <is>
          <t>Average</t>
        </is>
      </c>
      <c r="H1900" t="n">
        <v>100</v>
      </c>
      <c r="I1900">
        <f>B1900&amp;"~"&amp;F1900&amp;"~"&amp;G1900</f>
        <v/>
      </c>
      <c r="J1900" t="inlineStr">
        <is>
          <t>MVS Sec.16 p.18</t>
        </is>
      </c>
    </row>
    <row r="1901">
      <c r="B1901" t="inlineStr">
        <is>
          <t>Arcade Buildings</t>
        </is>
      </c>
      <c r="C1901" t="inlineStr">
        <is>
          <t>573</t>
        </is>
      </c>
      <c r="D1901" t="inlineStr">
        <is>
          <t>16</t>
        </is>
      </c>
      <c r="E1901" t="inlineStr">
        <is>
          <t>18</t>
        </is>
      </c>
      <c r="F1901" t="inlineStr">
        <is>
          <t>S</t>
        </is>
      </c>
      <c r="G1901" t="inlineStr">
        <is>
          <t>Average</t>
        </is>
      </c>
      <c r="H1901" t="n">
        <v>106</v>
      </c>
      <c r="I1901">
        <f>B1901&amp;"~"&amp;F1901&amp;"~"&amp;G1901</f>
        <v/>
      </c>
      <c r="J1901" t="inlineStr">
        <is>
          <t>MVS Sec.16 p.18</t>
        </is>
      </c>
    </row>
    <row r="1902">
      <c r="B1902" t="inlineStr">
        <is>
          <t>Museums</t>
        </is>
      </c>
      <c r="C1902" t="inlineStr">
        <is>
          <t>481</t>
        </is>
      </c>
      <c r="D1902" t="inlineStr">
        <is>
          <t>16</t>
        </is>
      </c>
      <c r="E1902" t="inlineStr">
        <is>
          <t>19</t>
        </is>
      </c>
      <c r="F1902" t="inlineStr">
        <is>
          <t>A-B</t>
        </is>
      </c>
      <c r="G1902" t="inlineStr">
        <is>
          <t>Good</t>
        </is>
      </c>
      <c r="H1902" t="n">
        <v>394</v>
      </c>
      <c r="I1902">
        <f>B1902&amp;"~"&amp;F1902&amp;"~"&amp;G1902</f>
        <v/>
      </c>
      <c r="J1902" t="inlineStr">
        <is>
          <t>MVS Sec.16 p.19</t>
        </is>
      </c>
    </row>
    <row r="1903">
      <c r="B1903" t="inlineStr">
        <is>
          <t>Museums</t>
        </is>
      </c>
      <c r="C1903" t="inlineStr">
        <is>
          <t>481</t>
        </is>
      </c>
      <c r="D1903" t="inlineStr">
        <is>
          <t>16</t>
        </is>
      </c>
      <c r="E1903" t="inlineStr">
        <is>
          <t>19</t>
        </is>
      </c>
      <c r="F1903" t="inlineStr">
        <is>
          <t>A-B</t>
        </is>
      </c>
      <c r="G1903" t="inlineStr">
        <is>
          <t>Average</t>
        </is>
      </c>
      <c r="H1903" t="n">
        <v>278</v>
      </c>
      <c r="I1903">
        <f>B1903&amp;"~"&amp;F1903&amp;"~"&amp;G1903</f>
        <v/>
      </c>
      <c r="J1903" t="inlineStr">
        <is>
          <t>MVS Sec.16 p.19</t>
        </is>
      </c>
    </row>
    <row r="1904">
      <c r="B1904" t="inlineStr">
        <is>
          <t>Museums</t>
        </is>
      </c>
      <c r="C1904" t="inlineStr">
        <is>
          <t>481</t>
        </is>
      </c>
      <c r="D1904" t="inlineStr">
        <is>
          <t>16</t>
        </is>
      </c>
      <c r="E1904" t="inlineStr">
        <is>
          <t>19</t>
        </is>
      </c>
      <c r="F1904" t="inlineStr">
        <is>
          <t>C</t>
        </is>
      </c>
      <c r="G1904" t="inlineStr">
        <is>
          <t>Excellent</t>
        </is>
      </c>
      <c r="H1904" t="n">
        <v>369</v>
      </c>
      <c r="I1904">
        <f>B1904&amp;"~"&amp;F1904&amp;"~"&amp;G1904</f>
        <v/>
      </c>
      <c r="J1904" t="inlineStr">
        <is>
          <t>MVS Sec.16 p.19</t>
        </is>
      </c>
    </row>
    <row r="1905">
      <c r="B1905" t="inlineStr">
        <is>
          <t>Museums</t>
        </is>
      </c>
      <c r="C1905" t="inlineStr">
        <is>
          <t>481</t>
        </is>
      </c>
      <c r="D1905" t="inlineStr">
        <is>
          <t>16</t>
        </is>
      </c>
      <c r="E1905" t="inlineStr">
        <is>
          <t>19</t>
        </is>
      </c>
      <c r="F1905" t="inlineStr">
        <is>
          <t>C</t>
        </is>
      </c>
      <c r="G1905" t="inlineStr">
        <is>
          <t>Good</t>
        </is>
      </c>
      <c r="H1905" t="n">
        <v>270</v>
      </c>
      <c r="I1905">
        <f>B1905&amp;"~"&amp;F1905&amp;"~"&amp;G1905</f>
        <v/>
      </c>
      <c r="J1905" t="inlineStr">
        <is>
          <t>MVS Sec.16 p.19</t>
        </is>
      </c>
    </row>
    <row r="1906">
      <c r="B1906" t="inlineStr">
        <is>
          <t>Museums</t>
        </is>
      </c>
      <c r="C1906" t="inlineStr">
        <is>
          <t>481</t>
        </is>
      </c>
      <c r="D1906" t="inlineStr">
        <is>
          <t>16</t>
        </is>
      </c>
      <c r="E1906" t="inlineStr">
        <is>
          <t>19</t>
        </is>
      </c>
      <c r="F1906" t="inlineStr">
        <is>
          <t>C</t>
        </is>
      </c>
      <c r="G1906" t="inlineStr">
        <is>
          <t>Average</t>
        </is>
      </c>
      <c r="H1906" t="n">
        <v>197</v>
      </c>
      <c r="I1906">
        <f>B1906&amp;"~"&amp;F1906&amp;"~"&amp;G1906</f>
        <v/>
      </c>
      <c r="J1906" t="inlineStr">
        <is>
          <t>MVS Sec.16 p.19</t>
        </is>
      </c>
    </row>
    <row r="1907">
      <c r="B1907" t="inlineStr">
        <is>
          <t>Museums</t>
        </is>
      </c>
      <c r="C1907" t="inlineStr">
        <is>
          <t>481</t>
        </is>
      </c>
      <c r="D1907" t="inlineStr">
        <is>
          <t>16</t>
        </is>
      </c>
      <c r="E1907" t="inlineStr">
        <is>
          <t>19</t>
        </is>
      </c>
      <c r="F1907" t="inlineStr">
        <is>
          <t>D</t>
        </is>
      </c>
      <c r="G1907" t="inlineStr">
        <is>
          <t>Excellent</t>
        </is>
      </c>
      <c r="H1907" t="n">
        <v>341</v>
      </c>
      <c r="I1907">
        <f>B1907&amp;"~"&amp;F1907&amp;"~"&amp;G1907</f>
        <v/>
      </c>
      <c r="J1907" t="inlineStr">
        <is>
          <t>MVS Sec.16 p.19</t>
        </is>
      </c>
    </row>
    <row r="1908">
      <c r="B1908" t="inlineStr">
        <is>
          <t>Museums</t>
        </is>
      </c>
      <c r="C1908" t="inlineStr">
        <is>
          <t>481</t>
        </is>
      </c>
      <c r="D1908" t="inlineStr">
        <is>
          <t>16</t>
        </is>
      </c>
      <c r="E1908" t="inlineStr">
        <is>
          <t>19</t>
        </is>
      </c>
      <c r="F1908" t="inlineStr">
        <is>
          <t>D</t>
        </is>
      </c>
      <c r="G1908" t="inlineStr">
        <is>
          <t>Good</t>
        </is>
      </c>
      <c r="H1908" t="n">
        <v>250</v>
      </c>
      <c r="I1908">
        <f>B1908&amp;"~"&amp;F1908&amp;"~"&amp;G1908</f>
        <v/>
      </c>
      <c r="J1908" t="inlineStr">
        <is>
          <t>MVS Sec.16 p.19</t>
        </is>
      </c>
    </row>
    <row r="1909">
      <c r="B1909" t="inlineStr">
        <is>
          <t>Museums</t>
        </is>
      </c>
      <c r="C1909" t="inlineStr">
        <is>
          <t>481</t>
        </is>
      </c>
      <c r="D1909" t="inlineStr">
        <is>
          <t>16</t>
        </is>
      </c>
      <c r="E1909" t="inlineStr">
        <is>
          <t>19</t>
        </is>
      </c>
      <c r="F1909" t="inlineStr">
        <is>
          <t>D</t>
        </is>
      </c>
      <c r="G1909" t="inlineStr">
        <is>
          <t>Average</t>
        </is>
      </c>
      <c r="H1909" t="n">
        <v>189</v>
      </c>
      <c r="I1909">
        <f>B1909&amp;"~"&amp;F1909&amp;"~"&amp;G1909</f>
        <v/>
      </c>
      <c r="J1909" t="inlineStr">
        <is>
          <t>MVS Sec.16 p.19</t>
        </is>
      </c>
    </row>
    <row r="1910">
      <c r="B1910" t="inlineStr">
        <is>
          <t>Ice Skating Rinks</t>
        </is>
      </c>
      <c r="C1910" t="inlineStr">
        <is>
          <t>175</t>
        </is>
      </c>
      <c r="D1910" t="inlineStr">
        <is>
          <t>16</t>
        </is>
      </c>
      <c r="E1910" t="inlineStr">
        <is>
          <t>20</t>
        </is>
      </c>
      <c r="F1910" t="inlineStr">
        <is>
          <t>A-B</t>
        </is>
      </c>
      <c r="G1910" t="inlineStr">
        <is>
          <t>Good</t>
        </is>
      </c>
      <c r="H1910" t="n">
        <v>277</v>
      </c>
      <c r="I1910">
        <f>B1910&amp;"~"&amp;F1910&amp;"~"&amp;G1910</f>
        <v/>
      </c>
      <c r="J1910" t="inlineStr">
        <is>
          <t>MVS Sec.16 p.20</t>
        </is>
      </c>
    </row>
    <row r="1911">
      <c r="B1911" t="inlineStr">
        <is>
          <t>Ice Skating Rinks</t>
        </is>
      </c>
      <c r="C1911" t="inlineStr">
        <is>
          <t>175</t>
        </is>
      </c>
      <c r="D1911" t="inlineStr">
        <is>
          <t>16</t>
        </is>
      </c>
      <c r="E1911" t="inlineStr">
        <is>
          <t>20</t>
        </is>
      </c>
      <c r="F1911" t="inlineStr">
        <is>
          <t>A-B</t>
        </is>
      </c>
      <c r="G1911" t="inlineStr">
        <is>
          <t>Average</t>
        </is>
      </c>
      <c r="H1911" t="n">
        <v>195</v>
      </c>
      <c r="I1911">
        <f>B1911&amp;"~"&amp;F1911&amp;"~"&amp;G1911</f>
        <v/>
      </c>
      <c r="J1911" t="inlineStr">
        <is>
          <t>MVS Sec.16 p.20</t>
        </is>
      </c>
    </row>
    <row r="1912">
      <c r="B1912" t="inlineStr">
        <is>
          <t>Ice Skating Rinks</t>
        </is>
      </c>
      <c r="C1912" t="inlineStr">
        <is>
          <t>175</t>
        </is>
      </c>
      <c r="D1912" t="inlineStr">
        <is>
          <t>16</t>
        </is>
      </c>
      <c r="E1912" t="inlineStr">
        <is>
          <t>20</t>
        </is>
      </c>
      <c r="F1912" t="inlineStr">
        <is>
          <t>C</t>
        </is>
      </c>
      <c r="G1912" t="inlineStr">
        <is>
          <t>Excellent</t>
        </is>
      </c>
      <c r="H1912" t="n">
        <v>264</v>
      </c>
      <c r="I1912">
        <f>B1912&amp;"~"&amp;F1912&amp;"~"&amp;G1912</f>
        <v/>
      </c>
      <c r="J1912" t="inlineStr">
        <is>
          <t>MVS Sec.16 p.20</t>
        </is>
      </c>
    </row>
    <row r="1913">
      <c r="B1913" t="inlineStr">
        <is>
          <t>Ice Skating Rinks</t>
        </is>
      </c>
      <c r="C1913" t="inlineStr">
        <is>
          <t>175</t>
        </is>
      </c>
      <c r="D1913" t="inlineStr">
        <is>
          <t>16</t>
        </is>
      </c>
      <c r="E1913" t="inlineStr">
        <is>
          <t>20</t>
        </is>
      </c>
      <c r="F1913" t="inlineStr">
        <is>
          <t>C</t>
        </is>
      </c>
      <c r="G1913" t="inlineStr">
        <is>
          <t>Good</t>
        </is>
      </c>
      <c r="H1913" t="n">
        <v>183</v>
      </c>
      <c r="I1913">
        <f>B1913&amp;"~"&amp;F1913&amp;"~"&amp;G1913</f>
        <v/>
      </c>
      <c r="J1913" t="inlineStr">
        <is>
          <t>MVS Sec.16 p.20</t>
        </is>
      </c>
    </row>
    <row r="1914">
      <c r="B1914" t="inlineStr">
        <is>
          <t>Ice Skating Rinks</t>
        </is>
      </c>
      <c r="C1914" t="inlineStr">
        <is>
          <t>175</t>
        </is>
      </c>
      <c r="D1914" t="inlineStr">
        <is>
          <t>16</t>
        </is>
      </c>
      <c r="E1914" t="inlineStr">
        <is>
          <t>20</t>
        </is>
      </c>
      <c r="F1914" t="inlineStr">
        <is>
          <t>C</t>
        </is>
      </c>
      <c r="G1914" t="inlineStr">
        <is>
          <t>Average</t>
        </is>
      </c>
      <c r="H1914" t="n">
        <v>133</v>
      </c>
      <c r="I1914">
        <f>B1914&amp;"~"&amp;F1914&amp;"~"&amp;G1914</f>
        <v/>
      </c>
      <c r="J1914" t="inlineStr">
        <is>
          <t>MVS Sec.16 p.20</t>
        </is>
      </c>
    </row>
    <row r="1915">
      <c r="B1915" t="inlineStr">
        <is>
          <t>Ice Skating Rinks</t>
        </is>
      </c>
      <c r="C1915" t="inlineStr">
        <is>
          <t>175</t>
        </is>
      </c>
      <c r="D1915" t="inlineStr">
        <is>
          <t>16</t>
        </is>
      </c>
      <c r="E1915" t="inlineStr">
        <is>
          <t>20</t>
        </is>
      </c>
      <c r="F1915" t="inlineStr">
        <is>
          <t>D</t>
        </is>
      </c>
      <c r="G1915" t="inlineStr">
        <is>
          <t>Excellent</t>
        </is>
      </c>
      <c r="H1915" t="n">
        <v>257</v>
      </c>
      <c r="I1915">
        <f>B1915&amp;"~"&amp;F1915&amp;"~"&amp;G1915</f>
        <v/>
      </c>
      <c r="J1915" t="inlineStr">
        <is>
          <t>MVS Sec.16 p.20</t>
        </is>
      </c>
    </row>
    <row r="1916">
      <c r="B1916" t="inlineStr">
        <is>
          <t>Ice Skating Rinks</t>
        </is>
      </c>
      <c r="C1916" t="inlineStr">
        <is>
          <t>175</t>
        </is>
      </c>
      <c r="D1916" t="inlineStr">
        <is>
          <t>16</t>
        </is>
      </c>
      <c r="E1916" t="inlineStr">
        <is>
          <t>20</t>
        </is>
      </c>
      <c r="F1916" t="inlineStr">
        <is>
          <t>D</t>
        </is>
      </c>
      <c r="G1916" t="inlineStr">
        <is>
          <t>Good</t>
        </is>
      </c>
      <c r="H1916" t="n">
        <v>176</v>
      </c>
      <c r="I1916">
        <f>B1916&amp;"~"&amp;F1916&amp;"~"&amp;G1916</f>
        <v/>
      </c>
      <c r="J1916" t="inlineStr">
        <is>
          <t>MVS Sec.16 p.20</t>
        </is>
      </c>
    </row>
    <row r="1917">
      <c r="B1917" t="inlineStr">
        <is>
          <t>Ice Skating Rinks</t>
        </is>
      </c>
      <c r="C1917" t="inlineStr">
        <is>
          <t>175</t>
        </is>
      </c>
      <c r="D1917" t="inlineStr">
        <is>
          <t>16</t>
        </is>
      </c>
      <c r="E1917" t="inlineStr">
        <is>
          <t>20</t>
        </is>
      </c>
      <c r="F1917" t="inlineStr">
        <is>
          <t>D</t>
        </is>
      </c>
      <c r="G1917" t="inlineStr">
        <is>
          <t>Average</t>
        </is>
      </c>
      <c r="H1917" t="n">
        <v>126</v>
      </c>
      <c r="I1917">
        <f>B1917&amp;"~"&amp;F1917&amp;"~"&amp;G1917</f>
        <v/>
      </c>
      <c r="J1917" t="inlineStr">
        <is>
          <t>MVS Sec.16 p.20</t>
        </is>
      </c>
    </row>
    <row r="1918">
      <c r="B1918" t="inlineStr">
        <is>
          <t>Ice Skating Rinks</t>
        </is>
      </c>
      <c r="C1918" t="inlineStr">
        <is>
          <t>175</t>
        </is>
      </c>
      <c r="D1918" t="inlineStr">
        <is>
          <t>16</t>
        </is>
      </c>
      <c r="E1918" t="inlineStr">
        <is>
          <t>20</t>
        </is>
      </c>
      <c r="F1918" t="inlineStr">
        <is>
          <t>DPOLE</t>
        </is>
      </c>
      <c r="G1918" t="inlineStr">
        <is>
          <t>Excellent</t>
        </is>
      </c>
      <c r="H1918" t="n">
        <v>258</v>
      </c>
      <c r="I1918">
        <f>B1918&amp;"~"&amp;F1918&amp;"~"&amp;G1918</f>
        <v/>
      </c>
      <c r="J1918" t="inlineStr">
        <is>
          <t>MVS Sec.16 p.20</t>
        </is>
      </c>
    </row>
    <row r="1919">
      <c r="B1919" t="inlineStr">
        <is>
          <t>Ice Skating Rinks</t>
        </is>
      </c>
      <c r="C1919" t="inlineStr">
        <is>
          <t>175</t>
        </is>
      </c>
      <c r="D1919" t="inlineStr">
        <is>
          <t>16</t>
        </is>
      </c>
      <c r="E1919" t="inlineStr">
        <is>
          <t>20</t>
        </is>
      </c>
      <c r="F1919" t="inlineStr">
        <is>
          <t>S</t>
        </is>
      </c>
      <c r="G1919" t="inlineStr">
        <is>
          <t>Good</t>
        </is>
      </c>
      <c r="H1919" t="n">
        <v>174</v>
      </c>
      <c r="I1919">
        <f>B1919&amp;"~"&amp;F1919&amp;"~"&amp;G1919</f>
        <v/>
      </c>
      <c r="J1919" t="inlineStr">
        <is>
          <t>MVS Sec.16 p.20</t>
        </is>
      </c>
    </row>
    <row r="1920">
      <c r="B1920" t="inlineStr">
        <is>
          <t>Ice Skating Rinks</t>
        </is>
      </c>
      <c r="C1920" t="inlineStr">
        <is>
          <t>175</t>
        </is>
      </c>
      <c r="D1920" t="inlineStr">
        <is>
          <t>16</t>
        </is>
      </c>
      <c r="E1920" t="inlineStr">
        <is>
          <t>20</t>
        </is>
      </c>
      <c r="F1920" t="inlineStr">
        <is>
          <t>S</t>
        </is>
      </c>
      <c r="G1920" t="inlineStr">
        <is>
          <t>Average</t>
        </is>
      </c>
      <c r="H1920" t="n">
        <v>124</v>
      </c>
      <c r="I1920">
        <f>B1920&amp;"~"&amp;F1920&amp;"~"&amp;G1920</f>
        <v/>
      </c>
      <c r="J1920" t="inlineStr">
        <is>
          <t>MVS Sec.16 p.20</t>
        </is>
      </c>
    </row>
    <row r="1921">
      <c r="B1921" t="inlineStr">
        <is>
          <t>Roller Skating Rinks</t>
        </is>
      </c>
      <c r="C1921" t="inlineStr">
        <is>
          <t>176</t>
        </is>
      </c>
      <c r="D1921" t="inlineStr">
        <is>
          <t>16</t>
        </is>
      </c>
      <c r="E1921" t="inlineStr">
        <is>
          <t>21</t>
        </is>
      </c>
      <c r="F1921" t="inlineStr">
        <is>
          <t>C</t>
        </is>
      </c>
      <c r="G1921" t="inlineStr">
        <is>
          <t>Good</t>
        </is>
      </c>
      <c r="H1921" t="n">
        <v>169</v>
      </c>
      <c r="I1921">
        <f>B1921&amp;"~"&amp;F1921&amp;"~"&amp;G1921</f>
        <v/>
      </c>
      <c r="J1921" t="inlineStr">
        <is>
          <t>MVS Sec.16 p.21</t>
        </is>
      </c>
    </row>
    <row r="1922">
      <c r="B1922" t="inlineStr">
        <is>
          <t>Roller Skating Rinks</t>
        </is>
      </c>
      <c r="C1922" t="inlineStr">
        <is>
          <t>176</t>
        </is>
      </c>
      <c r="D1922" t="inlineStr">
        <is>
          <t>16</t>
        </is>
      </c>
      <c r="E1922" t="inlineStr">
        <is>
          <t>21</t>
        </is>
      </c>
      <c r="F1922" t="inlineStr">
        <is>
          <t>C</t>
        </is>
      </c>
      <c r="G1922" t="inlineStr">
        <is>
          <t>Average</t>
        </is>
      </c>
      <c r="H1922" t="n">
        <v>125</v>
      </c>
      <c r="I1922">
        <f>B1922&amp;"~"&amp;F1922&amp;"~"&amp;G1922</f>
        <v/>
      </c>
      <c r="J1922" t="inlineStr">
        <is>
          <t>MVS Sec.16 p.21</t>
        </is>
      </c>
    </row>
    <row r="1923">
      <c r="B1923" t="inlineStr">
        <is>
          <t>Roller Skating Rinks</t>
        </is>
      </c>
      <c r="C1923" t="inlineStr">
        <is>
          <t>176</t>
        </is>
      </c>
      <c r="D1923" t="inlineStr">
        <is>
          <t>16</t>
        </is>
      </c>
      <c r="E1923" t="inlineStr">
        <is>
          <t>21</t>
        </is>
      </c>
      <c r="F1923" t="inlineStr">
        <is>
          <t>D</t>
        </is>
      </c>
      <c r="G1923" t="inlineStr">
        <is>
          <t>Good</t>
        </is>
      </c>
      <c r="H1923" t="n">
        <v>162</v>
      </c>
      <c r="I1923">
        <f>B1923&amp;"~"&amp;F1923&amp;"~"&amp;G1923</f>
        <v/>
      </c>
      <c r="J1923" t="inlineStr">
        <is>
          <t>MVS Sec.16 p.21</t>
        </is>
      </c>
    </row>
    <row r="1924">
      <c r="B1924" t="inlineStr">
        <is>
          <t>Roller Skating Rinks</t>
        </is>
      </c>
      <c r="C1924" t="inlineStr">
        <is>
          <t>176</t>
        </is>
      </c>
      <c r="D1924" t="inlineStr">
        <is>
          <t>16</t>
        </is>
      </c>
      <c r="E1924" t="inlineStr">
        <is>
          <t>21</t>
        </is>
      </c>
      <c r="F1924" t="inlineStr">
        <is>
          <t>D</t>
        </is>
      </c>
      <c r="G1924" t="inlineStr">
        <is>
          <t>Average</t>
        </is>
      </c>
      <c r="H1924" t="n">
        <v>118</v>
      </c>
      <c r="I1924">
        <f>B1924&amp;"~"&amp;F1924&amp;"~"&amp;G1924</f>
        <v/>
      </c>
      <c r="J1924" t="inlineStr">
        <is>
          <t>MVS Sec.16 p.21</t>
        </is>
      </c>
    </row>
    <row r="1925">
      <c r="B1925" t="inlineStr">
        <is>
          <t>Roller Skating Rinks</t>
        </is>
      </c>
      <c r="C1925" t="inlineStr">
        <is>
          <t>176</t>
        </is>
      </c>
      <c r="D1925" t="inlineStr">
        <is>
          <t>16</t>
        </is>
      </c>
      <c r="E1925" t="inlineStr">
        <is>
          <t>21</t>
        </is>
      </c>
      <c r="F1925" t="inlineStr">
        <is>
          <t>DPOLE</t>
        </is>
      </c>
      <c r="G1925" t="inlineStr">
        <is>
          <t>Good</t>
        </is>
      </c>
      <c r="H1925" t="n">
        <v>160</v>
      </c>
      <c r="I1925">
        <f>B1925&amp;"~"&amp;F1925&amp;"~"&amp;G1925</f>
        <v/>
      </c>
      <c r="J1925" t="inlineStr">
        <is>
          <t>MVS Sec.16 p.21</t>
        </is>
      </c>
    </row>
    <row r="1926">
      <c r="B1926" t="inlineStr">
        <is>
          <t>Roller Skating Rinks</t>
        </is>
      </c>
      <c r="C1926" t="inlineStr">
        <is>
          <t>176</t>
        </is>
      </c>
      <c r="D1926" t="inlineStr">
        <is>
          <t>16</t>
        </is>
      </c>
      <c r="E1926" t="inlineStr">
        <is>
          <t>21</t>
        </is>
      </c>
      <c r="F1926" t="inlineStr">
        <is>
          <t>S</t>
        </is>
      </c>
      <c r="G1926" t="inlineStr">
        <is>
          <t>Average</t>
        </is>
      </c>
      <c r="H1926" t="n">
        <v>115</v>
      </c>
      <c r="I1926">
        <f>B1926&amp;"~"&amp;F1926&amp;"~"&amp;G1926</f>
        <v/>
      </c>
      <c r="J1926" t="inlineStr">
        <is>
          <t>MVS Sec.16 p.21</t>
        </is>
      </c>
    </row>
    <row r="1927">
      <c r="B1927" t="inlineStr">
        <is>
          <t>Handball/Racquetball Clubs</t>
        </is>
      </c>
      <c r="C1927" t="inlineStr">
        <is>
          <t>417</t>
        </is>
      </c>
      <c r="D1927" t="inlineStr">
        <is>
          <t>16</t>
        </is>
      </c>
      <c r="E1927" t="inlineStr">
        <is>
          <t>21</t>
        </is>
      </c>
      <c r="F1927" t="inlineStr">
        <is>
          <t>C</t>
        </is>
      </c>
      <c r="G1927" t="inlineStr">
        <is>
          <t>Good</t>
        </is>
      </c>
      <c r="H1927" t="n">
        <v>200</v>
      </c>
      <c r="I1927">
        <f>B1927&amp;"~"&amp;F1927&amp;"~"&amp;G1927</f>
        <v/>
      </c>
      <c r="J1927" t="inlineStr">
        <is>
          <t>MVS Sec.16 p.21</t>
        </is>
      </c>
    </row>
    <row r="1928">
      <c r="B1928" t="inlineStr">
        <is>
          <t>Handball/Racquetball Clubs</t>
        </is>
      </c>
      <c r="C1928" t="inlineStr">
        <is>
          <t>417</t>
        </is>
      </c>
      <c r="D1928" t="inlineStr">
        <is>
          <t>16</t>
        </is>
      </c>
      <c r="E1928" t="inlineStr">
        <is>
          <t>21</t>
        </is>
      </c>
      <c r="F1928" t="inlineStr">
        <is>
          <t>C</t>
        </is>
      </c>
      <c r="G1928" t="inlineStr">
        <is>
          <t>Average</t>
        </is>
      </c>
      <c r="H1928" t="n">
        <v>136</v>
      </c>
      <c r="I1928">
        <f>B1928&amp;"~"&amp;F1928&amp;"~"&amp;G1928</f>
        <v/>
      </c>
      <c r="J1928" t="inlineStr">
        <is>
          <t>MVS Sec.16 p.21</t>
        </is>
      </c>
    </row>
    <row r="1929">
      <c r="B1929" t="inlineStr">
        <is>
          <t>Handball/Racquetball Clubs</t>
        </is>
      </c>
      <c r="C1929" t="inlineStr">
        <is>
          <t>417</t>
        </is>
      </c>
      <c r="D1929" t="inlineStr">
        <is>
          <t>16</t>
        </is>
      </c>
      <c r="E1929" t="inlineStr">
        <is>
          <t>21</t>
        </is>
      </c>
      <c r="F1929" t="inlineStr">
        <is>
          <t>D</t>
        </is>
      </c>
      <c r="G1929" t="inlineStr">
        <is>
          <t>Good</t>
        </is>
      </c>
      <c r="H1929" t="n">
        <v>190</v>
      </c>
      <c r="I1929">
        <f>B1929&amp;"~"&amp;F1929&amp;"~"&amp;G1929</f>
        <v/>
      </c>
      <c r="J1929" t="inlineStr">
        <is>
          <t>MVS Sec.16 p.21</t>
        </is>
      </c>
    </row>
    <row r="1930">
      <c r="B1930" t="inlineStr">
        <is>
          <t>Handball/Racquetball Clubs</t>
        </is>
      </c>
      <c r="C1930" t="inlineStr">
        <is>
          <t>417</t>
        </is>
      </c>
      <c r="D1930" t="inlineStr">
        <is>
          <t>16</t>
        </is>
      </c>
      <c r="E1930" t="inlineStr">
        <is>
          <t>21</t>
        </is>
      </c>
      <c r="F1930" t="inlineStr">
        <is>
          <t>D</t>
        </is>
      </c>
      <c r="G1930" t="inlineStr">
        <is>
          <t>Average</t>
        </is>
      </c>
      <c r="H1930" t="n">
        <v>128</v>
      </c>
      <c r="I1930">
        <f>B1930&amp;"~"&amp;F1930&amp;"~"&amp;G1930</f>
        <v/>
      </c>
      <c r="J1930" t="inlineStr">
        <is>
          <t>MVS Sec.16 p.21</t>
        </is>
      </c>
    </row>
    <row r="1931">
      <c r="B1931" t="inlineStr">
        <is>
          <t>Handball/Racquetball Clubs</t>
        </is>
      </c>
      <c r="C1931" t="inlineStr">
        <is>
          <t>417</t>
        </is>
      </c>
      <c r="D1931" t="inlineStr">
        <is>
          <t>16</t>
        </is>
      </c>
      <c r="E1931" t="inlineStr">
        <is>
          <t>21</t>
        </is>
      </c>
      <c r="F1931" t="inlineStr">
        <is>
          <t>S</t>
        </is>
      </c>
      <c r="G1931" t="inlineStr">
        <is>
          <t>Good</t>
        </is>
      </c>
      <c r="H1931" t="n">
        <v>191</v>
      </c>
      <c r="I1931">
        <f>B1931&amp;"~"&amp;F1931&amp;"~"&amp;G1931</f>
        <v/>
      </c>
      <c r="J1931" t="inlineStr">
        <is>
          <t>MVS Sec.16 p.21</t>
        </is>
      </c>
    </row>
    <row r="1932">
      <c r="B1932" t="inlineStr">
        <is>
          <t>Handball/Racquetball Clubs</t>
        </is>
      </c>
      <c r="C1932" t="inlineStr">
        <is>
          <t>417</t>
        </is>
      </c>
      <c r="D1932" t="inlineStr">
        <is>
          <t>16</t>
        </is>
      </c>
      <c r="E1932" t="inlineStr">
        <is>
          <t>21</t>
        </is>
      </c>
      <c r="F1932" t="inlineStr">
        <is>
          <t>S</t>
        </is>
      </c>
      <c r="G1932" t="inlineStr">
        <is>
          <t>Average</t>
        </is>
      </c>
      <c r="H1932" t="n">
        <v>126</v>
      </c>
      <c r="I1932">
        <f>B1932&amp;"~"&amp;F1932&amp;"~"&amp;G1932</f>
        <v/>
      </c>
      <c r="J1932" t="inlineStr">
        <is>
          <t>MVS Sec.16 p.21</t>
        </is>
      </c>
    </row>
    <row r="1933">
      <c r="B1933" t="inlineStr">
        <is>
          <t>Fitness Centers</t>
        </is>
      </c>
      <c r="C1933" t="inlineStr">
        <is>
          <t>483</t>
        </is>
      </c>
      <c r="D1933" t="inlineStr">
        <is>
          <t>16</t>
        </is>
      </c>
      <c r="E1933" t="inlineStr">
        <is>
          <t>21</t>
        </is>
      </c>
      <c r="F1933" t="inlineStr">
        <is>
          <t>A-B</t>
        </is>
      </c>
      <c r="G1933" t="inlineStr">
        <is>
          <t>Good</t>
        </is>
      </c>
      <c r="H1933" t="n">
        <v>289</v>
      </c>
      <c r="I1933">
        <f>B1933&amp;"~"&amp;F1933&amp;"~"&amp;G1933</f>
        <v/>
      </c>
      <c r="J1933" t="inlineStr">
        <is>
          <t>MVS Sec.16 p.21</t>
        </is>
      </c>
    </row>
    <row r="1934">
      <c r="B1934" t="inlineStr">
        <is>
          <t>Fitness Centers</t>
        </is>
      </c>
      <c r="C1934" t="inlineStr">
        <is>
          <t>483</t>
        </is>
      </c>
      <c r="D1934" t="inlineStr">
        <is>
          <t>16</t>
        </is>
      </c>
      <c r="E1934" t="inlineStr">
        <is>
          <t>21</t>
        </is>
      </c>
      <c r="F1934" t="inlineStr">
        <is>
          <t>A-B</t>
        </is>
      </c>
      <c r="G1934" t="inlineStr">
        <is>
          <t>Average</t>
        </is>
      </c>
      <c r="H1934" t="n">
        <v>209</v>
      </c>
      <c r="I1934">
        <f>B1934&amp;"~"&amp;F1934&amp;"~"&amp;G1934</f>
        <v/>
      </c>
      <c r="J1934" t="inlineStr">
        <is>
          <t>MVS Sec.16 p.21</t>
        </is>
      </c>
    </row>
    <row r="1935">
      <c r="B1935" t="inlineStr">
        <is>
          <t>Fitness Centers</t>
        </is>
      </c>
      <c r="C1935" t="inlineStr">
        <is>
          <t>483</t>
        </is>
      </c>
      <c r="D1935" t="inlineStr">
        <is>
          <t>16</t>
        </is>
      </c>
      <c r="E1935" t="inlineStr">
        <is>
          <t>21</t>
        </is>
      </c>
      <c r="F1935" t="inlineStr">
        <is>
          <t>C</t>
        </is>
      </c>
      <c r="G1935" t="inlineStr">
        <is>
          <t>Excellent</t>
        </is>
      </c>
      <c r="H1935" t="n">
        <v>280</v>
      </c>
      <c r="I1935">
        <f>B1935&amp;"~"&amp;F1935&amp;"~"&amp;G1935</f>
        <v/>
      </c>
      <c r="J1935" t="inlineStr">
        <is>
          <t>MVS Sec.16 p.21</t>
        </is>
      </c>
    </row>
    <row r="1936">
      <c r="B1936" t="inlineStr">
        <is>
          <t>Fitness Centers</t>
        </is>
      </c>
      <c r="C1936" t="inlineStr">
        <is>
          <t>483</t>
        </is>
      </c>
      <c r="D1936" t="inlineStr">
        <is>
          <t>16</t>
        </is>
      </c>
      <c r="E1936" t="inlineStr">
        <is>
          <t>21</t>
        </is>
      </c>
      <c r="F1936" t="inlineStr">
        <is>
          <t>C</t>
        </is>
      </c>
      <c r="G1936" t="inlineStr">
        <is>
          <t>Good</t>
        </is>
      </c>
      <c r="H1936" t="n">
        <v>199</v>
      </c>
      <c r="I1936">
        <f>B1936&amp;"~"&amp;F1936&amp;"~"&amp;G1936</f>
        <v/>
      </c>
      <c r="J1936" t="inlineStr">
        <is>
          <t>MVS Sec.16 p.21</t>
        </is>
      </c>
    </row>
    <row r="1937">
      <c r="B1937" t="inlineStr">
        <is>
          <t>Fitness Centers</t>
        </is>
      </c>
      <c r="C1937" t="inlineStr">
        <is>
          <t>483</t>
        </is>
      </c>
      <c r="D1937" t="inlineStr">
        <is>
          <t>16</t>
        </is>
      </c>
      <c r="E1937" t="inlineStr">
        <is>
          <t>21</t>
        </is>
      </c>
      <c r="F1937" t="inlineStr">
        <is>
          <t>C</t>
        </is>
      </c>
      <c r="G1937" t="inlineStr">
        <is>
          <t>Average</t>
        </is>
      </c>
      <c r="H1937" t="n">
        <v>141</v>
      </c>
      <c r="I1937">
        <f>B1937&amp;"~"&amp;F1937&amp;"~"&amp;G1937</f>
        <v/>
      </c>
      <c r="J1937" t="inlineStr">
        <is>
          <t>MVS Sec.16 p.21</t>
        </is>
      </c>
    </row>
    <row r="1938">
      <c r="B1938" t="inlineStr">
        <is>
          <t>Fitness Centers</t>
        </is>
      </c>
      <c r="C1938" t="inlineStr">
        <is>
          <t>483</t>
        </is>
      </c>
      <c r="D1938" t="inlineStr">
        <is>
          <t>16</t>
        </is>
      </c>
      <c r="E1938" t="inlineStr">
        <is>
          <t>21</t>
        </is>
      </c>
      <c r="F1938" t="inlineStr">
        <is>
          <t>D</t>
        </is>
      </c>
      <c r="G1938" t="inlineStr">
        <is>
          <t>Good</t>
        </is>
      </c>
      <c r="H1938" t="n">
        <v>191</v>
      </c>
      <c r="I1938">
        <f>B1938&amp;"~"&amp;F1938&amp;"~"&amp;G1938</f>
        <v/>
      </c>
      <c r="J1938" t="inlineStr">
        <is>
          <t>MVS Sec.16 p.21</t>
        </is>
      </c>
    </row>
    <row r="1939">
      <c r="B1939" t="inlineStr">
        <is>
          <t>Fitness Centers</t>
        </is>
      </c>
      <c r="C1939" t="inlineStr">
        <is>
          <t>483</t>
        </is>
      </c>
      <c r="D1939" t="inlineStr">
        <is>
          <t>16</t>
        </is>
      </c>
      <c r="E1939" t="inlineStr">
        <is>
          <t>21</t>
        </is>
      </c>
      <c r="F1939" t="inlineStr">
        <is>
          <t>D</t>
        </is>
      </c>
      <c r="G1939" t="inlineStr">
        <is>
          <t>Average</t>
        </is>
      </c>
      <c r="H1939" t="n">
        <v>135</v>
      </c>
      <c r="I1939">
        <f>B1939&amp;"~"&amp;F1939&amp;"~"&amp;G1939</f>
        <v/>
      </c>
      <c r="J1939" t="inlineStr">
        <is>
          <t>MVS Sec.16 p.21</t>
        </is>
      </c>
    </row>
    <row r="1940">
      <c r="B1940" t="inlineStr">
        <is>
          <t>Fitness Centers</t>
        </is>
      </c>
      <c r="C1940" t="inlineStr">
        <is>
          <t>483</t>
        </is>
      </c>
      <c r="D1940" t="inlineStr">
        <is>
          <t>16</t>
        </is>
      </c>
      <c r="E1940" t="inlineStr">
        <is>
          <t>21</t>
        </is>
      </c>
      <c r="F1940" t="inlineStr">
        <is>
          <t>S</t>
        </is>
      </c>
      <c r="G1940" t="inlineStr">
        <is>
          <t>Good</t>
        </is>
      </c>
      <c r="H1940" t="n">
        <v>192</v>
      </c>
      <c r="I1940">
        <f>B1940&amp;"~"&amp;F1940&amp;"~"&amp;G1940</f>
        <v/>
      </c>
      <c r="J1940" t="inlineStr">
        <is>
          <t>MVS Sec.16 p.21</t>
        </is>
      </c>
    </row>
    <row r="1941">
      <c r="B1941" t="inlineStr">
        <is>
          <t>Fitness Centers</t>
        </is>
      </c>
      <c r="C1941" t="inlineStr">
        <is>
          <t>483</t>
        </is>
      </c>
      <c r="D1941" t="inlineStr">
        <is>
          <t>16</t>
        </is>
      </c>
      <c r="E1941" t="inlineStr">
        <is>
          <t>21</t>
        </is>
      </c>
      <c r="F1941" t="inlineStr">
        <is>
          <t>S</t>
        </is>
      </c>
      <c r="G1941" t="inlineStr">
        <is>
          <t>Average</t>
        </is>
      </c>
      <c r="H1941" t="n">
        <v>133</v>
      </c>
      <c r="I1941">
        <f>B1941&amp;"~"&amp;F1941&amp;"~"&amp;G1941</f>
        <v/>
      </c>
      <c r="J1941" t="inlineStr">
        <is>
          <t>MVS Sec.16 p.21</t>
        </is>
      </c>
    </row>
    <row r="1942">
      <c r="B1942" t="inlineStr">
        <is>
          <t>Bowling Centers</t>
        </is>
      </c>
      <c r="C1942" t="inlineStr">
        <is>
          <t>306</t>
        </is>
      </c>
      <c r="D1942" t="inlineStr">
        <is>
          <t>16</t>
        </is>
      </c>
      <c r="E1942" t="inlineStr">
        <is>
          <t>22</t>
        </is>
      </c>
      <c r="F1942" t="inlineStr">
        <is>
          <t>C</t>
        </is>
      </c>
      <c r="G1942" t="inlineStr">
        <is>
          <t>Excellent</t>
        </is>
      </c>
      <c r="H1942" t="n">
        <v>176</v>
      </c>
      <c r="I1942">
        <f>B1942&amp;"~"&amp;F1942&amp;"~"&amp;G1942</f>
        <v/>
      </c>
      <c r="J1942" t="inlineStr">
        <is>
          <t>MVS Sec.16 p.22</t>
        </is>
      </c>
    </row>
    <row r="1943">
      <c r="B1943" t="inlineStr">
        <is>
          <t>Bowling Centers</t>
        </is>
      </c>
      <c r="C1943" t="inlineStr">
        <is>
          <t>306</t>
        </is>
      </c>
      <c r="D1943" t="inlineStr">
        <is>
          <t>16</t>
        </is>
      </c>
      <c r="E1943" t="inlineStr">
        <is>
          <t>22</t>
        </is>
      </c>
      <c r="F1943" t="inlineStr">
        <is>
          <t>C</t>
        </is>
      </c>
      <c r="G1943" t="inlineStr">
        <is>
          <t>Good</t>
        </is>
      </c>
      <c r="H1943" t="n">
        <v>144</v>
      </c>
      <c r="I1943">
        <f>B1943&amp;"~"&amp;F1943&amp;"~"&amp;G1943</f>
        <v/>
      </c>
      <c r="J1943" t="inlineStr">
        <is>
          <t>MVS Sec.16 p.22</t>
        </is>
      </c>
    </row>
    <row r="1944">
      <c r="B1944" t="inlineStr">
        <is>
          <t>Bowling Centers</t>
        </is>
      </c>
      <c r="C1944" t="inlineStr">
        <is>
          <t>306</t>
        </is>
      </c>
      <c r="D1944" t="inlineStr">
        <is>
          <t>16</t>
        </is>
      </c>
      <c r="E1944" t="inlineStr">
        <is>
          <t>22</t>
        </is>
      </c>
      <c r="F1944" t="inlineStr">
        <is>
          <t>C</t>
        </is>
      </c>
      <c r="G1944" t="inlineStr">
        <is>
          <t>Average</t>
        </is>
      </c>
      <c r="H1944" t="n">
        <v>111</v>
      </c>
      <c r="I1944">
        <f>B1944&amp;"~"&amp;F1944&amp;"~"&amp;G1944</f>
        <v/>
      </c>
      <c r="J1944" t="inlineStr">
        <is>
          <t>MVS Sec.16 p.22</t>
        </is>
      </c>
    </row>
    <row r="1945">
      <c r="B1945" t="inlineStr">
        <is>
          <t>Bowling Centers</t>
        </is>
      </c>
      <c r="C1945" t="inlineStr">
        <is>
          <t>306</t>
        </is>
      </c>
      <c r="D1945" t="inlineStr">
        <is>
          <t>16</t>
        </is>
      </c>
      <c r="E1945" t="inlineStr">
        <is>
          <t>22</t>
        </is>
      </c>
      <c r="F1945" t="inlineStr">
        <is>
          <t>D</t>
        </is>
      </c>
      <c r="G1945" t="inlineStr">
        <is>
          <t>Excellent</t>
        </is>
      </c>
      <c r="H1945" t="n">
        <v>167</v>
      </c>
      <c r="I1945">
        <f>B1945&amp;"~"&amp;F1945&amp;"~"&amp;G1945</f>
        <v/>
      </c>
      <c r="J1945" t="inlineStr">
        <is>
          <t>MVS Sec.16 p.22</t>
        </is>
      </c>
    </row>
    <row r="1946">
      <c r="B1946" t="inlineStr">
        <is>
          <t>Bowling Centers</t>
        </is>
      </c>
      <c r="C1946" t="inlineStr">
        <is>
          <t>306</t>
        </is>
      </c>
      <c r="D1946" t="inlineStr">
        <is>
          <t>16</t>
        </is>
      </c>
      <c r="E1946" t="inlineStr">
        <is>
          <t>22</t>
        </is>
      </c>
      <c r="F1946" t="inlineStr">
        <is>
          <t>D</t>
        </is>
      </c>
      <c r="G1946" t="inlineStr">
        <is>
          <t>Good</t>
        </is>
      </c>
      <c r="H1946" t="n">
        <v>136</v>
      </c>
      <c r="I1946">
        <f>B1946&amp;"~"&amp;F1946&amp;"~"&amp;G1946</f>
        <v/>
      </c>
      <c r="J1946" t="inlineStr">
        <is>
          <t>MVS Sec.16 p.22</t>
        </is>
      </c>
    </row>
    <row r="1947">
      <c r="B1947" t="inlineStr">
        <is>
          <t>Bowling Centers</t>
        </is>
      </c>
      <c r="C1947" t="inlineStr">
        <is>
          <t>306</t>
        </is>
      </c>
      <c r="D1947" t="inlineStr">
        <is>
          <t>16</t>
        </is>
      </c>
      <c r="E1947" t="inlineStr">
        <is>
          <t>22</t>
        </is>
      </c>
      <c r="F1947" t="inlineStr">
        <is>
          <t>D</t>
        </is>
      </c>
      <c r="G1947" t="inlineStr">
        <is>
          <t>Average</t>
        </is>
      </c>
      <c r="H1947" t="n">
        <v>103</v>
      </c>
      <c r="I1947">
        <f>B1947&amp;"~"&amp;F1947&amp;"~"&amp;G1947</f>
        <v/>
      </c>
      <c r="J1947" t="inlineStr">
        <is>
          <t>MVS Sec.16 p.22</t>
        </is>
      </c>
    </row>
    <row r="1948">
      <c r="B1948" t="inlineStr">
        <is>
          <t>Bowling Centers</t>
        </is>
      </c>
      <c r="C1948" t="inlineStr">
        <is>
          <t>306</t>
        </is>
      </c>
      <c r="D1948" t="inlineStr">
        <is>
          <t>16</t>
        </is>
      </c>
      <c r="E1948" t="inlineStr">
        <is>
          <t>22</t>
        </is>
      </c>
      <c r="F1948" t="inlineStr">
        <is>
          <t>DPOLE</t>
        </is>
      </c>
      <c r="G1948" t="inlineStr">
        <is>
          <t>Good</t>
        </is>
      </c>
      <c r="H1948" t="n">
        <v>131</v>
      </c>
      <c r="I1948">
        <f>B1948&amp;"~"&amp;F1948&amp;"~"&amp;G1948</f>
        <v/>
      </c>
      <c r="J1948" t="inlineStr">
        <is>
          <t>MVS Sec.16 p.22</t>
        </is>
      </c>
    </row>
    <row r="1949">
      <c r="B1949" t="inlineStr">
        <is>
          <t>Bowling Centers</t>
        </is>
      </c>
      <c r="C1949" t="inlineStr">
        <is>
          <t>306</t>
        </is>
      </c>
      <c r="D1949" t="inlineStr">
        <is>
          <t>16</t>
        </is>
      </c>
      <c r="E1949" t="inlineStr">
        <is>
          <t>22</t>
        </is>
      </c>
      <c r="F1949" t="inlineStr">
        <is>
          <t>S</t>
        </is>
      </c>
      <c r="G1949" t="inlineStr">
        <is>
          <t>Average</t>
        </is>
      </c>
      <c r="H1949" t="n">
        <v>99.5</v>
      </c>
      <c r="I1949">
        <f>B1949&amp;"~"&amp;F1949&amp;"~"&amp;G1949</f>
        <v/>
      </c>
      <c r="J1949" t="inlineStr">
        <is>
          <t>MVS Sec.16 p.22</t>
        </is>
      </c>
    </row>
    <row r="1950">
      <c r="B1950" t="inlineStr">
        <is>
          <t>Indoor Tennis Clubs</t>
        </is>
      </c>
      <c r="C1950" t="inlineStr">
        <is>
          <t>416</t>
        </is>
      </c>
      <c r="D1950" t="inlineStr">
        <is>
          <t>16</t>
        </is>
      </c>
      <c r="E1950" t="inlineStr">
        <is>
          <t>22</t>
        </is>
      </c>
      <c r="F1950" t="inlineStr">
        <is>
          <t>C</t>
        </is>
      </c>
      <c r="G1950" t="inlineStr">
        <is>
          <t>Good</t>
        </is>
      </c>
      <c r="H1950" t="n">
        <v>125</v>
      </c>
      <c r="I1950">
        <f>B1950&amp;"~"&amp;F1950&amp;"~"&amp;G1950</f>
        <v/>
      </c>
      <c r="J1950" t="inlineStr">
        <is>
          <t>MVS Sec.16 p.22</t>
        </is>
      </c>
    </row>
    <row r="1951">
      <c r="B1951" t="inlineStr">
        <is>
          <t>Indoor Tennis Clubs</t>
        </is>
      </c>
      <c r="C1951" t="inlineStr">
        <is>
          <t>416</t>
        </is>
      </c>
      <c r="D1951" t="inlineStr">
        <is>
          <t>16</t>
        </is>
      </c>
      <c r="E1951" t="inlineStr">
        <is>
          <t>22</t>
        </is>
      </c>
      <c r="F1951" t="inlineStr">
        <is>
          <t>C</t>
        </is>
      </c>
      <c r="G1951" t="inlineStr">
        <is>
          <t>Average</t>
        </is>
      </c>
      <c r="H1951" t="n">
        <v>92.5</v>
      </c>
      <c r="I1951">
        <f>B1951&amp;"~"&amp;F1951&amp;"~"&amp;G1951</f>
        <v/>
      </c>
      <c r="J1951" t="inlineStr">
        <is>
          <t>MVS Sec.16 p.22</t>
        </is>
      </c>
    </row>
    <row r="1952">
      <c r="B1952" t="inlineStr">
        <is>
          <t>Indoor Tennis Clubs</t>
        </is>
      </c>
      <c r="C1952" t="inlineStr">
        <is>
          <t>416</t>
        </is>
      </c>
      <c r="D1952" t="inlineStr">
        <is>
          <t>16</t>
        </is>
      </c>
      <c r="E1952" t="inlineStr">
        <is>
          <t>22</t>
        </is>
      </c>
      <c r="F1952" t="inlineStr">
        <is>
          <t>D</t>
        </is>
      </c>
      <c r="G1952" t="inlineStr">
        <is>
          <t>Good</t>
        </is>
      </c>
      <c r="H1952" t="n">
        <v>115</v>
      </c>
      <c r="I1952">
        <f>B1952&amp;"~"&amp;F1952&amp;"~"&amp;G1952</f>
        <v/>
      </c>
      <c r="J1952" t="inlineStr">
        <is>
          <t>MVS Sec.16 p.22</t>
        </is>
      </c>
    </row>
    <row r="1953">
      <c r="B1953" t="inlineStr">
        <is>
          <t>Indoor Tennis Clubs</t>
        </is>
      </c>
      <c r="C1953" t="inlineStr">
        <is>
          <t>416</t>
        </is>
      </c>
      <c r="D1953" t="inlineStr">
        <is>
          <t>16</t>
        </is>
      </c>
      <c r="E1953" t="inlineStr">
        <is>
          <t>22</t>
        </is>
      </c>
      <c r="F1953" t="inlineStr">
        <is>
          <t>D</t>
        </is>
      </c>
      <c r="G1953" t="inlineStr">
        <is>
          <t>Average</t>
        </is>
      </c>
      <c r="H1953" t="n">
        <v>84</v>
      </c>
      <c r="I1953">
        <f>B1953&amp;"~"&amp;F1953&amp;"~"&amp;G1953</f>
        <v/>
      </c>
      <c r="J1953" t="inlineStr">
        <is>
          <t>MVS Sec.16 p.22</t>
        </is>
      </c>
    </row>
    <row r="1954">
      <c r="B1954" t="inlineStr">
        <is>
          <t>Indoor Tennis Clubs</t>
        </is>
      </c>
      <c r="C1954" t="inlineStr">
        <is>
          <t>416</t>
        </is>
      </c>
      <c r="D1954" t="inlineStr">
        <is>
          <t>16</t>
        </is>
      </c>
      <c r="E1954" t="inlineStr">
        <is>
          <t>22</t>
        </is>
      </c>
      <c r="F1954" t="inlineStr">
        <is>
          <t>DPOLE</t>
        </is>
      </c>
      <c r="G1954" t="inlineStr">
        <is>
          <t>Good</t>
        </is>
      </c>
      <c r="H1954" t="n">
        <v>114</v>
      </c>
      <c r="I1954">
        <f>B1954&amp;"~"&amp;F1954&amp;"~"&amp;G1954</f>
        <v/>
      </c>
      <c r="J1954" t="inlineStr">
        <is>
          <t>MVS Sec.16 p.22</t>
        </is>
      </c>
    </row>
    <row r="1955">
      <c r="B1955" t="inlineStr">
        <is>
          <t>Indoor Tennis Clubs</t>
        </is>
      </c>
      <c r="C1955" t="inlineStr">
        <is>
          <t>416</t>
        </is>
      </c>
      <c r="D1955" t="inlineStr">
        <is>
          <t>16</t>
        </is>
      </c>
      <c r="E1955" t="inlineStr">
        <is>
          <t>22</t>
        </is>
      </c>
      <c r="F1955" t="inlineStr">
        <is>
          <t>S</t>
        </is>
      </c>
      <c r="G1955" t="inlineStr">
        <is>
          <t>Average</t>
        </is>
      </c>
      <c r="H1955" t="n">
        <v>82</v>
      </c>
      <c r="I1955">
        <f>B1955&amp;"~"&amp;F1955&amp;"~"&amp;G1955</f>
        <v/>
      </c>
      <c r="J1955" t="inlineStr">
        <is>
          <t>MVS Sec.16 p.22</t>
        </is>
      </c>
    </row>
    <row r="1956">
      <c r="B1956" t="inlineStr">
        <is>
          <t>Pavilions</t>
        </is>
      </c>
      <c r="C1956" t="inlineStr">
        <is>
          <t>174</t>
        </is>
      </c>
      <c r="D1956" t="inlineStr">
        <is>
          <t>16</t>
        </is>
      </c>
      <c r="E1956" t="inlineStr">
        <is>
          <t>23</t>
        </is>
      </c>
      <c r="F1956" t="inlineStr">
        <is>
          <t>C</t>
        </is>
      </c>
      <c r="G1956" t="inlineStr">
        <is>
          <t>Excellent</t>
        </is>
      </c>
      <c r="H1956" t="n">
        <v>342</v>
      </c>
      <c r="I1956">
        <f>B1956&amp;"~"&amp;F1956&amp;"~"&amp;G1956</f>
        <v/>
      </c>
      <c r="J1956" t="inlineStr">
        <is>
          <t>MVS Sec.16 p.23</t>
        </is>
      </c>
    </row>
    <row r="1957">
      <c r="B1957" t="inlineStr">
        <is>
          <t>Pavilions</t>
        </is>
      </c>
      <c r="C1957" t="inlineStr">
        <is>
          <t>174</t>
        </is>
      </c>
      <c r="D1957" t="inlineStr">
        <is>
          <t>16</t>
        </is>
      </c>
      <c r="E1957" t="inlineStr">
        <is>
          <t>23</t>
        </is>
      </c>
      <c r="F1957" t="inlineStr">
        <is>
          <t>C</t>
        </is>
      </c>
      <c r="G1957" t="inlineStr">
        <is>
          <t>Very Good</t>
        </is>
      </c>
      <c r="H1957" t="n">
        <v>265</v>
      </c>
      <c r="I1957">
        <f>B1957&amp;"~"&amp;F1957&amp;"~"&amp;G1957</f>
        <v/>
      </c>
      <c r="J1957" t="inlineStr">
        <is>
          <t>MVS Sec.16 p.23</t>
        </is>
      </c>
    </row>
    <row r="1958">
      <c r="B1958" t="inlineStr">
        <is>
          <t>Pavilions</t>
        </is>
      </c>
      <c r="C1958" t="inlineStr">
        <is>
          <t>174</t>
        </is>
      </c>
      <c r="D1958" t="inlineStr">
        <is>
          <t>16</t>
        </is>
      </c>
      <c r="E1958" t="inlineStr">
        <is>
          <t>23</t>
        </is>
      </c>
      <c r="F1958" t="inlineStr">
        <is>
          <t>C</t>
        </is>
      </c>
      <c r="G1958" t="inlineStr">
        <is>
          <t>Good</t>
        </is>
      </c>
      <c r="H1958" t="n">
        <v>205</v>
      </c>
      <c r="I1958">
        <f>B1958&amp;"~"&amp;F1958&amp;"~"&amp;G1958</f>
        <v/>
      </c>
      <c r="J1958" t="inlineStr">
        <is>
          <t>MVS Sec.16 p.23</t>
        </is>
      </c>
    </row>
    <row r="1959">
      <c r="B1959" t="inlineStr">
        <is>
          <t>Pavilions</t>
        </is>
      </c>
      <c r="C1959" t="inlineStr">
        <is>
          <t>174</t>
        </is>
      </c>
      <c r="D1959" t="inlineStr">
        <is>
          <t>16</t>
        </is>
      </c>
      <c r="E1959" t="inlineStr">
        <is>
          <t>23</t>
        </is>
      </c>
      <c r="F1959" t="inlineStr">
        <is>
          <t>C</t>
        </is>
      </c>
      <c r="G1959" t="inlineStr">
        <is>
          <t>Average</t>
        </is>
      </c>
      <c r="H1959" t="n">
        <v>124</v>
      </c>
      <c r="I1959">
        <f>B1959&amp;"~"&amp;F1959&amp;"~"&amp;G1959</f>
        <v/>
      </c>
      <c r="J1959" t="inlineStr">
        <is>
          <t>MVS Sec.16 p.23</t>
        </is>
      </c>
    </row>
    <row r="1960">
      <c r="B1960" t="inlineStr">
        <is>
          <t>Pavilions</t>
        </is>
      </c>
      <c r="C1960" t="inlineStr">
        <is>
          <t>174</t>
        </is>
      </c>
      <c r="D1960" t="inlineStr">
        <is>
          <t>16</t>
        </is>
      </c>
      <c r="E1960" t="inlineStr">
        <is>
          <t>23</t>
        </is>
      </c>
      <c r="F1960" t="inlineStr">
        <is>
          <t>C</t>
        </is>
      </c>
      <c r="G1960" t="inlineStr">
        <is>
          <t>Fair</t>
        </is>
      </c>
      <c r="H1960" t="n">
        <v>96.5</v>
      </c>
      <c r="I1960">
        <f>B1960&amp;"~"&amp;F1960&amp;"~"&amp;G1960</f>
        <v/>
      </c>
      <c r="J1960" t="inlineStr">
        <is>
          <t>MVS Sec.16 p.23</t>
        </is>
      </c>
    </row>
    <row r="1961">
      <c r="B1961" t="inlineStr">
        <is>
          <t>Pavilions</t>
        </is>
      </c>
      <c r="C1961" t="inlineStr">
        <is>
          <t>174</t>
        </is>
      </c>
      <c r="D1961" t="inlineStr">
        <is>
          <t>16</t>
        </is>
      </c>
      <c r="E1961" t="inlineStr">
        <is>
          <t>23</t>
        </is>
      </c>
      <c r="F1961" t="inlineStr">
        <is>
          <t>C</t>
        </is>
      </c>
      <c r="G1961" t="inlineStr">
        <is>
          <t>Cheap</t>
        </is>
      </c>
      <c r="H1961" t="n">
        <v>58</v>
      </c>
      <c r="I1961">
        <f>B1961&amp;"~"&amp;F1961&amp;"~"&amp;G1961</f>
        <v/>
      </c>
      <c r="J1961" t="inlineStr">
        <is>
          <t>MVS Sec.16 p.23</t>
        </is>
      </c>
    </row>
    <row r="1962">
      <c r="B1962" t="inlineStr">
        <is>
          <t>Pavilions</t>
        </is>
      </c>
      <c r="C1962" t="inlineStr">
        <is>
          <t>174</t>
        </is>
      </c>
      <c r="D1962" t="inlineStr">
        <is>
          <t>16</t>
        </is>
      </c>
      <c r="E1962" t="inlineStr">
        <is>
          <t>23</t>
        </is>
      </c>
      <c r="F1962" t="inlineStr">
        <is>
          <t>D</t>
        </is>
      </c>
      <c r="G1962" t="inlineStr">
        <is>
          <t>Excellent</t>
        </is>
      </c>
      <c r="H1962" t="n">
        <v>329</v>
      </c>
      <c r="I1962">
        <f>B1962&amp;"~"&amp;F1962&amp;"~"&amp;G1962</f>
        <v/>
      </c>
      <c r="J1962" t="inlineStr">
        <is>
          <t>MVS Sec.16 p.23</t>
        </is>
      </c>
    </row>
    <row r="1963">
      <c r="B1963" t="inlineStr">
        <is>
          <t>Pavilions</t>
        </is>
      </c>
      <c r="C1963" t="inlineStr">
        <is>
          <t>174</t>
        </is>
      </c>
      <c r="D1963" t="inlineStr">
        <is>
          <t>16</t>
        </is>
      </c>
      <c r="E1963" t="inlineStr">
        <is>
          <t>23</t>
        </is>
      </c>
      <c r="F1963" t="inlineStr">
        <is>
          <t>D</t>
        </is>
      </c>
      <c r="G1963" t="inlineStr">
        <is>
          <t>Very Good</t>
        </is>
      </c>
      <c r="H1963" t="n">
        <v>254</v>
      </c>
      <c r="I1963">
        <f>B1963&amp;"~"&amp;F1963&amp;"~"&amp;G1963</f>
        <v/>
      </c>
      <c r="J1963" t="inlineStr">
        <is>
          <t>MVS Sec.16 p.23</t>
        </is>
      </c>
    </row>
    <row r="1964">
      <c r="B1964" t="inlineStr">
        <is>
          <t>Pavilions</t>
        </is>
      </c>
      <c r="C1964" t="inlineStr">
        <is>
          <t>174</t>
        </is>
      </c>
      <c r="D1964" t="inlineStr">
        <is>
          <t>16</t>
        </is>
      </c>
      <c r="E1964" t="inlineStr">
        <is>
          <t>23</t>
        </is>
      </c>
      <c r="F1964" t="inlineStr">
        <is>
          <t>D</t>
        </is>
      </c>
      <c r="G1964" t="inlineStr">
        <is>
          <t>Good</t>
        </is>
      </c>
      <c r="H1964" t="n">
        <v>195</v>
      </c>
      <c r="I1964">
        <f>B1964&amp;"~"&amp;F1964&amp;"~"&amp;G1964</f>
        <v/>
      </c>
      <c r="J1964" t="inlineStr">
        <is>
          <t>MVS Sec.16 p.23</t>
        </is>
      </c>
    </row>
    <row r="1965">
      <c r="B1965" t="inlineStr">
        <is>
          <t>Pavilions</t>
        </is>
      </c>
      <c r="C1965" t="inlineStr">
        <is>
          <t>174</t>
        </is>
      </c>
      <c r="D1965" t="inlineStr">
        <is>
          <t>16</t>
        </is>
      </c>
      <c r="E1965" t="inlineStr">
        <is>
          <t>23</t>
        </is>
      </c>
      <c r="F1965" t="inlineStr">
        <is>
          <t>D</t>
        </is>
      </c>
      <c r="G1965" t="inlineStr">
        <is>
          <t>Average</t>
        </is>
      </c>
      <c r="H1965" t="n">
        <v>116</v>
      </c>
      <c r="I1965">
        <f>B1965&amp;"~"&amp;F1965&amp;"~"&amp;G1965</f>
        <v/>
      </c>
      <c r="J1965" t="inlineStr">
        <is>
          <t>MVS Sec.16 p.23</t>
        </is>
      </c>
    </row>
    <row r="1966">
      <c r="B1966" t="inlineStr">
        <is>
          <t>Pavilions</t>
        </is>
      </c>
      <c r="C1966" t="inlineStr">
        <is>
          <t>174</t>
        </is>
      </c>
      <c r="D1966" t="inlineStr">
        <is>
          <t>16</t>
        </is>
      </c>
      <c r="E1966" t="inlineStr">
        <is>
          <t>23</t>
        </is>
      </c>
      <c r="F1966" t="inlineStr">
        <is>
          <t>D</t>
        </is>
      </c>
      <c r="G1966" t="inlineStr">
        <is>
          <t>Fair</t>
        </is>
      </c>
      <c r="H1966" t="n">
        <v>90</v>
      </c>
      <c r="I1966">
        <f>B1966&amp;"~"&amp;F1966&amp;"~"&amp;G1966</f>
        <v/>
      </c>
      <c r="J1966" t="inlineStr">
        <is>
          <t>MVS Sec.16 p.23</t>
        </is>
      </c>
    </row>
    <row r="1967">
      <c r="B1967" t="inlineStr">
        <is>
          <t>Pavilions</t>
        </is>
      </c>
      <c r="C1967" t="inlineStr">
        <is>
          <t>174</t>
        </is>
      </c>
      <c r="D1967" t="inlineStr">
        <is>
          <t>16</t>
        </is>
      </c>
      <c r="E1967" t="inlineStr">
        <is>
          <t>23</t>
        </is>
      </c>
      <c r="F1967" t="inlineStr">
        <is>
          <t>D</t>
        </is>
      </c>
      <c r="G1967" t="inlineStr">
        <is>
          <t>Cheap</t>
        </is>
      </c>
      <c r="H1967" t="n">
        <v>53.5</v>
      </c>
      <c r="I1967">
        <f>B1967&amp;"~"&amp;F1967&amp;"~"&amp;G1967</f>
        <v/>
      </c>
      <c r="J1967" t="inlineStr">
        <is>
          <t>MVS Sec.16 p.23</t>
        </is>
      </c>
    </row>
    <row r="1968">
      <c r="B1968" t="inlineStr">
        <is>
          <t>Pavilions</t>
        </is>
      </c>
      <c r="C1968" t="inlineStr">
        <is>
          <t>174</t>
        </is>
      </c>
      <c r="D1968" t="inlineStr">
        <is>
          <t>16</t>
        </is>
      </c>
      <c r="E1968" t="inlineStr">
        <is>
          <t>23</t>
        </is>
      </c>
      <c r="F1968" t="inlineStr">
        <is>
          <t>DPOLE</t>
        </is>
      </c>
      <c r="G1968" t="inlineStr">
        <is>
          <t>Fair</t>
        </is>
      </c>
      <c r="H1968" t="n">
        <v>83</v>
      </c>
      <c r="I1968">
        <f>B1968&amp;"~"&amp;F1968&amp;"~"&amp;G1968</f>
        <v/>
      </c>
      <c r="J1968" t="inlineStr">
        <is>
          <t>MVS Sec.16 p.23</t>
        </is>
      </c>
    </row>
    <row r="1969">
      <c r="B1969" t="inlineStr">
        <is>
          <t>Pavilions</t>
        </is>
      </c>
      <c r="C1969" t="inlineStr">
        <is>
          <t>174</t>
        </is>
      </c>
      <c r="D1969" t="inlineStr">
        <is>
          <t>16</t>
        </is>
      </c>
      <c r="E1969" t="inlineStr">
        <is>
          <t>23</t>
        </is>
      </c>
      <c r="F1969" t="inlineStr">
        <is>
          <t>S</t>
        </is>
      </c>
      <c r="G1969" t="inlineStr">
        <is>
          <t>Average</t>
        </is>
      </c>
      <c r="H1969" t="n">
        <v>114</v>
      </c>
      <c r="I1969">
        <f>B1969&amp;"~"&amp;F1969&amp;"~"&amp;G1969</f>
        <v/>
      </c>
      <c r="J1969" t="inlineStr">
        <is>
          <t>MVS Sec.16 p.23</t>
        </is>
      </c>
    </row>
    <row r="1970">
      <c r="B1970" t="inlineStr">
        <is>
          <t>Pavilions</t>
        </is>
      </c>
      <c r="C1970" t="inlineStr">
        <is>
          <t>174</t>
        </is>
      </c>
      <c r="D1970" t="inlineStr">
        <is>
          <t>16</t>
        </is>
      </c>
      <c r="E1970" t="inlineStr">
        <is>
          <t>23</t>
        </is>
      </c>
      <c r="F1970" t="inlineStr">
        <is>
          <t>S</t>
        </is>
      </c>
      <c r="G1970" t="inlineStr">
        <is>
          <t>Cheap</t>
        </is>
      </c>
      <c r="H1970" t="n">
        <v>53</v>
      </c>
      <c r="I1970">
        <f>B1970&amp;"~"&amp;F1970&amp;"~"&amp;G1970</f>
        <v/>
      </c>
      <c r="J1970" t="inlineStr">
        <is>
          <t>MVS Sec.16 p.23</t>
        </is>
      </c>
    </row>
    <row r="1971">
      <c r="B1971" t="inlineStr">
        <is>
          <t>Light Commercial – Commodity Warehouse</t>
        </is>
      </c>
      <c r="C1971" t="inlineStr">
        <is>
          <t>104</t>
        </is>
      </c>
      <c r="D1971" t="inlineStr">
        <is>
          <t>17</t>
        </is>
      </c>
      <c r="E1971" t="inlineStr">
        <is>
          <t>11</t>
        </is>
      </c>
      <c r="F1971" t="inlineStr">
        <is>
          <t>C</t>
        </is>
      </c>
      <c r="G1971" t="inlineStr">
        <is>
          <t>Good</t>
        </is>
      </c>
      <c r="H1971" t="n">
        <v>52.5</v>
      </c>
      <c r="I1971">
        <f>B1971&amp;"~"&amp;F1971&amp;"~"&amp;G1971</f>
        <v/>
      </c>
      <c r="J1971" t="inlineStr">
        <is>
          <t>MVS Sec.17 p.11</t>
        </is>
      </c>
    </row>
    <row r="1972">
      <c r="B1972" t="inlineStr">
        <is>
          <t>Light Commercial – Commodity Warehouse</t>
        </is>
      </c>
      <c r="C1972" t="inlineStr">
        <is>
          <t>104</t>
        </is>
      </c>
      <c r="D1972" t="inlineStr">
        <is>
          <t>17</t>
        </is>
      </c>
      <c r="E1972" t="inlineStr">
        <is>
          <t>11</t>
        </is>
      </c>
      <c r="F1972" t="inlineStr">
        <is>
          <t>C</t>
        </is>
      </c>
      <c r="G1972" t="inlineStr">
        <is>
          <t>Average</t>
        </is>
      </c>
      <c r="H1972" t="n">
        <v>39.5</v>
      </c>
      <c r="I1972">
        <f>B1972&amp;"~"&amp;F1972&amp;"~"&amp;G1972</f>
        <v/>
      </c>
      <c r="J1972" t="inlineStr">
        <is>
          <t>MVS Sec.17 p.11</t>
        </is>
      </c>
    </row>
    <row r="1973">
      <c r="B1973" t="inlineStr">
        <is>
          <t>Light Commercial – Commodity Warehouse</t>
        </is>
      </c>
      <c r="C1973" t="inlineStr">
        <is>
          <t>104</t>
        </is>
      </c>
      <c r="D1973" t="inlineStr">
        <is>
          <t>17</t>
        </is>
      </c>
      <c r="E1973" t="inlineStr">
        <is>
          <t>11</t>
        </is>
      </c>
      <c r="F1973" t="inlineStr">
        <is>
          <t>D</t>
        </is>
      </c>
      <c r="G1973" t="inlineStr">
        <is>
          <t>Good</t>
        </is>
      </c>
      <c r="H1973" t="n">
        <v>43.25</v>
      </c>
      <c r="I1973">
        <f>B1973&amp;"~"&amp;F1973&amp;"~"&amp;G1973</f>
        <v/>
      </c>
      <c r="J1973" t="inlineStr">
        <is>
          <t>MVS Sec.17 p.11</t>
        </is>
      </c>
    </row>
    <row r="1974">
      <c r="B1974" t="inlineStr">
        <is>
          <t>Light Commercial – Commodity Warehouse</t>
        </is>
      </c>
      <c r="C1974" t="inlineStr">
        <is>
          <t>104</t>
        </is>
      </c>
      <c r="D1974" t="inlineStr">
        <is>
          <t>17</t>
        </is>
      </c>
      <c r="E1974" t="inlineStr">
        <is>
          <t>11</t>
        </is>
      </c>
      <c r="F1974" t="inlineStr">
        <is>
          <t>D</t>
        </is>
      </c>
      <c r="G1974" t="inlineStr">
        <is>
          <t>Average</t>
        </is>
      </c>
      <c r="H1974" t="n">
        <v>31</v>
      </c>
      <c r="I1974">
        <f>B1974&amp;"~"&amp;F1974&amp;"~"&amp;G1974</f>
        <v/>
      </c>
      <c r="J1974" t="inlineStr">
        <is>
          <t>MVS Sec.17 p.11</t>
        </is>
      </c>
    </row>
    <row r="1975">
      <c r="B1975" t="inlineStr">
        <is>
          <t>Light Commercial – Commodity Warehouse</t>
        </is>
      </c>
      <c r="C1975" t="inlineStr">
        <is>
          <t>104</t>
        </is>
      </c>
      <c r="D1975" t="inlineStr">
        <is>
          <t>17</t>
        </is>
      </c>
      <c r="E1975" t="inlineStr">
        <is>
          <t>11</t>
        </is>
      </c>
      <c r="F1975" t="inlineStr">
        <is>
          <t>D</t>
        </is>
      </c>
      <c r="G1975" t="inlineStr">
        <is>
          <t>Low Cost</t>
        </is>
      </c>
      <c r="H1975" t="n">
        <v>20.35</v>
      </c>
      <c r="I1975">
        <f>B1975&amp;"~"&amp;F1975&amp;"~"&amp;G1975</f>
        <v/>
      </c>
      <c r="J1975" t="inlineStr">
        <is>
          <t>MVS Sec.17 p.11</t>
        </is>
      </c>
    </row>
    <row r="1976">
      <c r="B1976" t="inlineStr">
        <is>
          <t>Light Commercial – Commodity Warehouse</t>
        </is>
      </c>
      <c r="C1976" t="inlineStr">
        <is>
          <t>104</t>
        </is>
      </c>
      <c r="D1976" t="inlineStr">
        <is>
          <t>17</t>
        </is>
      </c>
      <c r="E1976" t="inlineStr">
        <is>
          <t>11</t>
        </is>
      </c>
      <c r="F1976" t="inlineStr">
        <is>
          <t>DPOLE</t>
        </is>
      </c>
      <c r="G1976" t="inlineStr">
        <is>
          <t>Good</t>
        </is>
      </c>
      <c r="H1976" t="n">
        <v>37.5</v>
      </c>
      <c r="I1976">
        <f>B1976&amp;"~"&amp;F1976&amp;"~"&amp;G1976</f>
        <v/>
      </c>
      <c r="J1976" t="inlineStr">
        <is>
          <t>MVS Sec.17 p.11</t>
        </is>
      </c>
    </row>
    <row r="1977">
      <c r="B1977" t="inlineStr">
        <is>
          <t>Light Commercial – Commodity Warehouse</t>
        </is>
      </c>
      <c r="C1977" t="inlineStr">
        <is>
          <t>104</t>
        </is>
      </c>
      <c r="D1977" t="inlineStr">
        <is>
          <t>17</t>
        </is>
      </c>
      <c r="E1977" t="inlineStr">
        <is>
          <t>11</t>
        </is>
      </c>
      <c r="F1977" t="inlineStr">
        <is>
          <t>DPOLE</t>
        </is>
      </c>
      <c r="G1977" t="inlineStr">
        <is>
          <t>Average</t>
        </is>
      </c>
      <c r="H1977" t="n">
        <v>27</v>
      </c>
      <c r="I1977">
        <f>B1977&amp;"~"&amp;F1977&amp;"~"&amp;G1977</f>
        <v/>
      </c>
      <c r="J1977" t="inlineStr">
        <is>
          <t>MVS Sec.17 p.11</t>
        </is>
      </c>
    </row>
    <row r="1978">
      <c r="B1978" t="inlineStr">
        <is>
          <t>Light Commercial – Commodity Warehouse</t>
        </is>
      </c>
      <c r="C1978" t="inlineStr">
        <is>
          <t>104</t>
        </is>
      </c>
      <c r="D1978" t="inlineStr">
        <is>
          <t>17</t>
        </is>
      </c>
      <c r="E1978" t="inlineStr">
        <is>
          <t>11</t>
        </is>
      </c>
      <c r="F1978" t="inlineStr">
        <is>
          <t>DPOLE</t>
        </is>
      </c>
      <c r="G1978" t="inlineStr">
        <is>
          <t>Low Cost</t>
        </is>
      </c>
      <c r="H1978" t="n">
        <v>17.55</v>
      </c>
      <c r="I1978">
        <f>B1978&amp;"~"&amp;F1978&amp;"~"&amp;G1978</f>
        <v/>
      </c>
      <c r="J1978" t="inlineStr">
        <is>
          <t>MVS Sec.17 p.11</t>
        </is>
      </c>
    </row>
    <row r="1979">
      <c r="B1979" t="inlineStr">
        <is>
          <t>Light Commercial – Commodity Warehouse</t>
        </is>
      </c>
      <c r="C1979" t="inlineStr">
        <is>
          <t>104</t>
        </is>
      </c>
      <c r="D1979" t="inlineStr">
        <is>
          <t>17</t>
        </is>
      </c>
      <c r="E1979" t="inlineStr">
        <is>
          <t>11</t>
        </is>
      </c>
      <c r="F1979" t="inlineStr">
        <is>
          <t>S</t>
        </is>
      </c>
      <c r="G1979" t="inlineStr">
        <is>
          <t>Good</t>
        </is>
      </c>
      <c r="H1979" t="n">
        <v>41.75</v>
      </c>
      <c r="I1979">
        <f>B1979&amp;"~"&amp;F1979&amp;"~"&amp;G1979</f>
        <v/>
      </c>
      <c r="J1979" t="inlineStr">
        <is>
          <t>MVS Sec.17 p.11</t>
        </is>
      </c>
    </row>
    <row r="1980">
      <c r="B1980" t="inlineStr">
        <is>
          <t>Light Commercial – Commodity Warehouse</t>
        </is>
      </c>
      <c r="C1980" t="inlineStr">
        <is>
          <t>104</t>
        </is>
      </c>
      <c r="D1980" t="inlineStr">
        <is>
          <t>17</t>
        </is>
      </c>
      <c r="E1980" t="inlineStr">
        <is>
          <t>11</t>
        </is>
      </c>
      <c r="F1980" t="inlineStr">
        <is>
          <t>S</t>
        </is>
      </c>
      <c r="G1980" t="inlineStr">
        <is>
          <t>Average</t>
        </is>
      </c>
      <c r="H1980" t="n">
        <v>30.5</v>
      </c>
      <c r="I1980">
        <f>B1980&amp;"~"&amp;F1980&amp;"~"&amp;G1980</f>
        <v/>
      </c>
      <c r="J1980" t="inlineStr">
        <is>
          <t>MVS Sec.17 p.11</t>
        </is>
      </c>
    </row>
    <row r="1981">
      <c r="B1981" t="inlineStr">
        <is>
          <t>Light Commercial – Commodity Warehouse</t>
        </is>
      </c>
      <c r="C1981" t="inlineStr">
        <is>
          <t>104</t>
        </is>
      </c>
      <c r="D1981" t="inlineStr">
        <is>
          <t>17</t>
        </is>
      </c>
      <c r="E1981" t="inlineStr">
        <is>
          <t>11</t>
        </is>
      </c>
      <c r="F1981" t="inlineStr">
        <is>
          <t>S</t>
        </is>
      </c>
      <c r="G1981" t="inlineStr">
        <is>
          <t>Low Cost</t>
        </is>
      </c>
      <c r="H1981" t="n">
        <v>20.35</v>
      </c>
      <c r="I1981">
        <f>B1981&amp;"~"&amp;F1981&amp;"~"&amp;G1981</f>
        <v/>
      </c>
      <c r="J1981" t="inlineStr">
        <is>
          <t>MVS Sec.17 p.11</t>
        </is>
      </c>
    </row>
    <row r="1982">
      <c r="B1982" t="inlineStr">
        <is>
          <t>Light Commercial – Commodity Warehouse</t>
        </is>
      </c>
      <c r="C1982" t="inlineStr">
        <is>
          <t>104</t>
        </is>
      </c>
      <c r="D1982" t="inlineStr">
        <is>
          <t>17</t>
        </is>
      </c>
      <c r="E1982" t="inlineStr">
        <is>
          <t>11</t>
        </is>
      </c>
      <c r="F1982" t="inlineStr">
        <is>
          <t>SSLANT</t>
        </is>
      </c>
      <c r="G1982" t="inlineStr">
        <is>
          <t>Good</t>
        </is>
      </c>
      <c r="H1982" t="n">
        <v>38.5</v>
      </c>
      <c r="I1982">
        <f>B1982&amp;"~"&amp;F1982&amp;"~"&amp;G1982</f>
        <v/>
      </c>
      <c r="J1982" t="inlineStr">
        <is>
          <t>MVS Sec.17 p.11</t>
        </is>
      </c>
    </row>
    <row r="1983">
      <c r="B1983" t="inlineStr">
        <is>
          <t>Light Commercial – Commodity Warehouse</t>
        </is>
      </c>
      <c r="C1983" t="inlineStr">
        <is>
          <t>104</t>
        </is>
      </c>
      <c r="D1983" t="inlineStr">
        <is>
          <t>17</t>
        </is>
      </c>
      <c r="E1983" t="inlineStr">
        <is>
          <t>11</t>
        </is>
      </c>
      <c r="F1983" t="inlineStr">
        <is>
          <t>SSLANT</t>
        </is>
      </c>
      <c r="G1983" t="inlineStr">
        <is>
          <t>Average</t>
        </is>
      </c>
      <c r="H1983" t="n">
        <v>28.25</v>
      </c>
      <c r="I1983">
        <f>B1983&amp;"~"&amp;F1983&amp;"~"&amp;G1983</f>
        <v/>
      </c>
      <c r="J1983" t="inlineStr">
        <is>
          <t>MVS Sec.17 p.11</t>
        </is>
      </c>
    </row>
    <row r="1984">
      <c r="B1984" t="inlineStr">
        <is>
          <t>Light Commercial – Commodity Warehouse</t>
        </is>
      </c>
      <c r="C1984" t="inlineStr">
        <is>
          <t>104</t>
        </is>
      </c>
      <c r="D1984" t="inlineStr">
        <is>
          <t>17</t>
        </is>
      </c>
      <c r="E1984" t="inlineStr">
        <is>
          <t>11</t>
        </is>
      </c>
      <c r="F1984" t="inlineStr">
        <is>
          <t>SSLANT</t>
        </is>
      </c>
      <c r="G1984" t="inlineStr">
        <is>
          <t>Low Cost</t>
        </is>
      </c>
      <c r="H1984" t="n">
        <v>18.8</v>
      </c>
      <c r="I1984">
        <f>B1984&amp;"~"&amp;F1984&amp;"~"&amp;G1984</f>
        <v/>
      </c>
      <c r="J1984" t="inlineStr">
        <is>
          <t>MVS Sec.17 p.11</t>
        </is>
      </c>
    </row>
    <row r="1985">
      <c r="B1985" t="inlineStr">
        <is>
          <t>Light Commercial – Manufacturing Utility Buildings</t>
        </is>
      </c>
      <c r="C1985" t="inlineStr">
        <is>
          <t>186</t>
        </is>
      </c>
      <c r="D1985" t="inlineStr">
        <is>
          <t>17</t>
        </is>
      </c>
      <c r="E1985" t="inlineStr">
        <is>
          <t>11</t>
        </is>
      </c>
      <c r="F1985" t="inlineStr">
        <is>
          <t>DPOLE</t>
        </is>
      </c>
      <c r="G1985" t="inlineStr">
        <is>
          <t>Good</t>
        </is>
      </c>
      <c r="H1985" t="n">
        <v>43.25</v>
      </c>
      <c r="I1985">
        <f>B1985&amp;"~"&amp;F1985&amp;"~"&amp;G1985</f>
        <v/>
      </c>
      <c r="J1985" t="inlineStr">
        <is>
          <t>MVS Sec.17 p.11</t>
        </is>
      </c>
    </row>
    <row r="1986">
      <c r="B1986" t="inlineStr">
        <is>
          <t>Light Commercial – Manufacturing Utility Buildings</t>
        </is>
      </c>
      <c r="C1986" t="inlineStr">
        <is>
          <t>186</t>
        </is>
      </c>
      <c r="D1986" t="inlineStr">
        <is>
          <t>17</t>
        </is>
      </c>
      <c r="E1986" t="inlineStr">
        <is>
          <t>11</t>
        </is>
      </c>
      <c r="F1986" t="inlineStr">
        <is>
          <t>DPOLE</t>
        </is>
      </c>
      <c r="G1986" t="inlineStr">
        <is>
          <t>Average</t>
        </is>
      </c>
      <c r="H1986" t="n">
        <v>33.25</v>
      </c>
      <c r="I1986">
        <f>B1986&amp;"~"&amp;F1986&amp;"~"&amp;G1986</f>
        <v/>
      </c>
      <c r="J1986" t="inlineStr">
        <is>
          <t>MVS Sec.17 p.11</t>
        </is>
      </c>
    </row>
    <row r="1987">
      <c r="B1987" t="inlineStr">
        <is>
          <t>Light Commercial – Manufacturing Utility Buildings</t>
        </is>
      </c>
      <c r="C1987" t="inlineStr">
        <is>
          <t>186</t>
        </is>
      </c>
      <c r="D1987" t="inlineStr">
        <is>
          <t>17</t>
        </is>
      </c>
      <c r="E1987" t="inlineStr">
        <is>
          <t>11</t>
        </is>
      </c>
      <c r="F1987" t="inlineStr">
        <is>
          <t>DPOLE</t>
        </is>
      </c>
      <c r="G1987" t="inlineStr">
        <is>
          <t>Low Cost</t>
        </is>
      </c>
      <c r="H1987" t="n">
        <v>25.75</v>
      </c>
      <c r="I1987">
        <f>B1987&amp;"~"&amp;F1987&amp;"~"&amp;G1987</f>
        <v/>
      </c>
      <c r="J1987" t="inlineStr">
        <is>
          <t>MVS Sec.17 p.11</t>
        </is>
      </c>
    </row>
    <row r="1988">
      <c r="B1988" t="inlineStr">
        <is>
          <t>Light Commercial – Manufacturing Utility Buildings</t>
        </is>
      </c>
      <c r="C1988" t="inlineStr">
        <is>
          <t>186</t>
        </is>
      </c>
      <c r="D1988" t="inlineStr">
        <is>
          <t>17</t>
        </is>
      </c>
      <c r="E1988" t="inlineStr">
        <is>
          <t>11</t>
        </is>
      </c>
      <c r="F1988" t="inlineStr">
        <is>
          <t>S</t>
        </is>
      </c>
      <c r="G1988" t="inlineStr">
        <is>
          <t>Good</t>
        </is>
      </c>
      <c r="H1988" t="n">
        <v>47.75</v>
      </c>
      <c r="I1988">
        <f>B1988&amp;"~"&amp;F1988&amp;"~"&amp;G1988</f>
        <v/>
      </c>
      <c r="J1988" t="inlineStr">
        <is>
          <t>MVS Sec.17 p.11</t>
        </is>
      </c>
    </row>
    <row r="1989">
      <c r="B1989" t="inlineStr">
        <is>
          <t>Light Commercial – Manufacturing Utility Buildings</t>
        </is>
      </c>
      <c r="C1989" t="inlineStr">
        <is>
          <t>186</t>
        </is>
      </c>
      <c r="D1989" t="inlineStr">
        <is>
          <t>17</t>
        </is>
      </c>
      <c r="E1989" t="inlineStr">
        <is>
          <t>11</t>
        </is>
      </c>
      <c r="F1989" t="inlineStr">
        <is>
          <t>S</t>
        </is>
      </c>
      <c r="G1989" t="inlineStr">
        <is>
          <t>Average</t>
        </is>
      </c>
      <c r="H1989" t="n">
        <v>37</v>
      </c>
      <c r="I1989">
        <f>B1989&amp;"~"&amp;F1989&amp;"~"&amp;G1989</f>
        <v/>
      </c>
      <c r="J1989" t="inlineStr">
        <is>
          <t>MVS Sec.17 p.11</t>
        </is>
      </c>
    </row>
    <row r="1990">
      <c r="B1990" t="inlineStr">
        <is>
          <t>Light Commercial – Manufacturing Utility Buildings</t>
        </is>
      </c>
      <c r="C1990" t="inlineStr">
        <is>
          <t>186</t>
        </is>
      </c>
      <c r="D1990" t="inlineStr">
        <is>
          <t>17</t>
        </is>
      </c>
      <c r="E1990" t="inlineStr">
        <is>
          <t>11</t>
        </is>
      </c>
      <c r="F1990" t="inlineStr">
        <is>
          <t>S</t>
        </is>
      </c>
      <c r="G1990" t="inlineStr">
        <is>
          <t>Low Cost</t>
        </is>
      </c>
      <c r="H1990" t="n">
        <v>29</v>
      </c>
      <c r="I1990">
        <f>B1990&amp;"~"&amp;F1990&amp;"~"&amp;G1990</f>
        <v/>
      </c>
      <c r="J1990" t="inlineStr">
        <is>
          <t>MVS Sec.17 p.11</t>
        </is>
      </c>
    </row>
    <row r="1991">
      <c r="B1991" t="inlineStr">
        <is>
          <t>Material – Commodity Shelters</t>
        </is>
      </c>
      <c r="C1991" t="inlineStr">
        <is>
          <t>473</t>
        </is>
      </c>
      <c r="D1991" t="inlineStr">
        <is>
          <t>17</t>
        </is>
      </c>
      <c r="E1991" t="inlineStr">
        <is>
          <t>11</t>
        </is>
      </c>
      <c r="F1991" t="inlineStr">
        <is>
          <t>D</t>
        </is>
      </c>
      <c r="G1991" t="inlineStr">
        <is>
          <t>Good</t>
        </is>
      </c>
      <c r="H1991" t="n">
        <v>18.52</v>
      </c>
      <c r="I1991">
        <f>B1991&amp;"~"&amp;F1991&amp;"~"&amp;G1991</f>
        <v/>
      </c>
      <c r="J1991" t="inlineStr">
        <is>
          <t>MVS Sec.17 p.11 (midpoint of 15.45-21.6 range)</t>
        </is>
      </c>
    </row>
    <row r="1992">
      <c r="B1992" t="inlineStr">
        <is>
          <t>Material – Commodity Shelters</t>
        </is>
      </c>
      <c r="C1992" t="inlineStr">
        <is>
          <t>473</t>
        </is>
      </c>
      <c r="D1992" t="inlineStr">
        <is>
          <t>17</t>
        </is>
      </c>
      <c r="E1992" t="inlineStr">
        <is>
          <t>11</t>
        </is>
      </c>
      <c r="F1992" t="inlineStr">
        <is>
          <t>D</t>
        </is>
      </c>
      <c r="G1992" t="inlineStr">
        <is>
          <t>Low Cost</t>
        </is>
      </c>
      <c r="H1992" t="n">
        <v>9.31</v>
      </c>
      <c r="I1992">
        <f>B1992&amp;"~"&amp;F1992&amp;"~"&amp;G1992</f>
        <v/>
      </c>
      <c r="J1992" t="inlineStr">
        <is>
          <t>MVS Sec.17 p.11 (midpoint of 7.77-10.85 range)</t>
        </is>
      </c>
    </row>
    <row r="1993">
      <c r="B1993" t="inlineStr">
        <is>
          <t>Material – Commodity Shelters</t>
        </is>
      </c>
      <c r="C1993" t="inlineStr">
        <is>
          <t>473</t>
        </is>
      </c>
      <c r="D1993" t="inlineStr">
        <is>
          <t>17</t>
        </is>
      </c>
      <c r="E1993" t="inlineStr">
        <is>
          <t>11</t>
        </is>
      </c>
      <c r="F1993" t="inlineStr">
        <is>
          <t>S</t>
        </is>
      </c>
      <c r="G1993" t="inlineStr">
        <is>
          <t>Very Good</t>
        </is>
      </c>
      <c r="H1993" t="n">
        <v>23.4</v>
      </c>
      <c r="I1993">
        <f>B1993&amp;"~"&amp;F1993&amp;"~"&amp;G1993</f>
        <v/>
      </c>
      <c r="J1993" t="inlineStr">
        <is>
          <t>MVS Sec.17 p.11 (midpoint of 19.55-27.25 range)</t>
        </is>
      </c>
    </row>
    <row r="1994">
      <c r="B1994" t="inlineStr">
        <is>
          <t>Material – Commodity Shelters</t>
        </is>
      </c>
      <c r="C1994" t="inlineStr">
        <is>
          <t>473</t>
        </is>
      </c>
      <c r="D1994" t="inlineStr">
        <is>
          <t>17</t>
        </is>
      </c>
      <c r="E1994" t="inlineStr">
        <is>
          <t>11</t>
        </is>
      </c>
      <c r="F1994" t="inlineStr">
        <is>
          <t>S</t>
        </is>
      </c>
      <c r="G1994" t="inlineStr">
        <is>
          <t>Good</t>
        </is>
      </c>
      <c r="H1994" t="n">
        <v>19.73</v>
      </c>
      <c r="I1994">
        <f>B1994&amp;"~"&amp;F1994&amp;"~"&amp;G1994</f>
        <v/>
      </c>
      <c r="J1994" t="inlineStr">
        <is>
          <t>MVS Sec.17 p.11 (midpoint of 16.45-23.0 range)</t>
        </is>
      </c>
    </row>
    <row r="1995">
      <c r="B1995" t="inlineStr">
        <is>
          <t>Material – Commodity Shelters</t>
        </is>
      </c>
      <c r="C1995" t="inlineStr">
        <is>
          <t>473</t>
        </is>
      </c>
      <c r="D1995" t="inlineStr">
        <is>
          <t>17</t>
        </is>
      </c>
      <c r="E1995" t="inlineStr">
        <is>
          <t>11</t>
        </is>
      </c>
      <c r="F1995" t="inlineStr">
        <is>
          <t>S</t>
        </is>
      </c>
      <c r="G1995" t="inlineStr">
        <is>
          <t>Average</t>
        </is>
      </c>
      <c r="H1995" t="n">
        <v>13.98</v>
      </c>
      <c r="I1995">
        <f>B1995&amp;"~"&amp;F1995&amp;"~"&amp;G1995</f>
        <v/>
      </c>
      <c r="J1995" t="inlineStr">
        <is>
          <t>MVS Sec.17 p.11 (midpoint of 11.65-16.3 range)</t>
        </is>
      </c>
    </row>
    <row r="1996">
      <c r="B1996" t="inlineStr">
        <is>
          <t>Material – Commodity Shelters</t>
        </is>
      </c>
      <c r="C1996" t="inlineStr">
        <is>
          <t>473</t>
        </is>
      </c>
      <c r="D1996" t="inlineStr">
        <is>
          <t>17</t>
        </is>
      </c>
      <c r="E1996" t="inlineStr">
        <is>
          <t>11</t>
        </is>
      </c>
      <c r="F1996" t="inlineStr">
        <is>
          <t>S</t>
        </is>
      </c>
      <c r="G1996" t="inlineStr">
        <is>
          <t>Low Cost</t>
        </is>
      </c>
      <c r="H1996" t="n">
        <v>9.91</v>
      </c>
      <c r="I1996">
        <f>B1996&amp;"~"&amp;F1996&amp;"~"&amp;G1996</f>
        <v/>
      </c>
      <c r="J1996" t="inlineStr">
        <is>
          <t>MVS Sec.17 p.11 (midpoint of 8.27-11.55 range)</t>
        </is>
      </c>
    </row>
    <row r="1997">
      <c r="B1997" t="inlineStr">
        <is>
          <t>Light Commercial Utility Buildings</t>
        </is>
      </c>
      <c r="C1997" t="inlineStr">
        <is>
          <t>471</t>
        </is>
      </c>
      <c r="D1997" t="inlineStr">
        <is>
          <t>17</t>
        </is>
      </c>
      <c r="E1997" t="inlineStr">
        <is>
          <t>12</t>
        </is>
      </c>
      <c r="F1997" t="inlineStr">
        <is>
          <t>C</t>
        </is>
      </c>
      <c r="G1997" t="inlineStr">
        <is>
          <t>Good</t>
        </is>
      </c>
      <c r="H1997" t="n">
        <v>51</v>
      </c>
      <c r="I1997">
        <f>B1997&amp;"~"&amp;F1997&amp;"~"&amp;G1997</f>
        <v/>
      </c>
      <c r="J1997" t="inlineStr">
        <is>
          <t>MVS Sec.17 p.12</t>
        </is>
      </c>
    </row>
    <row r="1998">
      <c r="B1998" t="inlineStr">
        <is>
          <t>Light Commercial Utility Buildings</t>
        </is>
      </c>
      <c r="C1998" t="inlineStr">
        <is>
          <t>471</t>
        </is>
      </c>
      <c r="D1998" t="inlineStr">
        <is>
          <t>17</t>
        </is>
      </c>
      <c r="E1998" t="inlineStr">
        <is>
          <t>12</t>
        </is>
      </c>
      <c r="F1998" t="inlineStr">
        <is>
          <t>C</t>
        </is>
      </c>
      <c r="G1998" t="inlineStr">
        <is>
          <t>Average</t>
        </is>
      </c>
      <c r="H1998" t="n">
        <v>36.5</v>
      </c>
      <c r="I1998">
        <f>B1998&amp;"~"&amp;F1998&amp;"~"&amp;G1998</f>
        <v/>
      </c>
      <c r="J1998" t="inlineStr">
        <is>
          <t>MVS Sec.17 p.12</t>
        </is>
      </c>
    </row>
    <row r="1999">
      <c r="B1999" t="inlineStr">
        <is>
          <t>Light Commercial Utility Buildings</t>
        </is>
      </c>
      <c r="C1999" t="inlineStr">
        <is>
          <t>471</t>
        </is>
      </c>
      <c r="D1999" t="inlineStr">
        <is>
          <t>17</t>
        </is>
      </c>
      <c r="E1999" t="inlineStr">
        <is>
          <t>12</t>
        </is>
      </c>
      <c r="F1999" t="inlineStr">
        <is>
          <t>D</t>
        </is>
      </c>
      <c r="G1999" t="inlineStr">
        <is>
          <t>Good</t>
        </is>
      </c>
      <c r="H1999" t="n">
        <v>42</v>
      </c>
      <c r="I1999">
        <f>B1999&amp;"~"&amp;F1999&amp;"~"&amp;G1999</f>
        <v/>
      </c>
      <c r="J1999" t="inlineStr">
        <is>
          <t>MVS Sec.17 p.12</t>
        </is>
      </c>
    </row>
    <row r="2000">
      <c r="B2000" t="inlineStr">
        <is>
          <t>Light Commercial Utility Buildings</t>
        </is>
      </c>
      <c r="C2000" t="inlineStr">
        <is>
          <t>471</t>
        </is>
      </c>
      <c r="D2000" t="inlineStr">
        <is>
          <t>17</t>
        </is>
      </c>
      <c r="E2000" t="inlineStr">
        <is>
          <t>12</t>
        </is>
      </c>
      <c r="F2000" t="inlineStr">
        <is>
          <t>D</t>
        </is>
      </c>
      <c r="G2000" t="inlineStr">
        <is>
          <t>Average</t>
        </is>
      </c>
      <c r="H2000" t="n">
        <v>28</v>
      </c>
      <c r="I2000">
        <f>B2000&amp;"~"&amp;F2000&amp;"~"&amp;G2000</f>
        <v/>
      </c>
      <c r="J2000" t="inlineStr">
        <is>
          <t>MVS Sec.17 p.12</t>
        </is>
      </c>
    </row>
    <row r="2001">
      <c r="B2001" t="inlineStr">
        <is>
          <t>Light Commercial Utility Buildings</t>
        </is>
      </c>
      <c r="C2001" t="inlineStr">
        <is>
          <t>471</t>
        </is>
      </c>
      <c r="D2001" t="inlineStr">
        <is>
          <t>17</t>
        </is>
      </c>
      <c r="E2001" t="inlineStr">
        <is>
          <t>12</t>
        </is>
      </c>
      <c r="F2001" t="inlineStr">
        <is>
          <t>D</t>
        </is>
      </c>
      <c r="G2001" t="inlineStr">
        <is>
          <t>Low Cost</t>
        </is>
      </c>
      <c r="H2001" t="n">
        <v>19.9</v>
      </c>
      <c r="I2001">
        <f>B2001&amp;"~"&amp;F2001&amp;"~"&amp;G2001</f>
        <v/>
      </c>
      <c r="J2001" t="inlineStr">
        <is>
          <t>MVS Sec.17 p.12</t>
        </is>
      </c>
    </row>
    <row r="2002">
      <c r="B2002" t="inlineStr">
        <is>
          <t>Light Commercial Utility Buildings</t>
        </is>
      </c>
      <c r="C2002" t="inlineStr">
        <is>
          <t>471</t>
        </is>
      </c>
      <c r="D2002" t="inlineStr">
        <is>
          <t>17</t>
        </is>
      </c>
      <c r="E2002" t="inlineStr">
        <is>
          <t>12</t>
        </is>
      </c>
      <c r="F2002" t="inlineStr">
        <is>
          <t>DPOLE</t>
        </is>
      </c>
      <c r="G2002" t="inlineStr">
        <is>
          <t>Good</t>
        </is>
      </c>
      <c r="H2002" t="n">
        <v>36.5</v>
      </c>
      <c r="I2002">
        <f>B2002&amp;"~"&amp;F2002&amp;"~"&amp;G2002</f>
        <v/>
      </c>
      <c r="J2002" t="inlineStr">
        <is>
          <t>MVS Sec.17 p.12</t>
        </is>
      </c>
    </row>
    <row r="2003">
      <c r="B2003" t="inlineStr">
        <is>
          <t>Light Commercial Utility Buildings</t>
        </is>
      </c>
      <c r="C2003" t="inlineStr">
        <is>
          <t>471</t>
        </is>
      </c>
      <c r="D2003" t="inlineStr">
        <is>
          <t>17</t>
        </is>
      </c>
      <c r="E2003" t="inlineStr">
        <is>
          <t>12</t>
        </is>
      </c>
      <c r="F2003" t="inlineStr">
        <is>
          <t>DPOLE</t>
        </is>
      </c>
      <c r="G2003" t="inlineStr">
        <is>
          <t>Average</t>
        </is>
      </c>
      <c r="H2003" t="n">
        <v>24.25</v>
      </c>
      <c r="I2003">
        <f>B2003&amp;"~"&amp;F2003&amp;"~"&amp;G2003</f>
        <v/>
      </c>
      <c r="J2003" t="inlineStr">
        <is>
          <t>MVS Sec.17 p.12</t>
        </is>
      </c>
    </row>
    <row r="2004">
      <c r="B2004" t="inlineStr">
        <is>
          <t>Light Commercial Utility Buildings</t>
        </is>
      </c>
      <c r="C2004" t="inlineStr">
        <is>
          <t>471</t>
        </is>
      </c>
      <c r="D2004" t="inlineStr">
        <is>
          <t>17</t>
        </is>
      </c>
      <c r="E2004" t="inlineStr">
        <is>
          <t>12</t>
        </is>
      </c>
      <c r="F2004" t="inlineStr">
        <is>
          <t>DPOLE</t>
        </is>
      </c>
      <c r="G2004" t="inlineStr">
        <is>
          <t>Low Cost</t>
        </is>
      </c>
      <c r="H2004" t="n">
        <v>17.15</v>
      </c>
      <c r="I2004">
        <f>B2004&amp;"~"&amp;F2004&amp;"~"&amp;G2004</f>
        <v/>
      </c>
      <c r="J2004" t="inlineStr">
        <is>
          <t>MVS Sec.17 p.12</t>
        </is>
      </c>
    </row>
    <row r="2005">
      <c r="B2005" t="inlineStr">
        <is>
          <t>Light Commercial Utility Buildings</t>
        </is>
      </c>
      <c r="C2005" t="inlineStr">
        <is>
          <t>471</t>
        </is>
      </c>
      <c r="D2005" t="inlineStr">
        <is>
          <t>17</t>
        </is>
      </c>
      <c r="E2005" t="inlineStr">
        <is>
          <t>12</t>
        </is>
      </c>
      <c r="F2005" t="inlineStr">
        <is>
          <t>S</t>
        </is>
      </c>
      <c r="G2005" t="inlineStr">
        <is>
          <t>Good</t>
        </is>
      </c>
      <c r="H2005" t="n">
        <v>40.5</v>
      </c>
      <c r="I2005">
        <f>B2005&amp;"~"&amp;F2005&amp;"~"&amp;G2005</f>
        <v/>
      </c>
      <c r="J2005" t="inlineStr">
        <is>
          <t>MVS Sec.17 p.12</t>
        </is>
      </c>
    </row>
    <row r="2006">
      <c r="B2006" t="inlineStr">
        <is>
          <t>Light Commercial Utility Buildings</t>
        </is>
      </c>
      <c r="C2006" t="inlineStr">
        <is>
          <t>471</t>
        </is>
      </c>
      <c r="D2006" t="inlineStr">
        <is>
          <t>17</t>
        </is>
      </c>
      <c r="E2006" t="inlineStr">
        <is>
          <t>12</t>
        </is>
      </c>
      <c r="F2006" t="inlineStr">
        <is>
          <t>S</t>
        </is>
      </c>
      <c r="G2006" t="inlineStr">
        <is>
          <t>Average</t>
        </is>
      </c>
      <c r="H2006" t="n">
        <v>27.5</v>
      </c>
      <c r="I2006">
        <f>B2006&amp;"~"&amp;F2006&amp;"~"&amp;G2006</f>
        <v/>
      </c>
      <c r="J2006" t="inlineStr">
        <is>
          <t>MVS Sec.17 p.12</t>
        </is>
      </c>
    </row>
    <row r="2007">
      <c r="B2007" t="inlineStr">
        <is>
          <t>Light Commercial Utility Buildings</t>
        </is>
      </c>
      <c r="C2007" t="inlineStr">
        <is>
          <t>471</t>
        </is>
      </c>
      <c r="D2007" t="inlineStr">
        <is>
          <t>17</t>
        </is>
      </c>
      <c r="E2007" t="inlineStr">
        <is>
          <t>12</t>
        </is>
      </c>
      <c r="F2007" t="inlineStr">
        <is>
          <t>S</t>
        </is>
      </c>
      <c r="G2007" t="inlineStr">
        <is>
          <t>Low Cost</t>
        </is>
      </c>
      <c r="H2007" t="n">
        <v>19.9</v>
      </c>
      <c r="I2007">
        <f>B2007&amp;"~"&amp;F2007&amp;"~"&amp;G2007</f>
        <v/>
      </c>
      <c r="J2007" t="inlineStr">
        <is>
          <t>MVS Sec.17 p.12</t>
        </is>
      </c>
    </row>
    <row r="2008">
      <c r="B2008" t="inlineStr">
        <is>
          <t>Light Commercial Utility Buildings</t>
        </is>
      </c>
      <c r="C2008" t="inlineStr">
        <is>
          <t>471</t>
        </is>
      </c>
      <c r="D2008" t="inlineStr">
        <is>
          <t>17</t>
        </is>
      </c>
      <c r="E2008" t="inlineStr">
        <is>
          <t>12</t>
        </is>
      </c>
      <c r="F2008" t="inlineStr">
        <is>
          <t>SSLANT</t>
        </is>
      </c>
      <c r="G2008" t="inlineStr">
        <is>
          <t>Good</t>
        </is>
      </c>
      <c r="H2008" t="n">
        <v>37.5</v>
      </c>
      <c r="I2008">
        <f>B2008&amp;"~"&amp;F2008&amp;"~"&amp;G2008</f>
        <v/>
      </c>
      <c r="J2008" t="inlineStr">
        <is>
          <t>MVS Sec.17 p.12</t>
        </is>
      </c>
    </row>
    <row r="2009">
      <c r="B2009" t="inlineStr">
        <is>
          <t>Light Commercial Utility Buildings</t>
        </is>
      </c>
      <c r="C2009" t="inlineStr">
        <is>
          <t>471</t>
        </is>
      </c>
      <c r="D2009" t="inlineStr">
        <is>
          <t>17</t>
        </is>
      </c>
      <c r="E2009" t="inlineStr">
        <is>
          <t>12</t>
        </is>
      </c>
      <c r="F2009" t="inlineStr">
        <is>
          <t>SSLANT</t>
        </is>
      </c>
      <c r="G2009" t="inlineStr">
        <is>
          <t>Average</t>
        </is>
      </c>
      <c r="H2009" t="n">
        <v>25.5</v>
      </c>
      <c r="I2009">
        <f>B2009&amp;"~"&amp;F2009&amp;"~"&amp;G2009</f>
        <v/>
      </c>
      <c r="J2009" t="inlineStr">
        <is>
          <t>MVS Sec.17 p.12</t>
        </is>
      </c>
    </row>
    <row r="2010">
      <c r="B2010" t="inlineStr">
        <is>
          <t>Light Commercial Utility Buildings</t>
        </is>
      </c>
      <c r="C2010" t="inlineStr">
        <is>
          <t>471</t>
        </is>
      </c>
      <c r="D2010" t="inlineStr">
        <is>
          <t>17</t>
        </is>
      </c>
      <c r="E2010" t="inlineStr">
        <is>
          <t>12</t>
        </is>
      </c>
      <c r="F2010" t="inlineStr">
        <is>
          <t>SSLANT</t>
        </is>
      </c>
      <c r="G2010" t="inlineStr">
        <is>
          <t>Low Cost</t>
        </is>
      </c>
      <c r="H2010" t="n">
        <v>18.4</v>
      </c>
      <c r="I2010">
        <f>B2010&amp;"~"&amp;F2010&amp;"~"&amp;G2010</f>
        <v/>
      </c>
      <c r="J2010" t="inlineStr">
        <is>
          <t>MVS Sec.17 p.12</t>
        </is>
      </c>
    </row>
    <row r="2011">
      <c r="B2011" t="inlineStr">
        <is>
          <t>Toolshed Buildings</t>
        </is>
      </c>
      <c r="C2011" t="inlineStr">
        <is>
          <t>456</t>
        </is>
      </c>
      <c r="D2011" t="inlineStr">
        <is>
          <t>17</t>
        </is>
      </c>
      <c r="E2011" t="inlineStr">
        <is>
          <t>12</t>
        </is>
      </c>
      <c r="F2011" t="inlineStr">
        <is>
          <t>C</t>
        </is>
      </c>
      <c r="G2011" t="inlineStr">
        <is>
          <t>Good</t>
        </is>
      </c>
      <c r="H2011" t="n">
        <v>35.5</v>
      </c>
      <c r="I2011">
        <f>B2011&amp;"~"&amp;F2011&amp;"~"&amp;G2011</f>
        <v/>
      </c>
      <c r="J2011" t="inlineStr">
        <is>
          <t>MVS Sec.17 p.12</t>
        </is>
      </c>
    </row>
    <row r="2012">
      <c r="B2012" t="inlineStr">
        <is>
          <t>Toolshed Buildings</t>
        </is>
      </c>
      <c r="C2012" t="inlineStr">
        <is>
          <t>456</t>
        </is>
      </c>
      <c r="D2012" t="inlineStr">
        <is>
          <t>17</t>
        </is>
      </c>
      <c r="E2012" t="inlineStr">
        <is>
          <t>12</t>
        </is>
      </c>
      <c r="F2012" t="inlineStr">
        <is>
          <t>D</t>
        </is>
      </c>
      <c r="G2012" t="inlineStr">
        <is>
          <t>Good</t>
        </is>
      </c>
      <c r="H2012" t="n">
        <v>29.75</v>
      </c>
      <c r="I2012">
        <f>B2012&amp;"~"&amp;F2012&amp;"~"&amp;G2012</f>
        <v/>
      </c>
      <c r="J2012" t="inlineStr">
        <is>
          <t>MVS Sec.17 p.12</t>
        </is>
      </c>
    </row>
    <row r="2013">
      <c r="B2013" t="inlineStr">
        <is>
          <t>Toolshed Buildings</t>
        </is>
      </c>
      <c r="C2013" t="inlineStr">
        <is>
          <t>456</t>
        </is>
      </c>
      <c r="D2013" t="inlineStr">
        <is>
          <t>17</t>
        </is>
      </c>
      <c r="E2013" t="inlineStr">
        <is>
          <t>12</t>
        </is>
      </c>
      <c r="F2013" t="inlineStr">
        <is>
          <t>D</t>
        </is>
      </c>
      <c r="G2013" t="inlineStr">
        <is>
          <t>Average</t>
        </is>
      </c>
      <c r="H2013" t="n">
        <v>18.35</v>
      </c>
      <c r="I2013">
        <f>B2013&amp;"~"&amp;F2013&amp;"~"&amp;G2013</f>
        <v/>
      </c>
      <c r="J2013" t="inlineStr">
        <is>
          <t>MVS Sec.17 p.12</t>
        </is>
      </c>
    </row>
    <row r="2014">
      <c r="B2014" t="inlineStr">
        <is>
          <t>Toolshed Buildings</t>
        </is>
      </c>
      <c r="C2014" t="inlineStr">
        <is>
          <t>456</t>
        </is>
      </c>
      <c r="D2014" t="inlineStr">
        <is>
          <t>17</t>
        </is>
      </c>
      <c r="E2014" t="inlineStr">
        <is>
          <t>12</t>
        </is>
      </c>
      <c r="F2014" t="inlineStr">
        <is>
          <t>D</t>
        </is>
      </c>
      <c r="G2014" t="inlineStr">
        <is>
          <t>Low Cost</t>
        </is>
      </c>
      <c r="H2014" t="n">
        <v>11.3</v>
      </c>
      <c r="I2014">
        <f>B2014&amp;"~"&amp;F2014&amp;"~"&amp;G2014</f>
        <v/>
      </c>
      <c r="J2014" t="inlineStr">
        <is>
          <t>MVS Sec.17 p.12</t>
        </is>
      </c>
    </row>
    <row r="2015">
      <c r="B2015" t="inlineStr">
        <is>
          <t>Light Commercial Arch-Rib (Quonset) Buildings</t>
        </is>
      </c>
      <c r="C2015" t="inlineStr">
        <is>
          <t>555</t>
        </is>
      </c>
      <c r="D2015" t="inlineStr">
        <is>
          <t>17</t>
        </is>
      </c>
      <c r="E2015" t="inlineStr">
        <is>
          <t>13</t>
        </is>
      </c>
      <c r="F2015" t="inlineStr">
        <is>
          <t>D</t>
        </is>
      </c>
      <c r="G2015" t="inlineStr">
        <is>
          <t>Good</t>
        </is>
      </c>
      <c r="H2015" t="n">
        <v>44</v>
      </c>
      <c r="I2015">
        <f>B2015&amp;"~"&amp;F2015&amp;"~"&amp;G2015</f>
        <v/>
      </c>
      <c r="J2015" t="inlineStr">
        <is>
          <t>MVS Sec.17 p.13</t>
        </is>
      </c>
    </row>
    <row r="2016">
      <c r="B2016" t="inlineStr">
        <is>
          <t>Light Commercial Arch-Rib (Quonset) Buildings</t>
        </is>
      </c>
      <c r="C2016" t="inlineStr">
        <is>
          <t>555</t>
        </is>
      </c>
      <c r="D2016" t="inlineStr">
        <is>
          <t>17</t>
        </is>
      </c>
      <c r="E2016" t="inlineStr">
        <is>
          <t>13</t>
        </is>
      </c>
      <c r="F2016" t="inlineStr">
        <is>
          <t>D</t>
        </is>
      </c>
      <c r="G2016" t="inlineStr">
        <is>
          <t>Average</t>
        </is>
      </c>
      <c r="H2016" t="n">
        <v>31</v>
      </c>
      <c r="I2016">
        <f>B2016&amp;"~"&amp;F2016&amp;"~"&amp;G2016</f>
        <v/>
      </c>
      <c r="J2016" t="inlineStr">
        <is>
          <t>MVS Sec.17 p.13</t>
        </is>
      </c>
    </row>
    <row r="2017">
      <c r="B2017" t="inlineStr">
        <is>
          <t>Light Commercial Arch-Rib (Quonset) Buildings</t>
        </is>
      </c>
      <c r="C2017" t="inlineStr">
        <is>
          <t>555</t>
        </is>
      </c>
      <c r="D2017" t="inlineStr">
        <is>
          <t>17</t>
        </is>
      </c>
      <c r="E2017" t="inlineStr">
        <is>
          <t>13</t>
        </is>
      </c>
      <c r="F2017" t="inlineStr">
        <is>
          <t>D</t>
        </is>
      </c>
      <c r="G2017" t="inlineStr">
        <is>
          <t>Low Cost</t>
        </is>
      </c>
      <c r="H2017" t="n">
        <v>23.2</v>
      </c>
      <c r="I2017">
        <f>B2017&amp;"~"&amp;F2017&amp;"~"&amp;G2017</f>
        <v/>
      </c>
      <c r="J2017" t="inlineStr">
        <is>
          <t>MVS Sec.17 p.13</t>
        </is>
      </c>
    </row>
    <row r="2018">
      <c r="B2018" t="inlineStr">
        <is>
          <t>Light Commercial Arch-Rib (Quonset) Buildings</t>
        </is>
      </c>
      <c r="C2018" t="inlineStr">
        <is>
          <t>555</t>
        </is>
      </c>
      <c r="D2018" t="inlineStr">
        <is>
          <t>17</t>
        </is>
      </c>
      <c r="E2018" t="inlineStr">
        <is>
          <t>13</t>
        </is>
      </c>
      <c r="F2018" t="inlineStr">
        <is>
          <t>DPOLE</t>
        </is>
      </c>
      <c r="G2018" t="inlineStr">
        <is>
          <t>Good</t>
        </is>
      </c>
      <c r="H2018" t="n">
        <v>42.25</v>
      </c>
      <c r="I2018">
        <f>B2018&amp;"~"&amp;F2018&amp;"~"&amp;G2018</f>
        <v/>
      </c>
      <c r="J2018" t="inlineStr">
        <is>
          <t>MVS Sec.17 p.13</t>
        </is>
      </c>
    </row>
    <row r="2019">
      <c r="B2019" t="inlineStr">
        <is>
          <t>Light Commercial Arch-Rib (Quonset) Buildings</t>
        </is>
      </c>
      <c r="C2019" t="inlineStr">
        <is>
          <t>555</t>
        </is>
      </c>
      <c r="D2019" t="inlineStr">
        <is>
          <t>17</t>
        </is>
      </c>
      <c r="E2019" t="inlineStr">
        <is>
          <t>13</t>
        </is>
      </c>
      <c r="F2019" t="inlineStr">
        <is>
          <t>DPOLE</t>
        </is>
      </c>
      <c r="G2019" t="inlineStr">
        <is>
          <t>Average</t>
        </is>
      </c>
      <c r="H2019" t="n">
        <v>29.75</v>
      </c>
      <c r="I2019">
        <f>B2019&amp;"~"&amp;F2019&amp;"~"&amp;G2019</f>
        <v/>
      </c>
      <c r="J2019" t="inlineStr">
        <is>
          <t>MVS Sec.17 p.13</t>
        </is>
      </c>
    </row>
    <row r="2020">
      <c r="B2020" t="inlineStr">
        <is>
          <t>Light Commercial Arch-Rib (Quonset) Buildings</t>
        </is>
      </c>
      <c r="C2020" t="inlineStr">
        <is>
          <t>555</t>
        </is>
      </c>
      <c r="D2020" t="inlineStr">
        <is>
          <t>17</t>
        </is>
      </c>
      <c r="E2020" t="inlineStr">
        <is>
          <t>13</t>
        </is>
      </c>
      <c r="F2020" t="inlineStr">
        <is>
          <t>DPOLE</t>
        </is>
      </c>
      <c r="G2020" t="inlineStr">
        <is>
          <t>Low Cost</t>
        </is>
      </c>
      <c r="H2020" t="n">
        <v>22.1</v>
      </c>
      <c r="I2020">
        <f>B2020&amp;"~"&amp;F2020&amp;"~"&amp;G2020</f>
        <v/>
      </c>
      <c r="J2020" t="inlineStr">
        <is>
          <t>MVS Sec.17 p.13</t>
        </is>
      </c>
    </row>
    <row r="2021">
      <c r="B2021" t="inlineStr">
        <is>
          <t>Light Commercial Arch-Rib (Quonset) Buildings</t>
        </is>
      </c>
      <c r="C2021" t="inlineStr">
        <is>
          <t>555</t>
        </is>
      </c>
      <c r="D2021" t="inlineStr">
        <is>
          <t>17</t>
        </is>
      </c>
      <c r="E2021" t="inlineStr">
        <is>
          <t>13</t>
        </is>
      </c>
      <c r="F2021" t="inlineStr">
        <is>
          <t>S</t>
        </is>
      </c>
      <c r="G2021" t="inlineStr">
        <is>
          <t>Good</t>
        </is>
      </c>
      <c r="H2021" t="n">
        <v>42.75</v>
      </c>
      <c r="I2021">
        <f>B2021&amp;"~"&amp;F2021&amp;"~"&amp;G2021</f>
        <v/>
      </c>
      <c r="J2021" t="inlineStr">
        <is>
          <t>MVS Sec.17 p.13</t>
        </is>
      </c>
    </row>
    <row r="2022">
      <c r="B2022" t="inlineStr">
        <is>
          <t>Light Commercial Arch-Rib (Quonset) Buildings</t>
        </is>
      </c>
      <c r="C2022" t="inlineStr">
        <is>
          <t>555</t>
        </is>
      </c>
      <c r="D2022" t="inlineStr">
        <is>
          <t>17</t>
        </is>
      </c>
      <c r="E2022" t="inlineStr">
        <is>
          <t>13</t>
        </is>
      </c>
      <c r="F2022" t="inlineStr">
        <is>
          <t>WALL</t>
        </is>
      </c>
      <c r="G2022" t="inlineStr">
        <is>
          <t>Low Cost</t>
        </is>
      </c>
      <c r="H2022" t="n">
        <v>22.85</v>
      </c>
      <c r="I2022">
        <f>B2022&amp;"~"&amp;F2022&amp;"~"&amp;G2022</f>
        <v/>
      </c>
      <c r="J2022" t="inlineStr">
        <is>
          <t>MVS Sec.17 p.13</t>
        </is>
      </c>
    </row>
    <row r="2023">
      <c r="B2023" t="inlineStr">
        <is>
          <t>Light Commercial Equipment (Shop) Buildings</t>
        </is>
      </c>
      <c r="C2023" t="inlineStr">
        <is>
          <t>470</t>
        </is>
      </c>
      <c r="D2023" t="inlineStr">
        <is>
          <t>17</t>
        </is>
      </c>
      <c r="E2023" t="inlineStr">
        <is>
          <t>13</t>
        </is>
      </c>
      <c r="F2023" t="inlineStr">
        <is>
          <t>C</t>
        </is>
      </c>
      <c r="G2023" t="inlineStr">
        <is>
          <t>Good</t>
        </is>
      </c>
      <c r="H2023" t="n">
        <v>57</v>
      </c>
      <c r="I2023">
        <f>B2023&amp;"~"&amp;F2023&amp;"~"&amp;G2023</f>
        <v/>
      </c>
      <c r="J2023" t="inlineStr">
        <is>
          <t>MVS Sec.17 p.13</t>
        </is>
      </c>
    </row>
    <row r="2024">
      <c r="B2024" t="inlineStr">
        <is>
          <t>Light Commercial Equipment (Shop) Buildings</t>
        </is>
      </c>
      <c r="C2024" t="inlineStr">
        <is>
          <t>470</t>
        </is>
      </c>
      <c r="D2024" t="inlineStr">
        <is>
          <t>17</t>
        </is>
      </c>
      <c r="E2024" t="inlineStr">
        <is>
          <t>13</t>
        </is>
      </c>
      <c r="F2024" t="inlineStr">
        <is>
          <t>C</t>
        </is>
      </c>
      <c r="G2024" t="inlineStr">
        <is>
          <t>Average</t>
        </is>
      </c>
      <c r="H2024" t="n">
        <v>42.75</v>
      </c>
      <c r="I2024">
        <f>B2024&amp;"~"&amp;F2024&amp;"~"&amp;G2024</f>
        <v/>
      </c>
      <c r="J2024" t="inlineStr">
        <is>
          <t>MVS Sec.17 p.13</t>
        </is>
      </c>
    </row>
    <row r="2025">
      <c r="B2025" t="inlineStr">
        <is>
          <t>Light Commercial Equipment (Shop) Buildings</t>
        </is>
      </c>
      <c r="C2025" t="inlineStr">
        <is>
          <t>470</t>
        </is>
      </c>
      <c r="D2025" t="inlineStr">
        <is>
          <t>17</t>
        </is>
      </c>
      <c r="E2025" t="inlineStr">
        <is>
          <t>13</t>
        </is>
      </c>
      <c r="F2025" t="inlineStr">
        <is>
          <t>D</t>
        </is>
      </c>
      <c r="G2025" t="inlineStr">
        <is>
          <t>Good</t>
        </is>
      </c>
      <c r="H2025" t="n">
        <v>47.75</v>
      </c>
      <c r="I2025">
        <f>B2025&amp;"~"&amp;F2025&amp;"~"&amp;G2025</f>
        <v/>
      </c>
      <c r="J2025" t="inlineStr">
        <is>
          <t>MVS Sec.17 p.13</t>
        </is>
      </c>
    </row>
    <row r="2026">
      <c r="B2026" t="inlineStr">
        <is>
          <t>Light Commercial Equipment (Shop) Buildings</t>
        </is>
      </c>
      <c r="C2026" t="inlineStr">
        <is>
          <t>470</t>
        </is>
      </c>
      <c r="D2026" t="inlineStr">
        <is>
          <t>17</t>
        </is>
      </c>
      <c r="E2026" t="inlineStr">
        <is>
          <t>13</t>
        </is>
      </c>
      <c r="F2026" t="inlineStr">
        <is>
          <t>D</t>
        </is>
      </c>
      <c r="G2026" t="inlineStr">
        <is>
          <t>Average</t>
        </is>
      </c>
      <c r="H2026" t="n">
        <v>33.5</v>
      </c>
      <c r="I2026">
        <f>B2026&amp;"~"&amp;F2026&amp;"~"&amp;G2026</f>
        <v/>
      </c>
      <c r="J2026" t="inlineStr">
        <is>
          <t>MVS Sec.17 p.13</t>
        </is>
      </c>
    </row>
    <row r="2027">
      <c r="B2027" t="inlineStr">
        <is>
          <t>Light Commercial Equipment (Shop) Buildings</t>
        </is>
      </c>
      <c r="C2027" t="inlineStr">
        <is>
          <t>470</t>
        </is>
      </c>
      <c r="D2027" t="inlineStr">
        <is>
          <t>17</t>
        </is>
      </c>
      <c r="E2027" t="inlineStr">
        <is>
          <t>13</t>
        </is>
      </c>
      <c r="F2027" t="inlineStr">
        <is>
          <t>DPOLE</t>
        </is>
      </c>
      <c r="G2027" t="inlineStr">
        <is>
          <t>Good</t>
        </is>
      </c>
      <c r="H2027" t="n">
        <v>41.75</v>
      </c>
      <c r="I2027">
        <f>B2027&amp;"~"&amp;F2027&amp;"~"&amp;G2027</f>
        <v/>
      </c>
      <c r="J2027" t="inlineStr">
        <is>
          <t>MVS Sec.17 p.13</t>
        </is>
      </c>
    </row>
    <row r="2028">
      <c r="B2028" t="inlineStr">
        <is>
          <t>Light Commercial Equipment (Shop) Buildings</t>
        </is>
      </c>
      <c r="C2028" t="inlineStr">
        <is>
          <t>470</t>
        </is>
      </c>
      <c r="D2028" t="inlineStr">
        <is>
          <t>17</t>
        </is>
      </c>
      <c r="E2028" t="inlineStr">
        <is>
          <t>13</t>
        </is>
      </c>
      <c r="F2028" t="inlineStr">
        <is>
          <t>DPOLE</t>
        </is>
      </c>
      <c r="G2028" t="inlineStr">
        <is>
          <t>Average</t>
        </is>
      </c>
      <c r="H2028" t="n">
        <v>29.75</v>
      </c>
      <c r="I2028">
        <f>B2028&amp;"~"&amp;F2028&amp;"~"&amp;G2028</f>
        <v/>
      </c>
      <c r="J2028" t="inlineStr">
        <is>
          <t>MVS Sec.17 p.13</t>
        </is>
      </c>
    </row>
    <row r="2029">
      <c r="B2029" t="inlineStr">
        <is>
          <t>Light Commercial Equipment (Shop) Buildings</t>
        </is>
      </c>
      <c r="C2029" t="inlineStr">
        <is>
          <t>470</t>
        </is>
      </c>
      <c r="D2029" t="inlineStr">
        <is>
          <t>17</t>
        </is>
      </c>
      <c r="E2029" t="inlineStr">
        <is>
          <t>13</t>
        </is>
      </c>
      <c r="F2029" t="inlineStr">
        <is>
          <t>S</t>
        </is>
      </c>
      <c r="G2029" t="inlineStr">
        <is>
          <t>Good</t>
        </is>
      </c>
      <c r="H2029" t="n">
        <v>45.75</v>
      </c>
      <c r="I2029">
        <f>B2029&amp;"~"&amp;F2029&amp;"~"&amp;G2029</f>
        <v/>
      </c>
      <c r="J2029" t="inlineStr">
        <is>
          <t>MVS Sec.17 p.13</t>
        </is>
      </c>
    </row>
    <row r="2030">
      <c r="B2030" t="inlineStr">
        <is>
          <t>Light Commercial Equipment (Shop) Buildings</t>
        </is>
      </c>
      <c r="C2030" t="inlineStr">
        <is>
          <t>470</t>
        </is>
      </c>
      <c r="D2030" t="inlineStr">
        <is>
          <t>17</t>
        </is>
      </c>
      <c r="E2030" t="inlineStr">
        <is>
          <t>13</t>
        </is>
      </c>
      <c r="F2030" t="inlineStr">
        <is>
          <t>S</t>
        </is>
      </c>
      <c r="G2030" t="inlineStr">
        <is>
          <t>Average</t>
        </is>
      </c>
      <c r="H2030" t="n">
        <v>33.25</v>
      </c>
      <c r="I2030">
        <f>B2030&amp;"~"&amp;F2030&amp;"~"&amp;G2030</f>
        <v/>
      </c>
      <c r="J2030" t="inlineStr">
        <is>
          <t>MVS Sec.17 p.13</t>
        </is>
      </c>
    </row>
    <row r="2031">
      <c r="B2031" t="inlineStr">
        <is>
          <t>Light Commercial Equipment (Shop) Buildings</t>
        </is>
      </c>
      <c r="C2031" t="inlineStr">
        <is>
          <t>470</t>
        </is>
      </c>
      <c r="D2031" t="inlineStr">
        <is>
          <t>17</t>
        </is>
      </c>
      <c r="E2031" t="inlineStr">
        <is>
          <t>13</t>
        </is>
      </c>
      <c r="F2031" t="inlineStr">
        <is>
          <t>SSLANT</t>
        </is>
      </c>
      <c r="G2031" t="inlineStr">
        <is>
          <t>Good</t>
        </is>
      </c>
      <c r="H2031" t="n">
        <v>42.5</v>
      </c>
      <c r="I2031">
        <f>B2031&amp;"~"&amp;F2031&amp;"~"&amp;G2031</f>
        <v/>
      </c>
      <c r="J2031" t="inlineStr">
        <is>
          <t>MVS Sec.17 p.13</t>
        </is>
      </c>
    </row>
    <row r="2032">
      <c r="B2032" t="inlineStr">
        <is>
          <t>Light Commercial Equipment (Shop) Buildings</t>
        </is>
      </c>
      <c r="C2032" t="inlineStr">
        <is>
          <t>470</t>
        </is>
      </c>
      <c r="D2032" t="inlineStr">
        <is>
          <t>17</t>
        </is>
      </c>
      <c r="E2032" t="inlineStr">
        <is>
          <t>13</t>
        </is>
      </c>
      <c r="F2032" t="inlineStr">
        <is>
          <t>CDS</t>
        </is>
      </c>
      <c r="G2032" t="inlineStr">
        <is>
          <t>Average</t>
        </is>
      </c>
      <c r="H2032" t="n">
        <v>30.75</v>
      </c>
      <c r="I2032">
        <f>B2032&amp;"~"&amp;F2032&amp;"~"&amp;G2032</f>
        <v/>
      </c>
      <c r="J2032" t="inlineStr">
        <is>
          <t>MVS Sec.17 p.13</t>
        </is>
      </c>
    </row>
    <row r="2033">
      <c r="B2033" t="inlineStr">
        <is>
          <t>Light Commercial Equipment Sheds</t>
        </is>
      </c>
      <c r="C2033" t="inlineStr">
        <is>
          <t>472</t>
        </is>
      </c>
      <c r="D2033" t="inlineStr">
        <is>
          <t>17</t>
        </is>
      </c>
      <c r="E2033" t="inlineStr">
        <is>
          <t>14</t>
        </is>
      </c>
      <c r="F2033" t="inlineStr">
        <is>
          <t>C</t>
        </is>
      </c>
      <c r="G2033" t="inlineStr">
        <is>
          <t>Good</t>
        </is>
      </c>
      <c r="H2033" t="n">
        <v>46.25</v>
      </c>
      <c r="I2033">
        <f>B2033&amp;"~"&amp;F2033&amp;"~"&amp;G2033</f>
        <v/>
      </c>
      <c r="J2033" t="inlineStr">
        <is>
          <t>MVS Sec.17 p.14</t>
        </is>
      </c>
    </row>
    <row r="2034">
      <c r="B2034" t="inlineStr">
        <is>
          <t>Light Commercial Equipment Sheds</t>
        </is>
      </c>
      <c r="C2034" t="inlineStr">
        <is>
          <t>472</t>
        </is>
      </c>
      <c r="D2034" t="inlineStr">
        <is>
          <t>17</t>
        </is>
      </c>
      <c r="E2034" t="inlineStr">
        <is>
          <t>14</t>
        </is>
      </c>
      <c r="F2034" t="inlineStr">
        <is>
          <t>C</t>
        </is>
      </c>
      <c r="G2034" t="inlineStr">
        <is>
          <t>Average</t>
        </is>
      </c>
      <c r="H2034" t="n">
        <v>34.75</v>
      </c>
      <c r="I2034">
        <f>B2034&amp;"~"&amp;F2034&amp;"~"&amp;G2034</f>
        <v/>
      </c>
      <c r="J2034" t="inlineStr">
        <is>
          <t>MVS Sec.17 p.14</t>
        </is>
      </c>
    </row>
    <row r="2035">
      <c r="B2035" t="inlineStr">
        <is>
          <t>Light Commercial Equipment Sheds</t>
        </is>
      </c>
      <c r="C2035" t="inlineStr">
        <is>
          <t>472</t>
        </is>
      </c>
      <c r="D2035" t="inlineStr">
        <is>
          <t>17</t>
        </is>
      </c>
      <c r="E2035" t="inlineStr">
        <is>
          <t>14</t>
        </is>
      </c>
      <c r="F2035" t="inlineStr">
        <is>
          <t>D</t>
        </is>
      </c>
      <c r="G2035" t="inlineStr">
        <is>
          <t>Good</t>
        </is>
      </c>
      <c r="H2035" t="n">
        <v>43</v>
      </c>
      <c r="I2035">
        <f>B2035&amp;"~"&amp;F2035&amp;"~"&amp;G2035</f>
        <v/>
      </c>
      <c r="J2035" t="inlineStr">
        <is>
          <t>MVS Sec.17 p.14</t>
        </is>
      </c>
    </row>
    <row r="2036">
      <c r="B2036" t="inlineStr">
        <is>
          <t>Light Commercial Equipment Sheds</t>
        </is>
      </c>
      <c r="C2036" t="inlineStr">
        <is>
          <t>472</t>
        </is>
      </c>
      <c r="D2036" t="inlineStr">
        <is>
          <t>17</t>
        </is>
      </c>
      <c r="E2036" t="inlineStr">
        <is>
          <t>14</t>
        </is>
      </c>
      <c r="F2036" t="inlineStr">
        <is>
          <t>D</t>
        </is>
      </c>
      <c r="G2036" t="inlineStr">
        <is>
          <t>Average</t>
        </is>
      </c>
      <c r="H2036" t="n">
        <v>31.75</v>
      </c>
      <c r="I2036">
        <f>B2036&amp;"~"&amp;F2036&amp;"~"&amp;G2036</f>
        <v/>
      </c>
      <c r="J2036" t="inlineStr">
        <is>
          <t>MVS Sec.17 p.14</t>
        </is>
      </c>
    </row>
    <row r="2037">
      <c r="B2037" t="inlineStr">
        <is>
          <t>Light Commercial Equipment Sheds</t>
        </is>
      </c>
      <c r="C2037" t="inlineStr">
        <is>
          <t>472</t>
        </is>
      </c>
      <c r="D2037" t="inlineStr">
        <is>
          <t>17</t>
        </is>
      </c>
      <c r="E2037" t="inlineStr">
        <is>
          <t>14</t>
        </is>
      </c>
      <c r="F2037" t="inlineStr">
        <is>
          <t>DPOLE</t>
        </is>
      </c>
      <c r="G2037" t="inlineStr">
        <is>
          <t>Good</t>
        </is>
      </c>
      <c r="H2037" t="n">
        <v>37.25</v>
      </c>
      <c r="I2037">
        <f>B2037&amp;"~"&amp;F2037&amp;"~"&amp;G2037</f>
        <v/>
      </c>
      <c r="J2037" t="inlineStr">
        <is>
          <t>MVS Sec.17 p.14</t>
        </is>
      </c>
    </row>
    <row r="2038">
      <c r="B2038" t="inlineStr">
        <is>
          <t>Light Commercial Equipment Sheds</t>
        </is>
      </c>
      <c r="C2038" t="inlineStr">
        <is>
          <t>472</t>
        </is>
      </c>
      <c r="D2038" t="inlineStr">
        <is>
          <t>17</t>
        </is>
      </c>
      <c r="E2038" t="inlineStr">
        <is>
          <t>14</t>
        </is>
      </c>
      <c r="F2038" t="inlineStr">
        <is>
          <t>DPOLE</t>
        </is>
      </c>
      <c r="G2038" t="inlineStr">
        <is>
          <t>Average</t>
        </is>
      </c>
      <c r="H2038" t="n">
        <v>28</v>
      </c>
      <c r="I2038">
        <f>B2038&amp;"~"&amp;F2038&amp;"~"&amp;G2038</f>
        <v/>
      </c>
      <c r="J2038" t="inlineStr">
        <is>
          <t>MVS Sec.17 p.14</t>
        </is>
      </c>
    </row>
    <row r="2039">
      <c r="B2039" t="inlineStr">
        <is>
          <t>Light Commercial Equipment Sheds</t>
        </is>
      </c>
      <c r="C2039" t="inlineStr">
        <is>
          <t>472</t>
        </is>
      </c>
      <c r="D2039" t="inlineStr">
        <is>
          <t>17</t>
        </is>
      </c>
      <c r="E2039" t="inlineStr">
        <is>
          <t>14</t>
        </is>
      </c>
      <c r="F2039" t="inlineStr">
        <is>
          <t>S</t>
        </is>
      </c>
      <c r="G2039" t="inlineStr">
        <is>
          <t>Good</t>
        </is>
      </c>
      <c r="H2039" t="n">
        <v>40.75</v>
      </c>
      <c r="I2039">
        <f>B2039&amp;"~"&amp;F2039&amp;"~"&amp;G2039</f>
        <v/>
      </c>
      <c r="J2039" t="inlineStr">
        <is>
          <t>MVS Sec.17 p.14</t>
        </is>
      </c>
    </row>
    <row r="2040">
      <c r="B2040" t="inlineStr">
        <is>
          <t>Light Commercial Equipment Sheds</t>
        </is>
      </c>
      <c r="C2040" t="inlineStr">
        <is>
          <t>472</t>
        </is>
      </c>
      <c r="D2040" t="inlineStr">
        <is>
          <t>17</t>
        </is>
      </c>
      <c r="E2040" t="inlineStr">
        <is>
          <t>14</t>
        </is>
      </c>
      <c r="F2040" t="inlineStr">
        <is>
          <t>S</t>
        </is>
      </c>
      <c r="G2040" t="inlineStr">
        <is>
          <t>Average</t>
        </is>
      </c>
      <c r="H2040" t="n">
        <v>31</v>
      </c>
      <c r="I2040">
        <f>B2040&amp;"~"&amp;F2040&amp;"~"&amp;G2040</f>
        <v/>
      </c>
      <c r="J2040" t="inlineStr">
        <is>
          <t>MVS Sec.17 p.14</t>
        </is>
      </c>
    </row>
    <row r="2041">
      <c r="B2041" t="inlineStr">
        <is>
          <t>Light Commercial Equipment Sheds</t>
        </is>
      </c>
      <c r="C2041" t="inlineStr">
        <is>
          <t>472</t>
        </is>
      </c>
      <c r="D2041" t="inlineStr">
        <is>
          <t>17</t>
        </is>
      </c>
      <c r="E2041" t="inlineStr">
        <is>
          <t>14</t>
        </is>
      </c>
      <c r="F2041" t="inlineStr">
        <is>
          <t>SSLANT</t>
        </is>
      </c>
      <c r="G2041" t="inlineStr">
        <is>
          <t>Good</t>
        </is>
      </c>
      <c r="H2041" t="n">
        <v>37.75</v>
      </c>
      <c r="I2041">
        <f>B2041&amp;"~"&amp;F2041&amp;"~"&amp;G2041</f>
        <v/>
      </c>
      <c r="J2041" t="inlineStr">
        <is>
          <t>MVS Sec.17 p.14</t>
        </is>
      </c>
    </row>
    <row r="2042">
      <c r="B2042" t="inlineStr">
        <is>
          <t>Light Commercial Equipment Sheds</t>
        </is>
      </c>
      <c r="C2042" t="inlineStr">
        <is>
          <t>472</t>
        </is>
      </c>
      <c r="D2042" t="inlineStr">
        <is>
          <t>17</t>
        </is>
      </c>
      <c r="E2042" t="inlineStr">
        <is>
          <t>14</t>
        </is>
      </c>
      <c r="F2042" t="inlineStr">
        <is>
          <t>SSLANT</t>
        </is>
      </c>
      <c r="G2042" t="inlineStr">
        <is>
          <t>Average</t>
        </is>
      </c>
      <c r="H2042" t="n">
        <v>29</v>
      </c>
      <c r="I2042">
        <f>B2042&amp;"~"&amp;F2042&amp;"~"&amp;G2042</f>
        <v/>
      </c>
      <c r="J2042" t="inlineStr">
        <is>
          <t>MVS Sec.17 p.14</t>
        </is>
      </c>
    </row>
    <row r="2043">
      <c r="B2043" t="inlineStr">
        <is>
          <t>Shed Office Structures</t>
        </is>
      </c>
      <c r="C2043" t="inlineStr">
        <is>
          <t>554</t>
        </is>
      </c>
      <c r="D2043" t="inlineStr">
        <is>
          <t>17</t>
        </is>
      </c>
      <c r="E2043" t="inlineStr">
        <is>
          <t>14</t>
        </is>
      </c>
      <c r="F2043" t="inlineStr">
        <is>
          <t>C</t>
        </is>
      </c>
      <c r="G2043" t="inlineStr">
        <is>
          <t>Good</t>
        </is>
      </c>
      <c r="H2043" t="n">
        <v>114</v>
      </c>
      <c r="I2043">
        <f>B2043&amp;"~"&amp;F2043&amp;"~"&amp;G2043</f>
        <v/>
      </c>
      <c r="J2043" t="inlineStr">
        <is>
          <t>MVS Sec.17 p.14</t>
        </is>
      </c>
    </row>
    <row r="2044">
      <c r="B2044" t="inlineStr">
        <is>
          <t>Shed Office Structures</t>
        </is>
      </c>
      <c r="C2044" t="inlineStr">
        <is>
          <t>554</t>
        </is>
      </c>
      <c r="D2044" t="inlineStr">
        <is>
          <t>17</t>
        </is>
      </c>
      <c r="E2044" t="inlineStr">
        <is>
          <t>14</t>
        </is>
      </c>
      <c r="F2044" t="inlineStr">
        <is>
          <t>C</t>
        </is>
      </c>
      <c r="G2044" t="inlineStr">
        <is>
          <t>Average</t>
        </is>
      </c>
      <c r="H2044" t="n">
        <v>83.5</v>
      </c>
      <c r="I2044">
        <f>B2044&amp;"~"&amp;F2044&amp;"~"&amp;G2044</f>
        <v/>
      </c>
      <c r="J2044" t="inlineStr">
        <is>
          <t>MVS Sec.17 p.14</t>
        </is>
      </c>
    </row>
    <row r="2045">
      <c r="B2045" t="inlineStr">
        <is>
          <t>Shed Office Structures</t>
        </is>
      </c>
      <c r="C2045" t="inlineStr">
        <is>
          <t>554</t>
        </is>
      </c>
      <c r="D2045" t="inlineStr">
        <is>
          <t>17</t>
        </is>
      </c>
      <c r="E2045" t="inlineStr">
        <is>
          <t>14</t>
        </is>
      </c>
      <c r="F2045" t="inlineStr">
        <is>
          <t>D</t>
        </is>
      </c>
      <c r="G2045" t="inlineStr">
        <is>
          <t>Good</t>
        </is>
      </c>
      <c r="H2045" t="n">
        <v>111</v>
      </c>
      <c r="I2045">
        <f>B2045&amp;"~"&amp;F2045&amp;"~"&amp;G2045</f>
        <v/>
      </c>
      <c r="J2045" t="inlineStr">
        <is>
          <t>MVS Sec.17 p.14</t>
        </is>
      </c>
    </row>
    <row r="2046">
      <c r="B2046" t="inlineStr">
        <is>
          <t>Shed Office Structures</t>
        </is>
      </c>
      <c r="C2046" t="inlineStr">
        <is>
          <t>554</t>
        </is>
      </c>
      <c r="D2046" t="inlineStr">
        <is>
          <t>17</t>
        </is>
      </c>
      <c r="E2046" t="inlineStr">
        <is>
          <t>14</t>
        </is>
      </c>
      <c r="F2046" t="inlineStr">
        <is>
          <t>D</t>
        </is>
      </c>
      <c r="G2046" t="inlineStr">
        <is>
          <t>Average</t>
        </is>
      </c>
      <c r="H2046" t="n">
        <v>80</v>
      </c>
      <c r="I2046">
        <f>B2046&amp;"~"&amp;F2046&amp;"~"&amp;G2046</f>
        <v/>
      </c>
      <c r="J2046" t="inlineStr">
        <is>
          <t>MVS Sec.17 p.14</t>
        </is>
      </c>
    </row>
    <row r="2047">
      <c r="B2047" t="inlineStr">
        <is>
          <t>Shed Office Structures</t>
        </is>
      </c>
      <c r="C2047" t="inlineStr">
        <is>
          <t>554</t>
        </is>
      </c>
      <c r="D2047" t="inlineStr">
        <is>
          <t>17</t>
        </is>
      </c>
      <c r="E2047" t="inlineStr">
        <is>
          <t>14</t>
        </is>
      </c>
      <c r="F2047" t="inlineStr">
        <is>
          <t>D</t>
        </is>
      </c>
      <c r="G2047" t="inlineStr">
        <is>
          <t>Low Cost</t>
        </is>
      </c>
      <c r="H2047" t="n">
        <v>56</v>
      </c>
      <c r="I2047">
        <f>B2047&amp;"~"&amp;F2047&amp;"~"&amp;G2047</f>
        <v/>
      </c>
      <c r="J2047" t="inlineStr">
        <is>
          <t>MVS Sec.17 p.14</t>
        </is>
      </c>
    </row>
    <row r="2048">
      <c r="B2048" t="inlineStr">
        <is>
          <t>Shed Office Structures</t>
        </is>
      </c>
      <c r="C2048" t="inlineStr">
        <is>
          <t>554</t>
        </is>
      </c>
      <c r="D2048" t="inlineStr">
        <is>
          <t>17</t>
        </is>
      </c>
      <c r="E2048" t="inlineStr">
        <is>
          <t>14</t>
        </is>
      </c>
      <c r="F2048" t="inlineStr">
        <is>
          <t>DPOLE</t>
        </is>
      </c>
      <c r="G2048" t="inlineStr">
        <is>
          <t>Average</t>
        </is>
      </c>
      <c r="H2048" t="n">
        <v>77.5</v>
      </c>
      <c r="I2048">
        <f>B2048&amp;"~"&amp;F2048&amp;"~"&amp;G2048</f>
        <v/>
      </c>
      <c r="J2048" t="inlineStr">
        <is>
          <t>MVS Sec.17 p.14</t>
        </is>
      </c>
    </row>
    <row r="2049">
      <c r="B2049" t="inlineStr">
        <is>
          <t>Shed Office Structures</t>
        </is>
      </c>
      <c r="C2049" t="inlineStr">
        <is>
          <t>554</t>
        </is>
      </c>
      <c r="D2049" t="inlineStr">
        <is>
          <t>17</t>
        </is>
      </c>
      <c r="E2049" t="inlineStr">
        <is>
          <t>14</t>
        </is>
      </c>
      <c r="F2049" t="inlineStr">
        <is>
          <t>DPOLE</t>
        </is>
      </c>
      <c r="G2049" t="inlineStr">
        <is>
          <t>Low Cost</t>
        </is>
      </c>
      <c r="H2049" t="n">
        <v>54.5</v>
      </c>
      <c r="I2049">
        <f>B2049&amp;"~"&amp;F2049&amp;"~"&amp;G2049</f>
        <v/>
      </c>
      <c r="J2049" t="inlineStr">
        <is>
          <t>MVS Sec.17 p.14</t>
        </is>
      </c>
    </row>
    <row r="2050">
      <c r="B2050" t="inlineStr">
        <is>
          <t>Shed Office Structures</t>
        </is>
      </c>
      <c r="C2050" t="inlineStr">
        <is>
          <t>554</t>
        </is>
      </c>
      <c r="D2050" t="inlineStr">
        <is>
          <t>17</t>
        </is>
      </c>
      <c r="E2050" t="inlineStr">
        <is>
          <t>14</t>
        </is>
      </c>
      <c r="F2050" t="inlineStr">
        <is>
          <t>S</t>
        </is>
      </c>
      <c r="G2050" t="inlineStr">
        <is>
          <t>Average</t>
        </is>
      </c>
      <c r="H2050" t="n">
        <v>79</v>
      </c>
      <c r="I2050">
        <f>B2050&amp;"~"&amp;F2050&amp;"~"&amp;G2050</f>
        <v/>
      </c>
      <c r="J2050" t="inlineStr">
        <is>
          <t>MVS Sec.17 p.14</t>
        </is>
      </c>
    </row>
    <row r="2051">
      <c r="B2051" t="inlineStr">
        <is>
          <t>Shed Office Structures</t>
        </is>
      </c>
      <c r="C2051" t="inlineStr">
        <is>
          <t>554</t>
        </is>
      </c>
      <c r="D2051" t="inlineStr">
        <is>
          <t>17</t>
        </is>
      </c>
      <c r="E2051" t="inlineStr">
        <is>
          <t>14</t>
        </is>
      </c>
      <c r="F2051" t="inlineStr">
        <is>
          <t>S</t>
        </is>
      </c>
      <c r="G2051" t="inlineStr">
        <is>
          <t>Low Cost</t>
        </is>
      </c>
      <c r="H2051" t="n">
        <v>56</v>
      </c>
      <c r="I2051">
        <f>B2051&amp;"~"&amp;F2051&amp;"~"&amp;G2051</f>
        <v/>
      </c>
      <c r="J2051" t="inlineStr">
        <is>
          <t>MVS Sec.17 p.14</t>
        </is>
      </c>
    </row>
    <row r="2052">
      <c r="B2052" t="inlineStr">
        <is>
          <t>Golf Cart Storage Buildings</t>
        </is>
      </c>
      <c r="C2052" t="inlineStr">
        <is>
          <t>523</t>
        </is>
      </c>
      <c r="D2052" t="inlineStr">
        <is>
          <t>17</t>
        </is>
      </c>
      <c r="E2052" t="inlineStr">
        <is>
          <t>15</t>
        </is>
      </c>
      <c r="F2052" t="inlineStr">
        <is>
          <t>C</t>
        </is>
      </c>
      <c r="G2052" t="inlineStr">
        <is>
          <t>Excellent</t>
        </is>
      </c>
      <c r="H2052" t="n">
        <v>114</v>
      </c>
      <c r="I2052">
        <f>B2052&amp;"~"&amp;F2052&amp;"~"&amp;G2052</f>
        <v/>
      </c>
      <c r="J2052" t="inlineStr">
        <is>
          <t>MVS Sec.17 p.15</t>
        </is>
      </c>
    </row>
    <row r="2053">
      <c r="B2053" t="inlineStr">
        <is>
          <t>Golf Cart Storage Buildings</t>
        </is>
      </c>
      <c r="C2053" t="inlineStr">
        <is>
          <t>523</t>
        </is>
      </c>
      <c r="D2053" t="inlineStr">
        <is>
          <t>17</t>
        </is>
      </c>
      <c r="E2053" t="inlineStr">
        <is>
          <t>15</t>
        </is>
      </c>
      <c r="F2053" t="inlineStr">
        <is>
          <t>C</t>
        </is>
      </c>
      <c r="G2053" t="inlineStr">
        <is>
          <t>Good</t>
        </is>
      </c>
      <c r="H2053" t="n">
        <v>88</v>
      </c>
      <c r="I2053">
        <f>B2053&amp;"~"&amp;F2053&amp;"~"&amp;G2053</f>
        <v/>
      </c>
      <c r="J2053" t="inlineStr">
        <is>
          <t>MVS Sec.17 p.15</t>
        </is>
      </c>
    </row>
    <row r="2054">
      <c r="B2054" t="inlineStr">
        <is>
          <t>Golf Cart Storage Buildings</t>
        </is>
      </c>
      <c r="C2054" t="inlineStr">
        <is>
          <t>523</t>
        </is>
      </c>
      <c r="D2054" t="inlineStr">
        <is>
          <t>17</t>
        </is>
      </c>
      <c r="E2054" t="inlineStr">
        <is>
          <t>15</t>
        </is>
      </c>
      <c r="F2054" t="inlineStr">
        <is>
          <t>D</t>
        </is>
      </c>
      <c r="G2054" t="inlineStr">
        <is>
          <t>Excellent</t>
        </is>
      </c>
      <c r="H2054" t="n">
        <v>110</v>
      </c>
      <c r="I2054">
        <f>B2054&amp;"~"&amp;F2054&amp;"~"&amp;G2054</f>
        <v/>
      </c>
      <c r="J2054" t="inlineStr">
        <is>
          <t>MVS Sec.17 p.15</t>
        </is>
      </c>
    </row>
    <row r="2055">
      <c r="B2055" t="inlineStr">
        <is>
          <t>Golf Cart Storage Buildings</t>
        </is>
      </c>
      <c r="C2055" t="inlineStr">
        <is>
          <t>523</t>
        </is>
      </c>
      <c r="D2055" t="inlineStr">
        <is>
          <t>17</t>
        </is>
      </c>
      <c r="E2055" t="inlineStr">
        <is>
          <t>15</t>
        </is>
      </c>
      <c r="F2055" t="inlineStr">
        <is>
          <t>D</t>
        </is>
      </c>
      <c r="G2055" t="inlineStr">
        <is>
          <t>Good</t>
        </is>
      </c>
      <c r="H2055" t="n">
        <v>84.5</v>
      </c>
      <c r="I2055">
        <f>B2055&amp;"~"&amp;F2055&amp;"~"&amp;G2055</f>
        <v/>
      </c>
      <c r="J2055" t="inlineStr">
        <is>
          <t>MVS Sec.17 p.15</t>
        </is>
      </c>
    </row>
    <row r="2056">
      <c r="B2056" t="inlineStr">
        <is>
          <t>Golf Cart Storage Buildings</t>
        </is>
      </c>
      <c r="C2056" t="inlineStr">
        <is>
          <t>523</t>
        </is>
      </c>
      <c r="D2056" t="inlineStr">
        <is>
          <t>17</t>
        </is>
      </c>
      <c r="E2056" t="inlineStr">
        <is>
          <t>15</t>
        </is>
      </c>
      <c r="F2056" t="inlineStr">
        <is>
          <t>D</t>
        </is>
      </c>
      <c r="G2056" t="inlineStr">
        <is>
          <t>Average</t>
        </is>
      </c>
      <c r="H2056" t="n">
        <v>65</v>
      </c>
      <c r="I2056">
        <f>B2056&amp;"~"&amp;F2056&amp;"~"&amp;G2056</f>
        <v/>
      </c>
      <c r="J2056" t="inlineStr">
        <is>
          <t>MVS Sec.17 p.15</t>
        </is>
      </c>
    </row>
    <row r="2057">
      <c r="B2057" t="inlineStr">
        <is>
          <t>Golf Cart Storage Buildings</t>
        </is>
      </c>
      <c r="C2057" t="inlineStr">
        <is>
          <t>523</t>
        </is>
      </c>
      <c r="D2057" t="inlineStr">
        <is>
          <t>17</t>
        </is>
      </c>
      <c r="E2057" t="inlineStr">
        <is>
          <t>15</t>
        </is>
      </c>
      <c r="F2057" t="inlineStr">
        <is>
          <t>DPOLE</t>
        </is>
      </c>
      <c r="G2057" t="inlineStr">
        <is>
          <t>Good</t>
        </is>
      </c>
      <c r="H2057" t="n">
        <v>71</v>
      </c>
      <c r="I2057">
        <f>B2057&amp;"~"&amp;F2057&amp;"~"&amp;G2057</f>
        <v/>
      </c>
      <c r="J2057" t="inlineStr">
        <is>
          <t>MVS Sec.17 p.15</t>
        </is>
      </c>
    </row>
    <row r="2058">
      <c r="B2058" t="inlineStr">
        <is>
          <t>Golf Cart Storage Buildings</t>
        </is>
      </c>
      <c r="C2058" t="inlineStr">
        <is>
          <t>523</t>
        </is>
      </c>
      <c r="D2058" t="inlineStr">
        <is>
          <t>17</t>
        </is>
      </c>
      <c r="E2058" t="inlineStr">
        <is>
          <t>15</t>
        </is>
      </c>
      <c r="F2058" t="inlineStr">
        <is>
          <t>DPOLE</t>
        </is>
      </c>
      <c r="G2058" t="inlineStr">
        <is>
          <t>Average</t>
        </is>
      </c>
      <c r="H2058" t="n">
        <v>56</v>
      </c>
      <c r="I2058">
        <f>B2058&amp;"~"&amp;F2058&amp;"~"&amp;G2058</f>
        <v/>
      </c>
      <c r="J2058" t="inlineStr">
        <is>
          <t>MVS Sec.17 p.15</t>
        </is>
      </c>
    </row>
    <row r="2059">
      <c r="B2059" t="inlineStr">
        <is>
          <t>Golf Cart Storage Buildings</t>
        </is>
      </c>
      <c r="C2059" t="inlineStr">
        <is>
          <t>523</t>
        </is>
      </c>
      <c r="D2059" t="inlineStr">
        <is>
          <t>17</t>
        </is>
      </c>
      <c r="E2059" t="inlineStr">
        <is>
          <t>15</t>
        </is>
      </c>
      <c r="F2059" t="inlineStr">
        <is>
          <t>S</t>
        </is>
      </c>
      <c r="G2059" t="inlineStr">
        <is>
          <t>Good</t>
        </is>
      </c>
      <c r="H2059" t="n">
        <v>77</v>
      </c>
      <c r="I2059">
        <f>B2059&amp;"~"&amp;F2059&amp;"~"&amp;G2059</f>
        <v/>
      </c>
      <c r="J2059" t="inlineStr">
        <is>
          <t>MVS Sec.17 p.15</t>
        </is>
      </c>
    </row>
    <row r="2060">
      <c r="B2060" t="inlineStr">
        <is>
          <t>Golf Cart Storage Buildings</t>
        </is>
      </c>
      <c r="C2060" t="inlineStr">
        <is>
          <t>523</t>
        </is>
      </c>
      <c r="D2060" t="inlineStr">
        <is>
          <t>17</t>
        </is>
      </c>
      <c r="E2060" t="inlineStr">
        <is>
          <t>15</t>
        </is>
      </c>
      <c r="F2060" t="inlineStr">
        <is>
          <t>S</t>
        </is>
      </c>
      <c r="G2060" t="inlineStr">
        <is>
          <t>Average</t>
        </is>
      </c>
      <c r="H2060" t="n">
        <v>60.5</v>
      </c>
      <c r="I2060">
        <f>B2060&amp;"~"&amp;F2060&amp;"~"&amp;G2060</f>
        <v/>
      </c>
      <c r="J2060" t="inlineStr">
        <is>
          <t>MVS Sec.17 p.15</t>
        </is>
      </c>
    </row>
    <row r="2061">
      <c r="B2061" t="inlineStr">
        <is>
          <t>Golf Cart Storage Buildings</t>
        </is>
      </c>
      <c r="C2061" t="inlineStr">
        <is>
          <t>523</t>
        </is>
      </c>
      <c r="D2061" t="inlineStr">
        <is>
          <t>17</t>
        </is>
      </c>
      <c r="E2061" t="inlineStr">
        <is>
          <t>15</t>
        </is>
      </c>
      <c r="F2061" t="inlineStr">
        <is>
          <t>SSLANT</t>
        </is>
      </c>
      <c r="G2061" t="inlineStr">
        <is>
          <t>Average</t>
        </is>
      </c>
      <c r="H2061" t="n">
        <v>57.5</v>
      </c>
      <c r="I2061">
        <f>B2061&amp;"~"&amp;F2061&amp;"~"&amp;G2061</f>
        <v/>
      </c>
      <c r="J2061" t="inlineStr">
        <is>
          <t>MVS Sec.17 p.15</t>
        </is>
      </c>
    </row>
    <row r="2062">
      <c r="B2062" t="inlineStr">
        <is>
          <t>Golf Starter (Guard House) Booths</t>
        </is>
      </c>
      <c r="C2062" t="inlineStr">
        <is>
          <t>183</t>
        </is>
      </c>
      <c r="D2062" t="inlineStr">
        <is>
          <t>17</t>
        </is>
      </c>
      <c r="E2062" t="inlineStr">
        <is>
          <t>15</t>
        </is>
      </c>
      <c r="F2062" t="inlineStr">
        <is>
          <t>C</t>
        </is>
      </c>
      <c r="G2062" t="inlineStr">
        <is>
          <t>Excellent</t>
        </is>
      </c>
      <c r="H2062" t="n">
        <v>208</v>
      </c>
      <c r="I2062">
        <f>B2062&amp;"~"&amp;F2062&amp;"~"&amp;G2062</f>
        <v/>
      </c>
      <c r="J2062" t="inlineStr">
        <is>
          <t>MVS Sec.17 p.15</t>
        </is>
      </c>
    </row>
    <row r="2063">
      <c r="B2063" t="inlineStr">
        <is>
          <t>Golf Starter (Guard House) Booths</t>
        </is>
      </c>
      <c r="C2063" t="inlineStr">
        <is>
          <t>183</t>
        </is>
      </c>
      <c r="D2063" t="inlineStr">
        <is>
          <t>17</t>
        </is>
      </c>
      <c r="E2063" t="inlineStr">
        <is>
          <t>15</t>
        </is>
      </c>
      <c r="F2063" t="inlineStr">
        <is>
          <t>C</t>
        </is>
      </c>
      <c r="G2063" t="inlineStr">
        <is>
          <t>Good</t>
        </is>
      </c>
      <c r="H2063" t="n">
        <v>152</v>
      </c>
      <c r="I2063">
        <f>B2063&amp;"~"&amp;F2063&amp;"~"&amp;G2063</f>
        <v/>
      </c>
      <c r="J2063" t="inlineStr">
        <is>
          <t>MVS Sec.17 p.15</t>
        </is>
      </c>
    </row>
    <row r="2064">
      <c r="B2064" t="inlineStr">
        <is>
          <t>Golf Starter (Guard House) Booths</t>
        </is>
      </c>
      <c r="C2064" t="inlineStr">
        <is>
          <t>183</t>
        </is>
      </c>
      <c r="D2064" t="inlineStr">
        <is>
          <t>17</t>
        </is>
      </c>
      <c r="E2064" t="inlineStr">
        <is>
          <t>15</t>
        </is>
      </c>
      <c r="F2064" t="inlineStr">
        <is>
          <t>C</t>
        </is>
      </c>
      <c r="G2064" t="inlineStr">
        <is>
          <t>Average</t>
        </is>
      </c>
      <c r="H2064" t="n">
        <v>108</v>
      </c>
      <c r="I2064">
        <f>B2064&amp;"~"&amp;F2064&amp;"~"&amp;G2064</f>
        <v/>
      </c>
      <c r="J2064" t="inlineStr">
        <is>
          <t>MVS Sec.17 p.15</t>
        </is>
      </c>
    </row>
    <row r="2065">
      <c r="B2065" t="inlineStr">
        <is>
          <t>Golf Starter (Guard House) Booths</t>
        </is>
      </c>
      <c r="C2065" t="inlineStr">
        <is>
          <t>183</t>
        </is>
      </c>
      <c r="D2065" t="inlineStr">
        <is>
          <t>17</t>
        </is>
      </c>
      <c r="E2065" t="inlineStr">
        <is>
          <t>15</t>
        </is>
      </c>
      <c r="F2065" t="inlineStr">
        <is>
          <t>D</t>
        </is>
      </c>
      <c r="G2065" t="inlineStr">
        <is>
          <t>Excellent</t>
        </is>
      </c>
      <c r="H2065" t="n">
        <v>203</v>
      </c>
      <c r="I2065">
        <f>B2065&amp;"~"&amp;F2065&amp;"~"&amp;G2065</f>
        <v/>
      </c>
      <c r="J2065" t="inlineStr">
        <is>
          <t>MVS Sec.17 p.15</t>
        </is>
      </c>
    </row>
    <row r="2066">
      <c r="B2066" t="inlineStr">
        <is>
          <t>Golf Starter (Guard House) Booths</t>
        </is>
      </c>
      <c r="C2066" t="inlineStr">
        <is>
          <t>183</t>
        </is>
      </c>
      <c r="D2066" t="inlineStr">
        <is>
          <t>17</t>
        </is>
      </c>
      <c r="E2066" t="inlineStr">
        <is>
          <t>15</t>
        </is>
      </c>
      <c r="F2066" t="inlineStr">
        <is>
          <t>D</t>
        </is>
      </c>
      <c r="G2066" t="inlineStr">
        <is>
          <t>Good</t>
        </is>
      </c>
      <c r="H2066" t="n">
        <v>147</v>
      </c>
      <c r="I2066">
        <f>B2066&amp;"~"&amp;F2066&amp;"~"&amp;G2066</f>
        <v/>
      </c>
      <c r="J2066" t="inlineStr">
        <is>
          <t>MVS Sec.17 p.15</t>
        </is>
      </c>
    </row>
    <row r="2067">
      <c r="B2067" t="inlineStr">
        <is>
          <t>Golf Starter (Guard House) Booths</t>
        </is>
      </c>
      <c r="C2067" t="inlineStr">
        <is>
          <t>183</t>
        </is>
      </c>
      <c r="D2067" t="inlineStr">
        <is>
          <t>17</t>
        </is>
      </c>
      <c r="E2067" t="inlineStr">
        <is>
          <t>15</t>
        </is>
      </c>
      <c r="F2067" t="inlineStr">
        <is>
          <t>D</t>
        </is>
      </c>
      <c r="G2067" t="inlineStr">
        <is>
          <t>Average</t>
        </is>
      </c>
      <c r="H2067" t="n">
        <v>103</v>
      </c>
      <c r="I2067">
        <f>B2067&amp;"~"&amp;F2067&amp;"~"&amp;G2067</f>
        <v/>
      </c>
      <c r="J2067" t="inlineStr">
        <is>
          <t>MVS Sec.17 p.15</t>
        </is>
      </c>
    </row>
    <row r="2068">
      <c r="B2068" t="inlineStr">
        <is>
          <t>Golf Starter (Guard House) Booths</t>
        </is>
      </c>
      <c r="C2068" t="inlineStr">
        <is>
          <t>183</t>
        </is>
      </c>
      <c r="D2068" t="inlineStr">
        <is>
          <t>17</t>
        </is>
      </c>
      <c r="E2068" t="inlineStr">
        <is>
          <t>15</t>
        </is>
      </c>
      <c r="F2068" t="inlineStr">
        <is>
          <t>D</t>
        </is>
      </c>
      <c r="G2068" t="inlineStr">
        <is>
          <t>Low Cost</t>
        </is>
      </c>
      <c r="H2068" t="n">
        <v>74.5</v>
      </c>
      <c r="I2068">
        <f>B2068&amp;"~"&amp;F2068&amp;"~"&amp;G2068</f>
        <v/>
      </c>
      <c r="J2068" t="inlineStr">
        <is>
          <t>MVS Sec.17 p.15</t>
        </is>
      </c>
    </row>
    <row r="2069">
      <c r="B2069" t="inlineStr">
        <is>
          <t>Golf Starter (Guard House) Booths</t>
        </is>
      </c>
      <c r="C2069" t="inlineStr">
        <is>
          <t>183</t>
        </is>
      </c>
      <c r="D2069" t="inlineStr">
        <is>
          <t>17</t>
        </is>
      </c>
      <c r="E2069" t="inlineStr">
        <is>
          <t>15</t>
        </is>
      </c>
      <c r="F2069" t="inlineStr">
        <is>
          <t>DPOLE</t>
        </is>
      </c>
      <c r="G2069" t="inlineStr">
        <is>
          <t>Average</t>
        </is>
      </c>
      <c r="H2069" t="n">
        <v>99</v>
      </c>
      <c r="I2069">
        <f>B2069&amp;"~"&amp;F2069&amp;"~"&amp;G2069</f>
        <v/>
      </c>
      <c r="J2069" t="inlineStr">
        <is>
          <t>MVS Sec.17 p.15</t>
        </is>
      </c>
    </row>
    <row r="2070">
      <c r="B2070" t="inlineStr">
        <is>
          <t>Golf Starter (Guard House) Booths</t>
        </is>
      </c>
      <c r="C2070" t="inlineStr">
        <is>
          <t>183</t>
        </is>
      </c>
      <c r="D2070" t="inlineStr">
        <is>
          <t>17</t>
        </is>
      </c>
      <c r="E2070" t="inlineStr">
        <is>
          <t>15</t>
        </is>
      </c>
      <c r="F2070" t="inlineStr">
        <is>
          <t>DPOLE</t>
        </is>
      </c>
      <c r="G2070" t="inlineStr">
        <is>
          <t>Low Cost</t>
        </is>
      </c>
      <c r="H2070" t="n">
        <v>72.5</v>
      </c>
      <c r="I2070">
        <f>B2070&amp;"~"&amp;F2070&amp;"~"&amp;G2070</f>
        <v/>
      </c>
      <c r="J2070" t="inlineStr">
        <is>
          <t>MVS Sec.17 p.15</t>
        </is>
      </c>
    </row>
    <row r="2071">
      <c r="B2071" t="inlineStr">
        <is>
          <t>Golf Starter (Guard House) Booths</t>
        </is>
      </c>
      <c r="C2071" t="inlineStr">
        <is>
          <t>183</t>
        </is>
      </c>
      <c r="D2071" t="inlineStr">
        <is>
          <t>17</t>
        </is>
      </c>
      <c r="E2071" t="inlineStr">
        <is>
          <t>15</t>
        </is>
      </c>
      <c r="F2071" t="inlineStr">
        <is>
          <t>S</t>
        </is>
      </c>
      <c r="G2071" t="inlineStr">
        <is>
          <t>Good</t>
        </is>
      </c>
      <c r="H2071" t="n">
        <v>144</v>
      </c>
      <c r="I2071">
        <f>B2071&amp;"~"&amp;F2071&amp;"~"&amp;G2071</f>
        <v/>
      </c>
      <c r="J2071" t="inlineStr">
        <is>
          <t>MVS Sec.17 p.15</t>
        </is>
      </c>
    </row>
    <row r="2072">
      <c r="B2072" t="inlineStr">
        <is>
          <t>Golf Starter (Guard House) Booths</t>
        </is>
      </c>
      <c r="C2072" t="inlineStr">
        <is>
          <t>183</t>
        </is>
      </c>
      <c r="D2072" t="inlineStr">
        <is>
          <t>17</t>
        </is>
      </c>
      <c r="E2072" t="inlineStr">
        <is>
          <t>15</t>
        </is>
      </c>
      <c r="F2072" t="inlineStr">
        <is>
          <t>S</t>
        </is>
      </c>
      <c r="G2072" t="inlineStr">
        <is>
          <t>Average</t>
        </is>
      </c>
      <c r="H2072" t="n">
        <v>102</v>
      </c>
      <c r="I2072">
        <f>B2072&amp;"~"&amp;F2072&amp;"~"&amp;G2072</f>
        <v/>
      </c>
      <c r="J2072" t="inlineStr">
        <is>
          <t>MVS Sec.17 p.15</t>
        </is>
      </c>
    </row>
    <row r="2073">
      <c r="B2073" t="inlineStr">
        <is>
          <t>Golf Starter (Guard House) Booths</t>
        </is>
      </c>
      <c r="C2073" t="inlineStr">
        <is>
          <t>183</t>
        </is>
      </c>
      <c r="D2073" t="inlineStr">
        <is>
          <t>17</t>
        </is>
      </c>
      <c r="E2073" t="inlineStr">
        <is>
          <t>15</t>
        </is>
      </c>
      <c r="F2073" t="inlineStr">
        <is>
          <t>S</t>
        </is>
      </c>
      <c r="G2073" t="inlineStr">
        <is>
          <t>Low Cost</t>
        </is>
      </c>
      <c r="H2073" t="n">
        <v>74</v>
      </c>
      <c r="I2073">
        <f>B2073&amp;"~"&amp;F2073&amp;"~"&amp;G2073</f>
        <v/>
      </c>
      <c r="J2073" t="inlineStr">
        <is>
          <t>MVS Sec.17 p.15</t>
        </is>
      </c>
    </row>
    <row r="2074">
      <c r="B2074" t="inlineStr">
        <is>
          <t>Material Storage Buildings</t>
        </is>
      </c>
      <c r="C2074" t="inlineStr">
        <is>
          <t>391</t>
        </is>
      </c>
      <c r="D2074" t="inlineStr">
        <is>
          <t>17</t>
        </is>
      </c>
      <c r="E2074" t="inlineStr">
        <is>
          <t>16</t>
        </is>
      </c>
      <c r="F2074" t="inlineStr">
        <is>
          <t>C</t>
        </is>
      </c>
      <c r="G2074" t="inlineStr">
        <is>
          <t>Very Good</t>
        </is>
      </c>
      <c r="H2074" t="n">
        <v>62</v>
      </c>
      <c r="I2074">
        <f>B2074&amp;"~"&amp;F2074&amp;"~"&amp;G2074</f>
        <v/>
      </c>
      <c r="J2074" t="inlineStr">
        <is>
          <t>MVS Sec.17 p.16</t>
        </is>
      </c>
    </row>
    <row r="2075">
      <c r="B2075" t="inlineStr">
        <is>
          <t>Material Storage Buildings</t>
        </is>
      </c>
      <c r="C2075" t="inlineStr">
        <is>
          <t>391</t>
        </is>
      </c>
      <c r="D2075" t="inlineStr">
        <is>
          <t>17</t>
        </is>
      </c>
      <c r="E2075" t="inlineStr">
        <is>
          <t>16</t>
        </is>
      </c>
      <c r="F2075" t="inlineStr">
        <is>
          <t>C</t>
        </is>
      </c>
      <c r="G2075" t="inlineStr">
        <is>
          <t>Good</t>
        </is>
      </c>
      <c r="H2075" t="n">
        <v>54</v>
      </c>
      <c r="I2075">
        <f>B2075&amp;"~"&amp;F2075&amp;"~"&amp;G2075</f>
        <v/>
      </c>
      <c r="J2075" t="inlineStr">
        <is>
          <t>MVS Sec.17 p.16</t>
        </is>
      </c>
    </row>
    <row r="2076">
      <c r="B2076" t="inlineStr">
        <is>
          <t>Material Storage Buildings</t>
        </is>
      </c>
      <c r="C2076" t="inlineStr">
        <is>
          <t>391</t>
        </is>
      </c>
      <c r="D2076" t="inlineStr">
        <is>
          <t>17</t>
        </is>
      </c>
      <c r="E2076" t="inlineStr">
        <is>
          <t>16</t>
        </is>
      </c>
      <c r="F2076" t="inlineStr">
        <is>
          <t>C</t>
        </is>
      </c>
      <c r="G2076" t="inlineStr">
        <is>
          <t>Average</t>
        </is>
      </c>
      <c r="H2076" t="n">
        <v>41.5</v>
      </c>
      <c r="I2076">
        <f>B2076&amp;"~"&amp;F2076&amp;"~"&amp;G2076</f>
        <v/>
      </c>
      <c r="J2076" t="inlineStr">
        <is>
          <t>MVS Sec.17 p.16</t>
        </is>
      </c>
    </row>
    <row r="2077">
      <c r="B2077" t="inlineStr">
        <is>
          <t>Material Storage Buildings</t>
        </is>
      </c>
      <c r="C2077" t="inlineStr">
        <is>
          <t>391</t>
        </is>
      </c>
      <c r="D2077" t="inlineStr">
        <is>
          <t>17</t>
        </is>
      </c>
      <c r="E2077" t="inlineStr">
        <is>
          <t>16</t>
        </is>
      </c>
      <c r="F2077" t="inlineStr">
        <is>
          <t>D</t>
        </is>
      </c>
      <c r="G2077" t="inlineStr">
        <is>
          <t>Very Good</t>
        </is>
      </c>
      <c r="H2077" t="n">
        <v>57</v>
      </c>
      <c r="I2077">
        <f>B2077&amp;"~"&amp;F2077&amp;"~"&amp;G2077</f>
        <v/>
      </c>
      <c r="J2077" t="inlineStr">
        <is>
          <t>MVS Sec.17 p.16</t>
        </is>
      </c>
    </row>
    <row r="2078">
      <c r="B2078" t="inlineStr">
        <is>
          <t>Material Storage Buildings</t>
        </is>
      </c>
      <c r="C2078" t="inlineStr">
        <is>
          <t>391</t>
        </is>
      </c>
      <c r="D2078" t="inlineStr">
        <is>
          <t>17</t>
        </is>
      </c>
      <c r="E2078" t="inlineStr">
        <is>
          <t>16</t>
        </is>
      </c>
      <c r="F2078" t="inlineStr">
        <is>
          <t>D</t>
        </is>
      </c>
      <c r="G2078" t="inlineStr">
        <is>
          <t>Good</t>
        </is>
      </c>
      <c r="H2078" t="n">
        <v>47.25</v>
      </c>
      <c r="I2078">
        <f>B2078&amp;"~"&amp;F2078&amp;"~"&amp;G2078</f>
        <v/>
      </c>
      <c r="J2078" t="inlineStr">
        <is>
          <t>MVS Sec.17 p.16</t>
        </is>
      </c>
    </row>
    <row r="2079">
      <c r="B2079" t="inlineStr">
        <is>
          <t>Material Storage Buildings</t>
        </is>
      </c>
      <c r="C2079" t="inlineStr">
        <is>
          <t>391</t>
        </is>
      </c>
      <c r="D2079" t="inlineStr">
        <is>
          <t>17</t>
        </is>
      </c>
      <c r="E2079" t="inlineStr">
        <is>
          <t>16</t>
        </is>
      </c>
      <c r="F2079" t="inlineStr">
        <is>
          <t>D</t>
        </is>
      </c>
      <c r="G2079" t="inlineStr">
        <is>
          <t>Average</t>
        </is>
      </c>
      <c r="H2079" t="n">
        <v>32.5</v>
      </c>
      <c r="I2079">
        <f>B2079&amp;"~"&amp;F2079&amp;"~"&amp;G2079</f>
        <v/>
      </c>
      <c r="J2079" t="inlineStr">
        <is>
          <t>MVS Sec.17 p.16</t>
        </is>
      </c>
    </row>
    <row r="2080">
      <c r="B2080" t="inlineStr">
        <is>
          <t>Material Storage Buildings</t>
        </is>
      </c>
      <c r="C2080" t="inlineStr">
        <is>
          <t>391</t>
        </is>
      </c>
      <c r="D2080" t="inlineStr">
        <is>
          <t>17</t>
        </is>
      </c>
      <c r="E2080" t="inlineStr">
        <is>
          <t>16</t>
        </is>
      </c>
      <c r="F2080" t="inlineStr">
        <is>
          <t>DPOLE</t>
        </is>
      </c>
      <c r="G2080" t="inlineStr">
        <is>
          <t>Average</t>
        </is>
      </c>
      <c r="H2080" t="n">
        <v>29</v>
      </c>
      <c r="I2080">
        <f>B2080&amp;"~"&amp;F2080&amp;"~"&amp;G2080</f>
        <v/>
      </c>
      <c r="J2080" t="inlineStr">
        <is>
          <t>MVS Sec.17 p.16</t>
        </is>
      </c>
    </row>
    <row r="2081">
      <c r="B2081" t="inlineStr">
        <is>
          <t>Material Storage Buildings</t>
        </is>
      </c>
      <c r="C2081" t="inlineStr">
        <is>
          <t>391</t>
        </is>
      </c>
      <c r="D2081" t="inlineStr">
        <is>
          <t>17</t>
        </is>
      </c>
      <c r="E2081" t="inlineStr">
        <is>
          <t>16</t>
        </is>
      </c>
      <c r="F2081" t="inlineStr">
        <is>
          <t>S</t>
        </is>
      </c>
      <c r="G2081" t="inlineStr">
        <is>
          <t>Very Good</t>
        </is>
      </c>
      <c r="H2081" t="n">
        <v>56.5</v>
      </c>
      <c r="I2081">
        <f>B2081&amp;"~"&amp;F2081&amp;"~"&amp;G2081</f>
        <v/>
      </c>
      <c r="J2081" t="inlineStr">
        <is>
          <t>MVS Sec.17 p.16</t>
        </is>
      </c>
    </row>
    <row r="2082">
      <c r="B2082" t="inlineStr">
        <is>
          <t>Material Storage Buildings</t>
        </is>
      </c>
      <c r="C2082" t="inlineStr">
        <is>
          <t>391</t>
        </is>
      </c>
      <c r="D2082" t="inlineStr">
        <is>
          <t>17</t>
        </is>
      </c>
      <c r="E2082" t="inlineStr">
        <is>
          <t>16</t>
        </is>
      </c>
      <c r="F2082" t="inlineStr">
        <is>
          <t>S</t>
        </is>
      </c>
      <c r="G2082" t="inlineStr">
        <is>
          <t>Good</t>
        </is>
      </c>
      <c r="H2082" t="n">
        <v>47.25</v>
      </c>
      <c r="I2082">
        <f>B2082&amp;"~"&amp;F2082&amp;"~"&amp;G2082</f>
        <v/>
      </c>
      <c r="J2082" t="inlineStr">
        <is>
          <t>MVS Sec.17 p.16</t>
        </is>
      </c>
    </row>
    <row r="2083">
      <c r="B2083" t="inlineStr">
        <is>
          <t>Material Storage Buildings</t>
        </is>
      </c>
      <c r="C2083" t="inlineStr">
        <is>
          <t>391</t>
        </is>
      </c>
      <c r="D2083" t="inlineStr">
        <is>
          <t>17</t>
        </is>
      </c>
      <c r="E2083" t="inlineStr">
        <is>
          <t>16</t>
        </is>
      </c>
      <c r="F2083" t="inlineStr">
        <is>
          <t>S</t>
        </is>
      </c>
      <c r="G2083" t="inlineStr">
        <is>
          <t>Average</t>
        </is>
      </c>
      <c r="H2083" t="n">
        <v>32.75</v>
      </c>
      <c r="I2083">
        <f>B2083&amp;"~"&amp;F2083&amp;"~"&amp;G2083</f>
        <v/>
      </c>
      <c r="J2083" t="inlineStr">
        <is>
          <t>MVS Sec.17 p.16</t>
        </is>
      </c>
    </row>
    <row r="2084">
      <c r="B2084" t="inlineStr">
        <is>
          <t>Material Storage Buildings</t>
        </is>
      </c>
      <c r="C2084" t="inlineStr">
        <is>
          <t>391</t>
        </is>
      </c>
      <c r="D2084" t="inlineStr">
        <is>
          <t>17</t>
        </is>
      </c>
      <c r="E2084" t="inlineStr">
        <is>
          <t>16</t>
        </is>
      </c>
      <c r="F2084" t="inlineStr">
        <is>
          <t>SSLANT</t>
        </is>
      </c>
      <c r="G2084" t="inlineStr">
        <is>
          <t>Average</t>
        </is>
      </c>
      <c r="H2084" t="n">
        <v>30</v>
      </c>
      <c r="I2084">
        <f>B2084&amp;"~"&amp;F2084&amp;"~"&amp;G2084</f>
        <v/>
      </c>
      <c r="J2084" t="inlineStr">
        <is>
          <t>MVS Sec.17 p.16</t>
        </is>
      </c>
    </row>
    <row r="2085">
      <c r="B2085" t="inlineStr">
        <is>
          <t>Material Storage Sheds</t>
        </is>
      </c>
      <c r="C2085" t="inlineStr">
        <is>
          <t>468</t>
        </is>
      </c>
      <c r="D2085" t="inlineStr">
        <is>
          <t>17</t>
        </is>
      </c>
      <c r="E2085" t="inlineStr">
        <is>
          <t>16</t>
        </is>
      </c>
      <c r="F2085" t="inlineStr">
        <is>
          <t>C</t>
        </is>
      </c>
      <c r="G2085" t="inlineStr">
        <is>
          <t>Average</t>
        </is>
      </c>
      <c r="H2085" t="n">
        <v>28.75</v>
      </c>
      <c r="I2085">
        <f>B2085&amp;"~"&amp;F2085&amp;"~"&amp;G2085</f>
        <v/>
      </c>
      <c r="J2085" t="inlineStr">
        <is>
          <t>MVS Sec.17 p.16</t>
        </is>
      </c>
    </row>
    <row r="2086">
      <c r="B2086" t="inlineStr">
        <is>
          <t>Material Storage Sheds</t>
        </is>
      </c>
      <c r="C2086" t="inlineStr">
        <is>
          <t>468</t>
        </is>
      </c>
      <c r="D2086" t="inlineStr">
        <is>
          <t>17</t>
        </is>
      </c>
      <c r="E2086" t="inlineStr">
        <is>
          <t>16</t>
        </is>
      </c>
      <c r="F2086" t="inlineStr">
        <is>
          <t>C</t>
        </is>
      </c>
      <c r="G2086" t="inlineStr">
        <is>
          <t>Low Cost</t>
        </is>
      </c>
      <c r="H2086" t="n">
        <v>21.8</v>
      </c>
      <c r="I2086">
        <f>B2086&amp;"~"&amp;F2086&amp;"~"&amp;G2086</f>
        <v/>
      </c>
      <c r="J2086" t="inlineStr">
        <is>
          <t>MVS Sec.17 p.16</t>
        </is>
      </c>
    </row>
    <row r="2087">
      <c r="B2087" t="inlineStr">
        <is>
          <t>Material Storage Sheds</t>
        </is>
      </c>
      <c r="C2087" t="inlineStr">
        <is>
          <t>468</t>
        </is>
      </c>
      <c r="D2087" t="inlineStr">
        <is>
          <t>17</t>
        </is>
      </c>
      <c r="E2087" t="inlineStr">
        <is>
          <t>16</t>
        </is>
      </c>
      <c r="F2087" t="inlineStr">
        <is>
          <t>D</t>
        </is>
      </c>
      <c r="G2087" t="inlineStr">
        <is>
          <t>Average</t>
        </is>
      </c>
      <c r="H2087" t="n">
        <v>22.8</v>
      </c>
      <c r="I2087">
        <f>B2087&amp;"~"&amp;F2087&amp;"~"&amp;G2087</f>
        <v/>
      </c>
      <c r="J2087" t="inlineStr">
        <is>
          <t>MVS Sec.17 p.16</t>
        </is>
      </c>
    </row>
    <row r="2088">
      <c r="B2088" t="inlineStr">
        <is>
          <t>Material Storage Sheds</t>
        </is>
      </c>
      <c r="C2088" t="inlineStr">
        <is>
          <t>468</t>
        </is>
      </c>
      <c r="D2088" t="inlineStr">
        <is>
          <t>17</t>
        </is>
      </c>
      <c r="E2088" t="inlineStr">
        <is>
          <t>16</t>
        </is>
      </c>
      <c r="F2088" t="inlineStr">
        <is>
          <t>D</t>
        </is>
      </c>
      <c r="G2088" t="inlineStr">
        <is>
          <t>Low Cost</t>
        </is>
      </c>
      <c r="H2088" t="n">
        <v>16.05</v>
      </c>
      <c r="I2088">
        <f>B2088&amp;"~"&amp;F2088&amp;"~"&amp;G2088</f>
        <v/>
      </c>
      <c r="J2088" t="inlineStr">
        <is>
          <t>MVS Sec.17 p.16</t>
        </is>
      </c>
    </row>
    <row r="2089">
      <c r="B2089" t="inlineStr">
        <is>
          <t>Material Storage Sheds</t>
        </is>
      </c>
      <c r="C2089" t="inlineStr">
        <is>
          <t>468</t>
        </is>
      </c>
      <c r="D2089" t="inlineStr">
        <is>
          <t>17</t>
        </is>
      </c>
      <c r="E2089" t="inlineStr">
        <is>
          <t>16</t>
        </is>
      </c>
      <c r="F2089" t="inlineStr">
        <is>
          <t>DPOLE</t>
        </is>
      </c>
      <c r="G2089" t="inlineStr">
        <is>
          <t>Average</t>
        </is>
      </c>
      <c r="H2089" t="n">
        <v>18.6</v>
      </c>
      <c r="I2089">
        <f>B2089&amp;"~"&amp;F2089&amp;"~"&amp;G2089</f>
        <v/>
      </c>
      <c r="J2089" t="inlineStr">
        <is>
          <t>MVS Sec.17 p.16</t>
        </is>
      </c>
    </row>
    <row r="2090">
      <c r="B2090" t="inlineStr">
        <is>
          <t>Material Storage Sheds</t>
        </is>
      </c>
      <c r="C2090" t="inlineStr">
        <is>
          <t>468</t>
        </is>
      </c>
      <c r="D2090" t="inlineStr">
        <is>
          <t>17</t>
        </is>
      </c>
      <c r="E2090" t="inlineStr">
        <is>
          <t>16</t>
        </is>
      </c>
      <c r="F2090" t="inlineStr">
        <is>
          <t>DPOLE</t>
        </is>
      </c>
      <c r="G2090" t="inlineStr">
        <is>
          <t>Low Cost</t>
        </is>
      </c>
      <c r="H2090" t="n">
        <v>12.95</v>
      </c>
      <c r="I2090">
        <f>B2090&amp;"~"&amp;F2090&amp;"~"&amp;G2090</f>
        <v/>
      </c>
      <c r="J2090" t="inlineStr">
        <is>
          <t>MVS Sec.17 p.16</t>
        </is>
      </c>
    </row>
    <row r="2091">
      <c r="B2091" t="inlineStr">
        <is>
          <t>Material Storage Sheds</t>
        </is>
      </c>
      <c r="C2091" t="inlineStr">
        <is>
          <t>468</t>
        </is>
      </c>
      <c r="D2091" t="inlineStr">
        <is>
          <t>17</t>
        </is>
      </c>
      <c r="E2091" t="inlineStr">
        <is>
          <t>16</t>
        </is>
      </c>
      <c r="F2091" t="inlineStr">
        <is>
          <t>S</t>
        </is>
      </c>
      <c r="G2091" t="inlineStr">
        <is>
          <t>Average</t>
        </is>
      </c>
      <c r="H2091" t="n">
        <v>21.55</v>
      </c>
      <c r="I2091">
        <f>B2091&amp;"~"&amp;F2091&amp;"~"&amp;G2091</f>
        <v/>
      </c>
      <c r="J2091" t="inlineStr">
        <is>
          <t>MVS Sec.17 p.16</t>
        </is>
      </c>
    </row>
    <row r="2092">
      <c r="B2092" t="inlineStr">
        <is>
          <t>Material Storage Sheds</t>
        </is>
      </c>
      <c r="C2092" t="inlineStr">
        <is>
          <t>468</t>
        </is>
      </c>
      <c r="D2092" t="inlineStr">
        <is>
          <t>17</t>
        </is>
      </c>
      <c r="E2092" t="inlineStr">
        <is>
          <t>16</t>
        </is>
      </c>
      <c r="F2092" t="inlineStr">
        <is>
          <t>S</t>
        </is>
      </c>
      <c r="G2092" t="inlineStr">
        <is>
          <t>Low Cost</t>
        </is>
      </c>
      <c r="H2092" t="n">
        <v>15.5</v>
      </c>
      <c r="I2092">
        <f>B2092&amp;"~"&amp;F2092&amp;"~"&amp;G2092</f>
        <v/>
      </c>
      <c r="J2092" t="inlineStr">
        <is>
          <t>MVS Sec.17 p.16</t>
        </is>
      </c>
    </row>
    <row r="2093">
      <c r="B2093" t="inlineStr">
        <is>
          <t>Material Storage Sheds</t>
        </is>
      </c>
      <c r="C2093" t="inlineStr">
        <is>
          <t>468</t>
        </is>
      </c>
      <c r="D2093" t="inlineStr">
        <is>
          <t>17</t>
        </is>
      </c>
      <c r="E2093" t="inlineStr">
        <is>
          <t>16</t>
        </is>
      </c>
      <c r="F2093" t="inlineStr">
        <is>
          <t>SSLANT</t>
        </is>
      </c>
      <c r="G2093" t="inlineStr">
        <is>
          <t>Average</t>
        </is>
      </c>
      <c r="H2093" t="n">
        <v>20.05</v>
      </c>
      <c r="I2093">
        <f>B2093&amp;"~"&amp;F2093&amp;"~"&amp;G2093</f>
        <v/>
      </c>
      <c r="J2093" t="inlineStr">
        <is>
          <t>MVS Sec.17 p.16</t>
        </is>
      </c>
    </row>
    <row r="2094">
      <c r="B2094" t="inlineStr">
        <is>
          <t>Material Storage Sheds</t>
        </is>
      </c>
      <c r="C2094" t="inlineStr">
        <is>
          <t>468</t>
        </is>
      </c>
      <c r="D2094" t="inlineStr">
        <is>
          <t>17</t>
        </is>
      </c>
      <c r="E2094" t="inlineStr">
        <is>
          <t>16</t>
        </is>
      </c>
      <c r="F2094" t="inlineStr">
        <is>
          <t>SSLANT</t>
        </is>
      </c>
      <c r="G2094" t="inlineStr">
        <is>
          <t>Low Cost</t>
        </is>
      </c>
      <c r="H2094" t="n">
        <v>14.35</v>
      </c>
      <c r="I2094">
        <f>B2094&amp;"~"&amp;F2094&amp;"~"&amp;G2094</f>
        <v/>
      </c>
      <c r="J2094" t="inlineStr">
        <is>
          <t>MVS Sec.17 p.16</t>
        </is>
      </c>
    </row>
    <row r="2095">
      <c r="B2095" t="inlineStr">
        <is>
          <t>Bulk Oil Storage</t>
        </is>
      </c>
      <c r="C2095" t="inlineStr">
        <is>
          <t>556</t>
        </is>
      </c>
      <c r="D2095" t="inlineStr">
        <is>
          <t>17</t>
        </is>
      </c>
      <c r="E2095" t="inlineStr">
        <is>
          <t>16</t>
        </is>
      </c>
      <c r="F2095" t="inlineStr">
        <is>
          <t>D</t>
        </is>
      </c>
      <c r="G2095" t="inlineStr">
        <is>
          <t>Average</t>
        </is>
      </c>
      <c r="H2095" t="n">
        <v>45.5</v>
      </c>
      <c r="I2095">
        <f>B2095&amp;"~"&amp;F2095&amp;"~"&amp;G2095</f>
        <v/>
      </c>
      <c r="J2095" t="inlineStr">
        <is>
          <t>MVS Sec.17 p.16</t>
        </is>
      </c>
    </row>
    <row r="2096">
      <c r="B2096" t="inlineStr">
        <is>
          <t>Bulk Oil Storage</t>
        </is>
      </c>
      <c r="C2096" t="inlineStr">
        <is>
          <t>556</t>
        </is>
      </c>
      <c r="D2096" t="inlineStr">
        <is>
          <t>17</t>
        </is>
      </c>
      <c r="E2096" t="inlineStr">
        <is>
          <t>16</t>
        </is>
      </c>
      <c r="F2096" t="inlineStr">
        <is>
          <t>DPOLE</t>
        </is>
      </c>
      <c r="G2096" t="inlineStr">
        <is>
          <t>Average</t>
        </is>
      </c>
      <c r="H2096" t="n">
        <v>42.75</v>
      </c>
      <c r="I2096">
        <f>B2096&amp;"~"&amp;F2096&amp;"~"&amp;G2096</f>
        <v/>
      </c>
      <c r="J2096" t="inlineStr">
        <is>
          <t>MVS Sec.17 p.16</t>
        </is>
      </c>
    </row>
    <row r="2097">
      <c r="B2097" t="inlineStr">
        <is>
          <t>Bulk Oil Storage</t>
        </is>
      </c>
      <c r="C2097" t="inlineStr">
        <is>
          <t>556</t>
        </is>
      </c>
      <c r="D2097" t="inlineStr">
        <is>
          <t>17</t>
        </is>
      </c>
      <c r="E2097" t="inlineStr">
        <is>
          <t>16</t>
        </is>
      </c>
      <c r="F2097" t="inlineStr">
        <is>
          <t>S</t>
        </is>
      </c>
      <c r="G2097" t="inlineStr">
        <is>
          <t>Average</t>
        </is>
      </c>
      <c r="H2097" t="n">
        <v>44.25</v>
      </c>
      <c r="I2097">
        <f>B2097&amp;"~"&amp;F2097&amp;"~"&amp;G2097</f>
        <v/>
      </c>
      <c r="J2097" t="inlineStr">
        <is>
          <t>MVS Sec.17 p.16</t>
        </is>
      </c>
    </row>
    <row r="2098">
      <c r="B2098" t="inlineStr">
        <is>
          <t>Lumber Storage Buildings</t>
        </is>
      </c>
      <c r="C2098" t="inlineStr">
        <is>
          <t>390</t>
        </is>
      </c>
      <c r="D2098" t="inlineStr">
        <is>
          <t>17</t>
        </is>
      </c>
      <c r="E2098" t="inlineStr">
        <is>
          <t>17</t>
        </is>
      </c>
      <c r="F2098" t="inlineStr">
        <is>
          <t>D</t>
        </is>
      </c>
      <c r="G2098" t="inlineStr">
        <is>
          <t>Good</t>
        </is>
      </c>
      <c r="H2098" t="n">
        <v>47.75</v>
      </c>
      <c r="I2098">
        <f>B2098&amp;"~"&amp;F2098&amp;"~"&amp;G2098</f>
        <v/>
      </c>
      <c r="J2098" t="inlineStr">
        <is>
          <t>MVS Sec.17 p.17</t>
        </is>
      </c>
    </row>
    <row r="2099">
      <c r="B2099" t="inlineStr">
        <is>
          <t>Lumber Storage Buildings</t>
        </is>
      </c>
      <c r="C2099" t="inlineStr">
        <is>
          <t>390</t>
        </is>
      </c>
      <c r="D2099" t="inlineStr">
        <is>
          <t>17</t>
        </is>
      </c>
      <c r="E2099" t="inlineStr">
        <is>
          <t>17</t>
        </is>
      </c>
      <c r="F2099" t="inlineStr">
        <is>
          <t>D</t>
        </is>
      </c>
      <c r="G2099" t="inlineStr">
        <is>
          <t>Average</t>
        </is>
      </c>
      <c r="H2099" t="n">
        <v>33.5</v>
      </c>
      <c r="I2099">
        <f>B2099&amp;"~"&amp;F2099&amp;"~"&amp;G2099</f>
        <v/>
      </c>
      <c r="J2099" t="inlineStr">
        <is>
          <t>MVS Sec.17 p.17</t>
        </is>
      </c>
    </row>
    <row r="2100">
      <c r="B2100" t="inlineStr">
        <is>
          <t>Lumber Storage Buildings</t>
        </is>
      </c>
      <c r="C2100" t="inlineStr">
        <is>
          <t>390</t>
        </is>
      </c>
      <c r="D2100" t="inlineStr">
        <is>
          <t>17</t>
        </is>
      </c>
      <c r="E2100" t="inlineStr">
        <is>
          <t>17</t>
        </is>
      </c>
      <c r="F2100" t="inlineStr">
        <is>
          <t>D</t>
        </is>
      </c>
      <c r="G2100" t="inlineStr">
        <is>
          <t>Low Cost</t>
        </is>
      </c>
      <c r="H2100" t="n">
        <v>23.65</v>
      </c>
      <c r="I2100">
        <f>B2100&amp;"~"&amp;F2100&amp;"~"&amp;G2100</f>
        <v/>
      </c>
      <c r="J2100" t="inlineStr">
        <is>
          <t>MVS Sec.17 p.17</t>
        </is>
      </c>
    </row>
    <row r="2101">
      <c r="B2101" t="inlineStr">
        <is>
          <t>Lumber Storage Buildings</t>
        </is>
      </c>
      <c r="C2101" t="inlineStr">
        <is>
          <t>390</t>
        </is>
      </c>
      <c r="D2101" t="inlineStr">
        <is>
          <t>17</t>
        </is>
      </c>
      <c r="E2101" t="inlineStr">
        <is>
          <t>17</t>
        </is>
      </c>
      <c r="F2101" t="inlineStr">
        <is>
          <t>DPOLE</t>
        </is>
      </c>
      <c r="G2101" t="inlineStr">
        <is>
          <t>Good</t>
        </is>
      </c>
      <c r="H2101" t="n">
        <v>43</v>
      </c>
      <c r="I2101">
        <f>B2101&amp;"~"&amp;F2101&amp;"~"&amp;G2101</f>
        <v/>
      </c>
      <c r="J2101" t="inlineStr">
        <is>
          <t>MVS Sec.17 p.17</t>
        </is>
      </c>
    </row>
    <row r="2102">
      <c r="B2102" t="inlineStr">
        <is>
          <t>Lumber Storage Buildings</t>
        </is>
      </c>
      <c r="C2102" t="inlineStr">
        <is>
          <t>390</t>
        </is>
      </c>
      <c r="D2102" t="inlineStr">
        <is>
          <t>17</t>
        </is>
      </c>
      <c r="E2102" t="inlineStr">
        <is>
          <t>17</t>
        </is>
      </c>
      <c r="F2102" t="inlineStr">
        <is>
          <t>DPOLE</t>
        </is>
      </c>
      <c r="G2102" t="inlineStr">
        <is>
          <t>Average</t>
        </is>
      </c>
      <c r="H2102" t="n">
        <v>30</v>
      </c>
      <c r="I2102">
        <f>B2102&amp;"~"&amp;F2102&amp;"~"&amp;G2102</f>
        <v/>
      </c>
      <c r="J2102" t="inlineStr">
        <is>
          <t>MVS Sec.17 p.17</t>
        </is>
      </c>
    </row>
    <row r="2103">
      <c r="B2103" t="inlineStr">
        <is>
          <t>Lumber Storage Buildings</t>
        </is>
      </c>
      <c r="C2103" t="inlineStr">
        <is>
          <t>390</t>
        </is>
      </c>
      <c r="D2103" t="inlineStr">
        <is>
          <t>17</t>
        </is>
      </c>
      <c r="E2103" t="inlineStr">
        <is>
          <t>17</t>
        </is>
      </c>
      <c r="F2103" t="inlineStr">
        <is>
          <t>DPOLE</t>
        </is>
      </c>
      <c r="G2103" t="inlineStr">
        <is>
          <t>Low Cost</t>
        </is>
      </c>
      <c r="H2103" t="n">
        <v>20.9</v>
      </c>
      <c r="I2103">
        <f>B2103&amp;"~"&amp;F2103&amp;"~"&amp;G2103</f>
        <v/>
      </c>
      <c r="J2103" t="inlineStr">
        <is>
          <t>MVS Sec.17 p.17</t>
        </is>
      </c>
    </row>
    <row r="2104">
      <c r="B2104" t="inlineStr">
        <is>
          <t>Lumber Storage Buildings</t>
        </is>
      </c>
      <c r="C2104" t="inlineStr">
        <is>
          <t>390</t>
        </is>
      </c>
      <c r="D2104" t="inlineStr">
        <is>
          <t>17</t>
        </is>
      </c>
      <c r="E2104" t="inlineStr">
        <is>
          <t>17</t>
        </is>
      </c>
      <c r="F2104" t="inlineStr">
        <is>
          <t>S</t>
        </is>
      </c>
      <c r="G2104" t="inlineStr">
        <is>
          <t>Good</t>
        </is>
      </c>
      <c r="H2104" t="n">
        <v>47.5</v>
      </c>
      <c r="I2104">
        <f>B2104&amp;"~"&amp;F2104&amp;"~"&amp;G2104</f>
        <v/>
      </c>
      <c r="J2104" t="inlineStr">
        <is>
          <t>MVS Sec.17 p.17</t>
        </is>
      </c>
    </row>
    <row r="2105">
      <c r="B2105" t="inlineStr">
        <is>
          <t>Lumber Storage Buildings</t>
        </is>
      </c>
      <c r="C2105" t="inlineStr">
        <is>
          <t>390</t>
        </is>
      </c>
      <c r="D2105" t="inlineStr">
        <is>
          <t>17</t>
        </is>
      </c>
      <c r="E2105" t="inlineStr">
        <is>
          <t>17</t>
        </is>
      </c>
      <c r="F2105" t="inlineStr">
        <is>
          <t>S</t>
        </is>
      </c>
      <c r="G2105" t="inlineStr">
        <is>
          <t>Average</t>
        </is>
      </c>
      <c r="H2105" t="n">
        <v>33.5</v>
      </c>
      <c r="I2105">
        <f>B2105&amp;"~"&amp;F2105&amp;"~"&amp;G2105</f>
        <v/>
      </c>
      <c r="J2105" t="inlineStr">
        <is>
          <t>MVS Sec.17 p.17</t>
        </is>
      </c>
    </row>
    <row r="2106">
      <c r="B2106" t="inlineStr">
        <is>
          <t>Lumber Storage Buildings</t>
        </is>
      </c>
      <c r="C2106" t="inlineStr">
        <is>
          <t>390</t>
        </is>
      </c>
      <c r="D2106" t="inlineStr">
        <is>
          <t>17</t>
        </is>
      </c>
      <c r="E2106" t="inlineStr">
        <is>
          <t>17</t>
        </is>
      </c>
      <c r="F2106" t="inlineStr">
        <is>
          <t>S</t>
        </is>
      </c>
      <c r="G2106" t="inlineStr">
        <is>
          <t>Low Cost</t>
        </is>
      </c>
      <c r="H2106" t="n">
        <v>23.75</v>
      </c>
      <c r="I2106">
        <f>B2106&amp;"~"&amp;F2106&amp;"~"&amp;G2106</f>
        <v/>
      </c>
      <c r="J2106" t="inlineStr">
        <is>
          <t>MVS Sec.17 p.17</t>
        </is>
      </c>
    </row>
    <row r="2107">
      <c r="B2107" t="inlineStr">
        <is>
          <t>Lumber Storage Sheds</t>
        </is>
      </c>
      <c r="C2107" t="inlineStr">
        <is>
          <t>339</t>
        </is>
      </c>
      <c r="D2107" t="inlineStr">
        <is>
          <t>17</t>
        </is>
      </c>
      <c r="E2107" t="inlineStr">
        <is>
          <t>17</t>
        </is>
      </c>
      <c r="F2107" t="inlineStr">
        <is>
          <t>D</t>
        </is>
      </c>
      <c r="G2107" t="inlineStr">
        <is>
          <t>Good</t>
        </is>
      </c>
      <c r="H2107" t="n">
        <v>40</v>
      </c>
      <c r="I2107">
        <f>B2107&amp;"~"&amp;F2107&amp;"~"&amp;G2107</f>
        <v/>
      </c>
      <c r="J2107" t="inlineStr">
        <is>
          <t>MVS Sec.17 p.17</t>
        </is>
      </c>
    </row>
    <row r="2108">
      <c r="B2108" t="inlineStr">
        <is>
          <t>Lumber Storage Sheds</t>
        </is>
      </c>
      <c r="C2108" t="inlineStr">
        <is>
          <t>339</t>
        </is>
      </c>
      <c r="D2108" t="inlineStr">
        <is>
          <t>17</t>
        </is>
      </c>
      <c r="E2108" t="inlineStr">
        <is>
          <t>17</t>
        </is>
      </c>
      <c r="F2108" t="inlineStr">
        <is>
          <t>D</t>
        </is>
      </c>
      <c r="G2108" t="inlineStr">
        <is>
          <t>Average</t>
        </is>
      </c>
      <c r="H2108" t="n">
        <v>27.25</v>
      </c>
      <c r="I2108">
        <f>B2108&amp;"~"&amp;F2108&amp;"~"&amp;G2108</f>
        <v/>
      </c>
      <c r="J2108" t="inlineStr">
        <is>
          <t>MVS Sec.17 p.17</t>
        </is>
      </c>
    </row>
    <row r="2109">
      <c r="B2109" t="inlineStr">
        <is>
          <t>Lumber Storage Sheds</t>
        </is>
      </c>
      <c r="C2109" t="inlineStr">
        <is>
          <t>339</t>
        </is>
      </c>
      <c r="D2109" t="inlineStr">
        <is>
          <t>17</t>
        </is>
      </c>
      <c r="E2109" t="inlineStr">
        <is>
          <t>17</t>
        </is>
      </c>
      <c r="F2109" t="inlineStr">
        <is>
          <t>D</t>
        </is>
      </c>
      <c r="G2109" t="inlineStr">
        <is>
          <t>Low Cost</t>
        </is>
      </c>
      <c r="H2109" t="n">
        <v>18.55</v>
      </c>
      <c r="I2109">
        <f>B2109&amp;"~"&amp;F2109&amp;"~"&amp;G2109</f>
        <v/>
      </c>
      <c r="J2109" t="inlineStr">
        <is>
          <t>MVS Sec.17 p.17</t>
        </is>
      </c>
    </row>
    <row r="2110">
      <c r="B2110" t="inlineStr">
        <is>
          <t>Lumber Storage Sheds</t>
        </is>
      </c>
      <c r="C2110" t="inlineStr">
        <is>
          <t>339</t>
        </is>
      </c>
      <c r="D2110" t="inlineStr">
        <is>
          <t>17</t>
        </is>
      </c>
      <c r="E2110" t="inlineStr">
        <is>
          <t>17</t>
        </is>
      </c>
      <c r="F2110" t="inlineStr">
        <is>
          <t>DPOLE</t>
        </is>
      </c>
      <c r="G2110" t="inlineStr">
        <is>
          <t>Good</t>
        </is>
      </c>
      <c r="H2110" t="n">
        <v>34.5</v>
      </c>
      <c r="I2110">
        <f>B2110&amp;"~"&amp;F2110&amp;"~"&amp;G2110</f>
        <v/>
      </c>
      <c r="J2110" t="inlineStr">
        <is>
          <t>MVS Sec.17 p.17</t>
        </is>
      </c>
    </row>
    <row r="2111">
      <c r="B2111" t="inlineStr">
        <is>
          <t>Lumber Storage Sheds</t>
        </is>
      </c>
      <c r="C2111" t="inlineStr">
        <is>
          <t>339</t>
        </is>
      </c>
      <c r="D2111" t="inlineStr">
        <is>
          <t>17</t>
        </is>
      </c>
      <c r="E2111" t="inlineStr">
        <is>
          <t>17</t>
        </is>
      </c>
      <c r="F2111" t="inlineStr">
        <is>
          <t>DPOLE</t>
        </is>
      </c>
      <c r="G2111" t="inlineStr">
        <is>
          <t>Average</t>
        </is>
      </c>
      <c r="H2111" t="n">
        <v>23.45</v>
      </c>
      <c r="I2111">
        <f>B2111&amp;"~"&amp;F2111&amp;"~"&amp;G2111</f>
        <v/>
      </c>
      <c r="J2111" t="inlineStr">
        <is>
          <t>MVS Sec.17 p.17</t>
        </is>
      </c>
    </row>
    <row r="2112">
      <c r="B2112" t="inlineStr">
        <is>
          <t>Lumber Storage Sheds</t>
        </is>
      </c>
      <c r="C2112" t="inlineStr">
        <is>
          <t>339</t>
        </is>
      </c>
      <c r="D2112" t="inlineStr">
        <is>
          <t>17</t>
        </is>
      </c>
      <c r="E2112" t="inlineStr">
        <is>
          <t>17</t>
        </is>
      </c>
      <c r="F2112" t="inlineStr">
        <is>
          <t>DPOLE</t>
        </is>
      </c>
      <c r="G2112" t="inlineStr">
        <is>
          <t>Low Cost</t>
        </is>
      </c>
      <c r="H2112" t="n">
        <v>15.95</v>
      </c>
      <c r="I2112">
        <f>B2112&amp;"~"&amp;F2112&amp;"~"&amp;G2112</f>
        <v/>
      </c>
      <c r="J2112" t="inlineStr">
        <is>
          <t>MVS Sec.17 p.17</t>
        </is>
      </c>
    </row>
    <row r="2113">
      <c r="B2113" t="inlineStr">
        <is>
          <t>Lumber Storage Sheds</t>
        </is>
      </c>
      <c r="C2113" t="inlineStr">
        <is>
          <t>339</t>
        </is>
      </c>
      <c r="D2113" t="inlineStr">
        <is>
          <t>17</t>
        </is>
      </c>
      <c r="E2113" t="inlineStr">
        <is>
          <t>17</t>
        </is>
      </c>
      <c r="F2113" t="inlineStr">
        <is>
          <t>S</t>
        </is>
      </c>
      <c r="G2113" t="inlineStr">
        <is>
          <t>Good</t>
        </is>
      </c>
      <c r="H2113" t="n">
        <v>39.75</v>
      </c>
      <c r="I2113">
        <f>B2113&amp;"~"&amp;F2113&amp;"~"&amp;G2113</f>
        <v/>
      </c>
      <c r="J2113" t="inlineStr">
        <is>
          <t>MVS Sec.17 p.17</t>
        </is>
      </c>
    </row>
    <row r="2114">
      <c r="B2114" t="inlineStr">
        <is>
          <t>Lumber Storage Sheds</t>
        </is>
      </c>
      <c r="C2114" t="inlineStr">
        <is>
          <t>339</t>
        </is>
      </c>
      <c r="D2114" t="inlineStr">
        <is>
          <t>17</t>
        </is>
      </c>
      <c r="E2114" t="inlineStr">
        <is>
          <t>17</t>
        </is>
      </c>
      <c r="F2114" t="inlineStr">
        <is>
          <t>S</t>
        </is>
      </c>
      <c r="G2114" t="inlineStr">
        <is>
          <t>Average</t>
        </is>
      </c>
      <c r="H2114" t="n">
        <v>27</v>
      </c>
      <c r="I2114">
        <f>B2114&amp;"~"&amp;F2114&amp;"~"&amp;G2114</f>
        <v/>
      </c>
      <c r="J2114" t="inlineStr">
        <is>
          <t>MVS Sec.17 p.17</t>
        </is>
      </c>
    </row>
    <row r="2115">
      <c r="B2115" t="inlineStr">
        <is>
          <t>Lumber Storage Sheds</t>
        </is>
      </c>
      <c r="C2115" t="inlineStr">
        <is>
          <t>339</t>
        </is>
      </c>
      <c r="D2115" t="inlineStr">
        <is>
          <t>17</t>
        </is>
      </c>
      <c r="E2115" t="inlineStr">
        <is>
          <t>17</t>
        </is>
      </c>
      <c r="F2115" t="inlineStr">
        <is>
          <t>S</t>
        </is>
      </c>
      <c r="G2115" t="inlineStr">
        <is>
          <t>Low Cost</t>
        </is>
      </c>
      <c r="H2115" t="n">
        <v>18.4</v>
      </c>
      <c r="I2115">
        <f>B2115&amp;"~"&amp;F2115&amp;"~"&amp;G2115</f>
        <v/>
      </c>
      <c r="J2115" t="inlineStr">
        <is>
          <t>MVS Sec.17 p.17</t>
        </is>
      </c>
    </row>
    <row r="2116">
      <c r="B2116" t="inlineStr">
        <is>
          <t>Boat Storage Buildings</t>
        </is>
      </c>
      <c r="C2116" t="inlineStr">
        <is>
          <t>467</t>
        </is>
      </c>
      <c r="D2116" t="inlineStr">
        <is>
          <t>17</t>
        </is>
      </c>
      <c r="E2116" t="inlineStr">
        <is>
          <t>18</t>
        </is>
      </c>
      <c r="F2116" t="inlineStr">
        <is>
          <t>D</t>
        </is>
      </c>
      <c r="G2116" t="inlineStr">
        <is>
          <t>Average</t>
        </is>
      </c>
      <c r="H2116" t="n">
        <v>43.5</v>
      </c>
      <c r="I2116">
        <f>B2116&amp;"~"&amp;F2116&amp;"~"&amp;G2116</f>
        <v/>
      </c>
      <c r="J2116" t="inlineStr">
        <is>
          <t>MVS Sec.17 p.18</t>
        </is>
      </c>
    </row>
    <row r="2117">
      <c r="B2117" t="inlineStr">
        <is>
          <t>Boat Storage Buildings</t>
        </is>
      </c>
      <c r="C2117" t="inlineStr">
        <is>
          <t>467</t>
        </is>
      </c>
      <c r="D2117" t="inlineStr">
        <is>
          <t>17</t>
        </is>
      </c>
      <c r="E2117" t="inlineStr">
        <is>
          <t>18</t>
        </is>
      </c>
      <c r="F2117" t="inlineStr">
        <is>
          <t>D</t>
        </is>
      </c>
      <c r="G2117" t="inlineStr">
        <is>
          <t>Low Cost</t>
        </is>
      </c>
      <c r="H2117" t="n">
        <v>32.5</v>
      </c>
      <c r="I2117">
        <f>B2117&amp;"~"&amp;F2117&amp;"~"&amp;G2117</f>
        <v/>
      </c>
      <c r="J2117" t="inlineStr">
        <is>
          <t>MVS Sec.17 p.18</t>
        </is>
      </c>
    </row>
    <row r="2118">
      <c r="B2118" t="inlineStr">
        <is>
          <t>Boat Storage Buildings</t>
        </is>
      </c>
      <c r="C2118" t="inlineStr">
        <is>
          <t>467</t>
        </is>
      </c>
      <c r="D2118" t="inlineStr">
        <is>
          <t>17</t>
        </is>
      </c>
      <c r="E2118" t="inlineStr">
        <is>
          <t>18</t>
        </is>
      </c>
      <c r="F2118" t="inlineStr">
        <is>
          <t>DPOLE</t>
        </is>
      </c>
      <c r="G2118" t="inlineStr">
        <is>
          <t>Average</t>
        </is>
      </c>
      <c r="H2118" t="n">
        <v>40.25</v>
      </c>
      <c r="I2118">
        <f>B2118&amp;"~"&amp;F2118&amp;"~"&amp;G2118</f>
        <v/>
      </c>
      <c r="J2118" t="inlineStr">
        <is>
          <t>MVS Sec.17 p.18</t>
        </is>
      </c>
    </row>
    <row r="2119">
      <c r="B2119" t="inlineStr">
        <is>
          <t>Boat Storage Buildings</t>
        </is>
      </c>
      <c r="C2119" t="inlineStr">
        <is>
          <t>467</t>
        </is>
      </c>
      <c r="D2119" t="inlineStr">
        <is>
          <t>17</t>
        </is>
      </c>
      <c r="E2119" t="inlineStr">
        <is>
          <t>18</t>
        </is>
      </c>
      <c r="F2119" t="inlineStr">
        <is>
          <t>DPOLE</t>
        </is>
      </c>
      <c r="G2119" t="inlineStr">
        <is>
          <t>Low Cost</t>
        </is>
      </c>
      <c r="H2119" t="n">
        <v>30</v>
      </c>
      <c r="I2119">
        <f>B2119&amp;"~"&amp;F2119&amp;"~"&amp;G2119</f>
        <v/>
      </c>
      <c r="J2119" t="inlineStr">
        <is>
          <t>MVS Sec.17 p.18</t>
        </is>
      </c>
    </row>
    <row r="2120">
      <c r="B2120" t="inlineStr">
        <is>
          <t>Boat Storage Buildings</t>
        </is>
      </c>
      <c r="C2120" t="inlineStr">
        <is>
          <t>467</t>
        </is>
      </c>
      <c r="D2120" t="inlineStr">
        <is>
          <t>17</t>
        </is>
      </c>
      <c r="E2120" t="inlineStr">
        <is>
          <t>18</t>
        </is>
      </c>
      <c r="F2120" t="inlineStr">
        <is>
          <t>S</t>
        </is>
      </c>
      <c r="G2120" t="inlineStr">
        <is>
          <t>Good</t>
        </is>
      </c>
      <c r="H2120" t="n">
        <v>58.5</v>
      </c>
      <c r="I2120">
        <f>B2120&amp;"~"&amp;F2120&amp;"~"&amp;G2120</f>
        <v/>
      </c>
      <c r="J2120" t="inlineStr">
        <is>
          <t>MVS Sec.17 p.18</t>
        </is>
      </c>
    </row>
    <row r="2121">
      <c r="B2121" t="inlineStr">
        <is>
          <t>Boat Storage Buildings</t>
        </is>
      </c>
      <c r="C2121" t="inlineStr">
        <is>
          <t>467</t>
        </is>
      </c>
      <c r="D2121" t="inlineStr">
        <is>
          <t>17</t>
        </is>
      </c>
      <c r="E2121" t="inlineStr">
        <is>
          <t>18</t>
        </is>
      </c>
      <c r="F2121" t="inlineStr">
        <is>
          <t>S</t>
        </is>
      </c>
      <c r="G2121" t="inlineStr">
        <is>
          <t>Average</t>
        </is>
      </c>
      <c r="H2121" t="n">
        <v>43.75</v>
      </c>
      <c r="I2121">
        <f>B2121&amp;"~"&amp;F2121&amp;"~"&amp;G2121</f>
        <v/>
      </c>
      <c r="J2121" t="inlineStr">
        <is>
          <t>MVS Sec.17 p.18</t>
        </is>
      </c>
    </row>
    <row r="2122">
      <c r="B2122" t="inlineStr">
        <is>
          <t>Boat Storage Buildings</t>
        </is>
      </c>
      <c r="C2122" t="inlineStr">
        <is>
          <t>467</t>
        </is>
      </c>
      <c r="D2122" t="inlineStr">
        <is>
          <t>17</t>
        </is>
      </c>
      <c r="E2122" t="inlineStr">
        <is>
          <t>18</t>
        </is>
      </c>
      <c r="F2122" t="inlineStr">
        <is>
          <t>S</t>
        </is>
      </c>
      <c r="G2122" t="inlineStr">
        <is>
          <t>Low Cost</t>
        </is>
      </c>
      <c r="H2122" t="n">
        <v>32.75</v>
      </c>
      <c r="I2122">
        <f>B2122&amp;"~"&amp;F2122&amp;"~"&amp;G2122</f>
        <v/>
      </c>
      <c r="J2122" t="inlineStr">
        <is>
          <t>MVS Sec.17 p.18</t>
        </is>
      </c>
    </row>
    <row r="2123">
      <c r="B2123" t="inlineStr">
        <is>
          <t>Boat Storage Buildings</t>
        </is>
      </c>
      <c r="C2123" t="inlineStr">
        <is>
          <t>467</t>
        </is>
      </c>
      <c r="D2123" t="inlineStr">
        <is>
          <t>17</t>
        </is>
      </c>
      <c r="E2123" t="inlineStr">
        <is>
          <t>18</t>
        </is>
      </c>
      <c r="F2123" t="inlineStr">
        <is>
          <t>SSLANT</t>
        </is>
      </c>
      <c r="G2123" t="inlineStr">
        <is>
          <t>Good</t>
        </is>
      </c>
      <c r="H2123" t="n">
        <v>56</v>
      </c>
      <c r="I2123">
        <f>B2123&amp;"~"&amp;F2123&amp;"~"&amp;G2123</f>
        <v/>
      </c>
      <c r="J2123" t="inlineStr">
        <is>
          <t>MVS Sec.17 p.18</t>
        </is>
      </c>
    </row>
    <row r="2124">
      <c r="B2124" t="inlineStr">
        <is>
          <t>Boat Storage Buildings</t>
        </is>
      </c>
      <c r="C2124" t="inlineStr">
        <is>
          <t>467</t>
        </is>
      </c>
      <c r="D2124" t="inlineStr">
        <is>
          <t>17</t>
        </is>
      </c>
      <c r="E2124" t="inlineStr">
        <is>
          <t>18</t>
        </is>
      </c>
      <c r="F2124" t="inlineStr">
        <is>
          <t>SSLANT</t>
        </is>
      </c>
      <c r="G2124" t="inlineStr">
        <is>
          <t>Average</t>
        </is>
      </c>
      <c r="H2124" t="n">
        <v>41.5</v>
      </c>
      <c r="I2124">
        <f>B2124&amp;"~"&amp;F2124&amp;"~"&amp;G2124</f>
        <v/>
      </c>
      <c r="J2124" t="inlineStr">
        <is>
          <t>MVS Sec.17 p.18</t>
        </is>
      </c>
    </row>
    <row r="2125">
      <c r="B2125" t="inlineStr">
        <is>
          <t>Boat Storage Buildings</t>
        </is>
      </c>
      <c r="C2125" t="inlineStr">
        <is>
          <t>467</t>
        </is>
      </c>
      <c r="D2125" t="inlineStr">
        <is>
          <t>17</t>
        </is>
      </c>
      <c r="E2125" t="inlineStr">
        <is>
          <t>18</t>
        </is>
      </c>
      <c r="F2125" t="inlineStr">
        <is>
          <t>SSLANT</t>
        </is>
      </c>
      <c r="G2125" t="inlineStr">
        <is>
          <t>Low Cost</t>
        </is>
      </c>
      <c r="H2125" t="n">
        <v>31</v>
      </c>
      <c r="I2125">
        <f>B2125&amp;"~"&amp;F2125&amp;"~"&amp;G2125</f>
        <v/>
      </c>
      <c r="J2125" t="inlineStr">
        <is>
          <t>MVS Sec.17 p.18</t>
        </is>
      </c>
    </row>
    <row r="2126">
      <c r="B2126" t="inlineStr">
        <is>
          <t>Boat Storage Sheds</t>
        </is>
      </c>
      <c r="C2126" t="inlineStr">
        <is>
          <t>466</t>
        </is>
      </c>
      <c r="D2126" t="inlineStr">
        <is>
          <t>17</t>
        </is>
      </c>
      <c r="E2126" t="inlineStr">
        <is>
          <t>18</t>
        </is>
      </c>
      <c r="F2126" t="inlineStr">
        <is>
          <t>D</t>
        </is>
      </c>
      <c r="G2126" t="inlineStr">
        <is>
          <t>Good</t>
        </is>
      </c>
      <c r="H2126" t="n">
        <v>45.75</v>
      </c>
      <c r="I2126">
        <f>B2126&amp;"~"&amp;F2126&amp;"~"&amp;G2126</f>
        <v/>
      </c>
      <c r="J2126" t="inlineStr">
        <is>
          <t>MVS Sec.17 p.18</t>
        </is>
      </c>
    </row>
    <row r="2127">
      <c r="B2127" t="inlineStr">
        <is>
          <t>Boat Storage Sheds</t>
        </is>
      </c>
      <c r="C2127" t="inlineStr">
        <is>
          <t>466</t>
        </is>
      </c>
      <c r="D2127" t="inlineStr">
        <is>
          <t>17</t>
        </is>
      </c>
      <c r="E2127" t="inlineStr">
        <is>
          <t>18</t>
        </is>
      </c>
      <c r="F2127" t="inlineStr">
        <is>
          <t>D</t>
        </is>
      </c>
      <c r="G2127" t="inlineStr">
        <is>
          <t>Average</t>
        </is>
      </c>
      <c r="H2127" t="n">
        <v>31</v>
      </c>
      <c r="I2127">
        <f>B2127&amp;"~"&amp;F2127&amp;"~"&amp;G2127</f>
        <v/>
      </c>
      <c r="J2127" t="inlineStr">
        <is>
          <t>MVS Sec.17 p.18</t>
        </is>
      </c>
    </row>
    <row r="2128">
      <c r="B2128" t="inlineStr">
        <is>
          <t>Boat Storage Sheds</t>
        </is>
      </c>
      <c r="C2128" t="inlineStr">
        <is>
          <t>466</t>
        </is>
      </c>
      <c r="D2128" t="inlineStr">
        <is>
          <t>17</t>
        </is>
      </c>
      <c r="E2128" t="inlineStr">
        <is>
          <t>18</t>
        </is>
      </c>
      <c r="F2128" t="inlineStr">
        <is>
          <t>D</t>
        </is>
      </c>
      <c r="G2128" t="inlineStr">
        <is>
          <t>Low Cost</t>
        </is>
      </c>
      <c r="H2128" t="n">
        <v>21.15</v>
      </c>
      <c r="I2128">
        <f>B2128&amp;"~"&amp;F2128&amp;"~"&amp;G2128</f>
        <v/>
      </c>
      <c r="J2128" t="inlineStr">
        <is>
          <t>MVS Sec.17 p.18</t>
        </is>
      </c>
    </row>
    <row r="2129">
      <c r="B2129" t="inlineStr">
        <is>
          <t>Boat Storage Sheds</t>
        </is>
      </c>
      <c r="C2129" t="inlineStr">
        <is>
          <t>466</t>
        </is>
      </c>
      <c r="D2129" t="inlineStr">
        <is>
          <t>17</t>
        </is>
      </c>
      <c r="E2129" t="inlineStr">
        <is>
          <t>18</t>
        </is>
      </c>
      <c r="F2129" t="inlineStr">
        <is>
          <t>DPOLE</t>
        </is>
      </c>
      <c r="G2129" t="inlineStr">
        <is>
          <t>Good</t>
        </is>
      </c>
      <c r="H2129" t="n">
        <v>43</v>
      </c>
      <c r="I2129">
        <f>B2129&amp;"~"&amp;F2129&amp;"~"&amp;G2129</f>
        <v/>
      </c>
      <c r="J2129" t="inlineStr">
        <is>
          <t>MVS Sec.17 p.18</t>
        </is>
      </c>
    </row>
    <row r="2130">
      <c r="B2130" t="inlineStr">
        <is>
          <t>Boat Storage Sheds</t>
        </is>
      </c>
      <c r="C2130" t="inlineStr">
        <is>
          <t>466</t>
        </is>
      </c>
      <c r="D2130" t="inlineStr">
        <is>
          <t>17</t>
        </is>
      </c>
      <c r="E2130" t="inlineStr">
        <is>
          <t>18</t>
        </is>
      </c>
      <c r="F2130" t="inlineStr">
        <is>
          <t>DPOLE</t>
        </is>
      </c>
      <c r="G2130" t="inlineStr">
        <is>
          <t>Average</t>
        </is>
      </c>
      <c r="H2130" t="n">
        <v>28.75</v>
      </c>
      <c r="I2130">
        <f>B2130&amp;"~"&amp;F2130&amp;"~"&amp;G2130</f>
        <v/>
      </c>
      <c r="J2130" t="inlineStr">
        <is>
          <t>MVS Sec.17 p.18</t>
        </is>
      </c>
    </row>
    <row r="2131">
      <c r="B2131" t="inlineStr">
        <is>
          <t>Boat Storage Sheds</t>
        </is>
      </c>
      <c r="C2131" t="inlineStr">
        <is>
          <t>466</t>
        </is>
      </c>
      <c r="D2131" t="inlineStr">
        <is>
          <t>17</t>
        </is>
      </c>
      <c r="E2131" t="inlineStr">
        <is>
          <t>18</t>
        </is>
      </c>
      <c r="F2131" t="inlineStr">
        <is>
          <t>DPOLE</t>
        </is>
      </c>
      <c r="G2131" t="inlineStr">
        <is>
          <t>Low Cost</t>
        </is>
      </c>
      <c r="H2131" t="n">
        <v>19.35</v>
      </c>
      <c r="I2131">
        <f>B2131&amp;"~"&amp;F2131&amp;"~"&amp;G2131</f>
        <v/>
      </c>
      <c r="J2131" t="inlineStr">
        <is>
          <t>MVS Sec.17 p.18</t>
        </is>
      </c>
    </row>
    <row r="2132">
      <c r="B2132" t="inlineStr">
        <is>
          <t>Boat Storage Sheds</t>
        </is>
      </c>
      <c r="C2132" t="inlineStr">
        <is>
          <t>466</t>
        </is>
      </c>
      <c r="D2132" t="inlineStr">
        <is>
          <t>17</t>
        </is>
      </c>
      <c r="E2132" t="inlineStr">
        <is>
          <t>18</t>
        </is>
      </c>
      <c r="F2132" t="inlineStr">
        <is>
          <t>S</t>
        </is>
      </c>
      <c r="G2132" t="inlineStr">
        <is>
          <t>Good</t>
        </is>
      </c>
      <c r="H2132" t="n">
        <v>45.75</v>
      </c>
      <c r="I2132">
        <f>B2132&amp;"~"&amp;F2132&amp;"~"&amp;G2132</f>
        <v/>
      </c>
      <c r="J2132" t="inlineStr">
        <is>
          <t>MVS Sec.17 p.18</t>
        </is>
      </c>
    </row>
    <row r="2133">
      <c r="B2133" t="inlineStr">
        <is>
          <t>Boat Storage Sheds</t>
        </is>
      </c>
      <c r="C2133" t="inlineStr">
        <is>
          <t>466</t>
        </is>
      </c>
      <c r="D2133" t="inlineStr">
        <is>
          <t>17</t>
        </is>
      </c>
      <c r="E2133" t="inlineStr">
        <is>
          <t>18</t>
        </is>
      </c>
      <c r="F2133" t="inlineStr">
        <is>
          <t>S</t>
        </is>
      </c>
      <c r="G2133" t="inlineStr">
        <is>
          <t>Average</t>
        </is>
      </c>
      <c r="H2133" t="n">
        <v>31</v>
      </c>
      <c r="I2133">
        <f>B2133&amp;"~"&amp;F2133&amp;"~"&amp;G2133</f>
        <v/>
      </c>
      <c r="J2133" t="inlineStr">
        <is>
          <t>MVS Sec.17 p.18</t>
        </is>
      </c>
    </row>
    <row r="2134">
      <c r="B2134" t="inlineStr">
        <is>
          <t>Boat Storage Sheds</t>
        </is>
      </c>
      <c r="C2134" t="inlineStr">
        <is>
          <t>466</t>
        </is>
      </c>
      <c r="D2134" t="inlineStr">
        <is>
          <t>17</t>
        </is>
      </c>
      <c r="E2134" t="inlineStr">
        <is>
          <t>18</t>
        </is>
      </c>
      <c r="F2134" t="inlineStr">
        <is>
          <t>S</t>
        </is>
      </c>
      <c r="G2134" t="inlineStr">
        <is>
          <t>Low Cost</t>
        </is>
      </c>
      <c r="H2134" t="n">
        <v>21.05</v>
      </c>
      <c r="I2134">
        <f>B2134&amp;"~"&amp;F2134&amp;"~"&amp;G2134</f>
        <v/>
      </c>
      <c r="J2134" t="inlineStr">
        <is>
          <t>MVS Sec.17 p.18</t>
        </is>
      </c>
    </row>
    <row r="2135">
      <c r="B2135" t="inlineStr">
        <is>
          <t>Bag Fertilizer Storage</t>
        </is>
      </c>
      <c r="C2135" t="inlineStr">
        <is>
          <t>563</t>
        </is>
      </c>
      <c r="D2135" t="inlineStr">
        <is>
          <t>17</t>
        </is>
      </c>
      <c r="E2135" t="inlineStr">
        <is>
          <t>19</t>
        </is>
      </c>
      <c r="F2135" t="inlineStr">
        <is>
          <t>D</t>
        </is>
      </c>
      <c r="G2135" t="inlineStr">
        <is>
          <t>Average</t>
        </is>
      </c>
      <c r="H2135" t="n">
        <v>49.5</v>
      </c>
      <c r="I2135">
        <f>B2135&amp;"~"&amp;F2135&amp;"~"&amp;G2135</f>
        <v/>
      </c>
      <c r="J2135" t="inlineStr">
        <is>
          <t>MVS Sec.17 p.19</t>
        </is>
      </c>
    </row>
    <row r="2136">
      <c r="B2136" t="inlineStr">
        <is>
          <t>Bag Fertilizer Storage</t>
        </is>
      </c>
      <c r="C2136" t="inlineStr">
        <is>
          <t>563</t>
        </is>
      </c>
      <c r="D2136" t="inlineStr">
        <is>
          <t>17</t>
        </is>
      </c>
      <c r="E2136" t="inlineStr">
        <is>
          <t>19</t>
        </is>
      </c>
      <c r="F2136" t="inlineStr">
        <is>
          <t>DPOLE</t>
        </is>
      </c>
      <c r="G2136" t="inlineStr">
        <is>
          <t>Average</t>
        </is>
      </c>
      <c r="H2136" t="n">
        <v>47.25</v>
      </c>
      <c r="I2136">
        <f>B2136&amp;"~"&amp;F2136&amp;"~"&amp;G2136</f>
        <v/>
      </c>
      <c r="J2136" t="inlineStr">
        <is>
          <t>MVS Sec.17 p.19</t>
        </is>
      </c>
    </row>
    <row r="2137">
      <c r="B2137" t="inlineStr">
        <is>
          <t>Bag Fertilizer Storage</t>
        </is>
      </c>
      <c r="C2137" t="inlineStr">
        <is>
          <t>563</t>
        </is>
      </c>
      <c r="D2137" t="inlineStr">
        <is>
          <t>17</t>
        </is>
      </c>
      <c r="E2137" t="inlineStr">
        <is>
          <t>19</t>
        </is>
      </c>
      <c r="F2137" t="inlineStr">
        <is>
          <t>S</t>
        </is>
      </c>
      <c r="G2137" t="inlineStr">
        <is>
          <t>Average</t>
        </is>
      </c>
      <c r="H2137" t="n">
        <v>48.5</v>
      </c>
      <c r="I2137">
        <f>B2137&amp;"~"&amp;F2137&amp;"~"&amp;G2137</f>
        <v/>
      </c>
      <c r="J2137" t="inlineStr">
        <is>
          <t>MVS Sec.17 p.19</t>
        </is>
      </c>
    </row>
    <row r="2138">
      <c r="B2138" t="inlineStr">
        <is>
          <t>Bulk Fertilizer Storage</t>
        </is>
      </c>
      <c r="C2138" t="inlineStr">
        <is>
          <t>420</t>
        </is>
      </c>
      <c r="D2138" t="inlineStr">
        <is>
          <t>17</t>
        </is>
      </c>
      <c r="E2138" t="inlineStr">
        <is>
          <t>19</t>
        </is>
      </c>
      <c r="F2138" t="inlineStr">
        <is>
          <t>C</t>
        </is>
      </c>
      <c r="G2138" t="inlineStr">
        <is>
          <t>Average</t>
        </is>
      </c>
      <c r="H2138" t="n">
        <v>61.5</v>
      </c>
      <c r="I2138">
        <f>B2138&amp;"~"&amp;F2138&amp;"~"&amp;G2138</f>
        <v/>
      </c>
      <c r="J2138" t="inlineStr">
        <is>
          <t>MVS Sec.17 p.19</t>
        </is>
      </c>
    </row>
    <row r="2139">
      <c r="B2139" t="inlineStr">
        <is>
          <t>Bulk Fertilizer Storage</t>
        </is>
      </c>
      <c r="C2139" t="inlineStr">
        <is>
          <t>420</t>
        </is>
      </c>
      <c r="D2139" t="inlineStr">
        <is>
          <t>17</t>
        </is>
      </c>
      <c r="E2139" t="inlineStr">
        <is>
          <t>19</t>
        </is>
      </c>
      <c r="F2139" t="inlineStr">
        <is>
          <t>D</t>
        </is>
      </c>
      <c r="G2139" t="inlineStr">
        <is>
          <t>Average</t>
        </is>
      </c>
      <c r="H2139" t="n">
        <v>57.5</v>
      </c>
      <c r="I2139">
        <f>B2139&amp;"~"&amp;F2139&amp;"~"&amp;G2139</f>
        <v/>
      </c>
      <c r="J2139" t="inlineStr">
        <is>
          <t>MVS Sec.17 p.19</t>
        </is>
      </c>
    </row>
    <row r="2140">
      <c r="B2140" t="inlineStr">
        <is>
          <t>Bulk Fertilizer Storage</t>
        </is>
      </c>
      <c r="C2140" t="inlineStr">
        <is>
          <t>420</t>
        </is>
      </c>
      <c r="D2140" t="inlineStr">
        <is>
          <t>17</t>
        </is>
      </c>
      <c r="E2140" t="inlineStr">
        <is>
          <t>19</t>
        </is>
      </c>
      <c r="F2140" t="inlineStr">
        <is>
          <t>DPOLE</t>
        </is>
      </c>
      <c r="G2140" t="inlineStr">
        <is>
          <t>Average</t>
        </is>
      </c>
      <c r="H2140" t="n">
        <v>54</v>
      </c>
      <c r="I2140">
        <f>B2140&amp;"~"&amp;F2140&amp;"~"&amp;G2140</f>
        <v/>
      </c>
      <c r="J2140" t="inlineStr">
        <is>
          <t>MVS Sec.17 p.19</t>
        </is>
      </c>
    </row>
    <row r="2141">
      <c r="B2141" t="inlineStr">
        <is>
          <t>Bulk Fertilizer Storage</t>
        </is>
      </c>
      <c r="C2141" t="inlineStr">
        <is>
          <t>420</t>
        </is>
      </c>
      <c r="D2141" t="inlineStr">
        <is>
          <t>17</t>
        </is>
      </c>
      <c r="E2141" t="inlineStr">
        <is>
          <t>19</t>
        </is>
      </c>
      <c r="F2141" t="inlineStr">
        <is>
          <t>S</t>
        </is>
      </c>
      <c r="G2141" t="inlineStr">
        <is>
          <t>Average</t>
        </is>
      </c>
      <c r="H2141" t="n">
        <v>57.5</v>
      </c>
      <c r="I2141">
        <f>B2141&amp;"~"&amp;F2141&amp;"~"&amp;G2141</f>
        <v/>
      </c>
      <c r="J2141" t="inlineStr">
        <is>
          <t>MVS Sec.17 p.19</t>
        </is>
      </c>
    </row>
    <row r="2142">
      <c r="B2142" t="inlineStr">
        <is>
          <t>Tobacco Barns – Flue Curing</t>
        </is>
      </c>
      <c r="C2142" t="inlineStr">
        <is>
          <t>122</t>
        </is>
      </c>
      <c r="D2142" t="inlineStr">
        <is>
          <t>17</t>
        </is>
      </c>
      <c r="E2142" t="inlineStr">
        <is>
          <t>19</t>
        </is>
      </c>
      <c r="F2142" t="inlineStr">
        <is>
          <t>C</t>
        </is>
      </c>
      <c r="G2142" t="inlineStr">
        <is>
          <t>Average</t>
        </is>
      </c>
      <c r="H2142" t="n">
        <v>43.5</v>
      </c>
      <c r="I2142">
        <f>B2142&amp;"~"&amp;F2142&amp;"~"&amp;G2142</f>
        <v/>
      </c>
      <c r="J2142" t="inlineStr">
        <is>
          <t>MVS Sec.17 p.19</t>
        </is>
      </c>
    </row>
    <row r="2143">
      <c r="B2143" t="inlineStr">
        <is>
          <t>Tobacco Barns – Flue Curing</t>
        </is>
      </c>
      <c r="C2143" t="inlineStr">
        <is>
          <t>122</t>
        </is>
      </c>
      <c r="D2143" t="inlineStr">
        <is>
          <t>17</t>
        </is>
      </c>
      <c r="E2143" t="inlineStr">
        <is>
          <t>19</t>
        </is>
      </c>
      <c r="F2143" t="inlineStr">
        <is>
          <t>D</t>
        </is>
      </c>
      <c r="G2143" t="inlineStr">
        <is>
          <t>Average</t>
        </is>
      </c>
      <c r="H2143" t="n">
        <v>38.75</v>
      </c>
      <c r="I2143">
        <f>B2143&amp;"~"&amp;F2143&amp;"~"&amp;G2143</f>
        <v/>
      </c>
      <c r="J2143" t="inlineStr">
        <is>
          <t>MVS Sec.17 p.19</t>
        </is>
      </c>
    </row>
    <row r="2144">
      <c r="B2144" t="inlineStr">
        <is>
          <t>Tobacco Barns – Flue Curing</t>
        </is>
      </c>
      <c r="C2144" t="inlineStr">
        <is>
          <t>122</t>
        </is>
      </c>
      <c r="D2144" t="inlineStr">
        <is>
          <t>17</t>
        </is>
      </c>
      <c r="E2144" t="inlineStr">
        <is>
          <t>19</t>
        </is>
      </c>
      <c r="F2144" t="inlineStr">
        <is>
          <t>DPOLE</t>
        </is>
      </c>
      <c r="G2144" t="inlineStr">
        <is>
          <t>Average</t>
        </is>
      </c>
      <c r="H2144" t="n">
        <v>34.75</v>
      </c>
      <c r="I2144">
        <f>B2144&amp;"~"&amp;F2144&amp;"~"&amp;G2144</f>
        <v/>
      </c>
      <c r="J2144" t="inlineStr">
        <is>
          <t>MVS Sec.17 p.19</t>
        </is>
      </c>
    </row>
    <row r="2145">
      <c r="B2145" t="inlineStr">
        <is>
          <t>Tobacco Barns – Flue Curing</t>
        </is>
      </c>
      <c r="C2145" t="inlineStr">
        <is>
          <t>122</t>
        </is>
      </c>
      <c r="D2145" t="inlineStr">
        <is>
          <t>17</t>
        </is>
      </c>
      <c r="E2145" t="inlineStr">
        <is>
          <t>19</t>
        </is>
      </c>
      <c r="F2145" t="inlineStr">
        <is>
          <t>S</t>
        </is>
      </c>
      <c r="G2145" t="inlineStr">
        <is>
          <t>Average</t>
        </is>
      </c>
      <c r="H2145" t="n">
        <v>38</v>
      </c>
      <c r="I2145">
        <f>B2145&amp;"~"&amp;F2145&amp;"~"&amp;G2145</f>
        <v/>
      </c>
      <c r="J2145" t="inlineStr">
        <is>
          <t>MVS Sec.17 p.19</t>
        </is>
      </c>
    </row>
    <row r="2146">
      <c r="B2146" t="inlineStr">
        <is>
          <t>Tobacco Barns – Air Curing</t>
        </is>
      </c>
      <c r="C2146" t="inlineStr">
        <is>
          <t>121</t>
        </is>
      </c>
      <c r="D2146" t="inlineStr">
        <is>
          <t>17</t>
        </is>
      </c>
      <c r="E2146" t="inlineStr">
        <is>
          <t>19</t>
        </is>
      </c>
      <c r="F2146" t="inlineStr">
        <is>
          <t>D</t>
        </is>
      </c>
      <c r="G2146" t="inlineStr">
        <is>
          <t>Average</t>
        </is>
      </c>
      <c r="H2146" t="n">
        <v>36.75</v>
      </c>
      <c r="I2146">
        <f>B2146&amp;"~"&amp;F2146&amp;"~"&amp;G2146</f>
        <v/>
      </c>
      <c r="J2146" t="inlineStr">
        <is>
          <t>MVS Sec.17 p.19</t>
        </is>
      </c>
    </row>
    <row r="2147">
      <c r="B2147" t="inlineStr">
        <is>
          <t>Tobacco Barns – Air Curing</t>
        </is>
      </c>
      <c r="C2147" t="inlineStr">
        <is>
          <t>121</t>
        </is>
      </c>
      <c r="D2147" t="inlineStr">
        <is>
          <t>17</t>
        </is>
      </c>
      <c r="E2147" t="inlineStr">
        <is>
          <t>19</t>
        </is>
      </c>
      <c r="F2147" t="inlineStr">
        <is>
          <t>D</t>
        </is>
      </c>
      <c r="G2147" t="inlineStr">
        <is>
          <t>Low Cost</t>
        </is>
      </c>
      <c r="H2147" t="n">
        <v>26.5</v>
      </c>
      <c r="I2147">
        <f>B2147&amp;"~"&amp;F2147&amp;"~"&amp;G2147</f>
        <v/>
      </c>
      <c r="J2147" t="inlineStr">
        <is>
          <t>MVS Sec.17 p.19</t>
        </is>
      </c>
    </row>
    <row r="2148">
      <c r="B2148" t="inlineStr">
        <is>
          <t>Dehydrator Shed Buildings</t>
        </is>
      </c>
      <c r="C2148" t="inlineStr">
        <is>
          <t>564</t>
        </is>
      </c>
      <c r="D2148" t="inlineStr">
        <is>
          <t>17</t>
        </is>
      </c>
      <c r="E2148" t="inlineStr">
        <is>
          <t>19</t>
        </is>
      </c>
      <c r="F2148" t="inlineStr">
        <is>
          <t>C</t>
        </is>
      </c>
      <c r="G2148" t="inlineStr">
        <is>
          <t>Average</t>
        </is>
      </c>
      <c r="H2148" t="n">
        <v>135</v>
      </c>
      <c r="I2148">
        <f>B2148&amp;"~"&amp;F2148&amp;"~"&amp;G2148</f>
        <v/>
      </c>
      <c r="J2148" t="inlineStr">
        <is>
          <t>MVS Sec.17 p.19</t>
        </is>
      </c>
    </row>
    <row r="2149">
      <c r="B2149" t="inlineStr">
        <is>
          <t>Farm Cold Storage Buildings</t>
        </is>
      </c>
      <c r="C2149" t="inlineStr">
        <is>
          <t>448</t>
        </is>
      </c>
      <c r="D2149" t="inlineStr">
        <is>
          <t>17</t>
        </is>
      </c>
      <c r="E2149" t="inlineStr">
        <is>
          <t>20</t>
        </is>
      </c>
      <c r="F2149" t="inlineStr">
        <is>
          <t>C</t>
        </is>
      </c>
      <c r="G2149" t="inlineStr">
        <is>
          <t>Good</t>
        </is>
      </c>
      <c r="H2149" t="n">
        <v>68.5</v>
      </c>
      <c r="I2149">
        <f>B2149&amp;"~"&amp;F2149&amp;"~"&amp;G2149</f>
        <v/>
      </c>
      <c r="J2149" t="inlineStr">
        <is>
          <t>MVS Sec.17 p.20</t>
        </is>
      </c>
    </row>
    <row r="2150">
      <c r="B2150" t="inlineStr">
        <is>
          <t>Farm Cold Storage Buildings</t>
        </is>
      </c>
      <c r="C2150" t="inlineStr">
        <is>
          <t>448</t>
        </is>
      </c>
      <c r="D2150" t="inlineStr">
        <is>
          <t>17</t>
        </is>
      </c>
      <c r="E2150" t="inlineStr">
        <is>
          <t>20</t>
        </is>
      </c>
      <c r="F2150" t="inlineStr">
        <is>
          <t>C</t>
        </is>
      </c>
      <c r="G2150" t="inlineStr">
        <is>
          <t>Average</t>
        </is>
      </c>
      <c r="H2150" t="n">
        <v>48.5</v>
      </c>
      <c r="I2150">
        <f>B2150&amp;"~"&amp;F2150&amp;"~"&amp;G2150</f>
        <v/>
      </c>
      <c r="J2150" t="inlineStr">
        <is>
          <t>MVS Sec.17 p.20</t>
        </is>
      </c>
    </row>
    <row r="2151">
      <c r="B2151" t="inlineStr">
        <is>
          <t>Farm Cold Storage Buildings</t>
        </is>
      </c>
      <c r="C2151" t="inlineStr">
        <is>
          <t>448</t>
        </is>
      </c>
      <c r="D2151" t="inlineStr">
        <is>
          <t>17</t>
        </is>
      </c>
      <c r="E2151" t="inlineStr">
        <is>
          <t>20</t>
        </is>
      </c>
      <c r="F2151" t="inlineStr">
        <is>
          <t>C</t>
        </is>
      </c>
      <c r="G2151" t="inlineStr">
        <is>
          <t>Low Cost</t>
        </is>
      </c>
      <c r="H2151" t="n">
        <v>34.25</v>
      </c>
      <c r="I2151">
        <f>B2151&amp;"~"&amp;F2151&amp;"~"&amp;G2151</f>
        <v/>
      </c>
      <c r="J2151" t="inlineStr">
        <is>
          <t>MVS Sec.17 p.20</t>
        </is>
      </c>
    </row>
    <row r="2152">
      <c r="B2152" t="inlineStr">
        <is>
          <t>Farm Cold Storage Buildings</t>
        </is>
      </c>
      <c r="C2152" t="inlineStr">
        <is>
          <t>448</t>
        </is>
      </c>
      <c r="D2152" t="inlineStr">
        <is>
          <t>17</t>
        </is>
      </c>
      <c r="E2152" t="inlineStr">
        <is>
          <t>20</t>
        </is>
      </c>
      <c r="F2152" t="inlineStr">
        <is>
          <t>D</t>
        </is>
      </c>
      <c r="G2152" t="inlineStr">
        <is>
          <t>Good</t>
        </is>
      </c>
      <c r="H2152" t="n">
        <v>64</v>
      </c>
      <c r="I2152">
        <f>B2152&amp;"~"&amp;F2152&amp;"~"&amp;G2152</f>
        <v/>
      </c>
      <c r="J2152" t="inlineStr">
        <is>
          <t>MVS Sec.17 p.20</t>
        </is>
      </c>
    </row>
    <row r="2153">
      <c r="B2153" t="inlineStr">
        <is>
          <t>Farm Cold Storage Buildings</t>
        </is>
      </c>
      <c r="C2153" t="inlineStr">
        <is>
          <t>448</t>
        </is>
      </c>
      <c r="D2153" t="inlineStr">
        <is>
          <t>17</t>
        </is>
      </c>
      <c r="E2153" t="inlineStr">
        <is>
          <t>20</t>
        </is>
      </c>
      <c r="F2153" t="inlineStr">
        <is>
          <t>D</t>
        </is>
      </c>
      <c r="G2153" t="inlineStr">
        <is>
          <t>Average</t>
        </is>
      </c>
      <c r="H2153" t="n">
        <v>44.25</v>
      </c>
      <c r="I2153">
        <f>B2153&amp;"~"&amp;F2153&amp;"~"&amp;G2153</f>
        <v/>
      </c>
      <c r="J2153" t="inlineStr">
        <is>
          <t>MVS Sec.17 p.20</t>
        </is>
      </c>
    </row>
    <row r="2154">
      <c r="B2154" t="inlineStr">
        <is>
          <t>Farm Cold Storage Buildings</t>
        </is>
      </c>
      <c r="C2154" t="inlineStr">
        <is>
          <t>448</t>
        </is>
      </c>
      <c r="D2154" t="inlineStr">
        <is>
          <t>17</t>
        </is>
      </c>
      <c r="E2154" t="inlineStr">
        <is>
          <t>20</t>
        </is>
      </c>
      <c r="F2154" t="inlineStr">
        <is>
          <t>D</t>
        </is>
      </c>
      <c r="G2154" t="inlineStr">
        <is>
          <t>Low Cost</t>
        </is>
      </c>
      <c r="H2154" t="n">
        <v>30.75</v>
      </c>
      <c r="I2154">
        <f>B2154&amp;"~"&amp;F2154&amp;"~"&amp;G2154</f>
        <v/>
      </c>
      <c r="J2154" t="inlineStr">
        <is>
          <t>MVS Sec.17 p.20</t>
        </is>
      </c>
    </row>
    <row r="2155">
      <c r="B2155" t="inlineStr">
        <is>
          <t>Farm Cold Storage Buildings</t>
        </is>
      </c>
      <c r="C2155" t="inlineStr">
        <is>
          <t>448</t>
        </is>
      </c>
      <c r="D2155" t="inlineStr">
        <is>
          <t>17</t>
        </is>
      </c>
      <c r="E2155" t="inlineStr">
        <is>
          <t>20</t>
        </is>
      </c>
      <c r="F2155" t="inlineStr">
        <is>
          <t>DPOLE</t>
        </is>
      </c>
      <c r="G2155" t="inlineStr">
        <is>
          <t>Average</t>
        </is>
      </c>
      <c r="H2155" t="n">
        <v>42</v>
      </c>
      <c r="I2155">
        <f>B2155&amp;"~"&amp;F2155&amp;"~"&amp;G2155</f>
        <v/>
      </c>
      <c r="J2155" t="inlineStr">
        <is>
          <t>MVS Sec.17 p.20</t>
        </is>
      </c>
    </row>
    <row r="2156">
      <c r="B2156" t="inlineStr">
        <is>
          <t>Farm Cold Storage Buildings</t>
        </is>
      </c>
      <c r="C2156" t="inlineStr">
        <is>
          <t>448</t>
        </is>
      </c>
      <c r="D2156" t="inlineStr">
        <is>
          <t>17</t>
        </is>
      </c>
      <c r="E2156" t="inlineStr">
        <is>
          <t>20</t>
        </is>
      </c>
      <c r="F2156" t="inlineStr">
        <is>
          <t>DPOLE</t>
        </is>
      </c>
      <c r="G2156" t="inlineStr">
        <is>
          <t>Low Cost</t>
        </is>
      </c>
      <c r="H2156" t="n">
        <v>29.5</v>
      </c>
      <c r="I2156">
        <f>B2156&amp;"~"&amp;F2156&amp;"~"&amp;G2156</f>
        <v/>
      </c>
      <c r="J2156" t="inlineStr">
        <is>
          <t>MVS Sec.17 p.20</t>
        </is>
      </c>
    </row>
    <row r="2157">
      <c r="B2157" t="inlineStr">
        <is>
          <t>Farm Cold Storage Buildings</t>
        </is>
      </c>
      <c r="C2157" t="inlineStr">
        <is>
          <t>448</t>
        </is>
      </c>
      <c r="D2157" t="inlineStr">
        <is>
          <t>17</t>
        </is>
      </c>
      <c r="E2157" t="inlineStr">
        <is>
          <t>20</t>
        </is>
      </c>
      <c r="F2157" t="inlineStr">
        <is>
          <t>S</t>
        </is>
      </c>
      <c r="G2157" t="inlineStr">
        <is>
          <t>Good</t>
        </is>
      </c>
      <c r="H2157" t="n">
        <v>64</v>
      </c>
      <c r="I2157">
        <f>B2157&amp;"~"&amp;F2157&amp;"~"&amp;G2157</f>
        <v/>
      </c>
      <c r="J2157" t="inlineStr">
        <is>
          <t>MVS Sec.17 p.20</t>
        </is>
      </c>
    </row>
    <row r="2158">
      <c r="B2158" t="inlineStr">
        <is>
          <t>Farm Cold Storage Buildings</t>
        </is>
      </c>
      <c r="C2158" t="inlineStr">
        <is>
          <t>448</t>
        </is>
      </c>
      <c r="D2158" t="inlineStr">
        <is>
          <t>17</t>
        </is>
      </c>
      <c r="E2158" t="inlineStr">
        <is>
          <t>20</t>
        </is>
      </c>
      <c r="F2158" t="inlineStr">
        <is>
          <t>S</t>
        </is>
      </c>
      <c r="G2158" t="inlineStr">
        <is>
          <t>Average</t>
        </is>
      </c>
      <c r="H2158" t="n">
        <v>44.75</v>
      </c>
      <c r="I2158">
        <f>B2158&amp;"~"&amp;F2158&amp;"~"&amp;G2158</f>
        <v/>
      </c>
      <c r="J2158" t="inlineStr">
        <is>
          <t>MVS Sec.17 p.20</t>
        </is>
      </c>
    </row>
    <row r="2159">
      <c r="B2159" t="inlineStr">
        <is>
          <t>Farm Cold Storage Buildings</t>
        </is>
      </c>
      <c r="C2159" t="inlineStr">
        <is>
          <t>448</t>
        </is>
      </c>
      <c r="D2159" t="inlineStr">
        <is>
          <t>17</t>
        </is>
      </c>
      <c r="E2159" t="inlineStr">
        <is>
          <t>20</t>
        </is>
      </c>
      <c r="F2159" t="inlineStr">
        <is>
          <t>S</t>
        </is>
      </c>
      <c r="G2159" t="inlineStr">
        <is>
          <t>Low Cost</t>
        </is>
      </c>
      <c r="H2159" t="n">
        <v>31.5</v>
      </c>
      <c r="I2159">
        <f>B2159&amp;"~"&amp;F2159&amp;"~"&amp;G2159</f>
        <v/>
      </c>
      <c r="J2159" t="inlineStr">
        <is>
          <t>MVS Sec.17 p.20</t>
        </is>
      </c>
    </row>
    <row r="2160">
      <c r="B2160" t="inlineStr">
        <is>
          <t>Fruit Packing Barns</t>
        </is>
      </c>
      <c r="C2160" t="inlineStr">
        <is>
          <t>398</t>
        </is>
      </c>
      <c r="D2160" t="inlineStr">
        <is>
          <t>17</t>
        </is>
      </c>
      <c r="E2160" t="inlineStr">
        <is>
          <t>20</t>
        </is>
      </c>
      <c r="F2160" t="inlineStr">
        <is>
          <t>C</t>
        </is>
      </c>
      <c r="G2160" t="inlineStr">
        <is>
          <t>Average</t>
        </is>
      </c>
      <c r="H2160" t="n">
        <v>46.25</v>
      </c>
      <c r="I2160">
        <f>B2160&amp;"~"&amp;F2160&amp;"~"&amp;G2160</f>
        <v/>
      </c>
      <c r="J2160" t="inlineStr">
        <is>
          <t>MVS Sec.17 p.20</t>
        </is>
      </c>
    </row>
    <row r="2161">
      <c r="B2161" t="inlineStr">
        <is>
          <t>Fruit Packing Barns</t>
        </is>
      </c>
      <c r="C2161" t="inlineStr">
        <is>
          <t>398</t>
        </is>
      </c>
      <c r="D2161" t="inlineStr">
        <is>
          <t>17</t>
        </is>
      </c>
      <c r="E2161" t="inlineStr">
        <is>
          <t>20</t>
        </is>
      </c>
      <c r="F2161" t="inlineStr">
        <is>
          <t>D</t>
        </is>
      </c>
      <c r="G2161" t="inlineStr">
        <is>
          <t>Average</t>
        </is>
      </c>
      <c r="H2161" t="n">
        <v>42.5</v>
      </c>
      <c r="I2161">
        <f>B2161&amp;"~"&amp;F2161&amp;"~"&amp;G2161</f>
        <v/>
      </c>
      <c r="J2161" t="inlineStr">
        <is>
          <t>MVS Sec.17 p.20</t>
        </is>
      </c>
    </row>
    <row r="2162">
      <c r="B2162" t="inlineStr">
        <is>
          <t>Fruit Packing Barns</t>
        </is>
      </c>
      <c r="C2162" t="inlineStr">
        <is>
          <t>398</t>
        </is>
      </c>
      <c r="D2162" t="inlineStr">
        <is>
          <t>17</t>
        </is>
      </c>
      <c r="E2162" t="inlineStr">
        <is>
          <t>20</t>
        </is>
      </c>
      <c r="F2162" t="inlineStr">
        <is>
          <t>DPOLE</t>
        </is>
      </c>
      <c r="G2162" t="inlineStr">
        <is>
          <t>Average</t>
        </is>
      </c>
      <c r="H2162" t="n">
        <v>40</v>
      </c>
      <c r="I2162">
        <f>B2162&amp;"~"&amp;F2162&amp;"~"&amp;G2162</f>
        <v/>
      </c>
      <c r="J2162" t="inlineStr">
        <is>
          <t>MVS Sec.17 p.20</t>
        </is>
      </c>
    </row>
    <row r="2163">
      <c r="B2163" t="inlineStr">
        <is>
          <t>Fruit Packing Barns</t>
        </is>
      </c>
      <c r="C2163" t="inlineStr">
        <is>
          <t>398</t>
        </is>
      </c>
      <c r="D2163" t="inlineStr">
        <is>
          <t>17</t>
        </is>
      </c>
      <c r="E2163" t="inlineStr">
        <is>
          <t>20</t>
        </is>
      </c>
      <c r="F2163" t="inlineStr">
        <is>
          <t>S</t>
        </is>
      </c>
      <c r="G2163" t="inlineStr">
        <is>
          <t>Average</t>
        </is>
      </c>
      <c r="H2163" t="n">
        <v>43</v>
      </c>
      <c r="I2163">
        <f>B2163&amp;"~"&amp;F2163&amp;"~"&amp;G2163</f>
        <v/>
      </c>
      <c r="J2163" t="inlineStr">
        <is>
          <t>MVS Sec.17 p.20</t>
        </is>
      </c>
    </row>
    <row r="2164">
      <c r="B2164" t="inlineStr">
        <is>
          <t>Potato Storage Buildings</t>
        </is>
      </c>
      <c r="C2164" t="inlineStr">
        <is>
          <t>395</t>
        </is>
      </c>
      <c r="D2164" t="inlineStr">
        <is>
          <t>17</t>
        </is>
      </c>
      <c r="E2164" t="inlineStr">
        <is>
          <t>21</t>
        </is>
      </c>
      <c r="F2164" t="inlineStr">
        <is>
          <t>C</t>
        </is>
      </c>
      <c r="G2164" t="inlineStr">
        <is>
          <t>Good</t>
        </is>
      </c>
      <c r="H2164" t="n">
        <v>77</v>
      </c>
      <c r="I2164">
        <f>B2164&amp;"~"&amp;F2164&amp;"~"&amp;G2164</f>
        <v/>
      </c>
      <c r="J2164" t="inlineStr">
        <is>
          <t>MVS Sec.17 p.21</t>
        </is>
      </c>
    </row>
    <row r="2165">
      <c r="B2165" t="inlineStr">
        <is>
          <t>Potato Storage Buildings</t>
        </is>
      </c>
      <c r="C2165" t="inlineStr">
        <is>
          <t>395</t>
        </is>
      </c>
      <c r="D2165" t="inlineStr">
        <is>
          <t>17</t>
        </is>
      </c>
      <c r="E2165" t="inlineStr">
        <is>
          <t>21</t>
        </is>
      </c>
      <c r="F2165" t="inlineStr">
        <is>
          <t>C</t>
        </is>
      </c>
      <c r="G2165" t="inlineStr">
        <is>
          <t>Average</t>
        </is>
      </c>
      <c r="H2165" t="n">
        <v>51.5</v>
      </c>
      <c r="I2165">
        <f>B2165&amp;"~"&amp;F2165&amp;"~"&amp;G2165</f>
        <v/>
      </c>
      <c r="J2165" t="inlineStr">
        <is>
          <t>MVS Sec.17 p.21</t>
        </is>
      </c>
    </row>
    <row r="2166">
      <c r="B2166" t="inlineStr">
        <is>
          <t>Potato Storage Buildings</t>
        </is>
      </c>
      <c r="C2166" t="inlineStr">
        <is>
          <t>395</t>
        </is>
      </c>
      <c r="D2166" t="inlineStr">
        <is>
          <t>17</t>
        </is>
      </c>
      <c r="E2166" t="inlineStr">
        <is>
          <t>21</t>
        </is>
      </c>
      <c r="F2166" t="inlineStr">
        <is>
          <t>C</t>
        </is>
      </c>
      <c r="G2166" t="inlineStr">
        <is>
          <t>Low Cost</t>
        </is>
      </c>
      <c r="H2166" t="n">
        <v>34.75</v>
      </c>
      <c r="I2166">
        <f>B2166&amp;"~"&amp;F2166&amp;"~"&amp;G2166</f>
        <v/>
      </c>
      <c r="J2166" t="inlineStr">
        <is>
          <t>MVS Sec.17 p.21</t>
        </is>
      </c>
    </row>
    <row r="2167">
      <c r="B2167" t="inlineStr">
        <is>
          <t>Potato Storage Buildings</t>
        </is>
      </c>
      <c r="C2167" t="inlineStr">
        <is>
          <t>395</t>
        </is>
      </c>
      <c r="D2167" t="inlineStr">
        <is>
          <t>17</t>
        </is>
      </c>
      <c r="E2167" t="inlineStr">
        <is>
          <t>21</t>
        </is>
      </c>
      <c r="F2167" t="inlineStr">
        <is>
          <t>C</t>
        </is>
      </c>
      <c r="G2167" t="inlineStr">
        <is>
          <t>Cheap</t>
        </is>
      </c>
      <c r="H2167" t="n">
        <v>18.75</v>
      </c>
      <c r="I2167">
        <f>B2167&amp;"~"&amp;F2167&amp;"~"&amp;G2167</f>
        <v/>
      </c>
      <c r="J2167" t="inlineStr">
        <is>
          <t>MVS Sec.17 p.21</t>
        </is>
      </c>
    </row>
    <row r="2168">
      <c r="B2168" t="inlineStr">
        <is>
          <t>Potato Storage Buildings</t>
        </is>
      </c>
      <c r="C2168" t="inlineStr">
        <is>
          <t>395</t>
        </is>
      </c>
      <c r="D2168" t="inlineStr">
        <is>
          <t>17</t>
        </is>
      </c>
      <c r="E2168" t="inlineStr">
        <is>
          <t>21</t>
        </is>
      </c>
      <c r="F2168" t="inlineStr">
        <is>
          <t>D</t>
        </is>
      </c>
      <c r="G2168" t="inlineStr">
        <is>
          <t>Good</t>
        </is>
      </c>
      <c r="H2168" t="n">
        <v>73</v>
      </c>
      <c r="I2168">
        <f>B2168&amp;"~"&amp;F2168&amp;"~"&amp;G2168</f>
        <v/>
      </c>
      <c r="J2168" t="inlineStr">
        <is>
          <t>MVS Sec.17 p.21</t>
        </is>
      </c>
    </row>
    <row r="2169">
      <c r="B2169" t="inlineStr">
        <is>
          <t>Potato Storage Buildings</t>
        </is>
      </c>
      <c r="C2169" t="inlineStr">
        <is>
          <t>395</t>
        </is>
      </c>
      <c r="D2169" t="inlineStr">
        <is>
          <t>17</t>
        </is>
      </c>
      <c r="E2169" t="inlineStr">
        <is>
          <t>21</t>
        </is>
      </c>
      <c r="F2169" t="inlineStr">
        <is>
          <t>D</t>
        </is>
      </c>
      <c r="G2169" t="inlineStr">
        <is>
          <t>Average</t>
        </is>
      </c>
      <c r="H2169" t="n">
        <v>47</v>
      </c>
      <c r="I2169">
        <f>B2169&amp;"~"&amp;F2169&amp;"~"&amp;G2169</f>
        <v/>
      </c>
      <c r="J2169" t="inlineStr">
        <is>
          <t>MVS Sec.17 p.21</t>
        </is>
      </c>
    </row>
    <row r="2170">
      <c r="B2170" t="inlineStr">
        <is>
          <t>Potato Storage Buildings</t>
        </is>
      </c>
      <c r="C2170" t="inlineStr">
        <is>
          <t>395</t>
        </is>
      </c>
      <c r="D2170" t="inlineStr">
        <is>
          <t>17</t>
        </is>
      </c>
      <c r="E2170" t="inlineStr">
        <is>
          <t>21</t>
        </is>
      </c>
      <c r="F2170" t="inlineStr">
        <is>
          <t>D</t>
        </is>
      </c>
      <c r="G2170" t="inlineStr">
        <is>
          <t>Low Cost</t>
        </is>
      </c>
      <c r="H2170" t="n">
        <v>30.5</v>
      </c>
      <c r="I2170">
        <f>B2170&amp;"~"&amp;F2170&amp;"~"&amp;G2170</f>
        <v/>
      </c>
      <c r="J2170" t="inlineStr">
        <is>
          <t>MVS Sec.17 p.21</t>
        </is>
      </c>
    </row>
    <row r="2171">
      <c r="B2171" t="inlineStr">
        <is>
          <t>Potato Storage Buildings</t>
        </is>
      </c>
      <c r="C2171" t="inlineStr">
        <is>
          <t>395</t>
        </is>
      </c>
      <c r="D2171" t="inlineStr">
        <is>
          <t>17</t>
        </is>
      </c>
      <c r="E2171" t="inlineStr">
        <is>
          <t>21</t>
        </is>
      </c>
      <c r="F2171" t="inlineStr">
        <is>
          <t>D</t>
        </is>
      </c>
      <c r="G2171" t="inlineStr">
        <is>
          <t>Cheap</t>
        </is>
      </c>
      <c r="H2171" t="n">
        <v>15.2</v>
      </c>
      <c r="I2171">
        <f>B2171&amp;"~"&amp;F2171&amp;"~"&amp;G2171</f>
        <v/>
      </c>
      <c r="J2171" t="inlineStr">
        <is>
          <t>MVS Sec.17 p.21</t>
        </is>
      </c>
    </row>
    <row r="2172">
      <c r="B2172" t="inlineStr">
        <is>
          <t>Potato Storage Buildings</t>
        </is>
      </c>
      <c r="C2172" t="inlineStr">
        <is>
          <t>395</t>
        </is>
      </c>
      <c r="D2172" t="inlineStr">
        <is>
          <t>17</t>
        </is>
      </c>
      <c r="E2172" t="inlineStr">
        <is>
          <t>21</t>
        </is>
      </c>
      <c r="F2172" t="inlineStr">
        <is>
          <t>DPOLE</t>
        </is>
      </c>
      <c r="G2172" t="inlineStr">
        <is>
          <t>Good</t>
        </is>
      </c>
      <c r="H2172" t="n">
        <v>67</v>
      </c>
      <c r="I2172">
        <f>B2172&amp;"~"&amp;F2172&amp;"~"&amp;G2172</f>
        <v/>
      </c>
      <c r="J2172" t="inlineStr">
        <is>
          <t>MVS Sec.17 p.21</t>
        </is>
      </c>
    </row>
    <row r="2173">
      <c r="B2173" t="inlineStr">
        <is>
          <t>Potato Storage Buildings</t>
        </is>
      </c>
      <c r="C2173" t="inlineStr">
        <is>
          <t>395</t>
        </is>
      </c>
      <c r="D2173" t="inlineStr">
        <is>
          <t>17</t>
        </is>
      </c>
      <c r="E2173" t="inlineStr">
        <is>
          <t>21</t>
        </is>
      </c>
      <c r="F2173" t="inlineStr">
        <is>
          <t>DPOLE</t>
        </is>
      </c>
      <c r="G2173" t="inlineStr">
        <is>
          <t>Average</t>
        </is>
      </c>
      <c r="H2173" t="n">
        <v>43.25</v>
      </c>
      <c r="I2173">
        <f>B2173&amp;"~"&amp;F2173&amp;"~"&amp;G2173</f>
        <v/>
      </c>
      <c r="J2173" t="inlineStr">
        <is>
          <t>MVS Sec.17 p.21</t>
        </is>
      </c>
    </row>
    <row r="2174">
      <c r="B2174" t="inlineStr">
        <is>
          <t>Potato Storage Buildings</t>
        </is>
      </c>
      <c r="C2174" t="inlineStr">
        <is>
          <t>395</t>
        </is>
      </c>
      <c r="D2174" t="inlineStr">
        <is>
          <t>17</t>
        </is>
      </c>
      <c r="E2174" t="inlineStr">
        <is>
          <t>21</t>
        </is>
      </c>
      <c r="F2174" t="inlineStr">
        <is>
          <t>DPOLE</t>
        </is>
      </c>
      <c r="G2174" t="inlineStr">
        <is>
          <t>Low Cost</t>
        </is>
      </c>
      <c r="H2174" t="n">
        <v>28</v>
      </c>
      <c r="I2174">
        <f>B2174&amp;"~"&amp;F2174&amp;"~"&amp;G2174</f>
        <v/>
      </c>
      <c r="J2174" t="inlineStr">
        <is>
          <t>MVS Sec.17 p.21</t>
        </is>
      </c>
    </row>
    <row r="2175">
      <c r="B2175" t="inlineStr">
        <is>
          <t>Potato Storage Buildings</t>
        </is>
      </c>
      <c r="C2175" t="inlineStr">
        <is>
          <t>395</t>
        </is>
      </c>
      <c r="D2175" t="inlineStr">
        <is>
          <t>17</t>
        </is>
      </c>
      <c r="E2175" t="inlineStr">
        <is>
          <t>21</t>
        </is>
      </c>
      <c r="F2175" t="inlineStr">
        <is>
          <t>DPOLE</t>
        </is>
      </c>
      <c r="G2175" t="inlineStr">
        <is>
          <t>Cheap</t>
        </is>
      </c>
      <c r="H2175" t="n">
        <v>13.7</v>
      </c>
      <c r="I2175">
        <f>B2175&amp;"~"&amp;F2175&amp;"~"&amp;G2175</f>
        <v/>
      </c>
      <c r="J2175" t="inlineStr">
        <is>
          <t>MVS Sec.17 p.21</t>
        </is>
      </c>
    </row>
    <row r="2176">
      <c r="B2176" t="inlineStr">
        <is>
          <t>Potato Storage Buildings</t>
        </is>
      </c>
      <c r="C2176" t="inlineStr">
        <is>
          <t>395</t>
        </is>
      </c>
      <c r="D2176" t="inlineStr">
        <is>
          <t>17</t>
        </is>
      </c>
      <c r="E2176" t="inlineStr">
        <is>
          <t>21</t>
        </is>
      </c>
      <c r="F2176" t="inlineStr">
        <is>
          <t>S</t>
        </is>
      </c>
      <c r="G2176" t="inlineStr">
        <is>
          <t>Good</t>
        </is>
      </c>
      <c r="H2176" t="n">
        <v>71.5</v>
      </c>
      <c r="I2176">
        <f>B2176&amp;"~"&amp;F2176&amp;"~"&amp;G2176</f>
        <v/>
      </c>
      <c r="J2176" t="inlineStr">
        <is>
          <t>MVS Sec.17 p.21</t>
        </is>
      </c>
    </row>
    <row r="2177">
      <c r="B2177" t="inlineStr">
        <is>
          <t>Potato Storage Buildings</t>
        </is>
      </c>
      <c r="C2177" t="inlineStr">
        <is>
          <t>395</t>
        </is>
      </c>
      <c r="D2177" t="inlineStr">
        <is>
          <t>17</t>
        </is>
      </c>
      <c r="E2177" t="inlineStr">
        <is>
          <t>21</t>
        </is>
      </c>
      <c r="F2177" t="inlineStr">
        <is>
          <t>S</t>
        </is>
      </c>
      <c r="G2177" t="inlineStr">
        <is>
          <t>Average</t>
        </is>
      </c>
      <c r="H2177" t="n">
        <v>47.25</v>
      </c>
      <c r="I2177">
        <f>B2177&amp;"~"&amp;F2177&amp;"~"&amp;G2177</f>
        <v/>
      </c>
      <c r="J2177" t="inlineStr">
        <is>
          <t>MVS Sec.17 p.21</t>
        </is>
      </c>
    </row>
    <row r="2178">
      <c r="B2178" t="inlineStr">
        <is>
          <t>Potato Storage Buildings</t>
        </is>
      </c>
      <c r="C2178" t="inlineStr">
        <is>
          <t>395</t>
        </is>
      </c>
      <c r="D2178" t="inlineStr">
        <is>
          <t>17</t>
        </is>
      </c>
      <c r="E2178" t="inlineStr">
        <is>
          <t>21</t>
        </is>
      </c>
      <c r="F2178" t="inlineStr">
        <is>
          <t>S</t>
        </is>
      </c>
      <c r="G2178" t="inlineStr">
        <is>
          <t>Low Cost</t>
        </is>
      </c>
      <c r="H2178" t="n">
        <v>31.5</v>
      </c>
      <c r="I2178">
        <f>B2178&amp;"~"&amp;F2178&amp;"~"&amp;G2178</f>
        <v/>
      </c>
      <c r="J2178" t="inlineStr">
        <is>
          <t>MVS Sec.17 p.21</t>
        </is>
      </c>
    </row>
    <row r="2179">
      <c r="B2179" t="inlineStr">
        <is>
          <t>Vegetable Buildings – Environmental</t>
        </is>
      </c>
      <c r="C2179" t="inlineStr">
        <is>
          <t>480</t>
        </is>
      </c>
      <c r="D2179" t="inlineStr">
        <is>
          <t>17</t>
        </is>
      </c>
      <c r="E2179" t="inlineStr">
        <is>
          <t>21</t>
        </is>
      </c>
      <c r="F2179" t="inlineStr">
        <is>
          <t>SSLANT</t>
        </is>
      </c>
      <c r="G2179" t="inlineStr">
        <is>
          <t>Good</t>
        </is>
      </c>
      <c r="H2179" t="n">
        <v>69.5</v>
      </c>
      <c r="I2179">
        <f>B2179&amp;"~"&amp;F2179&amp;"~"&amp;G2179</f>
        <v/>
      </c>
      <c r="J2179" t="inlineStr">
        <is>
          <t>MVS Sec.17 p.21</t>
        </is>
      </c>
    </row>
    <row r="2180">
      <c r="B2180" t="inlineStr">
        <is>
          <t>Vegetable Buildings – Environmental</t>
        </is>
      </c>
      <c r="C2180" t="inlineStr">
        <is>
          <t>480</t>
        </is>
      </c>
      <c r="D2180" t="inlineStr">
        <is>
          <t>17</t>
        </is>
      </c>
      <c r="E2180" t="inlineStr">
        <is>
          <t>21</t>
        </is>
      </c>
      <c r="F2180" t="inlineStr">
        <is>
          <t>SSLANT</t>
        </is>
      </c>
      <c r="G2180" t="inlineStr">
        <is>
          <t>Fair</t>
        </is>
      </c>
      <c r="H2180" t="n">
        <v>49.5</v>
      </c>
      <c r="I2180">
        <f>B2180&amp;"~"&amp;F2180&amp;"~"&amp;G2180</f>
        <v/>
      </c>
      <c r="J2180" t="inlineStr">
        <is>
          <t>MVS Sec.17 p.21</t>
        </is>
      </c>
    </row>
    <row r="2181">
      <c r="B2181" t="inlineStr">
        <is>
          <t>Vegetable Buildings – Environmental</t>
        </is>
      </c>
      <c r="C2181" t="inlineStr">
        <is>
          <t>480</t>
        </is>
      </c>
      <c r="D2181" t="inlineStr">
        <is>
          <t>17</t>
        </is>
      </c>
      <c r="E2181" t="inlineStr">
        <is>
          <t>21</t>
        </is>
      </c>
      <c r="F2181" t="inlineStr">
        <is>
          <t>SSLANT</t>
        </is>
      </c>
      <c r="G2181" t="inlineStr">
        <is>
          <t>Low Cost</t>
        </is>
      </c>
      <c r="H2181" t="n">
        <v>44.25</v>
      </c>
      <c r="I2181">
        <f>B2181&amp;"~"&amp;F2181&amp;"~"&amp;G2181</f>
        <v/>
      </c>
      <c r="J2181" t="inlineStr">
        <is>
          <t>MVS Sec.17 p.21</t>
        </is>
      </c>
    </row>
    <row r="2182">
      <c r="B2182" t="inlineStr">
        <is>
          <t>Controlled Atmosphere Buildings</t>
        </is>
      </c>
      <c r="C2182" t="inlineStr">
        <is>
          <t>106</t>
        </is>
      </c>
      <c r="D2182" t="inlineStr">
        <is>
          <t>17</t>
        </is>
      </c>
      <c r="E2182" t="inlineStr">
        <is>
          <t>21</t>
        </is>
      </c>
      <c r="F2182" t="inlineStr">
        <is>
          <t>C</t>
        </is>
      </c>
      <c r="G2182" t="inlineStr">
        <is>
          <t>Average</t>
        </is>
      </c>
      <c r="H2182" t="n">
        <v>59</v>
      </c>
      <c r="I2182">
        <f>B2182&amp;"~"&amp;F2182&amp;"~"&amp;G2182</f>
        <v/>
      </c>
      <c r="J2182" t="inlineStr">
        <is>
          <t>MVS Sec.17 p.21</t>
        </is>
      </c>
    </row>
    <row r="2183">
      <c r="B2183" t="inlineStr">
        <is>
          <t>Controlled Atmosphere Buildings</t>
        </is>
      </c>
      <c r="C2183" t="inlineStr">
        <is>
          <t>106</t>
        </is>
      </c>
      <c r="D2183" t="inlineStr">
        <is>
          <t>17</t>
        </is>
      </c>
      <c r="E2183" t="inlineStr">
        <is>
          <t>21</t>
        </is>
      </c>
      <c r="F2183" t="inlineStr">
        <is>
          <t>D</t>
        </is>
      </c>
      <c r="G2183" t="inlineStr">
        <is>
          <t>Average</t>
        </is>
      </c>
      <c r="H2183" t="n">
        <v>55</v>
      </c>
      <c r="I2183">
        <f>B2183&amp;"~"&amp;F2183&amp;"~"&amp;G2183</f>
        <v/>
      </c>
      <c r="J2183" t="inlineStr">
        <is>
          <t>MVS Sec.17 p.21</t>
        </is>
      </c>
    </row>
    <row r="2184">
      <c r="B2184" t="inlineStr">
        <is>
          <t>Controlled Atmosphere Buildings</t>
        </is>
      </c>
      <c r="C2184" t="inlineStr">
        <is>
          <t>106</t>
        </is>
      </c>
      <c r="D2184" t="inlineStr">
        <is>
          <t>17</t>
        </is>
      </c>
      <c r="E2184" t="inlineStr">
        <is>
          <t>21</t>
        </is>
      </c>
      <c r="F2184" t="inlineStr">
        <is>
          <t>DPOLE</t>
        </is>
      </c>
      <c r="G2184" t="inlineStr">
        <is>
          <t>Average</t>
        </is>
      </c>
      <c r="H2184" t="n">
        <v>52.5</v>
      </c>
      <c r="I2184">
        <f>B2184&amp;"~"&amp;F2184&amp;"~"&amp;G2184</f>
        <v/>
      </c>
      <c r="J2184" t="inlineStr">
        <is>
          <t>MVS Sec.17 p.21</t>
        </is>
      </c>
    </row>
    <row r="2185">
      <c r="B2185" t="inlineStr">
        <is>
          <t>Controlled Atmosphere Buildings</t>
        </is>
      </c>
      <c r="C2185" t="inlineStr">
        <is>
          <t>106</t>
        </is>
      </c>
      <c r="D2185" t="inlineStr">
        <is>
          <t>17</t>
        </is>
      </c>
      <c r="E2185" t="inlineStr">
        <is>
          <t>21</t>
        </is>
      </c>
      <c r="F2185" t="inlineStr">
        <is>
          <t>S</t>
        </is>
      </c>
      <c r="G2185" t="inlineStr">
        <is>
          <t>Average</t>
        </is>
      </c>
      <c r="H2185" t="n">
        <v>56</v>
      </c>
      <c r="I2185">
        <f>B2185&amp;"~"&amp;F2185&amp;"~"&amp;G2185</f>
        <v/>
      </c>
      <c r="J2185" t="inlineStr">
        <is>
          <t>MVS Sec.17 p.21</t>
        </is>
      </c>
    </row>
    <row r="2186">
      <c r="B2186" t="inlineStr">
        <is>
          <t>Greenhouse – Straight-Wall Structures</t>
        </is>
      </c>
      <c r="C2186" t="inlineStr">
        <is>
          <t>136</t>
        </is>
      </c>
      <c r="D2186" t="inlineStr">
        <is>
          <t>17</t>
        </is>
      </c>
      <c r="E2186" t="inlineStr">
        <is>
          <t>22</t>
        </is>
      </c>
      <c r="F2186" t="inlineStr">
        <is>
          <t>D</t>
        </is>
      </c>
      <c r="G2186" t="inlineStr">
        <is>
          <t>Average</t>
        </is>
      </c>
      <c r="H2186" t="n">
        <v>14.7</v>
      </c>
      <c r="I2186">
        <f>B2186&amp;"~"&amp;F2186&amp;"~"&amp;G2186</f>
        <v/>
      </c>
      <c r="J2186" t="inlineStr">
        <is>
          <t>MVS Sec.17 p.22</t>
        </is>
      </c>
    </row>
    <row r="2187">
      <c r="B2187" t="inlineStr">
        <is>
          <t>Greenhouse – Straight-Wall Structures</t>
        </is>
      </c>
      <c r="C2187" t="inlineStr">
        <is>
          <t>136</t>
        </is>
      </c>
      <c r="D2187" t="inlineStr">
        <is>
          <t>17</t>
        </is>
      </c>
      <c r="E2187" t="inlineStr">
        <is>
          <t>22</t>
        </is>
      </c>
      <c r="F2187" t="inlineStr">
        <is>
          <t>D</t>
        </is>
      </c>
      <c r="G2187" t="inlineStr">
        <is>
          <t>Fair</t>
        </is>
      </c>
      <c r="H2187" t="n">
        <v>9.58</v>
      </c>
      <c r="I2187">
        <f>B2187&amp;"~"&amp;F2187&amp;"~"&amp;G2187</f>
        <v/>
      </c>
      <c r="J2187" t="inlineStr">
        <is>
          <t>MVS Sec.17 p.22</t>
        </is>
      </c>
    </row>
    <row r="2188">
      <c r="B2188" t="inlineStr">
        <is>
          <t>Greenhouse – Straight-Wall Structures</t>
        </is>
      </c>
      <c r="C2188" t="inlineStr">
        <is>
          <t>136</t>
        </is>
      </c>
      <c r="D2188" t="inlineStr">
        <is>
          <t>17</t>
        </is>
      </c>
      <c r="E2188" t="inlineStr">
        <is>
          <t>22</t>
        </is>
      </c>
      <c r="F2188" t="inlineStr">
        <is>
          <t>D</t>
        </is>
      </c>
      <c r="G2188" t="inlineStr">
        <is>
          <t>Low Cost</t>
        </is>
      </c>
      <c r="H2188" t="n">
        <v>6.24</v>
      </c>
      <c r="I2188">
        <f>B2188&amp;"~"&amp;F2188&amp;"~"&amp;G2188</f>
        <v/>
      </c>
      <c r="J2188" t="inlineStr">
        <is>
          <t>MVS Sec.17 p.22</t>
        </is>
      </c>
    </row>
    <row r="2189">
      <c r="B2189" t="inlineStr">
        <is>
          <t>Greenhouse – Straight-Wall Structures</t>
        </is>
      </c>
      <c r="C2189" t="inlineStr">
        <is>
          <t>136</t>
        </is>
      </c>
      <c r="D2189" t="inlineStr">
        <is>
          <t>17</t>
        </is>
      </c>
      <c r="E2189" t="inlineStr">
        <is>
          <t>22</t>
        </is>
      </c>
      <c r="F2189" t="inlineStr">
        <is>
          <t>D</t>
        </is>
      </c>
      <c r="G2189" t="inlineStr">
        <is>
          <t>Cheap</t>
        </is>
      </c>
      <c r="H2189" t="n">
        <v>5.54</v>
      </c>
      <c r="I2189">
        <f>B2189&amp;"~"&amp;F2189&amp;"~"&amp;G2189</f>
        <v/>
      </c>
      <c r="J2189" t="inlineStr">
        <is>
          <t>MVS Sec.17 p.22</t>
        </is>
      </c>
    </row>
    <row r="2190">
      <c r="B2190" t="inlineStr">
        <is>
          <t>Greenhouse – Straight-Wall Structures</t>
        </is>
      </c>
      <c r="C2190" t="inlineStr">
        <is>
          <t>136</t>
        </is>
      </c>
      <c r="D2190" t="inlineStr">
        <is>
          <t>17</t>
        </is>
      </c>
      <c r="E2190" t="inlineStr">
        <is>
          <t>22</t>
        </is>
      </c>
      <c r="F2190" t="inlineStr">
        <is>
          <t>S</t>
        </is>
      </c>
      <c r="G2190" t="inlineStr">
        <is>
          <t>Excellent</t>
        </is>
      </c>
      <c r="H2190" t="n">
        <v>46</v>
      </c>
      <c r="I2190">
        <f>B2190&amp;"~"&amp;F2190&amp;"~"&amp;G2190</f>
        <v/>
      </c>
      <c r="J2190" t="inlineStr">
        <is>
          <t>MVS Sec.17 p.22</t>
        </is>
      </c>
    </row>
    <row r="2191">
      <c r="B2191" t="inlineStr">
        <is>
          <t>Greenhouse – Straight-Wall Structures</t>
        </is>
      </c>
      <c r="C2191" t="inlineStr">
        <is>
          <t>136</t>
        </is>
      </c>
      <c r="D2191" t="inlineStr">
        <is>
          <t>17</t>
        </is>
      </c>
      <c r="E2191" t="inlineStr">
        <is>
          <t>22</t>
        </is>
      </c>
      <c r="F2191" t="inlineStr">
        <is>
          <t>S</t>
        </is>
      </c>
      <c r="G2191" t="inlineStr">
        <is>
          <t>Very Good</t>
        </is>
      </c>
      <c r="H2191" t="n">
        <v>38</v>
      </c>
      <c r="I2191">
        <f>B2191&amp;"~"&amp;F2191&amp;"~"&amp;G2191</f>
        <v/>
      </c>
      <c r="J2191" t="inlineStr">
        <is>
          <t>MVS Sec.17 p.22</t>
        </is>
      </c>
    </row>
    <row r="2192">
      <c r="B2192" t="inlineStr">
        <is>
          <t>Greenhouse – Straight-Wall Structures</t>
        </is>
      </c>
      <c r="C2192" t="inlineStr">
        <is>
          <t>136</t>
        </is>
      </c>
      <c r="D2192" t="inlineStr">
        <is>
          <t>17</t>
        </is>
      </c>
      <c r="E2192" t="inlineStr">
        <is>
          <t>22</t>
        </is>
      </c>
      <c r="F2192" t="inlineStr">
        <is>
          <t>S</t>
        </is>
      </c>
      <c r="G2192" t="inlineStr">
        <is>
          <t>Good</t>
        </is>
      </c>
      <c r="H2192" t="n">
        <v>31.25</v>
      </c>
      <c r="I2192">
        <f>B2192&amp;"~"&amp;F2192&amp;"~"&amp;G2192</f>
        <v/>
      </c>
      <c r="J2192" t="inlineStr">
        <is>
          <t>MVS Sec.17 p.22</t>
        </is>
      </c>
    </row>
    <row r="2193">
      <c r="B2193" t="inlineStr">
        <is>
          <t>Greenhouse – Straight-Wall Structures</t>
        </is>
      </c>
      <c r="C2193" t="inlineStr">
        <is>
          <t>136</t>
        </is>
      </c>
      <c r="D2193" t="inlineStr">
        <is>
          <t>17</t>
        </is>
      </c>
      <c r="E2193" t="inlineStr">
        <is>
          <t>22</t>
        </is>
      </c>
      <c r="F2193" t="inlineStr">
        <is>
          <t>S</t>
        </is>
      </c>
      <c r="G2193" t="inlineStr">
        <is>
          <t>Average</t>
        </is>
      </c>
      <c r="H2193" t="n">
        <v>14.55</v>
      </c>
      <c r="I2193">
        <f>B2193&amp;"~"&amp;F2193&amp;"~"&amp;G2193</f>
        <v/>
      </c>
      <c r="J2193" t="inlineStr">
        <is>
          <t>MVS Sec.17 p.22</t>
        </is>
      </c>
    </row>
    <row r="2194">
      <c r="B2194" t="inlineStr">
        <is>
          <t>Greenhouse – Straight-Wall Structures</t>
        </is>
      </c>
      <c r="C2194" t="inlineStr">
        <is>
          <t>136</t>
        </is>
      </c>
      <c r="D2194" t="inlineStr">
        <is>
          <t>17</t>
        </is>
      </c>
      <c r="E2194" t="inlineStr">
        <is>
          <t>22</t>
        </is>
      </c>
      <c r="F2194" t="inlineStr">
        <is>
          <t>S</t>
        </is>
      </c>
      <c r="G2194" t="inlineStr">
        <is>
          <t>Fair</t>
        </is>
      </c>
      <c r="H2194" t="n">
        <v>9.92</v>
      </c>
      <c r="I2194">
        <f>B2194&amp;"~"&amp;F2194&amp;"~"&amp;G2194</f>
        <v/>
      </c>
      <c r="J2194" t="inlineStr">
        <is>
          <t>MVS Sec.17 p.22</t>
        </is>
      </c>
    </row>
    <row r="2195">
      <c r="B2195" t="inlineStr">
        <is>
          <t>Greenhouse – Straight-Wall Structures</t>
        </is>
      </c>
      <c r="C2195" t="inlineStr">
        <is>
          <t>136</t>
        </is>
      </c>
      <c r="D2195" t="inlineStr">
        <is>
          <t>17</t>
        </is>
      </c>
      <c r="E2195" t="inlineStr">
        <is>
          <t>22</t>
        </is>
      </c>
      <c r="F2195" t="inlineStr">
        <is>
          <t>S</t>
        </is>
      </c>
      <c r="G2195" t="inlineStr">
        <is>
          <t>Low Cost</t>
        </is>
      </c>
      <c r="H2195" t="n">
        <v>6.76</v>
      </c>
      <c r="I2195">
        <f>B2195&amp;"~"&amp;F2195&amp;"~"&amp;G2195</f>
        <v/>
      </c>
      <c r="J2195" t="inlineStr">
        <is>
          <t>MVS Sec.17 p.22</t>
        </is>
      </c>
    </row>
    <row r="2196">
      <c r="B2196" t="inlineStr">
        <is>
          <t>Greenhouse – Straight-Wall Structures</t>
        </is>
      </c>
      <c r="C2196" t="inlineStr">
        <is>
          <t>136</t>
        </is>
      </c>
      <c r="D2196" t="inlineStr">
        <is>
          <t>17</t>
        </is>
      </c>
      <c r="E2196" t="inlineStr">
        <is>
          <t>22</t>
        </is>
      </c>
      <c r="F2196" t="inlineStr">
        <is>
          <t>S</t>
        </is>
      </c>
      <c r="G2196" t="inlineStr">
        <is>
          <t>Cheap</t>
        </is>
      </c>
      <c r="H2196" t="n">
        <v>6.01</v>
      </c>
      <c r="I2196">
        <f>B2196&amp;"~"&amp;F2196&amp;"~"&amp;G2196</f>
        <v/>
      </c>
      <c r="J2196" t="inlineStr">
        <is>
          <t>MVS Sec.17 p.22</t>
        </is>
      </c>
    </row>
    <row r="2197">
      <c r="B2197" t="inlineStr">
        <is>
          <t>Greenhouse – Hoop (Arch-Rib/Quonset) Structures</t>
        </is>
      </c>
      <c r="C2197" t="inlineStr">
        <is>
          <t>135</t>
        </is>
      </c>
      <c r="D2197" t="inlineStr">
        <is>
          <t>17</t>
        </is>
      </c>
      <c r="E2197" t="inlineStr">
        <is>
          <t>22</t>
        </is>
      </c>
      <c r="F2197" t="inlineStr">
        <is>
          <t>D</t>
        </is>
      </c>
      <c r="G2197" t="inlineStr">
        <is>
          <t>Low Cost</t>
        </is>
      </c>
      <c r="H2197" t="n">
        <v>5.81</v>
      </c>
      <c r="I2197">
        <f>B2197&amp;"~"&amp;F2197&amp;"~"&amp;G2197</f>
        <v/>
      </c>
      <c r="J2197" t="inlineStr">
        <is>
          <t>MVS Sec.17 p.22</t>
        </is>
      </c>
    </row>
    <row r="2198">
      <c r="B2198" t="inlineStr">
        <is>
          <t>Greenhouse – Hoop (Arch-Rib/Quonset) Structures</t>
        </is>
      </c>
      <c r="C2198" t="inlineStr">
        <is>
          <t>135</t>
        </is>
      </c>
      <c r="D2198" t="inlineStr">
        <is>
          <t>17</t>
        </is>
      </c>
      <c r="E2198" t="inlineStr">
        <is>
          <t>22</t>
        </is>
      </c>
      <c r="F2198" t="inlineStr">
        <is>
          <t>S</t>
        </is>
      </c>
      <c r="G2198" t="inlineStr">
        <is>
          <t>Very Good</t>
        </is>
      </c>
      <c r="H2198" t="n">
        <v>26.5</v>
      </c>
      <c r="I2198">
        <f>B2198&amp;"~"&amp;F2198&amp;"~"&amp;G2198</f>
        <v/>
      </c>
      <c r="J2198" t="inlineStr">
        <is>
          <t>MVS Sec.17 p.22</t>
        </is>
      </c>
    </row>
    <row r="2199">
      <c r="B2199" t="inlineStr">
        <is>
          <t>Greenhouse – Hoop (Arch-Rib/Quonset) Structures</t>
        </is>
      </c>
      <c r="C2199" t="inlineStr">
        <is>
          <t>135</t>
        </is>
      </c>
      <c r="D2199" t="inlineStr">
        <is>
          <t>17</t>
        </is>
      </c>
      <c r="E2199" t="inlineStr">
        <is>
          <t>22</t>
        </is>
      </c>
      <c r="F2199" t="inlineStr">
        <is>
          <t>S</t>
        </is>
      </c>
      <c r="G2199" t="inlineStr">
        <is>
          <t>Good</t>
        </is>
      </c>
      <c r="H2199" t="n">
        <v>21.95</v>
      </c>
      <c r="I2199">
        <f>B2199&amp;"~"&amp;F2199&amp;"~"&amp;G2199</f>
        <v/>
      </c>
      <c r="J2199" t="inlineStr">
        <is>
          <t>MVS Sec.17 p.22</t>
        </is>
      </c>
    </row>
    <row r="2200">
      <c r="B2200" t="inlineStr">
        <is>
          <t>Greenhouse – Hoop (Arch-Rib/Quonset) Structures</t>
        </is>
      </c>
      <c r="C2200" t="inlineStr">
        <is>
          <t>135</t>
        </is>
      </c>
      <c r="D2200" t="inlineStr">
        <is>
          <t>17</t>
        </is>
      </c>
      <c r="E2200" t="inlineStr">
        <is>
          <t>22</t>
        </is>
      </c>
      <c r="F2200" t="inlineStr">
        <is>
          <t>S</t>
        </is>
      </c>
      <c r="G2200" t="inlineStr">
        <is>
          <t>Average</t>
        </is>
      </c>
      <c r="H2200" t="n">
        <v>10.35</v>
      </c>
      <c r="I2200">
        <f>B2200&amp;"~"&amp;F2200&amp;"~"&amp;G2200</f>
        <v/>
      </c>
      <c r="J2200" t="inlineStr">
        <is>
          <t>MVS Sec.17 p.22</t>
        </is>
      </c>
    </row>
    <row r="2201">
      <c r="B2201" t="inlineStr">
        <is>
          <t>Greenhouse – Hoop (Arch-Rib/Quonset) Structures</t>
        </is>
      </c>
      <c r="C2201" t="inlineStr">
        <is>
          <t>135</t>
        </is>
      </c>
      <c r="D2201" t="inlineStr">
        <is>
          <t>17</t>
        </is>
      </c>
      <c r="E2201" t="inlineStr">
        <is>
          <t>22</t>
        </is>
      </c>
      <c r="F2201" t="inlineStr">
        <is>
          <t>S</t>
        </is>
      </c>
      <c r="G2201" t="inlineStr">
        <is>
          <t>Fair</t>
        </is>
      </c>
      <c r="H2201" t="n">
        <v>7.09</v>
      </c>
      <c r="I2201">
        <f>B2201&amp;"~"&amp;F2201&amp;"~"&amp;G2201</f>
        <v/>
      </c>
      <c r="J2201" t="inlineStr">
        <is>
          <t>MVS Sec.17 p.22</t>
        </is>
      </c>
    </row>
    <row r="2202">
      <c r="B2202" t="inlineStr">
        <is>
          <t>Greenhouse – Hoop (Arch-Rib/Quonset) Structures</t>
        </is>
      </c>
      <c r="C2202" t="inlineStr">
        <is>
          <t>135</t>
        </is>
      </c>
      <c r="D2202" t="inlineStr">
        <is>
          <t>17</t>
        </is>
      </c>
      <c r="E2202" t="inlineStr">
        <is>
          <t>22</t>
        </is>
      </c>
      <c r="F2202" t="inlineStr">
        <is>
          <t>S</t>
        </is>
      </c>
      <c r="G2202" t="inlineStr">
        <is>
          <t>Low Cost</t>
        </is>
      </c>
      <c r="H2202" t="n">
        <v>4.88</v>
      </c>
      <c r="I2202">
        <f>B2202&amp;"~"&amp;F2202&amp;"~"&amp;G2202</f>
        <v/>
      </c>
      <c r="J2202" t="inlineStr">
        <is>
          <t>MVS Sec.17 p.22</t>
        </is>
      </c>
    </row>
    <row r="2203">
      <c r="B2203" t="inlineStr">
        <is>
          <t>Greenhouse – Hoop (Arch-Rib/Quonset) Structures</t>
        </is>
      </c>
      <c r="C2203" t="inlineStr">
        <is>
          <t>135</t>
        </is>
      </c>
      <c r="D2203" t="inlineStr">
        <is>
          <t>17</t>
        </is>
      </c>
      <c r="E2203" t="inlineStr">
        <is>
          <t>22</t>
        </is>
      </c>
      <c r="F2203" t="inlineStr">
        <is>
          <t>S</t>
        </is>
      </c>
      <c r="G2203" t="inlineStr">
        <is>
          <t>Cheap</t>
        </is>
      </c>
      <c r="H2203" t="n">
        <v>4.33</v>
      </c>
      <c r="I2203">
        <f>B2203&amp;"~"&amp;F2203&amp;"~"&amp;G2203</f>
        <v/>
      </c>
      <c r="J2203" t="inlineStr">
        <is>
          <t>MVS Sec.17 p.22</t>
        </is>
      </c>
    </row>
    <row r="2204">
      <c r="B2204" t="inlineStr">
        <is>
          <t>Greenhouse Shade Shelters</t>
        </is>
      </c>
      <c r="C2204" t="inlineStr">
        <is>
          <t>519</t>
        </is>
      </c>
      <c r="D2204" t="inlineStr">
        <is>
          <t>17</t>
        </is>
      </c>
      <c r="E2204" t="inlineStr">
        <is>
          <t>23</t>
        </is>
      </c>
      <c r="F2204" t="inlineStr">
        <is>
          <t>D</t>
        </is>
      </c>
      <c r="G2204" t="inlineStr">
        <is>
          <t>Average</t>
        </is>
      </c>
      <c r="H2204" t="n">
        <v>3.39</v>
      </c>
      <c r="I2204">
        <f>B2204&amp;"~"&amp;F2204&amp;"~"&amp;G2204</f>
        <v/>
      </c>
      <c r="J2204" t="inlineStr">
        <is>
          <t>MVS Sec.17 p.23</t>
        </is>
      </c>
    </row>
    <row r="2205">
      <c r="B2205" t="inlineStr">
        <is>
          <t>Greenhouse Shade Shelters</t>
        </is>
      </c>
      <c r="C2205" t="inlineStr">
        <is>
          <t>519</t>
        </is>
      </c>
      <c r="D2205" t="inlineStr">
        <is>
          <t>17</t>
        </is>
      </c>
      <c r="E2205" t="inlineStr">
        <is>
          <t>23</t>
        </is>
      </c>
      <c r="F2205" t="inlineStr">
        <is>
          <t>D</t>
        </is>
      </c>
      <c r="G2205" t="inlineStr">
        <is>
          <t>Low Cost</t>
        </is>
      </c>
      <c r="H2205" t="n">
        <v>2.49</v>
      </c>
      <c r="I2205">
        <f>B2205&amp;"~"&amp;F2205&amp;"~"&amp;G2205</f>
        <v/>
      </c>
      <c r="J2205" t="inlineStr">
        <is>
          <t>MVS Sec.17 p.23</t>
        </is>
      </c>
    </row>
    <row r="2206">
      <c r="B2206" t="inlineStr">
        <is>
          <t>Greenhouse Shade Shelters</t>
        </is>
      </c>
      <c r="C2206" t="inlineStr">
        <is>
          <t>519</t>
        </is>
      </c>
      <c r="D2206" t="inlineStr">
        <is>
          <t>17</t>
        </is>
      </c>
      <c r="E2206" t="inlineStr">
        <is>
          <t>23</t>
        </is>
      </c>
      <c r="F2206" t="inlineStr">
        <is>
          <t>S</t>
        </is>
      </c>
      <c r="G2206" t="inlineStr">
        <is>
          <t>Average</t>
        </is>
      </c>
      <c r="H2206" t="n">
        <v>3.7</v>
      </c>
      <c r="I2206">
        <f>B2206&amp;"~"&amp;F2206&amp;"~"&amp;G2206</f>
        <v/>
      </c>
      <c r="J2206" t="inlineStr">
        <is>
          <t>MVS Sec.17 p.23</t>
        </is>
      </c>
    </row>
    <row r="2207">
      <c r="B2207" t="inlineStr">
        <is>
          <t>Greenhouse Shade Shelters</t>
        </is>
      </c>
      <c r="C2207" t="inlineStr">
        <is>
          <t>519</t>
        </is>
      </c>
      <c r="D2207" t="inlineStr">
        <is>
          <t>17</t>
        </is>
      </c>
      <c r="E2207" t="inlineStr">
        <is>
          <t>23</t>
        </is>
      </c>
      <c r="F2207" t="inlineStr">
        <is>
          <t>S</t>
        </is>
      </c>
      <c r="G2207" t="inlineStr">
        <is>
          <t>Low Cost</t>
        </is>
      </c>
      <c r="H2207" t="n">
        <v>2.76</v>
      </c>
      <c r="I2207">
        <f>B2207&amp;"~"&amp;F2207&amp;"~"&amp;G2207</f>
        <v/>
      </c>
      <c r="J2207" t="inlineStr">
        <is>
          <t>MVS Sec.17 p.23</t>
        </is>
      </c>
    </row>
    <row r="2208">
      <c r="B2208" t="inlineStr">
        <is>
          <t>Lath Shade Houses</t>
        </is>
      </c>
      <c r="C2208" t="inlineStr">
        <is>
          <t>518</t>
        </is>
      </c>
      <c r="D2208" t="inlineStr">
        <is>
          <t>17</t>
        </is>
      </c>
      <c r="E2208" t="inlineStr">
        <is>
          <t>23</t>
        </is>
      </c>
      <c r="F2208" t="inlineStr">
        <is>
          <t>D</t>
        </is>
      </c>
      <c r="G2208" t="inlineStr">
        <is>
          <t>Average</t>
        </is>
      </c>
      <c r="H2208" t="n">
        <v>7.38</v>
      </c>
      <c r="I2208">
        <f>B2208&amp;"~"&amp;F2208&amp;"~"&amp;G2208</f>
        <v/>
      </c>
      <c r="J2208" t="inlineStr">
        <is>
          <t>MVS Sec.17 p.23</t>
        </is>
      </c>
    </row>
    <row r="2209">
      <c r="B2209" t="inlineStr">
        <is>
          <t>Lath Shade Houses</t>
        </is>
      </c>
      <c r="C2209" t="inlineStr">
        <is>
          <t>518</t>
        </is>
      </c>
      <c r="D2209" t="inlineStr">
        <is>
          <t>17</t>
        </is>
      </c>
      <c r="E2209" t="inlineStr">
        <is>
          <t>23</t>
        </is>
      </c>
      <c r="F2209" t="inlineStr">
        <is>
          <t>S</t>
        </is>
      </c>
      <c r="G2209" t="inlineStr">
        <is>
          <t>Average</t>
        </is>
      </c>
      <c r="H2209" t="n">
        <v>12.65</v>
      </c>
      <c r="I2209">
        <f>B2209&amp;"~"&amp;F2209&amp;"~"&amp;G2209</f>
        <v/>
      </c>
      <c r="J2209" t="inlineStr">
        <is>
          <t>MVS Sec.17 p.23</t>
        </is>
      </c>
    </row>
    <row r="2210">
      <c r="B2210" t="inlineStr">
        <is>
          <t>Flathouse Storage Buildings</t>
        </is>
      </c>
      <c r="C2210" t="inlineStr">
        <is>
          <t>493</t>
        </is>
      </c>
      <c r="D2210" t="inlineStr">
        <is>
          <t>17</t>
        </is>
      </c>
      <c r="E2210" t="inlineStr">
        <is>
          <t>24</t>
        </is>
      </c>
      <c r="F2210" t="inlineStr">
        <is>
          <t>C</t>
        </is>
      </c>
      <c r="G2210" t="inlineStr">
        <is>
          <t>Good</t>
        </is>
      </c>
      <c r="H2210" t="n">
        <v>61</v>
      </c>
      <c r="I2210">
        <f>B2210&amp;"~"&amp;F2210&amp;"~"&amp;G2210</f>
        <v/>
      </c>
      <c r="J2210" t="inlineStr">
        <is>
          <t>MVS Sec.17 p.24</t>
        </is>
      </c>
    </row>
    <row r="2211">
      <c r="B2211" t="inlineStr">
        <is>
          <t>Flathouse Storage Buildings</t>
        </is>
      </c>
      <c r="C2211" t="inlineStr">
        <is>
          <t>493</t>
        </is>
      </c>
      <c r="D2211" t="inlineStr">
        <is>
          <t>17</t>
        </is>
      </c>
      <c r="E2211" t="inlineStr">
        <is>
          <t>24</t>
        </is>
      </c>
      <c r="F2211" t="inlineStr">
        <is>
          <t>C</t>
        </is>
      </c>
      <c r="G2211" t="inlineStr">
        <is>
          <t>Average</t>
        </is>
      </c>
      <c r="H2211" t="n">
        <v>42.5</v>
      </c>
      <c r="I2211">
        <f>B2211&amp;"~"&amp;F2211&amp;"~"&amp;G2211</f>
        <v/>
      </c>
      <c r="J2211" t="inlineStr">
        <is>
          <t>MVS Sec.17 p.24</t>
        </is>
      </c>
    </row>
    <row r="2212">
      <c r="B2212" t="inlineStr">
        <is>
          <t>Flathouse Storage Buildings</t>
        </is>
      </c>
      <c r="C2212" t="inlineStr">
        <is>
          <t>493</t>
        </is>
      </c>
      <c r="D2212" t="inlineStr">
        <is>
          <t>17</t>
        </is>
      </c>
      <c r="E2212" t="inlineStr">
        <is>
          <t>24</t>
        </is>
      </c>
      <c r="F2212" t="inlineStr">
        <is>
          <t>D</t>
        </is>
      </c>
      <c r="G2212" t="inlineStr">
        <is>
          <t>Good</t>
        </is>
      </c>
      <c r="H2212" t="n">
        <v>51</v>
      </c>
      <c r="I2212">
        <f>B2212&amp;"~"&amp;F2212&amp;"~"&amp;G2212</f>
        <v/>
      </c>
      <c r="J2212" t="inlineStr">
        <is>
          <t>MVS Sec.17 p.24</t>
        </is>
      </c>
    </row>
    <row r="2213">
      <c r="B2213" t="inlineStr">
        <is>
          <t>Flathouse Storage Buildings</t>
        </is>
      </c>
      <c r="C2213" t="inlineStr">
        <is>
          <t>493</t>
        </is>
      </c>
      <c r="D2213" t="inlineStr">
        <is>
          <t>17</t>
        </is>
      </c>
      <c r="E2213" t="inlineStr">
        <is>
          <t>24</t>
        </is>
      </c>
      <c r="F2213" t="inlineStr">
        <is>
          <t>D</t>
        </is>
      </c>
      <c r="G2213" t="inlineStr">
        <is>
          <t>Average</t>
        </is>
      </c>
      <c r="H2213" t="n">
        <v>34.5</v>
      </c>
      <c r="I2213">
        <f>B2213&amp;"~"&amp;F2213&amp;"~"&amp;G2213</f>
        <v/>
      </c>
      <c r="J2213" t="inlineStr">
        <is>
          <t>MVS Sec.17 p.24</t>
        </is>
      </c>
    </row>
    <row r="2214">
      <c r="B2214" t="inlineStr">
        <is>
          <t>Flathouse Storage Buildings</t>
        </is>
      </c>
      <c r="C2214" t="inlineStr">
        <is>
          <t>493</t>
        </is>
      </c>
      <c r="D2214" t="inlineStr">
        <is>
          <t>17</t>
        </is>
      </c>
      <c r="E2214" t="inlineStr">
        <is>
          <t>24</t>
        </is>
      </c>
      <c r="F2214" t="inlineStr">
        <is>
          <t>DPOLE</t>
        </is>
      </c>
      <c r="G2214" t="inlineStr">
        <is>
          <t>Good</t>
        </is>
      </c>
      <c r="H2214" t="n">
        <v>45.5</v>
      </c>
      <c r="I2214">
        <f>B2214&amp;"~"&amp;F2214&amp;"~"&amp;G2214</f>
        <v/>
      </c>
      <c r="J2214" t="inlineStr">
        <is>
          <t>MVS Sec.17 p.24</t>
        </is>
      </c>
    </row>
    <row r="2215">
      <c r="B2215" t="inlineStr">
        <is>
          <t>Flathouse Storage Buildings</t>
        </is>
      </c>
      <c r="C2215" t="inlineStr">
        <is>
          <t>493</t>
        </is>
      </c>
      <c r="D2215" t="inlineStr">
        <is>
          <t>17</t>
        </is>
      </c>
      <c r="E2215" t="inlineStr">
        <is>
          <t>24</t>
        </is>
      </c>
      <c r="F2215" t="inlineStr">
        <is>
          <t>DPOLE</t>
        </is>
      </c>
      <c r="G2215" t="inlineStr">
        <is>
          <t>Average</t>
        </is>
      </c>
      <c r="H2215" t="n">
        <v>31.75</v>
      </c>
      <c r="I2215">
        <f>B2215&amp;"~"&amp;F2215&amp;"~"&amp;G2215</f>
        <v/>
      </c>
      <c r="J2215" t="inlineStr">
        <is>
          <t>MVS Sec.17 p.24</t>
        </is>
      </c>
    </row>
    <row r="2216">
      <c r="B2216" t="inlineStr">
        <is>
          <t>Flathouse Storage Buildings</t>
        </is>
      </c>
      <c r="C2216" t="inlineStr">
        <is>
          <t>493</t>
        </is>
      </c>
      <c r="D2216" t="inlineStr">
        <is>
          <t>17</t>
        </is>
      </c>
      <c r="E2216" t="inlineStr">
        <is>
          <t>24</t>
        </is>
      </c>
      <c r="F2216" t="inlineStr">
        <is>
          <t>S</t>
        </is>
      </c>
      <c r="G2216" t="inlineStr">
        <is>
          <t>Good</t>
        </is>
      </c>
      <c r="H2216" t="n">
        <v>49</v>
      </c>
      <c r="I2216">
        <f>B2216&amp;"~"&amp;F2216&amp;"~"&amp;G2216</f>
        <v/>
      </c>
      <c r="J2216" t="inlineStr">
        <is>
          <t>MVS Sec.17 p.24</t>
        </is>
      </c>
    </row>
    <row r="2217">
      <c r="B2217" t="inlineStr">
        <is>
          <t>Flathouse Storage Buildings</t>
        </is>
      </c>
      <c r="C2217" t="inlineStr">
        <is>
          <t>493</t>
        </is>
      </c>
      <c r="D2217" t="inlineStr">
        <is>
          <t>17</t>
        </is>
      </c>
      <c r="E2217" t="inlineStr">
        <is>
          <t>24</t>
        </is>
      </c>
      <c r="F2217" t="inlineStr">
        <is>
          <t>S</t>
        </is>
      </c>
      <c r="G2217" t="inlineStr">
        <is>
          <t>Average</t>
        </is>
      </c>
      <c r="H2217" t="n">
        <v>34.25</v>
      </c>
      <c r="I2217">
        <f>B2217&amp;"~"&amp;F2217&amp;"~"&amp;G2217</f>
        <v/>
      </c>
      <c r="J2217" t="inlineStr">
        <is>
          <t>MVS Sec.17 p.24</t>
        </is>
      </c>
    </row>
    <row r="2218">
      <c r="B2218" t="inlineStr">
        <is>
          <t>Flathouse Storage Buildings</t>
        </is>
      </c>
      <c r="C2218" t="inlineStr">
        <is>
          <t>493</t>
        </is>
      </c>
      <c r="D2218" t="inlineStr">
        <is>
          <t>17</t>
        </is>
      </c>
      <c r="E2218" t="inlineStr">
        <is>
          <t>24</t>
        </is>
      </c>
      <c r="F2218" t="inlineStr">
        <is>
          <t>SSLANT</t>
        </is>
      </c>
      <c r="G2218" t="inlineStr">
        <is>
          <t>Good</t>
        </is>
      </c>
      <c r="H2218" t="n">
        <v>46</v>
      </c>
      <c r="I2218">
        <f>B2218&amp;"~"&amp;F2218&amp;"~"&amp;G2218</f>
        <v/>
      </c>
      <c r="J2218" t="inlineStr">
        <is>
          <t>MVS Sec.17 p.24</t>
        </is>
      </c>
    </row>
    <row r="2219">
      <c r="B2219" t="inlineStr">
        <is>
          <t>Flathouse Storage Buildings</t>
        </is>
      </c>
      <c r="C2219" t="inlineStr">
        <is>
          <t>493</t>
        </is>
      </c>
      <c r="D2219" t="inlineStr">
        <is>
          <t>17</t>
        </is>
      </c>
      <c r="E2219" t="inlineStr">
        <is>
          <t>24</t>
        </is>
      </c>
      <c r="F2219" t="inlineStr">
        <is>
          <t>SSLANT</t>
        </is>
      </c>
      <c r="G2219" t="inlineStr">
        <is>
          <t>Average</t>
        </is>
      </c>
      <c r="H2219" t="n">
        <v>32.25</v>
      </c>
      <c r="I2219">
        <f>B2219&amp;"~"&amp;F2219&amp;"~"&amp;G2219</f>
        <v/>
      </c>
      <c r="J2219" t="inlineStr">
        <is>
          <t>MVS Sec.17 p.24</t>
        </is>
      </c>
    </row>
    <row r="2220">
      <c r="B2220" t="inlineStr">
        <is>
          <t>Feed Handling and Mixing Shed Building</t>
        </is>
      </c>
      <c r="C2220" t="inlineStr">
        <is>
          <t>180</t>
        </is>
      </c>
      <c r="D2220" t="inlineStr">
        <is>
          <t>17</t>
        </is>
      </c>
      <c r="E2220" t="inlineStr">
        <is>
          <t>24</t>
        </is>
      </c>
      <c r="F2220" t="inlineStr">
        <is>
          <t>D</t>
        </is>
      </c>
      <c r="G2220" t="inlineStr">
        <is>
          <t>Average</t>
        </is>
      </c>
      <c r="H2220" t="n">
        <v>23.3</v>
      </c>
      <c r="I2220">
        <f>B2220&amp;"~"&amp;F2220&amp;"~"&amp;G2220</f>
        <v/>
      </c>
      <c r="J2220" t="inlineStr">
        <is>
          <t>MVS Sec.17 p.24</t>
        </is>
      </c>
    </row>
    <row r="2221">
      <c r="B2221" t="inlineStr">
        <is>
          <t>Feed Handling and Mixing Shed Building</t>
        </is>
      </c>
      <c r="C2221" t="inlineStr">
        <is>
          <t>180</t>
        </is>
      </c>
      <c r="D2221" t="inlineStr">
        <is>
          <t>17</t>
        </is>
      </c>
      <c r="E2221" t="inlineStr">
        <is>
          <t>24</t>
        </is>
      </c>
      <c r="F2221" t="inlineStr">
        <is>
          <t>DPOLE</t>
        </is>
      </c>
      <c r="G2221" t="inlineStr">
        <is>
          <t>Average</t>
        </is>
      </c>
      <c r="H2221" t="n">
        <v>19.8</v>
      </c>
      <c r="I2221">
        <f>B2221&amp;"~"&amp;F2221&amp;"~"&amp;G2221</f>
        <v/>
      </c>
      <c r="J2221" t="inlineStr">
        <is>
          <t>MVS Sec.17 p.24</t>
        </is>
      </c>
    </row>
    <row r="2222">
      <c r="B2222" t="inlineStr">
        <is>
          <t>Feed Handling and Mixing Shed Building</t>
        </is>
      </c>
      <c r="C2222" t="inlineStr">
        <is>
          <t>180</t>
        </is>
      </c>
      <c r="D2222" t="inlineStr">
        <is>
          <t>17</t>
        </is>
      </c>
      <c r="E2222" t="inlineStr">
        <is>
          <t>24</t>
        </is>
      </c>
      <c r="F2222" t="inlineStr">
        <is>
          <t>S</t>
        </is>
      </c>
      <c r="G2222" t="inlineStr">
        <is>
          <t>Average</t>
        </is>
      </c>
      <c r="H2222" t="n">
        <v>22.65</v>
      </c>
      <c r="I2222">
        <f>B2222&amp;"~"&amp;F2222&amp;"~"&amp;G2222</f>
        <v/>
      </c>
      <c r="J2222" t="inlineStr">
        <is>
          <t>MVS Sec.17 p.24</t>
        </is>
      </c>
    </row>
    <row r="2223">
      <c r="B2223" t="inlineStr">
        <is>
          <t>Cotton Gins</t>
        </is>
      </c>
      <c r="C2223" t="inlineStr">
        <is>
          <t>450</t>
        </is>
      </c>
      <c r="D2223" t="inlineStr">
        <is>
          <t>17</t>
        </is>
      </c>
      <c r="E2223" t="inlineStr">
        <is>
          <t>24</t>
        </is>
      </c>
      <c r="F2223" t="inlineStr">
        <is>
          <t>S</t>
        </is>
      </c>
      <c r="G2223" t="inlineStr">
        <is>
          <t>Average</t>
        </is>
      </c>
      <c r="H2223" t="n">
        <v>98</v>
      </c>
      <c r="I2223">
        <f>B2223&amp;"~"&amp;F2223&amp;"~"&amp;G2223</f>
        <v/>
      </c>
      <c r="J2223" t="inlineStr">
        <is>
          <t>MVS Sec.17 p.24</t>
        </is>
      </c>
    </row>
    <row r="2224">
      <c r="B2224" t="inlineStr">
        <is>
          <t>Cotton Gins</t>
        </is>
      </c>
      <c r="C2224" t="inlineStr">
        <is>
          <t>450</t>
        </is>
      </c>
      <c r="D2224" t="inlineStr">
        <is>
          <t>17</t>
        </is>
      </c>
      <c r="E2224" t="inlineStr">
        <is>
          <t>24</t>
        </is>
      </c>
      <c r="F2224" t="inlineStr">
        <is>
          <t>S</t>
        </is>
      </c>
      <c r="G2224" t="inlineStr">
        <is>
          <t>Low Cost</t>
        </is>
      </c>
      <c r="H2224" t="n">
        <v>72.5</v>
      </c>
      <c r="I2224">
        <f>B2224&amp;"~"&amp;F2224&amp;"~"&amp;G2224</f>
        <v/>
      </c>
      <c r="J2224" t="inlineStr">
        <is>
          <t>MVS Sec.17 p.24</t>
        </is>
      </c>
    </row>
    <row r="2225">
      <c r="B2225" t="inlineStr">
        <is>
          <t>Seed Processing Storage</t>
        </is>
      </c>
      <c r="C2225" t="inlineStr">
        <is>
          <t>123</t>
        </is>
      </c>
      <c r="D2225" t="inlineStr">
        <is>
          <t>17</t>
        </is>
      </c>
      <c r="E2225" t="inlineStr">
        <is>
          <t>24</t>
        </is>
      </c>
      <c r="F2225" t="inlineStr">
        <is>
          <t>D</t>
        </is>
      </c>
      <c r="G2225" t="inlineStr">
        <is>
          <t>Average</t>
        </is>
      </c>
      <c r="H2225" t="n">
        <v>45</v>
      </c>
      <c r="I2225">
        <f>B2225&amp;"~"&amp;F2225&amp;"~"&amp;G2225</f>
        <v/>
      </c>
      <c r="J2225" t="inlineStr">
        <is>
          <t>MVS Sec.17 p.24</t>
        </is>
      </c>
    </row>
    <row r="2226">
      <c r="B2226" t="inlineStr">
        <is>
          <t>Seed Processing Storage</t>
        </is>
      </c>
      <c r="C2226" t="inlineStr">
        <is>
          <t>123</t>
        </is>
      </c>
      <c r="D2226" t="inlineStr">
        <is>
          <t>17</t>
        </is>
      </c>
      <c r="E2226" t="inlineStr">
        <is>
          <t>24</t>
        </is>
      </c>
      <c r="F2226" t="inlineStr">
        <is>
          <t>DPOLE</t>
        </is>
      </c>
      <c r="G2226" t="inlineStr">
        <is>
          <t>Average</t>
        </is>
      </c>
      <c r="H2226" t="n">
        <v>40.5</v>
      </c>
      <c r="I2226">
        <f>B2226&amp;"~"&amp;F2226&amp;"~"&amp;G2226</f>
        <v/>
      </c>
      <c r="J2226" t="inlineStr">
        <is>
          <t>MVS Sec.17 p.24</t>
        </is>
      </c>
    </row>
    <row r="2227">
      <c r="B2227" t="inlineStr">
        <is>
          <t>Seed Processing Storage</t>
        </is>
      </c>
      <c r="C2227" t="inlineStr">
        <is>
          <t>123</t>
        </is>
      </c>
      <c r="D2227" t="inlineStr">
        <is>
          <t>17</t>
        </is>
      </c>
      <c r="E2227" t="inlineStr">
        <is>
          <t>24</t>
        </is>
      </c>
      <c r="F2227" t="inlineStr">
        <is>
          <t>S</t>
        </is>
      </c>
      <c r="G2227" t="inlineStr">
        <is>
          <t>Average</t>
        </is>
      </c>
      <c r="H2227" t="n">
        <v>43.25</v>
      </c>
      <c r="I2227">
        <f>B2227&amp;"~"&amp;F2227&amp;"~"&amp;G2227</f>
        <v/>
      </c>
      <c r="J2227" t="inlineStr">
        <is>
          <t>MVS Sec.17 p.24</t>
        </is>
      </c>
    </row>
    <row r="2228">
      <c r="B2228" t="inlineStr">
        <is>
          <t>Secure Storage Modular Shed Buildings</t>
        </is>
      </c>
      <c r="C2228" t="inlineStr">
        <is>
          <t>181</t>
        </is>
      </c>
      <c r="D2228" t="inlineStr">
        <is>
          <t>17</t>
        </is>
      </c>
      <c r="E2228" t="inlineStr">
        <is>
          <t>25</t>
        </is>
      </c>
      <c r="F2228" t="inlineStr">
        <is>
          <t>C</t>
        </is>
      </c>
      <c r="G2228" t="inlineStr">
        <is>
          <t>Good</t>
        </is>
      </c>
      <c r="H2228" t="n">
        <v>102</v>
      </c>
      <c r="I2228">
        <f>B2228&amp;"~"&amp;F2228&amp;"~"&amp;G2228</f>
        <v/>
      </c>
      <c r="J2228" t="inlineStr">
        <is>
          <t>MVS Sec.17 p.25</t>
        </is>
      </c>
    </row>
    <row r="2229">
      <c r="B2229" t="inlineStr">
        <is>
          <t>Secure Storage Modular Shed Buildings</t>
        </is>
      </c>
      <c r="C2229" t="inlineStr">
        <is>
          <t>181</t>
        </is>
      </c>
      <c r="D2229" t="inlineStr">
        <is>
          <t>17</t>
        </is>
      </c>
      <c r="E2229" t="inlineStr">
        <is>
          <t>25</t>
        </is>
      </c>
      <c r="F2229" t="inlineStr">
        <is>
          <t>C</t>
        </is>
      </c>
      <c r="G2229" t="inlineStr">
        <is>
          <t>Average</t>
        </is>
      </c>
      <c r="H2229" t="n">
        <v>82</v>
      </c>
      <c r="I2229">
        <f>B2229&amp;"~"&amp;F2229&amp;"~"&amp;G2229</f>
        <v/>
      </c>
      <c r="J2229" t="inlineStr">
        <is>
          <t>MVS Sec.17 p.25</t>
        </is>
      </c>
    </row>
    <row r="2230">
      <c r="B2230" t="inlineStr">
        <is>
          <t>Secure Storage Modular Shed Buildings</t>
        </is>
      </c>
      <c r="C2230" t="inlineStr">
        <is>
          <t>181</t>
        </is>
      </c>
      <c r="D2230" t="inlineStr">
        <is>
          <t>17</t>
        </is>
      </c>
      <c r="E2230" t="inlineStr">
        <is>
          <t>25</t>
        </is>
      </c>
      <c r="F2230" t="inlineStr">
        <is>
          <t>S</t>
        </is>
      </c>
      <c r="G2230" t="inlineStr">
        <is>
          <t>Good</t>
        </is>
      </c>
      <c r="H2230" t="n">
        <v>46.75</v>
      </c>
      <c r="I2230">
        <f>B2230&amp;"~"&amp;F2230&amp;"~"&amp;G2230</f>
        <v/>
      </c>
      <c r="J2230" t="inlineStr">
        <is>
          <t>MVS Sec.17 p.25</t>
        </is>
      </c>
    </row>
    <row r="2231">
      <c r="B2231" t="inlineStr">
        <is>
          <t>Secure Storage Modular Shed Buildings</t>
        </is>
      </c>
      <c r="C2231" t="inlineStr">
        <is>
          <t>181</t>
        </is>
      </c>
      <c r="D2231" t="inlineStr">
        <is>
          <t>17</t>
        </is>
      </c>
      <c r="E2231" t="inlineStr">
        <is>
          <t>25</t>
        </is>
      </c>
      <c r="F2231" t="inlineStr">
        <is>
          <t>S</t>
        </is>
      </c>
      <c r="G2231" t="inlineStr">
        <is>
          <t>Average</t>
        </is>
      </c>
      <c r="H2231" t="n">
        <v>33.25</v>
      </c>
      <c r="I2231">
        <f>B2231&amp;"~"&amp;F2231&amp;"~"&amp;G2231</f>
        <v/>
      </c>
      <c r="J2231" t="inlineStr">
        <is>
          <t>MVS Sec.17 p.25</t>
        </is>
      </c>
    </row>
    <row r="2232">
      <c r="B2232" t="inlineStr">
        <is>
          <t>Secure Storage Modular Shed Buildings</t>
        </is>
      </c>
      <c r="C2232" t="inlineStr">
        <is>
          <t>181</t>
        </is>
      </c>
      <c r="D2232" t="inlineStr">
        <is>
          <t>17</t>
        </is>
      </c>
      <c r="E2232" t="inlineStr">
        <is>
          <t>25</t>
        </is>
      </c>
      <c r="F2232" t="inlineStr">
        <is>
          <t>S</t>
        </is>
      </c>
      <c r="G2232" t="inlineStr">
        <is>
          <t>Low Cost</t>
        </is>
      </c>
      <c r="H2232" t="n">
        <v>23.75</v>
      </c>
      <c r="I2232">
        <f>B2232&amp;"~"&amp;F2232&amp;"~"&amp;G2232</f>
        <v/>
      </c>
      <c r="J2232" t="inlineStr">
        <is>
          <t>MVS Sec.17 p.25</t>
        </is>
      </c>
    </row>
    <row r="2233">
      <c r="B2233" t="inlineStr">
        <is>
          <t>Prefabricated Storage Shed Buildings</t>
        </is>
      </c>
      <c r="C2233" t="inlineStr">
        <is>
          <t>133</t>
        </is>
      </c>
      <c r="D2233" t="inlineStr">
        <is>
          <t>17</t>
        </is>
      </c>
      <c r="E2233" t="inlineStr">
        <is>
          <t>25</t>
        </is>
      </c>
      <c r="F2233" t="inlineStr">
        <is>
          <t>D</t>
        </is>
      </c>
      <c r="G2233" t="inlineStr">
        <is>
          <t>Excellent</t>
        </is>
      </c>
      <c r="H2233" t="n">
        <v>27</v>
      </c>
      <c r="I2233">
        <f>B2233&amp;"~"&amp;F2233&amp;"~"&amp;G2233</f>
        <v/>
      </c>
      <c r="J2233" t="inlineStr">
        <is>
          <t>MVS Sec.17 p.25</t>
        </is>
      </c>
    </row>
    <row r="2234">
      <c r="B2234" t="inlineStr">
        <is>
          <t>Prefabricated Storage Shed Buildings</t>
        </is>
      </c>
      <c r="C2234" t="inlineStr">
        <is>
          <t>133</t>
        </is>
      </c>
      <c r="D2234" t="inlineStr">
        <is>
          <t>17</t>
        </is>
      </c>
      <c r="E2234" t="inlineStr">
        <is>
          <t>25</t>
        </is>
      </c>
      <c r="F2234" t="inlineStr">
        <is>
          <t>D</t>
        </is>
      </c>
      <c r="G2234" t="inlineStr">
        <is>
          <t>Good</t>
        </is>
      </c>
      <c r="H2234" t="n">
        <v>21.6</v>
      </c>
      <c r="I2234">
        <f>B2234&amp;"~"&amp;F2234&amp;"~"&amp;G2234</f>
        <v/>
      </c>
      <c r="J2234" t="inlineStr">
        <is>
          <t>MVS Sec.17 p.25</t>
        </is>
      </c>
    </row>
    <row r="2235">
      <c r="B2235" t="inlineStr">
        <is>
          <t>Prefabricated Storage Shed Buildings</t>
        </is>
      </c>
      <c r="C2235" t="inlineStr">
        <is>
          <t>133</t>
        </is>
      </c>
      <c r="D2235" t="inlineStr">
        <is>
          <t>17</t>
        </is>
      </c>
      <c r="E2235" t="inlineStr">
        <is>
          <t>25</t>
        </is>
      </c>
      <c r="F2235" t="inlineStr">
        <is>
          <t>D</t>
        </is>
      </c>
      <c r="G2235" t="inlineStr">
        <is>
          <t>Average</t>
        </is>
      </c>
      <c r="H2235" t="n">
        <v>17.25</v>
      </c>
      <c r="I2235">
        <f>B2235&amp;"~"&amp;F2235&amp;"~"&amp;G2235</f>
        <v/>
      </c>
      <c r="J2235" t="inlineStr">
        <is>
          <t>MVS Sec.17 p.25</t>
        </is>
      </c>
    </row>
    <row r="2236">
      <c r="B2236" t="inlineStr">
        <is>
          <t>Prefabricated Storage Shed Buildings</t>
        </is>
      </c>
      <c r="C2236" t="inlineStr">
        <is>
          <t>133</t>
        </is>
      </c>
      <c r="D2236" t="inlineStr">
        <is>
          <t>17</t>
        </is>
      </c>
      <c r="E2236" t="inlineStr">
        <is>
          <t>25</t>
        </is>
      </c>
      <c r="F2236" t="inlineStr">
        <is>
          <t>D</t>
        </is>
      </c>
      <c r="G2236" t="inlineStr">
        <is>
          <t>Low Cost</t>
        </is>
      </c>
      <c r="H2236" t="n">
        <v>13.8</v>
      </c>
      <c r="I2236">
        <f>B2236&amp;"~"&amp;F2236&amp;"~"&amp;G2236</f>
        <v/>
      </c>
      <c r="J2236" t="inlineStr">
        <is>
          <t>MVS Sec.17 p.25</t>
        </is>
      </c>
    </row>
    <row r="2237">
      <c r="B2237" t="inlineStr">
        <is>
          <t>Prefabricated Storage Shed Buildings</t>
        </is>
      </c>
      <c r="C2237" t="inlineStr">
        <is>
          <t>133</t>
        </is>
      </c>
      <c r="D2237" t="inlineStr">
        <is>
          <t>17</t>
        </is>
      </c>
      <c r="E2237" t="inlineStr">
        <is>
          <t>25</t>
        </is>
      </c>
      <c r="F2237" t="inlineStr">
        <is>
          <t>S</t>
        </is>
      </c>
      <c r="G2237" t="inlineStr">
        <is>
          <t>Excellent</t>
        </is>
      </c>
      <c r="H2237" t="n">
        <v>21</v>
      </c>
      <c r="I2237">
        <f>B2237&amp;"~"&amp;F2237&amp;"~"&amp;G2237</f>
        <v/>
      </c>
      <c r="J2237" t="inlineStr">
        <is>
          <t>MVS Sec.17 p.25</t>
        </is>
      </c>
    </row>
    <row r="2238">
      <c r="B2238" t="inlineStr">
        <is>
          <t>Prefabricated Storage Shed Buildings</t>
        </is>
      </c>
      <c r="C2238" t="inlineStr">
        <is>
          <t>133</t>
        </is>
      </c>
      <c r="D2238" t="inlineStr">
        <is>
          <t>17</t>
        </is>
      </c>
      <c r="E2238" t="inlineStr">
        <is>
          <t>25</t>
        </is>
      </c>
      <c r="F2238" t="inlineStr">
        <is>
          <t>S</t>
        </is>
      </c>
      <c r="G2238" t="inlineStr">
        <is>
          <t>Good</t>
        </is>
      </c>
      <c r="H2238" t="n">
        <v>15.1</v>
      </c>
      <c r="I2238">
        <f>B2238&amp;"~"&amp;F2238&amp;"~"&amp;G2238</f>
        <v/>
      </c>
      <c r="J2238" t="inlineStr">
        <is>
          <t>MVS Sec.17 p.25</t>
        </is>
      </c>
    </row>
    <row r="2239">
      <c r="B2239" t="inlineStr">
        <is>
          <t>Prefabricated Storage Shed Buildings</t>
        </is>
      </c>
      <c r="C2239" t="inlineStr">
        <is>
          <t>133</t>
        </is>
      </c>
      <c r="D2239" t="inlineStr">
        <is>
          <t>17</t>
        </is>
      </c>
      <c r="E2239" t="inlineStr">
        <is>
          <t>25</t>
        </is>
      </c>
      <c r="F2239" t="inlineStr">
        <is>
          <t>S</t>
        </is>
      </c>
      <c r="G2239" t="inlineStr">
        <is>
          <t>Average</t>
        </is>
      </c>
      <c r="H2239" t="n">
        <v>10.85</v>
      </c>
      <c r="I2239">
        <f>B2239&amp;"~"&amp;F2239&amp;"~"&amp;G2239</f>
        <v/>
      </c>
      <c r="J2239" t="inlineStr">
        <is>
          <t>MVS Sec.17 p.25</t>
        </is>
      </c>
    </row>
    <row r="2240">
      <c r="B2240" t="inlineStr">
        <is>
          <t>Prefabricated Storage Shed Buildings</t>
        </is>
      </c>
      <c r="C2240" t="inlineStr">
        <is>
          <t>133</t>
        </is>
      </c>
      <c r="D2240" t="inlineStr">
        <is>
          <t>17</t>
        </is>
      </c>
      <c r="E2240" t="inlineStr">
        <is>
          <t>25</t>
        </is>
      </c>
      <c r="F2240" t="inlineStr">
        <is>
          <t>S</t>
        </is>
      </c>
      <c r="G2240" t="inlineStr">
        <is>
          <t>Low Cost</t>
        </is>
      </c>
      <c r="H2240" t="n">
        <v>7.77</v>
      </c>
      <c r="I2240">
        <f>B2240&amp;"~"&amp;F2240&amp;"~"&amp;G2240</f>
        <v/>
      </c>
      <c r="J2240" t="inlineStr">
        <is>
          <t>MVS Sec.17 p.25</t>
        </is>
      </c>
    </row>
    <row r="2241">
      <c r="B2241" t="inlineStr">
        <is>
          <t>Corn Crib Bins</t>
        </is>
      </c>
      <c r="C2241" t="inlineStr">
        <is>
          <t>131</t>
        </is>
      </c>
      <c r="D2241" t="inlineStr">
        <is>
          <t>17</t>
        </is>
      </c>
      <c r="E2241" t="inlineStr">
        <is>
          <t>25</t>
        </is>
      </c>
      <c r="F2241" t="inlineStr">
        <is>
          <t>D</t>
        </is>
      </c>
      <c r="G2241" t="inlineStr">
        <is>
          <t>Excellent</t>
        </is>
      </c>
      <c r="H2241" t="n">
        <v>11.05</v>
      </c>
      <c r="I2241">
        <f>B2241&amp;"~"&amp;F2241&amp;"~"&amp;G2241</f>
        <v/>
      </c>
      <c r="J2241" t="inlineStr">
        <is>
          <t>MVS Sec.17 p.25</t>
        </is>
      </c>
    </row>
    <row r="2242">
      <c r="B2242" t="inlineStr">
        <is>
          <t>Corn Crib Bins</t>
        </is>
      </c>
      <c r="C2242" t="inlineStr">
        <is>
          <t>131</t>
        </is>
      </c>
      <c r="D2242" t="inlineStr">
        <is>
          <t>17</t>
        </is>
      </c>
      <c r="E2242" t="inlineStr">
        <is>
          <t>25</t>
        </is>
      </c>
      <c r="F2242" t="inlineStr">
        <is>
          <t>D</t>
        </is>
      </c>
      <c r="G2242" t="inlineStr">
        <is>
          <t>Good</t>
        </is>
      </c>
      <c r="H2242" t="n">
        <v>9.08</v>
      </c>
      <c r="I2242">
        <f>B2242&amp;"~"&amp;F2242&amp;"~"&amp;G2242</f>
        <v/>
      </c>
      <c r="J2242" t="inlineStr">
        <is>
          <t>MVS Sec.17 p.25</t>
        </is>
      </c>
    </row>
    <row r="2243">
      <c r="B2243" t="inlineStr">
        <is>
          <t>Corn Crib Bins</t>
        </is>
      </c>
      <c r="C2243" t="inlineStr">
        <is>
          <t>131</t>
        </is>
      </c>
      <c r="D2243" t="inlineStr">
        <is>
          <t>17</t>
        </is>
      </c>
      <c r="E2243" t="inlineStr">
        <is>
          <t>25</t>
        </is>
      </c>
      <c r="F2243" t="inlineStr">
        <is>
          <t>D</t>
        </is>
      </c>
      <c r="G2243" t="inlineStr">
        <is>
          <t>Average</t>
        </is>
      </c>
      <c r="H2243" t="n">
        <v>7.46</v>
      </c>
      <c r="I2243">
        <f>B2243&amp;"~"&amp;F2243&amp;"~"&amp;G2243</f>
        <v/>
      </c>
      <c r="J2243" t="inlineStr">
        <is>
          <t>MVS Sec.17 p.25</t>
        </is>
      </c>
    </row>
    <row r="2244">
      <c r="B2244" t="inlineStr">
        <is>
          <t>Corn Crib Bins</t>
        </is>
      </c>
      <c r="C2244" t="inlineStr">
        <is>
          <t>131</t>
        </is>
      </c>
      <c r="D2244" t="inlineStr">
        <is>
          <t>17</t>
        </is>
      </c>
      <c r="E2244" t="inlineStr">
        <is>
          <t>25</t>
        </is>
      </c>
      <c r="F2244" t="inlineStr">
        <is>
          <t>D</t>
        </is>
      </c>
      <c r="G2244" t="inlineStr">
        <is>
          <t>Low Cost</t>
        </is>
      </c>
      <c r="H2244" t="n">
        <v>6.1</v>
      </c>
      <c r="I2244">
        <f>B2244&amp;"~"&amp;F2244&amp;"~"&amp;G2244</f>
        <v/>
      </c>
      <c r="J2244" t="inlineStr">
        <is>
          <t>MVS Sec.17 p.25</t>
        </is>
      </c>
    </row>
    <row r="2245">
      <c r="B2245" t="inlineStr">
        <is>
          <t>Farm Utility Buildings</t>
        </is>
      </c>
      <c r="C2245" t="inlineStr">
        <is>
          <t>477</t>
        </is>
      </c>
      <c r="D2245" t="inlineStr">
        <is>
          <t>17</t>
        </is>
      </c>
      <c r="E2245" t="inlineStr">
        <is>
          <t>26</t>
        </is>
      </c>
      <c r="F2245" t="inlineStr">
        <is>
          <t>C</t>
        </is>
      </c>
      <c r="G2245" t="inlineStr">
        <is>
          <t>Good</t>
        </is>
      </c>
      <c r="H2245" t="n">
        <v>38.5</v>
      </c>
      <c r="I2245">
        <f>B2245&amp;"~"&amp;F2245&amp;"~"&amp;G2245</f>
        <v/>
      </c>
      <c r="J2245" t="inlineStr">
        <is>
          <t>MVS Sec.17 p.26</t>
        </is>
      </c>
    </row>
    <row r="2246">
      <c r="B2246" t="inlineStr">
        <is>
          <t>Farm Utility Buildings</t>
        </is>
      </c>
      <c r="C2246" t="inlineStr">
        <is>
          <t>477</t>
        </is>
      </c>
      <c r="D2246" t="inlineStr">
        <is>
          <t>17</t>
        </is>
      </c>
      <c r="E2246" t="inlineStr">
        <is>
          <t>26</t>
        </is>
      </c>
      <c r="F2246" t="inlineStr">
        <is>
          <t>C</t>
        </is>
      </c>
      <c r="G2246" t="inlineStr">
        <is>
          <t>Average</t>
        </is>
      </c>
      <c r="H2246" t="n">
        <v>27.75</v>
      </c>
      <c r="I2246">
        <f>B2246&amp;"~"&amp;F2246&amp;"~"&amp;G2246</f>
        <v/>
      </c>
      <c r="J2246" t="inlineStr">
        <is>
          <t>MVS Sec.17 p.26</t>
        </is>
      </c>
    </row>
    <row r="2247">
      <c r="B2247" t="inlineStr">
        <is>
          <t>Farm Utility Buildings</t>
        </is>
      </c>
      <c r="C2247" t="inlineStr">
        <is>
          <t>477</t>
        </is>
      </c>
      <c r="D2247" t="inlineStr">
        <is>
          <t>17</t>
        </is>
      </c>
      <c r="E2247" t="inlineStr">
        <is>
          <t>26</t>
        </is>
      </c>
      <c r="F2247" t="inlineStr">
        <is>
          <t>D</t>
        </is>
      </c>
      <c r="G2247" t="inlineStr">
        <is>
          <t>Average</t>
        </is>
      </c>
      <c r="H2247" t="n">
        <v>19.45</v>
      </c>
      <c r="I2247">
        <f>B2247&amp;"~"&amp;F2247&amp;"~"&amp;G2247</f>
        <v/>
      </c>
      <c r="J2247" t="inlineStr">
        <is>
          <t>MVS Sec.17 p.26</t>
        </is>
      </c>
    </row>
    <row r="2248">
      <c r="B2248" t="inlineStr">
        <is>
          <t>Farm Utility Buildings</t>
        </is>
      </c>
      <c r="C2248" t="inlineStr">
        <is>
          <t>477</t>
        </is>
      </c>
      <c r="D2248" t="inlineStr">
        <is>
          <t>17</t>
        </is>
      </c>
      <c r="E2248" t="inlineStr">
        <is>
          <t>26</t>
        </is>
      </c>
      <c r="F2248" t="inlineStr">
        <is>
          <t>D</t>
        </is>
      </c>
      <c r="G2248" t="inlineStr">
        <is>
          <t>Low Cost</t>
        </is>
      </c>
      <c r="H2248" t="n">
        <v>12.5</v>
      </c>
      <c r="I2248">
        <f>B2248&amp;"~"&amp;F2248&amp;"~"&amp;G2248</f>
        <v/>
      </c>
      <c r="J2248" t="inlineStr">
        <is>
          <t>MVS Sec.17 p.26</t>
        </is>
      </c>
    </row>
    <row r="2249">
      <c r="B2249" t="inlineStr">
        <is>
          <t>Farm Utility Buildings</t>
        </is>
      </c>
      <c r="C2249" t="inlineStr">
        <is>
          <t>477</t>
        </is>
      </c>
      <c r="D2249" t="inlineStr">
        <is>
          <t>17</t>
        </is>
      </c>
      <c r="E2249" t="inlineStr">
        <is>
          <t>26</t>
        </is>
      </c>
      <c r="F2249" t="inlineStr">
        <is>
          <t>DPOLE</t>
        </is>
      </c>
      <c r="G2249" t="inlineStr">
        <is>
          <t>Average</t>
        </is>
      </c>
      <c r="H2249" t="n">
        <v>15.7</v>
      </c>
      <c r="I2249">
        <f>B2249&amp;"~"&amp;F2249&amp;"~"&amp;G2249</f>
        <v/>
      </c>
      <c r="J2249" t="inlineStr">
        <is>
          <t>MVS Sec.17 p.26</t>
        </is>
      </c>
    </row>
    <row r="2250">
      <c r="B2250" t="inlineStr">
        <is>
          <t>Farm Utility Buildings</t>
        </is>
      </c>
      <c r="C2250" t="inlineStr">
        <is>
          <t>477</t>
        </is>
      </c>
      <c r="D2250" t="inlineStr">
        <is>
          <t>17</t>
        </is>
      </c>
      <c r="E2250" t="inlineStr">
        <is>
          <t>26</t>
        </is>
      </c>
      <c r="F2250" t="inlineStr">
        <is>
          <t>DPOLE</t>
        </is>
      </c>
      <c r="G2250" t="inlineStr">
        <is>
          <t>Low Cost</t>
        </is>
      </c>
      <c r="H2250" t="n">
        <v>9.19</v>
      </c>
      <c r="I2250">
        <f>B2250&amp;"~"&amp;F2250&amp;"~"&amp;G2250</f>
        <v/>
      </c>
      <c r="J2250" t="inlineStr">
        <is>
          <t>MVS Sec.17 p.26</t>
        </is>
      </c>
    </row>
    <row r="2251">
      <c r="B2251" t="inlineStr">
        <is>
          <t>Farm Utility Buildings</t>
        </is>
      </c>
      <c r="C2251" t="inlineStr">
        <is>
          <t>477</t>
        </is>
      </c>
      <c r="D2251" t="inlineStr">
        <is>
          <t>17</t>
        </is>
      </c>
      <c r="E2251" t="inlineStr">
        <is>
          <t>26</t>
        </is>
      </c>
      <c r="F2251" t="inlineStr">
        <is>
          <t>S</t>
        </is>
      </c>
      <c r="G2251" t="inlineStr">
        <is>
          <t>Average</t>
        </is>
      </c>
      <c r="H2251" t="n">
        <v>18.8</v>
      </c>
      <c r="I2251">
        <f>B2251&amp;"~"&amp;F2251&amp;"~"&amp;G2251</f>
        <v/>
      </c>
      <c r="J2251" t="inlineStr">
        <is>
          <t>MVS Sec.17 p.26</t>
        </is>
      </c>
    </row>
    <row r="2252">
      <c r="B2252" t="inlineStr">
        <is>
          <t>Farm Utility Buildings</t>
        </is>
      </c>
      <c r="C2252" t="inlineStr">
        <is>
          <t>477</t>
        </is>
      </c>
      <c r="D2252" t="inlineStr">
        <is>
          <t>17</t>
        </is>
      </c>
      <c r="E2252" t="inlineStr">
        <is>
          <t>26</t>
        </is>
      </c>
      <c r="F2252" t="inlineStr">
        <is>
          <t>S</t>
        </is>
      </c>
      <c r="G2252" t="inlineStr">
        <is>
          <t>Low Cost</t>
        </is>
      </c>
      <c r="H2252" t="n">
        <v>11.75</v>
      </c>
      <c r="I2252">
        <f>B2252&amp;"~"&amp;F2252&amp;"~"&amp;G2252</f>
        <v/>
      </c>
      <c r="J2252" t="inlineStr">
        <is>
          <t>MVS Sec.17 p.26</t>
        </is>
      </c>
    </row>
    <row r="2253">
      <c r="B2253" t="inlineStr">
        <is>
          <t>Farm Utility Buildings</t>
        </is>
      </c>
      <c r="C2253" t="inlineStr">
        <is>
          <t>477</t>
        </is>
      </c>
      <c r="D2253" t="inlineStr">
        <is>
          <t>17</t>
        </is>
      </c>
      <c r="E2253" t="inlineStr">
        <is>
          <t>26</t>
        </is>
      </c>
      <c r="F2253" t="inlineStr">
        <is>
          <t>SSLANT</t>
        </is>
      </c>
      <c r="G2253" t="inlineStr">
        <is>
          <t>Average</t>
        </is>
      </c>
      <c r="H2253" t="n">
        <v>17.4</v>
      </c>
      <c r="I2253">
        <f>B2253&amp;"~"&amp;F2253&amp;"~"&amp;G2253</f>
        <v/>
      </c>
      <c r="J2253" t="inlineStr">
        <is>
          <t>MVS Sec.17 p.26</t>
        </is>
      </c>
    </row>
    <row r="2254">
      <c r="B2254" t="inlineStr">
        <is>
          <t>Farm Utility Buildings</t>
        </is>
      </c>
      <c r="C2254" t="inlineStr">
        <is>
          <t>477</t>
        </is>
      </c>
      <c r="D2254" t="inlineStr">
        <is>
          <t>17</t>
        </is>
      </c>
      <c r="E2254" t="inlineStr">
        <is>
          <t>26</t>
        </is>
      </c>
      <c r="F2254" t="inlineStr">
        <is>
          <t>SSLANT</t>
        </is>
      </c>
      <c r="G2254" t="inlineStr">
        <is>
          <t>Low Cost</t>
        </is>
      </c>
      <c r="H2254" t="n">
        <v>10.8</v>
      </c>
      <c r="I2254">
        <f>B2254&amp;"~"&amp;F2254&amp;"~"&amp;G2254</f>
        <v/>
      </c>
      <c r="J2254" t="inlineStr">
        <is>
          <t>MVS Sec.17 p.26</t>
        </is>
      </c>
    </row>
    <row r="2255">
      <c r="B2255" t="inlineStr">
        <is>
          <t>Arch-Rib (Quonset) Farm Utility Buildings</t>
        </is>
      </c>
      <c r="C2255" t="inlineStr">
        <is>
          <t>557</t>
        </is>
      </c>
      <c r="D2255" t="inlineStr">
        <is>
          <t>17</t>
        </is>
      </c>
      <c r="E2255" t="inlineStr">
        <is>
          <t>26</t>
        </is>
      </c>
      <c r="F2255" t="inlineStr">
        <is>
          <t>D</t>
        </is>
      </c>
      <c r="G2255" t="inlineStr">
        <is>
          <t>Good</t>
        </is>
      </c>
      <c r="H2255" t="n">
        <v>36.5</v>
      </c>
      <c r="I2255">
        <f>B2255&amp;"~"&amp;F2255&amp;"~"&amp;G2255</f>
        <v/>
      </c>
      <c r="J2255" t="inlineStr">
        <is>
          <t>MVS Sec.17 p.26</t>
        </is>
      </c>
    </row>
    <row r="2256">
      <c r="B2256" t="inlineStr">
        <is>
          <t>Arch-Rib (Quonset) Farm Utility Buildings</t>
        </is>
      </c>
      <c r="C2256" t="inlineStr">
        <is>
          <t>557</t>
        </is>
      </c>
      <c r="D2256" t="inlineStr">
        <is>
          <t>17</t>
        </is>
      </c>
      <c r="E2256" t="inlineStr">
        <is>
          <t>26</t>
        </is>
      </c>
      <c r="F2256" t="inlineStr">
        <is>
          <t>D</t>
        </is>
      </c>
      <c r="G2256" t="inlineStr">
        <is>
          <t>Average</t>
        </is>
      </c>
      <c r="H2256" t="n">
        <v>21.45</v>
      </c>
      <c r="I2256">
        <f>B2256&amp;"~"&amp;F2256&amp;"~"&amp;G2256</f>
        <v/>
      </c>
      <c r="J2256" t="inlineStr">
        <is>
          <t>MVS Sec.17 p.26</t>
        </is>
      </c>
    </row>
    <row r="2257">
      <c r="B2257" t="inlineStr">
        <is>
          <t>Arch-Rib (Quonset) Farm Utility Buildings</t>
        </is>
      </c>
      <c r="C2257" t="inlineStr">
        <is>
          <t>557</t>
        </is>
      </c>
      <c r="D2257" t="inlineStr">
        <is>
          <t>17</t>
        </is>
      </c>
      <c r="E2257" t="inlineStr">
        <is>
          <t>26</t>
        </is>
      </c>
      <c r="F2257" t="inlineStr">
        <is>
          <t>D</t>
        </is>
      </c>
      <c r="G2257" t="inlineStr">
        <is>
          <t>Low Cost</t>
        </is>
      </c>
      <c r="H2257" t="n">
        <v>12.6</v>
      </c>
      <c r="I2257">
        <f>B2257&amp;"~"&amp;F2257&amp;"~"&amp;G2257</f>
        <v/>
      </c>
      <c r="J2257" t="inlineStr">
        <is>
          <t>MVS Sec.17 p.26</t>
        </is>
      </c>
    </row>
    <row r="2258">
      <c r="B2258" t="inlineStr">
        <is>
          <t>Arch-Rib (Quonset) Farm Utility Buildings</t>
        </is>
      </c>
      <c r="C2258" t="inlineStr">
        <is>
          <t>557</t>
        </is>
      </c>
      <c r="D2258" t="inlineStr">
        <is>
          <t>17</t>
        </is>
      </c>
      <c r="E2258" t="inlineStr">
        <is>
          <t>26</t>
        </is>
      </c>
      <c r="F2258" t="inlineStr">
        <is>
          <t>DPOLE</t>
        </is>
      </c>
      <c r="G2258" t="inlineStr">
        <is>
          <t>Good</t>
        </is>
      </c>
      <c r="H2258" t="n">
        <v>34.5</v>
      </c>
      <c r="I2258">
        <f>B2258&amp;"~"&amp;F2258&amp;"~"&amp;G2258</f>
        <v/>
      </c>
      <c r="J2258" t="inlineStr">
        <is>
          <t>MVS Sec.17 p.26</t>
        </is>
      </c>
    </row>
    <row r="2259">
      <c r="B2259" t="inlineStr">
        <is>
          <t>Arch-Rib (Quonset) Farm Utility Buildings</t>
        </is>
      </c>
      <c r="C2259" t="inlineStr">
        <is>
          <t>557</t>
        </is>
      </c>
      <c r="D2259" t="inlineStr">
        <is>
          <t>17</t>
        </is>
      </c>
      <c r="E2259" t="inlineStr">
        <is>
          <t>26</t>
        </is>
      </c>
      <c r="F2259" t="inlineStr">
        <is>
          <t>DPOLE</t>
        </is>
      </c>
      <c r="G2259" t="inlineStr">
        <is>
          <t>Average</t>
        </is>
      </c>
      <c r="H2259" t="n">
        <v>20.05</v>
      </c>
      <c r="I2259">
        <f>B2259&amp;"~"&amp;F2259&amp;"~"&amp;G2259</f>
        <v/>
      </c>
      <c r="J2259" t="inlineStr">
        <is>
          <t>MVS Sec.17 p.26</t>
        </is>
      </c>
    </row>
    <row r="2260">
      <c r="B2260" t="inlineStr">
        <is>
          <t>Arch-Rib (Quonset) Farm Utility Buildings</t>
        </is>
      </c>
      <c r="C2260" t="inlineStr">
        <is>
          <t>557</t>
        </is>
      </c>
      <c r="D2260" t="inlineStr">
        <is>
          <t>17</t>
        </is>
      </c>
      <c r="E2260" t="inlineStr">
        <is>
          <t>26</t>
        </is>
      </c>
      <c r="F2260" t="inlineStr">
        <is>
          <t>DPOLE</t>
        </is>
      </c>
      <c r="G2260" t="inlineStr">
        <is>
          <t>Low Cost</t>
        </is>
      </c>
      <c r="H2260" t="n">
        <v>11.65</v>
      </c>
      <c r="I2260">
        <f>B2260&amp;"~"&amp;F2260&amp;"~"&amp;G2260</f>
        <v/>
      </c>
      <c r="J2260" t="inlineStr">
        <is>
          <t>MVS Sec.17 p.26</t>
        </is>
      </c>
    </row>
    <row r="2261">
      <c r="B2261" t="inlineStr">
        <is>
          <t>Arch-Rib (Quonset) Farm Utility Buildings</t>
        </is>
      </c>
      <c r="C2261" t="inlineStr">
        <is>
          <t>557</t>
        </is>
      </c>
      <c r="D2261" t="inlineStr">
        <is>
          <t>17</t>
        </is>
      </c>
      <c r="E2261" t="inlineStr">
        <is>
          <t>26</t>
        </is>
      </c>
      <c r="F2261" t="inlineStr">
        <is>
          <t>DHOOP</t>
        </is>
      </c>
      <c r="G2261" t="inlineStr">
        <is>
          <t>Average</t>
        </is>
      </c>
      <c r="H2261" t="n">
        <v>14.15</v>
      </c>
      <c r="I2261">
        <f>B2261&amp;"~"&amp;F2261&amp;"~"&amp;G2261</f>
        <v/>
      </c>
      <c r="J2261" t="inlineStr">
        <is>
          <t>MVS Sec.17 p.26</t>
        </is>
      </c>
    </row>
    <row r="2262">
      <c r="B2262" t="inlineStr">
        <is>
          <t>Arch-Rib (Quonset) Farm Utility Buildings</t>
        </is>
      </c>
      <c r="C2262" t="inlineStr">
        <is>
          <t>557</t>
        </is>
      </c>
      <c r="D2262" t="inlineStr">
        <is>
          <t>17</t>
        </is>
      </c>
      <c r="E2262" t="inlineStr">
        <is>
          <t>26</t>
        </is>
      </c>
      <c r="F2262" t="inlineStr">
        <is>
          <t>DHOOP</t>
        </is>
      </c>
      <c r="G2262" t="inlineStr">
        <is>
          <t>Low Cost</t>
        </is>
      </c>
      <c r="H2262" t="n">
        <v>8.85</v>
      </c>
      <c r="I2262">
        <f>B2262&amp;"~"&amp;F2262&amp;"~"&amp;G2262</f>
        <v/>
      </c>
      <c r="J2262" t="inlineStr">
        <is>
          <t>MVS Sec.17 p.26</t>
        </is>
      </c>
    </row>
    <row r="2263">
      <c r="B2263" t="inlineStr">
        <is>
          <t>Arch-Rib (Quonset) Farm Utility Buildings</t>
        </is>
      </c>
      <c r="C2263" t="inlineStr">
        <is>
          <t>557</t>
        </is>
      </c>
      <c r="D2263" t="inlineStr">
        <is>
          <t>17</t>
        </is>
      </c>
      <c r="E2263" t="inlineStr">
        <is>
          <t>26</t>
        </is>
      </c>
      <c r="F2263" t="inlineStr">
        <is>
          <t>S</t>
        </is>
      </c>
      <c r="G2263" t="inlineStr">
        <is>
          <t>Good</t>
        </is>
      </c>
      <c r="H2263" t="n">
        <v>35</v>
      </c>
      <c r="I2263">
        <f>B2263&amp;"~"&amp;F2263&amp;"~"&amp;G2263</f>
        <v/>
      </c>
      <c r="J2263" t="inlineStr">
        <is>
          <t>MVS Sec.17 p.26</t>
        </is>
      </c>
    </row>
    <row r="2264">
      <c r="B2264" t="inlineStr">
        <is>
          <t>Arch-Rib (Quonset) Farm Utility Buildings</t>
        </is>
      </c>
      <c r="C2264" t="inlineStr">
        <is>
          <t>557</t>
        </is>
      </c>
      <c r="D2264" t="inlineStr">
        <is>
          <t>17</t>
        </is>
      </c>
      <c r="E2264" t="inlineStr">
        <is>
          <t>26</t>
        </is>
      </c>
      <c r="F2264" t="inlineStr">
        <is>
          <t>S</t>
        </is>
      </c>
      <c r="G2264" t="inlineStr">
        <is>
          <t>Average</t>
        </is>
      </c>
      <c r="H2264" t="n">
        <v>20.45</v>
      </c>
      <c r="I2264">
        <f>B2264&amp;"~"&amp;F2264&amp;"~"&amp;G2264</f>
        <v/>
      </c>
      <c r="J2264" t="inlineStr">
        <is>
          <t>MVS Sec.17 p.26</t>
        </is>
      </c>
    </row>
    <row r="2265">
      <c r="B2265" t="inlineStr">
        <is>
          <t>Arch-Rib (Quonset) Farm Utility Buildings</t>
        </is>
      </c>
      <c r="C2265" t="inlineStr">
        <is>
          <t>557</t>
        </is>
      </c>
      <c r="D2265" t="inlineStr">
        <is>
          <t>17</t>
        </is>
      </c>
      <c r="E2265" t="inlineStr">
        <is>
          <t>26</t>
        </is>
      </c>
      <c r="F2265" t="inlineStr">
        <is>
          <t>WALL</t>
        </is>
      </c>
      <c r="G2265" t="inlineStr">
        <is>
          <t>Low Cost</t>
        </is>
      </c>
      <c r="H2265" t="n">
        <v>11.95</v>
      </c>
      <c r="I2265">
        <f>B2265&amp;"~"&amp;F2265&amp;"~"&amp;G2265</f>
        <v/>
      </c>
      <c r="J2265" t="inlineStr">
        <is>
          <t>MVS Sec.17 p.26</t>
        </is>
      </c>
    </row>
    <row r="2266">
      <c r="B2266" t="inlineStr">
        <is>
          <t>Farm Utility/Grain Storage (Granary) Buildings</t>
        </is>
      </c>
      <c r="C2266" t="inlineStr">
        <is>
          <t>421</t>
        </is>
      </c>
      <c r="D2266" t="inlineStr">
        <is>
          <t>17</t>
        </is>
      </c>
      <c r="E2266" t="inlineStr">
        <is>
          <t>27</t>
        </is>
      </c>
      <c r="F2266" t="inlineStr">
        <is>
          <t>D</t>
        </is>
      </c>
      <c r="G2266" t="inlineStr">
        <is>
          <t>Very Good</t>
        </is>
      </c>
      <c r="H2266" t="n">
        <v>33</v>
      </c>
      <c r="I2266">
        <f>B2266&amp;"~"&amp;F2266&amp;"~"&amp;G2266</f>
        <v/>
      </c>
      <c r="J2266" t="inlineStr">
        <is>
          <t>MVS Sec.17 p.27</t>
        </is>
      </c>
    </row>
    <row r="2267">
      <c r="B2267" t="inlineStr">
        <is>
          <t>Farm Utility/Grain Storage (Granary) Buildings</t>
        </is>
      </c>
      <c r="C2267" t="inlineStr">
        <is>
          <t>421</t>
        </is>
      </c>
      <c r="D2267" t="inlineStr">
        <is>
          <t>17</t>
        </is>
      </c>
      <c r="E2267" t="inlineStr">
        <is>
          <t>27</t>
        </is>
      </c>
      <c r="F2267" t="inlineStr">
        <is>
          <t>D</t>
        </is>
      </c>
      <c r="G2267" t="inlineStr">
        <is>
          <t>Good</t>
        </is>
      </c>
      <c r="H2267" t="n">
        <v>30.5</v>
      </c>
      <c r="I2267">
        <f>B2267&amp;"~"&amp;F2267&amp;"~"&amp;G2267</f>
        <v/>
      </c>
      <c r="J2267" t="inlineStr">
        <is>
          <t>MVS Sec.17 p.27</t>
        </is>
      </c>
    </row>
    <row r="2268">
      <c r="B2268" t="inlineStr">
        <is>
          <t>Farm Utility/Grain Storage (Granary) Buildings</t>
        </is>
      </c>
      <c r="C2268" t="inlineStr">
        <is>
          <t>421</t>
        </is>
      </c>
      <c r="D2268" t="inlineStr">
        <is>
          <t>17</t>
        </is>
      </c>
      <c r="E2268" t="inlineStr">
        <is>
          <t>27</t>
        </is>
      </c>
      <c r="F2268" t="inlineStr">
        <is>
          <t>DPOLE</t>
        </is>
      </c>
      <c r="G2268" t="inlineStr">
        <is>
          <t>Very Good</t>
        </is>
      </c>
      <c r="H2268" t="n">
        <v>29.25</v>
      </c>
      <c r="I2268">
        <f>B2268&amp;"~"&amp;F2268&amp;"~"&amp;G2268</f>
        <v/>
      </c>
      <c r="J2268" t="inlineStr">
        <is>
          <t>MVS Sec.17 p.27</t>
        </is>
      </c>
    </row>
    <row r="2269">
      <c r="B2269" t="inlineStr">
        <is>
          <t>Farm Utility/Grain Storage (Granary) Buildings</t>
        </is>
      </c>
      <c r="C2269" t="inlineStr">
        <is>
          <t>421</t>
        </is>
      </c>
      <c r="D2269" t="inlineStr">
        <is>
          <t>17</t>
        </is>
      </c>
      <c r="E2269" t="inlineStr">
        <is>
          <t>27</t>
        </is>
      </c>
      <c r="F2269" t="inlineStr">
        <is>
          <t>DPOLE</t>
        </is>
      </c>
      <c r="G2269" t="inlineStr">
        <is>
          <t>Good</t>
        </is>
      </c>
      <c r="H2269" t="n">
        <v>27</v>
      </c>
      <c r="I2269">
        <f>B2269&amp;"~"&amp;F2269&amp;"~"&amp;G2269</f>
        <v/>
      </c>
      <c r="J2269" t="inlineStr">
        <is>
          <t>MVS Sec.17 p.27</t>
        </is>
      </c>
    </row>
    <row r="2270">
      <c r="B2270" t="inlineStr">
        <is>
          <t>Farm Utility/Grain Storage (Granary) Buildings</t>
        </is>
      </c>
      <c r="C2270" t="inlineStr">
        <is>
          <t>421</t>
        </is>
      </c>
      <c r="D2270" t="inlineStr">
        <is>
          <t>17</t>
        </is>
      </c>
      <c r="E2270" t="inlineStr">
        <is>
          <t>27</t>
        </is>
      </c>
      <c r="F2270" t="inlineStr">
        <is>
          <t>DHOOP</t>
        </is>
      </c>
      <c r="G2270" t="inlineStr">
        <is>
          <t>Good</t>
        </is>
      </c>
      <c r="H2270" t="n">
        <v>22.75</v>
      </c>
      <c r="I2270">
        <f>B2270&amp;"~"&amp;F2270&amp;"~"&amp;G2270</f>
        <v/>
      </c>
      <c r="J2270" t="inlineStr">
        <is>
          <t>MVS Sec.17 p.27</t>
        </is>
      </c>
    </row>
    <row r="2271">
      <c r="B2271" t="inlineStr">
        <is>
          <t>Farm Utility/Grain Storage (Granary) Buildings</t>
        </is>
      </c>
      <c r="C2271" t="inlineStr">
        <is>
          <t>421</t>
        </is>
      </c>
      <c r="D2271" t="inlineStr">
        <is>
          <t>17</t>
        </is>
      </c>
      <c r="E2271" t="inlineStr">
        <is>
          <t>27</t>
        </is>
      </c>
      <c r="F2271" t="inlineStr">
        <is>
          <t>S</t>
        </is>
      </c>
      <c r="G2271" t="inlineStr">
        <is>
          <t>Good</t>
        </is>
      </c>
      <c r="H2271" t="n">
        <v>30.25</v>
      </c>
      <c r="I2271">
        <f>B2271&amp;"~"&amp;F2271&amp;"~"&amp;G2271</f>
        <v/>
      </c>
      <c r="J2271" t="inlineStr">
        <is>
          <t>MVS Sec.17 p.27</t>
        </is>
      </c>
    </row>
    <row r="2272">
      <c r="B2272" t="inlineStr">
        <is>
          <t>Farm Utility/Grain Storage (Granary) Buildings</t>
        </is>
      </c>
      <c r="C2272" t="inlineStr">
        <is>
          <t>421</t>
        </is>
      </c>
      <c r="D2272" t="inlineStr">
        <is>
          <t>17</t>
        </is>
      </c>
      <c r="E2272" t="inlineStr">
        <is>
          <t>27</t>
        </is>
      </c>
      <c r="F2272" t="inlineStr">
        <is>
          <t>SSLANT</t>
        </is>
      </c>
      <c r="G2272" t="inlineStr">
        <is>
          <t>Good</t>
        </is>
      </c>
      <c r="H2272" t="n">
        <v>28.25</v>
      </c>
      <c r="I2272">
        <f>B2272&amp;"~"&amp;F2272&amp;"~"&amp;G2272</f>
        <v/>
      </c>
      <c r="J2272" t="inlineStr">
        <is>
          <t>MVS Sec.17 p.27</t>
        </is>
      </c>
    </row>
    <row r="2273">
      <c r="B2273" t="inlineStr">
        <is>
          <t>Farm Utility Storage Sheds</t>
        </is>
      </c>
      <c r="C2273" t="inlineStr">
        <is>
          <t>479</t>
        </is>
      </c>
      <c r="D2273" t="inlineStr">
        <is>
          <t>17</t>
        </is>
      </c>
      <c r="E2273" t="inlineStr">
        <is>
          <t>27</t>
        </is>
      </c>
      <c r="F2273" t="inlineStr">
        <is>
          <t>C</t>
        </is>
      </c>
      <c r="G2273" t="inlineStr">
        <is>
          <t>Low Cost</t>
        </is>
      </c>
      <c r="H2273" t="n">
        <v>16.9</v>
      </c>
      <c r="I2273">
        <f>B2273&amp;"~"&amp;F2273&amp;"~"&amp;G2273</f>
        <v/>
      </c>
      <c r="J2273" t="inlineStr">
        <is>
          <t>MVS Sec.17 p.27</t>
        </is>
      </c>
    </row>
    <row r="2274">
      <c r="B2274" t="inlineStr">
        <is>
          <t>Farm Utility Storage Sheds</t>
        </is>
      </c>
      <c r="C2274" t="inlineStr">
        <is>
          <t>479</t>
        </is>
      </c>
      <c r="D2274" t="inlineStr">
        <is>
          <t>17</t>
        </is>
      </c>
      <c r="E2274" t="inlineStr">
        <is>
          <t>27</t>
        </is>
      </c>
      <c r="F2274" t="inlineStr">
        <is>
          <t>D</t>
        </is>
      </c>
      <c r="G2274" t="inlineStr">
        <is>
          <t>Good</t>
        </is>
      </c>
      <c r="H2274" t="n">
        <v>12</v>
      </c>
      <c r="I2274">
        <f>B2274&amp;"~"&amp;F2274&amp;"~"&amp;G2274</f>
        <v/>
      </c>
      <c r="J2274" t="inlineStr">
        <is>
          <t>MVS Sec.17 p.27</t>
        </is>
      </c>
    </row>
    <row r="2275">
      <c r="B2275" t="inlineStr">
        <is>
          <t>Farm Utility Storage Sheds</t>
        </is>
      </c>
      <c r="C2275" t="inlineStr">
        <is>
          <t>479</t>
        </is>
      </c>
      <c r="D2275" t="inlineStr">
        <is>
          <t>17</t>
        </is>
      </c>
      <c r="E2275" t="inlineStr">
        <is>
          <t>27</t>
        </is>
      </c>
      <c r="F2275" t="inlineStr">
        <is>
          <t>D</t>
        </is>
      </c>
      <c r="G2275" t="inlineStr">
        <is>
          <t>Average</t>
        </is>
      </c>
      <c r="H2275" t="n">
        <v>10.75</v>
      </c>
      <c r="I2275">
        <f>B2275&amp;"~"&amp;F2275&amp;"~"&amp;G2275</f>
        <v/>
      </c>
      <c r="J2275" t="inlineStr">
        <is>
          <t>MVS Sec.17 p.27</t>
        </is>
      </c>
    </row>
    <row r="2276">
      <c r="B2276" t="inlineStr">
        <is>
          <t>Farm Utility Storage Sheds</t>
        </is>
      </c>
      <c r="C2276" t="inlineStr">
        <is>
          <t>479</t>
        </is>
      </c>
      <c r="D2276" t="inlineStr">
        <is>
          <t>17</t>
        </is>
      </c>
      <c r="E2276" t="inlineStr">
        <is>
          <t>27</t>
        </is>
      </c>
      <c r="F2276" t="inlineStr">
        <is>
          <t>D</t>
        </is>
      </c>
      <c r="G2276" t="inlineStr">
        <is>
          <t>Low Cost</t>
        </is>
      </c>
      <c r="H2276" t="n">
        <v>9.640000000000001</v>
      </c>
      <c r="I2276">
        <f>B2276&amp;"~"&amp;F2276&amp;"~"&amp;G2276</f>
        <v/>
      </c>
      <c r="J2276" t="inlineStr">
        <is>
          <t>MVS Sec.17 p.27</t>
        </is>
      </c>
    </row>
    <row r="2277">
      <c r="B2277" t="inlineStr">
        <is>
          <t>Farm Utility Storage Sheds</t>
        </is>
      </c>
      <c r="C2277" t="inlineStr">
        <is>
          <t>479</t>
        </is>
      </c>
      <c r="D2277" t="inlineStr">
        <is>
          <t>17</t>
        </is>
      </c>
      <c r="E2277" t="inlineStr">
        <is>
          <t>27</t>
        </is>
      </c>
      <c r="F2277" t="inlineStr">
        <is>
          <t>DPOLE</t>
        </is>
      </c>
      <c r="G2277" t="inlineStr">
        <is>
          <t>Low Cost</t>
        </is>
      </c>
      <c r="H2277" t="n">
        <v>8.02</v>
      </c>
      <c r="I2277">
        <f>B2277&amp;"~"&amp;F2277&amp;"~"&amp;G2277</f>
        <v/>
      </c>
      <c r="J2277" t="inlineStr">
        <is>
          <t>MVS Sec.17 p.27</t>
        </is>
      </c>
    </row>
    <row r="2278">
      <c r="B2278" t="inlineStr">
        <is>
          <t>Farm Utility Storage Sheds</t>
        </is>
      </c>
      <c r="C2278" t="inlineStr">
        <is>
          <t>479</t>
        </is>
      </c>
      <c r="D2278" t="inlineStr">
        <is>
          <t>17</t>
        </is>
      </c>
      <c r="E2278" t="inlineStr">
        <is>
          <t>27</t>
        </is>
      </c>
      <c r="F2278" t="inlineStr">
        <is>
          <t>S</t>
        </is>
      </c>
      <c r="G2278" t="inlineStr">
        <is>
          <t>Low Cost</t>
        </is>
      </c>
      <c r="H2278" t="n">
        <v>10.5</v>
      </c>
      <c r="I2278">
        <f>B2278&amp;"~"&amp;F2278&amp;"~"&amp;G2278</f>
        <v/>
      </c>
      <c r="J2278" t="inlineStr">
        <is>
          <t>MVS Sec.17 p.27</t>
        </is>
      </c>
    </row>
    <row r="2279">
      <c r="B2279" t="inlineStr">
        <is>
          <t>Farm Utility Storage Sheds</t>
        </is>
      </c>
      <c r="C2279" t="inlineStr">
        <is>
          <t>479</t>
        </is>
      </c>
      <c r="D2279" t="inlineStr">
        <is>
          <t>17</t>
        </is>
      </c>
      <c r="E2279" t="inlineStr">
        <is>
          <t>27</t>
        </is>
      </c>
      <c r="F2279" t="inlineStr">
        <is>
          <t>SSLANT</t>
        </is>
      </c>
      <c r="G2279" t="inlineStr">
        <is>
          <t>Low Cost</t>
        </is>
      </c>
      <c r="H2279" t="n">
        <v>9.630000000000001</v>
      </c>
      <c r="I2279">
        <f>B2279&amp;"~"&amp;F2279&amp;"~"&amp;G2279</f>
        <v/>
      </c>
      <c r="J2279" t="inlineStr">
        <is>
          <t>MVS Sec.17 p.27</t>
        </is>
      </c>
    </row>
    <row r="2280">
      <c r="B2280" t="inlineStr">
        <is>
          <t>Farm Utility Lean-Tos</t>
        </is>
      </c>
      <c r="C2280" t="inlineStr">
        <is>
          <t>124</t>
        </is>
      </c>
      <c r="D2280" t="inlineStr">
        <is>
          <t>17</t>
        </is>
      </c>
      <c r="E2280" t="inlineStr">
        <is>
          <t>27</t>
        </is>
      </c>
      <c r="F2280" t="inlineStr">
        <is>
          <t>D</t>
        </is>
      </c>
      <c r="G2280" t="inlineStr">
        <is>
          <t>Good</t>
        </is>
      </c>
      <c r="H2280" t="n">
        <v>17.6</v>
      </c>
      <c r="I2280">
        <f>B2280&amp;"~"&amp;F2280&amp;"~"&amp;G2280</f>
        <v/>
      </c>
      <c r="J2280" t="inlineStr">
        <is>
          <t>MVS Sec.17 p.27</t>
        </is>
      </c>
    </row>
    <row r="2281">
      <c r="B2281" t="inlineStr">
        <is>
          <t>Farm Utility Lean-Tos</t>
        </is>
      </c>
      <c r="C2281" t="inlineStr">
        <is>
          <t>124</t>
        </is>
      </c>
      <c r="D2281" t="inlineStr">
        <is>
          <t>17</t>
        </is>
      </c>
      <c r="E2281" t="inlineStr">
        <is>
          <t>27</t>
        </is>
      </c>
      <c r="F2281" t="inlineStr">
        <is>
          <t>D</t>
        </is>
      </c>
      <c r="G2281" t="inlineStr">
        <is>
          <t>Average</t>
        </is>
      </c>
      <c r="H2281" t="n">
        <v>12.4</v>
      </c>
      <c r="I2281">
        <f>B2281&amp;"~"&amp;F2281&amp;"~"&amp;G2281</f>
        <v/>
      </c>
      <c r="J2281" t="inlineStr">
        <is>
          <t>MVS Sec.17 p.27</t>
        </is>
      </c>
    </row>
    <row r="2282">
      <c r="B2282" t="inlineStr">
        <is>
          <t>Farm Utility Lean-Tos</t>
        </is>
      </c>
      <c r="C2282" t="inlineStr">
        <is>
          <t>124</t>
        </is>
      </c>
      <c r="D2282" t="inlineStr">
        <is>
          <t>17</t>
        </is>
      </c>
      <c r="E2282" t="inlineStr">
        <is>
          <t>27</t>
        </is>
      </c>
      <c r="F2282" t="inlineStr">
        <is>
          <t>D</t>
        </is>
      </c>
      <c r="G2282" t="inlineStr">
        <is>
          <t>Low Cost</t>
        </is>
      </c>
      <c r="H2282" t="n">
        <v>8.720000000000001</v>
      </c>
      <c r="I2282">
        <f>B2282&amp;"~"&amp;F2282&amp;"~"&amp;G2282</f>
        <v/>
      </c>
      <c r="J2282" t="inlineStr">
        <is>
          <t>MVS Sec.17 p.27</t>
        </is>
      </c>
    </row>
    <row r="2283">
      <c r="B2283" t="inlineStr">
        <is>
          <t>Farm Utility Lean-Tos</t>
        </is>
      </c>
      <c r="C2283" t="inlineStr">
        <is>
          <t>124</t>
        </is>
      </c>
      <c r="D2283" t="inlineStr">
        <is>
          <t>17</t>
        </is>
      </c>
      <c r="E2283" t="inlineStr">
        <is>
          <t>27</t>
        </is>
      </c>
      <c r="F2283" t="inlineStr">
        <is>
          <t>DPOLE</t>
        </is>
      </c>
      <c r="G2283" t="inlineStr">
        <is>
          <t>Good</t>
        </is>
      </c>
      <c r="H2283" t="n">
        <v>15.4</v>
      </c>
      <c r="I2283">
        <f>B2283&amp;"~"&amp;F2283&amp;"~"&amp;G2283</f>
        <v/>
      </c>
      <c r="J2283" t="inlineStr">
        <is>
          <t>MVS Sec.17 p.27</t>
        </is>
      </c>
    </row>
    <row r="2284">
      <c r="B2284" t="inlineStr">
        <is>
          <t>Farm Utility Lean-Tos</t>
        </is>
      </c>
      <c r="C2284" t="inlineStr">
        <is>
          <t>124</t>
        </is>
      </c>
      <c r="D2284" t="inlineStr">
        <is>
          <t>17</t>
        </is>
      </c>
      <c r="E2284" t="inlineStr">
        <is>
          <t>27</t>
        </is>
      </c>
      <c r="F2284" t="inlineStr">
        <is>
          <t>DPOLE</t>
        </is>
      </c>
      <c r="G2284" t="inlineStr">
        <is>
          <t>Average</t>
        </is>
      </c>
      <c r="H2284" t="n">
        <v>10.9</v>
      </c>
      <c r="I2284">
        <f>B2284&amp;"~"&amp;F2284&amp;"~"&amp;G2284</f>
        <v/>
      </c>
      <c r="J2284" t="inlineStr">
        <is>
          <t>MVS Sec.17 p.27</t>
        </is>
      </c>
    </row>
    <row r="2285">
      <c r="B2285" t="inlineStr">
        <is>
          <t>Farm Utility Lean-Tos</t>
        </is>
      </c>
      <c r="C2285" t="inlineStr">
        <is>
          <t>124</t>
        </is>
      </c>
      <c r="D2285" t="inlineStr">
        <is>
          <t>17</t>
        </is>
      </c>
      <c r="E2285" t="inlineStr">
        <is>
          <t>27</t>
        </is>
      </c>
      <c r="F2285" t="inlineStr">
        <is>
          <t>DPOLE</t>
        </is>
      </c>
      <c r="G2285" t="inlineStr">
        <is>
          <t>Low Cost</t>
        </is>
      </c>
      <c r="H2285" t="n">
        <v>7.69</v>
      </c>
      <c r="I2285">
        <f>B2285&amp;"~"&amp;F2285&amp;"~"&amp;G2285</f>
        <v/>
      </c>
      <c r="J2285" t="inlineStr">
        <is>
          <t>MVS Sec.17 p.27</t>
        </is>
      </c>
    </row>
    <row r="2286">
      <c r="B2286" t="inlineStr">
        <is>
          <t>Farm Utility Lean-Tos</t>
        </is>
      </c>
      <c r="C2286" t="inlineStr">
        <is>
          <t>124</t>
        </is>
      </c>
      <c r="D2286" t="inlineStr">
        <is>
          <t>17</t>
        </is>
      </c>
      <c r="E2286" t="inlineStr">
        <is>
          <t>27</t>
        </is>
      </c>
      <c r="F2286" t="inlineStr">
        <is>
          <t>S</t>
        </is>
      </c>
      <c r="G2286" t="inlineStr">
        <is>
          <t>Good</t>
        </is>
      </c>
      <c r="H2286" t="n">
        <v>17.05</v>
      </c>
      <c r="I2286">
        <f>B2286&amp;"~"&amp;F2286&amp;"~"&amp;G2286</f>
        <v/>
      </c>
      <c r="J2286" t="inlineStr">
        <is>
          <t>MVS Sec.17 p.27</t>
        </is>
      </c>
    </row>
    <row r="2287">
      <c r="B2287" t="inlineStr">
        <is>
          <t>Farm Utility Lean-Tos</t>
        </is>
      </c>
      <c r="C2287" t="inlineStr">
        <is>
          <t>124</t>
        </is>
      </c>
      <c r="D2287" t="inlineStr">
        <is>
          <t>17</t>
        </is>
      </c>
      <c r="E2287" t="inlineStr">
        <is>
          <t>27</t>
        </is>
      </c>
      <c r="F2287" t="inlineStr">
        <is>
          <t>S</t>
        </is>
      </c>
      <c r="G2287" t="inlineStr">
        <is>
          <t>Average</t>
        </is>
      </c>
      <c r="H2287" t="n">
        <v>12.5</v>
      </c>
      <c r="I2287">
        <f>B2287&amp;"~"&amp;F2287&amp;"~"&amp;G2287</f>
        <v/>
      </c>
      <c r="J2287" t="inlineStr">
        <is>
          <t>MVS Sec.17 p.27</t>
        </is>
      </c>
    </row>
    <row r="2288">
      <c r="B2288" t="inlineStr">
        <is>
          <t>Farm Utility Lean-Tos</t>
        </is>
      </c>
      <c r="C2288" t="inlineStr">
        <is>
          <t>124</t>
        </is>
      </c>
      <c r="D2288" t="inlineStr">
        <is>
          <t>17</t>
        </is>
      </c>
      <c r="E2288" t="inlineStr">
        <is>
          <t>27</t>
        </is>
      </c>
      <c r="F2288" t="inlineStr">
        <is>
          <t>S</t>
        </is>
      </c>
      <c r="G2288" t="inlineStr">
        <is>
          <t>Low Cost</t>
        </is>
      </c>
      <c r="H2288" t="n">
        <v>9.19</v>
      </c>
      <c r="I2288">
        <f>B2288&amp;"~"&amp;F2288&amp;"~"&amp;G2288</f>
        <v/>
      </c>
      <c r="J2288" t="inlineStr">
        <is>
          <t>MVS Sec.17 p.27</t>
        </is>
      </c>
    </row>
    <row r="2289">
      <c r="B2289" t="inlineStr">
        <is>
          <t>Farm Commodity Storage Sheds</t>
        </is>
      </c>
      <c r="C2289" t="inlineStr">
        <is>
          <t>562</t>
        </is>
      </c>
      <c r="D2289" t="inlineStr">
        <is>
          <t>17</t>
        </is>
      </c>
      <c r="E2289" t="inlineStr">
        <is>
          <t>28</t>
        </is>
      </c>
      <c r="F2289" t="inlineStr">
        <is>
          <t>C</t>
        </is>
      </c>
      <c r="G2289" t="inlineStr">
        <is>
          <t>Average</t>
        </is>
      </c>
      <c r="H2289" t="n">
        <v>24.35</v>
      </c>
      <c r="I2289">
        <f>B2289&amp;"~"&amp;F2289&amp;"~"&amp;G2289</f>
        <v/>
      </c>
      <c r="J2289" t="inlineStr">
        <is>
          <t>MVS Sec.17 p.28</t>
        </is>
      </c>
    </row>
    <row r="2290">
      <c r="B2290" t="inlineStr">
        <is>
          <t>Farm Commodity Storage Sheds</t>
        </is>
      </c>
      <c r="C2290" t="inlineStr">
        <is>
          <t>562</t>
        </is>
      </c>
      <c r="D2290" t="inlineStr">
        <is>
          <t>17</t>
        </is>
      </c>
      <c r="E2290" t="inlineStr">
        <is>
          <t>28</t>
        </is>
      </c>
      <c r="F2290" t="inlineStr">
        <is>
          <t>D</t>
        </is>
      </c>
      <c r="G2290" t="inlineStr">
        <is>
          <t>Average</t>
        </is>
      </c>
      <c r="H2290" t="n">
        <v>17.5</v>
      </c>
      <c r="I2290">
        <f>B2290&amp;"~"&amp;F2290&amp;"~"&amp;G2290</f>
        <v/>
      </c>
      <c r="J2290" t="inlineStr">
        <is>
          <t>MVS Sec.17 p.28</t>
        </is>
      </c>
    </row>
    <row r="2291">
      <c r="B2291" t="inlineStr">
        <is>
          <t>Farm Commodity Storage Sheds</t>
        </is>
      </c>
      <c r="C2291" t="inlineStr">
        <is>
          <t>562</t>
        </is>
      </c>
      <c r="D2291" t="inlineStr">
        <is>
          <t>17</t>
        </is>
      </c>
      <c r="E2291" t="inlineStr">
        <is>
          <t>28</t>
        </is>
      </c>
      <c r="F2291" t="inlineStr">
        <is>
          <t>DPOLE</t>
        </is>
      </c>
      <c r="G2291" t="inlineStr">
        <is>
          <t>Average</t>
        </is>
      </c>
      <c r="H2291" t="n">
        <v>16.1</v>
      </c>
      <c r="I2291">
        <f>B2291&amp;"~"&amp;F2291&amp;"~"&amp;G2291</f>
        <v/>
      </c>
      <c r="J2291" t="inlineStr">
        <is>
          <t>MVS Sec.17 p.28</t>
        </is>
      </c>
    </row>
    <row r="2292">
      <c r="B2292" t="inlineStr">
        <is>
          <t>Farm Commodity Storage Sheds</t>
        </is>
      </c>
      <c r="C2292" t="inlineStr">
        <is>
          <t>562</t>
        </is>
      </c>
      <c r="D2292" t="inlineStr">
        <is>
          <t>17</t>
        </is>
      </c>
      <c r="E2292" t="inlineStr">
        <is>
          <t>28</t>
        </is>
      </c>
      <c r="F2292" t="inlineStr">
        <is>
          <t>S</t>
        </is>
      </c>
      <c r="G2292" t="inlineStr">
        <is>
          <t>Average</t>
        </is>
      </c>
      <c r="H2292" t="n">
        <v>18.5</v>
      </c>
      <c r="I2292">
        <f>B2292&amp;"~"&amp;F2292&amp;"~"&amp;G2292</f>
        <v/>
      </c>
      <c r="J2292" t="inlineStr">
        <is>
          <t>MVS Sec.17 p.28</t>
        </is>
      </c>
    </row>
    <row r="2293">
      <c r="B2293" t="inlineStr">
        <is>
          <t>Corn Crib Buildings – Spaced Boards</t>
        </is>
      </c>
      <c r="C2293" t="inlineStr">
        <is>
          <t>107</t>
        </is>
      </c>
      <c r="D2293" t="inlineStr">
        <is>
          <t>17</t>
        </is>
      </c>
      <c r="E2293" t="inlineStr">
        <is>
          <t>28</t>
        </is>
      </c>
      <c r="F2293" t="inlineStr">
        <is>
          <t>D</t>
        </is>
      </c>
      <c r="G2293" t="inlineStr">
        <is>
          <t>Good</t>
        </is>
      </c>
      <c r="H2293" t="n">
        <v>25.75</v>
      </c>
      <c r="I2293">
        <f>B2293&amp;"~"&amp;F2293&amp;"~"&amp;G2293</f>
        <v/>
      </c>
      <c r="J2293" t="inlineStr">
        <is>
          <t>MVS Sec.17 p.28</t>
        </is>
      </c>
    </row>
    <row r="2294">
      <c r="B2294" t="inlineStr">
        <is>
          <t>Corn Crib Buildings – Spaced Boards</t>
        </is>
      </c>
      <c r="C2294" t="inlineStr">
        <is>
          <t>107</t>
        </is>
      </c>
      <c r="D2294" t="inlineStr">
        <is>
          <t>17</t>
        </is>
      </c>
      <c r="E2294" t="inlineStr">
        <is>
          <t>28</t>
        </is>
      </c>
      <c r="F2294" t="inlineStr">
        <is>
          <t>D</t>
        </is>
      </c>
      <c r="G2294" t="inlineStr">
        <is>
          <t>Average</t>
        </is>
      </c>
      <c r="H2294" t="n">
        <v>24.2</v>
      </c>
      <c r="I2294">
        <f>B2294&amp;"~"&amp;F2294&amp;"~"&amp;G2294</f>
        <v/>
      </c>
      <c r="J2294" t="inlineStr">
        <is>
          <t>MVS Sec.17 p.28</t>
        </is>
      </c>
    </row>
    <row r="2295">
      <c r="B2295" t="inlineStr">
        <is>
          <t>Corn Crib Buildings – Wire Mesh</t>
        </is>
      </c>
      <c r="C2295" t="inlineStr">
        <is>
          <t>108</t>
        </is>
      </c>
      <c r="D2295" t="inlineStr">
        <is>
          <t>17</t>
        </is>
      </c>
      <c r="E2295" t="inlineStr">
        <is>
          <t>28</t>
        </is>
      </c>
      <c r="F2295" t="inlineStr">
        <is>
          <t>D</t>
        </is>
      </c>
      <c r="G2295" t="inlineStr">
        <is>
          <t>Good</t>
        </is>
      </c>
      <c r="H2295" t="n">
        <v>23.7</v>
      </c>
      <c r="I2295">
        <f>B2295&amp;"~"&amp;F2295&amp;"~"&amp;G2295</f>
        <v/>
      </c>
      <c r="J2295" t="inlineStr">
        <is>
          <t>MVS Sec.17 p.28</t>
        </is>
      </c>
    </row>
    <row r="2296">
      <c r="B2296" t="inlineStr">
        <is>
          <t>Corn Crib Buildings – Wire Mesh</t>
        </is>
      </c>
      <c r="C2296" t="inlineStr">
        <is>
          <t>108</t>
        </is>
      </c>
      <c r="D2296" t="inlineStr">
        <is>
          <t>17</t>
        </is>
      </c>
      <c r="E2296" t="inlineStr">
        <is>
          <t>28</t>
        </is>
      </c>
      <c r="F2296" t="inlineStr">
        <is>
          <t>D</t>
        </is>
      </c>
      <c r="G2296" t="inlineStr">
        <is>
          <t>Average</t>
        </is>
      </c>
      <c r="H2296" t="n">
        <v>22.1</v>
      </c>
      <c r="I2296">
        <f>B2296&amp;"~"&amp;F2296&amp;"~"&amp;G2296</f>
        <v/>
      </c>
      <c r="J2296" t="inlineStr">
        <is>
          <t>MVS Sec.17 p.28</t>
        </is>
      </c>
    </row>
    <row r="2297">
      <c r="B2297" t="inlineStr">
        <is>
          <t>Farm Implement (Equipment Shop) Buildings</t>
        </is>
      </c>
      <c r="C2297" t="inlineStr">
        <is>
          <t>476</t>
        </is>
      </c>
      <c r="D2297" t="inlineStr">
        <is>
          <t>17</t>
        </is>
      </c>
      <c r="E2297" t="inlineStr">
        <is>
          <t>28</t>
        </is>
      </c>
      <c r="F2297" t="inlineStr">
        <is>
          <t>C</t>
        </is>
      </c>
      <c r="G2297" t="inlineStr">
        <is>
          <t>Good</t>
        </is>
      </c>
      <c r="H2297" t="n">
        <v>40</v>
      </c>
      <c r="I2297">
        <f>B2297&amp;"~"&amp;F2297&amp;"~"&amp;G2297</f>
        <v/>
      </c>
      <c r="J2297" t="inlineStr">
        <is>
          <t>MVS Sec.17 p.28</t>
        </is>
      </c>
    </row>
    <row r="2298">
      <c r="B2298" t="inlineStr">
        <is>
          <t>Farm Implement (Equipment Shop) Buildings</t>
        </is>
      </c>
      <c r="C2298" t="inlineStr">
        <is>
          <t>476</t>
        </is>
      </c>
      <c r="D2298" t="inlineStr">
        <is>
          <t>17</t>
        </is>
      </c>
      <c r="E2298" t="inlineStr">
        <is>
          <t>28</t>
        </is>
      </c>
      <c r="F2298" t="inlineStr">
        <is>
          <t>C</t>
        </is>
      </c>
      <c r="G2298" t="inlineStr">
        <is>
          <t>Average</t>
        </is>
      </c>
      <c r="H2298" t="n">
        <v>31.25</v>
      </c>
      <c r="I2298">
        <f>B2298&amp;"~"&amp;F2298&amp;"~"&amp;G2298</f>
        <v/>
      </c>
      <c r="J2298" t="inlineStr">
        <is>
          <t>MVS Sec.17 p.28</t>
        </is>
      </c>
    </row>
    <row r="2299">
      <c r="B2299" t="inlineStr">
        <is>
          <t>Farm Implement (Equipment Shop) Buildings</t>
        </is>
      </c>
      <c r="C2299" t="inlineStr">
        <is>
          <t>476</t>
        </is>
      </c>
      <c r="D2299" t="inlineStr">
        <is>
          <t>17</t>
        </is>
      </c>
      <c r="E2299" t="inlineStr">
        <is>
          <t>28</t>
        </is>
      </c>
      <c r="F2299" t="inlineStr">
        <is>
          <t>D</t>
        </is>
      </c>
      <c r="G2299" t="inlineStr">
        <is>
          <t>Good</t>
        </is>
      </c>
      <c r="H2299" t="n">
        <v>32.25</v>
      </c>
      <c r="I2299">
        <f>B2299&amp;"~"&amp;F2299&amp;"~"&amp;G2299</f>
        <v/>
      </c>
      <c r="J2299" t="inlineStr">
        <is>
          <t>MVS Sec.17 p.28</t>
        </is>
      </c>
    </row>
    <row r="2300">
      <c r="B2300" t="inlineStr">
        <is>
          <t>Farm Implement (Equipment Shop) Buildings</t>
        </is>
      </c>
      <c r="C2300" t="inlineStr">
        <is>
          <t>476</t>
        </is>
      </c>
      <c r="D2300" t="inlineStr">
        <is>
          <t>17</t>
        </is>
      </c>
      <c r="E2300" t="inlineStr">
        <is>
          <t>28</t>
        </is>
      </c>
      <c r="F2300" t="inlineStr">
        <is>
          <t>D</t>
        </is>
      </c>
      <c r="G2300" t="inlineStr">
        <is>
          <t>Average</t>
        </is>
      </c>
      <c r="H2300" t="n">
        <v>22.8</v>
      </c>
      <c r="I2300">
        <f>B2300&amp;"~"&amp;F2300&amp;"~"&amp;G2300</f>
        <v/>
      </c>
      <c r="J2300" t="inlineStr">
        <is>
          <t>MVS Sec.17 p.28</t>
        </is>
      </c>
    </row>
    <row r="2301">
      <c r="B2301" t="inlineStr">
        <is>
          <t>Farm Implement (Equipment Shop) Buildings</t>
        </is>
      </c>
      <c r="C2301" t="inlineStr">
        <is>
          <t>476</t>
        </is>
      </c>
      <c r="D2301" t="inlineStr">
        <is>
          <t>17</t>
        </is>
      </c>
      <c r="E2301" t="inlineStr">
        <is>
          <t>28</t>
        </is>
      </c>
      <c r="F2301" t="inlineStr">
        <is>
          <t>DPOLE</t>
        </is>
      </c>
      <c r="G2301" t="inlineStr">
        <is>
          <t>Good</t>
        </is>
      </c>
      <c r="H2301" t="n">
        <v>29</v>
      </c>
      <c r="I2301">
        <f>B2301&amp;"~"&amp;F2301&amp;"~"&amp;G2301</f>
        <v/>
      </c>
      <c r="J2301" t="inlineStr">
        <is>
          <t>MVS Sec.17 p.28</t>
        </is>
      </c>
    </row>
    <row r="2302">
      <c r="B2302" t="inlineStr">
        <is>
          <t>Farm Implement (Equipment Shop) Buildings</t>
        </is>
      </c>
      <c r="C2302" t="inlineStr">
        <is>
          <t>476</t>
        </is>
      </c>
      <c r="D2302" t="inlineStr">
        <is>
          <t>17</t>
        </is>
      </c>
      <c r="E2302" t="inlineStr">
        <is>
          <t>28</t>
        </is>
      </c>
      <c r="F2302" t="inlineStr">
        <is>
          <t>DPOLE</t>
        </is>
      </c>
      <c r="G2302" t="inlineStr">
        <is>
          <t>Average</t>
        </is>
      </c>
      <c r="H2302" t="n">
        <v>19.95</v>
      </c>
      <c r="I2302">
        <f>B2302&amp;"~"&amp;F2302&amp;"~"&amp;G2302</f>
        <v/>
      </c>
      <c r="J2302" t="inlineStr">
        <is>
          <t>MVS Sec.17 p.28</t>
        </is>
      </c>
    </row>
    <row r="2303">
      <c r="B2303" t="inlineStr">
        <is>
          <t>Farm Implement (Equipment Shop) Buildings</t>
        </is>
      </c>
      <c r="C2303" t="inlineStr">
        <is>
          <t>476</t>
        </is>
      </c>
      <c r="D2303" t="inlineStr">
        <is>
          <t>17</t>
        </is>
      </c>
      <c r="E2303" t="inlineStr">
        <is>
          <t>28</t>
        </is>
      </c>
      <c r="F2303" t="inlineStr">
        <is>
          <t>DPOLE</t>
        </is>
      </c>
      <c r="G2303" t="inlineStr">
        <is>
          <t>Low Cost</t>
        </is>
      </c>
      <c r="H2303" t="n">
        <v>13.8</v>
      </c>
      <c r="I2303">
        <f>B2303&amp;"~"&amp;F2303&amp;"~"&amp;G2303</f>
        <v/>
      </c>
      <c r="J2303" t="inlineStr">
        <is>
          <t>MVS Sec.17 p.28</t>
        </is>
      </c>
    </row>
    <row r="2304">
      <c r="B2304" t="inlineStr">
        <is>
          <t>Farm Implement (Equipment Shop) Buildings</t>
        </is>
      </c>
      <c r="C2304" t="inlineStr">
        <is>
          <t>476</t>
        </is>
      </c>
      <c r="D2304" t="inlineStr">
        <is>
          <t>17</t>
        </is>
      </c>
      <c r="E2304" t="inlineStr">
        <is>
          <t>28</t>
        </is>
      </c>
      <c r="F2304" t="inlineStr">
        <is>
          <t>S</t>
        </is>
      </c>
      <c r="G2304" t="inlineStr">
        <is>
          <t>Good</t>
        </is>
      </c>
      <c r="H2304" t="n">
        <v>32</v>
      </c>
      <c r="I2304">
        <f>B2304&amp;"~"&amp;F2304&amp;"~"&amp;G2304</f>
        <v/>
      </c>
      <c r="J2304" t="inlineStr">
        <is>
          <t>MVS Sec.17 p.28</t>
        </is>
      </c>
    </row>
    <row r="2305">
      <c r="B2305" t="inlineStr">
        <is>
          <t>Farm Implement (Equipment Shop) Buildings</t>
        </is>
      </c>
      <c r="C2305" t="inlineStr">
        <is>
          <t>476</t>
        </is>
      </c>
      <c r="D2305" t="inlineStr">
        <is>
          <t>17</t>
        </is>
      </c>
      <c r="E2305" t="inlineStr">
        <is>
          <t>28</t>
        </is>
      </c>
      <c r="F2305" t="inlineStr">
        <is>
          <t>S</t>
        </is>
      </c>
      <c r="G2305" t="inlineStr">
        <is>
          <t>Average</t>
        </is>
      </c>
      <c r="H2305" t="n">
        <v>22.7</v>
      </c>
      <c r="I2305">
        <f>B2305&amp;"~"&amp;F2305&amp;"~"&amp;G2305</f>
        <v/>
      </c>
      <c r="J2305" t="inlineStr">
        <is>
          <t>MVS Sec.17 p.28</t>
        </is>
      </c>
    </row>
    <row r="2306">
      <c r="B2306" t="inlineStr">
        <is>
          <t>Farm Implement (Equipment Shop) Buildings</t>
        </is>
      </c>
      <c r="C2306" t="inlineStr">
        <is>
          <t>476</t>
        </is>
      </c>
      <c r="D2306" t="inlineStr">
        <is>
          <t>17</t>
        </is>
      </c>
      <c r="E2306" t="inlineStr">
        <is>
          <t>28</t>
        </is>
      </c>
      <c r="F2306" t="inlineStr">
        <is>
          <t>S</t>
        </is>
      </c>
      <c r="G2306" t="inlineStr">
        <is>
          <t>Low Cost</t>
        </is>
      </c>
      <c r="H2306" t="n">
        <v>16.2</v>
      </c>
      <c r="I2306">
        <f>B2306&amp;"~"&amp;F2306&amp;"~"&amp;G2306</f>
        <v/>
      </c>
      <c r="J2306" t="inlineStr">
        <is>
          <t>MVS Sec.17 p.28</t>
        </is>
      </c>
    </row>
    <row r="2307">
      <c r="B2307" t="inlineStr">
        <is>
          <t>Farm Implement (Equipment Shop) Buildings</t>
        </is>
      </c>
      <c r="C2307" t="inlineStr">
        <is>
          <t>476</t>
        </is>
      </c>
      <c r="D2307" t="inlineStr">
        <is>
          <t>17</t>
        </is>
      </c>
      <c r="E2307" t="inlineStr">
        <is>
          <t>28</t>
        </is>
      </c>
      <c r="F2307" t="inlineStr">
        <is>
          <t>SSLANT</t>
        </is>
      </c>
      <c r="G2307" t="inlineStr">
        <is>
          <t>Good</t>
        </is>
      </c>
      <c r="H2307" t="n">
        <v>30</v>
      </c>
      <c r="I2307">
        <f>B2307&amp;"~"&amp;F2307&amp;"~"&amp;G2307</f>
        <v/>
      </c>
      <c r="J2307" t="inlineStr">
        <is>
          <t>MVS Sec.17 p.28</t>
        </is>
      </c>
    </row>
    <row r="2308">
      <c r="B2308" t="inlineStr">
        <is>
          <t>Farm Implement (Equipment Shop) Buildings</t>
        </is>
      </c>
      <c r="C2308" t="inlineStr">
        <is>
          <t>476</t>
        </is>
      </c>
      <c r="D2308" t="inlineStr">
        <is>
          <t>17</t>
        </is>
      </c>
      <c r="E2308" t="inlineStr">
        <is>
          <t>28</t>
        </is>
      </c>
      <c r="F2308" t="inlineStr">
        <is>
          <t>SSLANT</t>
        </is>
      </c>
      <c r="G2308" t="inlineStr">
        <is>
          <t>Average</t>
        </is>
      </c>
      <c r="H2308" t="n">
        <v>21.25</v>
      </c>
      <c r="I2308">
        <f>B2308&amp;"~"&amp;F2308&amp;"~"&amp;G2308</f>
        <v/>
      </c>
      <c r="J2308" t="inlineStr">
        <is>
          <t>MVS Sec.17 p.28</t>
        </is>
      </c>
    </row>
    <row r="2309">
      <c r="B2309" t="inlineStr">
        <is>
          <t>Farm Implement (Equipment Shop) Buildings</t>
        </is>
      </c>
      <c r="C2309" t="inlineStr">
        <is>
          <t>476</t>
        </is>
      </c>
      <c r="D2309" t="inlineStr">
        <is>
          <t>17</t>
        </is>
      </c>
      <c r="E2309" t="inlineStr">
        <is>
          <t>28</t>
        </is>
      </c>
      <c r="F2309" t="inlineStr">
        <is>
          <t>SSLANT</t>
        </is>
      </c>
      <c r="G2309" t="inlineStr">
        <is>
          <t>Low Cost</t>
        </is>
      </c>
      <c r="H2309" t="n">
        <v>15.1</v>
      </c>
      <c r="I2309">
        <f>B2309&amp;"~"&amp;F2309&amp;"~"&amp;G2309</f>
        <v/>
      </c>
      <c r="J2309" t="inlineStr">
        <is>
          <t>MVS Sec.17 p.28</t>
        </is>
      </c>
    </row>
    <row r="2310">
      <c r="B2310" t="inlineStr">
        <is>
          <t>Arch-Rib (Quonset) Farm Implement Buildings</t>
        </is>
      </c>
      <c r="C2310" t="inlineStr">
        <is>
          <t>558</t>
        </is>
      </c>
      <c r="D2310" t="inlineStr">
        <is>
          <t>17</t>
        </is>
      </c>
      <c r="E2310" t="inlineStr">
        <is>
          <t>29</t>
        </is>
      </c>
      <c r="F2310" t="inlineStr">
        <is>
          <t>D</t>
        </is>
      </c>
      <c r="G2310" t="inlineStr">
        <is>
          <t>Good</t>
        </is>
      </c>
      <c r="H2310" t="n">
        <v>37.75</v>
      </c>
      <c r="I2310">
        <f>B2310&amp;"~"&amp;F2310&amp;"~"&amp;G2310</f>
        <v/>
      </c>
      <c r="J2310" t="inlineStr">
        <is>
          <t>MVS Sec.17 p.29</t>
        </is>
      </c>
    </row>
    <row r="2311">
      <c r="B2311" t="inlineStr">
        <is>
          <t>Arch-Rib (Quonset) Farm Implement Buildings</t>
        </is>
      </c>
      <c r="C2311" t="inlineStr">
        <is>
          <t>558</t>
        </is>
      </c>
      <c r="D2311" t="inlineStr">
        <is>
          <t>17</t>
        </is>
      </c>
      <c r="E2311" t="inlineStr">
        <is>
          <t>29</t>
        </is>
      </c>
      <c r="F2311" t="inlineStr">
        <is>
          <t>D</t>
        </is>
      </c>
      <c r="G2311" t="inlineStr">
        <is>
          <t>Average</t>
        </is>
      </c>
      <c r="H2311" t="n">
        <v>28.75</v>
      </c>
      <c r="I2311">
        <f>B2311&amp;"~"&amp;F2311&amp;"~"&amp;G2311</f>
        <v/>
      </c>
      <c r="J2311" t="inlineStr">
        <is>
          <t>MVS Sec.17 p.29</t>
        </is>
      </c>
    </row>
    <row r="2312">
      <c r="B2312" t="inlineStr">
        <is>
          <t>Arch-Rib (Quonset) Farm Implement Buildings</t>
        </is>
      </c>
      <c r="C2312" t="inlineStr">
        <is>
          <t>558</t>
        </is>
      </c>
      <c r="D2312" t="inlineStr">
        <is>
          <t>17</t>
        </is>
      </c>
      <c r="E2312" t="inlineStr">
        <is>
          <t>29</t>
        </is>
      </c>
      <c r="F2312" t="inlineStr">
        <is>
          <t>DPOLE</t>
        </is>
      </c>
      <c r="G2312" t="inlineStr">
        <is>
          <t>Good</t>
        </is>
      </c>
      <c r="H2312" t="n">
        <v>36</v>
      </c>
      <c r="I2312">
        <f>B2312&amp;"~"&amp;F2312&amp;"~"&amp;G2312</f>
        <v/>
      </c>
      <c r="J2312" t="inlineStr">
        <is>
          <t>MVS Sec.17 p.29</t>
        </is>
      </c>
    </row>
    <row r="2313">
      <c r="B2313" t="inlineStr">
        <is>
          <t>Arch-Rib (Quonset) Farm Implement Buildings</t>
        </is>
      </c>
      <c r="C2313" t="inlineStr">
        <is>
          <t>558</t>
        </is>
      </c>
      <c r="D2313" t="inlineStr">
        <is>
          <t>17</t>
        </is>
      </c>
      <c r="E2313" t="inlineStr">
        <is>
          <t>29</t>
        </is>
      </c>
      <c r="F2313" t="inlineStr">
        <is>
          <t>DPOLE</t>
        </is>
      </c>
      <c r="G2313" t="inlineStr">
        <is>
          <t>Average</t>
        </is>
      </c>
      <c r="H2313" t="n">
        <v>27</v>
      </c>
      <c r="I2313">
        <f>B2313&amp;"~"&amp;F2313&amp;"~"&amp;G2313</f>
        <v/>
      </c>
      <c r="J2313" t="inlineStr">
        <is>
          <t>MVS Sec.17 p.29</t>
        </is>
      </c>
    </row>
    <row r="2314">
      <c r="B2314" t="inlineStr">
        <is>
          <t>Arch-Rib (Quonset) Farm Implement Buildings</t>
        </is>
      </c>
      <c r="C2314" t="inlineStr">
        <is>
          <t>558</t>
        </is>
      </c>
      <c r="D2314" t="inlineStr">
        <is>
          <t>17</t>
        </is>
      </c>
      <c r="E2314" t="inlineStr">
        <is>
          <t>29</t>
        </is>
      </c>
      <c r="F2314" t="inlineStr">
        <is>
          <t>DHOOP</t>
        </is>
      </c>
      <c r="G2314" t="inlineStr">
        <is>
          <t>Average</t>
        </is>
      </c>
      <c r="H2314" t="n">
        <v>17.85</v>
      </c>
      <c r="I2314">
        <f>B2314&amp;"~"&amp;F2314&amp;"~"&amp;G2314</f>
        <v/>
      </c>
      <c r="J2314" t="inlineStr">
        <is>
          <t>MVS Sec.17 p.29</t>
        </is>
      </c>
    </row>
    <row r="2315">
      <c r="B2315" t="inlineStr">
        <is>
          <t>Arch-Rib (Quonset) Farm Implement Buildings</t>
        </is>
      </c>
      <c r="C2315" t="inlineStr">
        <is>
          <t>558</t>
        </is>
      </c>
      <c r="D2315" t="inlineStr">
        <is>
          <t>17</t>
        </is>
      </c>
      <c r="E2315" t="inlineStr">
        <is>
          <t>29</t>
        </is>
      </c>
      <c r="F2315" t="inlineStr">
        <is>
          <t>DHOOP</t>
        </is>
      </c>
      <c r="G2315" t="inlineStr">
        <is>
          <t>Low Cost</t>
        </is>
      </c>
      <c r="H2315" t="n">
        <v>13.6</v>
      </c>
      <c r="I2315">
        <f>B2315&amp;"~"&amp;F2315&amp;"~"&amp;G2315</f>
        <v/>
      </c>
      <c r="J2315" t="inlineStr">
        <is>
          <t>MVS Sec.17 p.29</t>
        </is>
      </c>
    </row>
    <row r="2316">
      <c r="B2316" t="inlineStr">
        <is>
          <t>Arch-Rib (Quonset) Farm Implement Buildings</t>
        </is>
      </c>
      <c r="C2316" t="inlineStr">
        <is>
          <t>558</t>
        </is>
      </c>
      <c r="D2316" t="inlineStr">
        <is>
          <t>17</t>
        </is>
      </c>
      <c r="E2316" t="inlineStr">
        <is>
          <t>29</t>
        </is>
      </c>
      <c r="F2316" t="inlineStr">
        <is>
          <t>S</t>
        </is>
      </c>
      <c r="G2316" t="inlineStr">
        <is>
          <t>Good</t>
        </is>
      </c>
      <c r="H2316" t="n">
        <v>36.5</v>
      </c>
      <c r="I2316">
        <f>B2316&amp;"~"&amp;F2316&amp;"~"&amp;G2316</f>
        <v/>
      </c>
      <c r="J2316" t="inlineStr">
        <is>
          <t>MVS Sec.17 p.29</t>
        </is>
      </c>
    </row>
    <row r="2317">
      <c r="B2317" t="inlineStr">
        <is>
          <t>Arch-Rib (Quonset) Farm Implement Buildings</t>
        </is>
      </c>
      <c r="C2317" t="inlineStr">
        <is>
          <t>558</t>
        </is>
      </c>
      <c r="D2317" t="inlineStr">
        <is>
          <t>17</t>
        </is>
      </c>
      <c r="E2317" t="inlineStr">
        <is>
          <t>29</t>
        </is>
      </c>
      <c r="F2317" t="inlineStr">
        <is>
          <t>S</t>
        </is>
      </c>
      <c r="G2317" t="inlineStr">
        <is>
          <t>Average</t>
        </is>
      </c>
      <c r="H2317" t="n">
        <v>27.5</v>
      </c>
      <c r="I2317">
        <f>B2317&amp;"~"&amp;F2317&amp;"~"&amp;G2317</f>
        <v/>
      </c>
      <c r="J2317" t="inlineStr">
        <is>
          <t>MVS Sec.17 p.29</t>
        </is>
      </c>
    </row>
    <row r="2318">
      <c r="B2318" t="inlineStr">
        <is>
          <t>Arch-Rib (Quonset) Farm Implement Buildings</t>
        </is>
      </c>
      <c r="C2318" t="inlineStr">
        <is>
          <t>558</t>
        </is>
      </c>
      <c r="D2318" t="inlineStr">
        <is>
          <t>17</t>
        </is>
      </c>
      <c r="E2318" t="inlineStr">
        <is>
          <t>29</t>
        </is>
      </c>
      <c r="F2318" t="inlineStr">
        <is>
          <t>S</t>
        </is>
      </c>
      <c r="G2318" t="inlineStr">
        <is>
          <t>Low Cost</t>
        </is>
      </c>
      <c r="H2318" t="n">
        <v>20.8</v>
      </c>
      <c r="I2318">
        <f>B2318&amp;"~"&amp;F2318&amp;"~"&amp;G2318</f>
        <v/>
      </c>
      <c r="J2318" t="inlineStr">
        <is>
          <t>MVS Sec.17 p.29</t>
        </is>
      </c>
    </row>
    <row r="2319">
      <c r="B2319" t="inlineStr">
        <is>
          <t>Arch-Rib (Quonset) Farm Implement Buildings</t>
        </is>
      </c>
      <c r="C2319" t="inlineStr">
        <is>
          <t>558</t>
        </is>
      </c>
      <c r="D2319" t="inlineStr">
        <is>
          <t>17</t>
        </is>
      </c>
      <c r="E2319" t="inlineStr">
        <is>
          <t>29</t>
        </is>
      </c>
      <c r="F2319" t="inlineStr">
        <is>
          <t>WALL</t>
        </is>
      </c>
      <c r="G2319" t="inlineStr">
        <is>
          <t>Cheap</t>
        </is>
      </c>
      <c r="H2319" t="n">
        <v>16.9</v>
      </c>
      <c r="I2319">
        <f>B2319&amp;"~"&amp;F2319&amp;"~"&amp;G2319</f>
        <v/>
      </c>
      <c r="J2319" t="inlineStr">
        <is>
          <t>MVS Sec.17 p.29</t>
        </is>
      </c>
    </row>
    <row r="2320">
      <c r="B2320" t="inlineStr">
        <is>
          <t>Farm Implement – Equipment Sheds</t>
        </is>
      </c>
      <c r="C2320" t="inlineStr">
        <is>
          <t>478</t>
        </is>
      </c>
      <c r="D2320" t="inlineStr">
        <is>
          <t>17</t>
        </is>
      </c>
      <c r="E2320" t="inlineStr">
        <is>
          <t>29</t>
        </is>
      </c>
      <c r="F2320" t="inlineStr">
        <is>
          <t>C</t>
        </is>
      </c>
      <c r="G2320" t="inlineStr">
        <is>
          <t>Average</t>
        </is>
      </c>
      <c r="H2320" t="n">
        <v>25.5</v>
      </c>
      <c r="I2320">
        <f>B2320&amp;"~"&amp;F2320&amp;"~"&amp;G2320</f>
        <v/>
      </c>
      <c r="J2320" t="inlineStr">
        <is>
          <t>MVS Sec.17 p.29</t>
        </is>
      </c>
    </row>
    <row r="2321">
      <c r="B2321" t="inlineStr">
        <is>
          <t>Farm Implement – Equipment Sheds</t>
        </is>
      </c>
      <c r="C2321" t="inlineStr">
        <is>
          <t>478</t>
        </is>
      </c>
      <c r="D2321" t="inlineStr">
        <is>
          <t>17</t>
        </is>
      </c>
      <c r="E2321" t="inlineStr">
        <is>
          <t>29</t>
        </is>
      </c>
      <c r="F2321" t="inlineStr">
        <is>
          <t>C</t>
        </is>
      </c>
      <c r="G2321" t="inlineStr">
        <is>
          <t>Low Cost</t>
        </is>
      </c>
      <c r="H2321" t="n">
        <v>18.55</v>
      </c>
      <c r="I2321">
        <f>B2321&amp;"~"&amp;F2321&amp;"~"&amp;G2321</f>
        <v/>
      </c>
      <c r="J2321" t="inlineStr">
        <is>
          <t>MVS Sec.17 p.29</t>
        </is>
      </c>
    </row>
    <row r="2322">
      <c r="B2322" t="inlineStr">
        <is>
          <t>Farm Implement – Equipment Sheds</t>
        </is>
      </c>
      <c r="C2322" t="inlineStr">
        <is>
          <t>478</t>
        </is>
      </c>
      <c r="D2322" t="inlineStr">
        <is>
          <t>17</t>
        </is>
      </c>
      <c r="E2322" t="inlineStr">
        <is>
          <t>29</t>
        </is>
      </c>
      <c r="F2322" t="inlineStr">
        <is>
          <t>D</t>
        </is>
      </c>
      <c r="G2322" t="inlineStr">
        <is>
          <t>Average</t>
        </is>
      </c>
      <c r="H2322" t="n">
        <v>19.65</v>
      </c>
      <c r="I2322">
        <f>B2322&amp;"~"&amp;F2322&amp;"~"&amp;G2322</f>
        <v/>
      </c>
      <c r="J2322" t="inlineStr">
        <is>
          <t>MVS Sec.17 p.29</t>
        </is>
      </c>
    </row>
    <row r="2323">
      <c r="B2323" t="inlineStr">
        <is>
          <t>Farm Implement – Equipment Sheds</t>
        </is>
      </c>
      <c r="C2323" t="inlineStr">
        <is>
          <t>478</t>
        </is>
      </c>
      <c r="D2323" t="inlineStr">
        <is>
          <t>17</t>
        </is>
      </c>
      <c r="E2323" t="inlineStr">
        <is>
          <t>29</t>
        </is>
      </c>
      <c r="F2323" t="inlineStr">
        <is>
          <t>D</t>
        </is>
      </c>
      <c r="G2323" t="inlineStr">
        <is>
          <t>Low Cost</t>
        </is>
      </c>
      <c r="H2323" t="n">
        <v>11.3</v>
      </c>
      <c r="I2323">
        <f>B2323&amp;"~"&amp;F2323&amp;"~"&amp;G2323</f>
        <v/>
      </c>
      <c r="J2323" t="inlineStr">
        <is>
          <t>MVS Sec.17 p.29</t>
        </is>
      </c>
    </row>
    <row r="2324">
      <c r="B2324" t="inlineStr">
        <is>
          <t>Farm Implement – Equipment Sheds</t>
        </is>
      </c>
      <c r="C2324" t="inlineStr">
        <is>
          <t>478</t>
        </is>
      </c>
      <c r="D2324" t="inlineStr">
        <is>
          <t>17</t>
        </is>
      </c>
      <c r="E2324" t="inlineStr">
        <is>
          <t>29</t>
        </is>
      </c>
      <c r="F2324" t="inlineStr">
        <is>
          <t>DPOLE</t>
        </is>
      </c>
      <c r="G2324" t="inlineStr">
        <is>
          <t>Average</t>
        </is>
      </c>
      <c r="H2324" t="n">
        <v>16.7</v>
      </c>
      <c r="I2324">
        <f>B2324&amp;"~"&amp;F2324&amp;"~"&amp;G2324</f>
        <v/>
      </c>
      <c r="J2324" t="inlineStr">
        <is>
          <t>MVS Sec.17 p.29</t>
        </is>
      </c>
    </row>
    <row r="2325">
      <c r="B2325" t="inlineStr">
        <is>
          <t>Farm Implement – Equipment Sheds</t>
        </is>
      </c>
      <c r="C2325" t="inlineStr">
        <is>
          <t>478</t>
        </is>
      </c>
      <c r="D2325" t="inlineStr">
        <is>
          <t>17</t>
        </is>
      </c>
      <c r="E2325" t="inlineStr">
        <is>
          <t>29</t>
        </is>
      </c>
      <c r="F2325" t="inlineStr">
        <is>
          <t>DPOLE</t>
        </is>
      </c>
      <c r="G2325" t="inlineStr">
        <is>
          <t>Low Cost</t>
        </is>
      </c>
      <c r="H2325" t="n">
        <v>9.57</v>
      </c>
      <c r="I2325">
        <f>B2325&amp;"~"&amp;F2325&amp;"~"&amp;G2325</f>
        <v/>
      </c>
      <c r="J2325" t="inlineStr">
        <is>
          <t>MVS Sec.17 p.29</t>
        </is>
      </c>
    </row>
    <row r="2326">
      <c r="B2326" t="inlineStr">
        <is>
          <t>Farm Implement – Equipment Sheds</t>
        </is>
      </c>
      <c r="C2326" t="inlineStr">
        <is>
          <t>478</t>
        </is>
      </c>
      <c r="D2326" t="inlineStr">
        <is>
          <t>17</t>
        </is>
      </c>
      <c r="E2326" t="inlineStr">
        <is>
          <t>29</t>
        </is>
      </c>
      <c r="F2326" t="inlineStr">
        <is>
          <t>S</t>
        </is>
      </c>
      <c r="G2326" t="inlineStr">
        <is>
          <t>Average</t>
        </is>
      </c>
      <c r="H2326" t="n">
        <v>19.6</v>
      </c>
      <c r="I2326">
        <f>B2326&amp;"~"&amp;F2326&amp;"~"&amp;G2326</f>
        <v/>
      </c>
      <c r="J2326" t="inlineStr">
        <is>
          <t>MVS Sec.17 p.29</t>
        </is>
      </c>
    </row>
    <row r="2327">
      <c r="B2327" t="inlineStr">
        <is>
          <t>Farm Implement – Equipment Sheds</t>
        </is>
      </c>
      <c r="C2327" t="inlineStr">
        <is>
          <t>478</t>
        </is>
      </c>
      <c r="D2327" t="inlineStr">
        <is>
          <t>17</t>
        </is>
      </c>
      <c r="E2327" t="inlineStr">
        <is>
          <t>29</t>
        </is>
      </c>
      <c r="F2327" t="inlineStr">
        <is>
          <t>S</t>
        </is>
      </c>
      <c r="G2327" t="inlineStr">
        <is>
          <t>Low Cost</t>
        </is>
      </c>
      <c r="H2327" t="n">
        <v>12.05</v>
      </c>
      <c r="I2327">
        <f>B2327&amp;"~"&amp;F2327&amp;"~"&amp;G2327</f>
        <v/>
      </c>
      <c r="J2327" t="inlineStr">
        <is>
          <t>MVS Sec.17 p.29</t>
        </is>
      </c>
    </row>
    <row r="2328">
      <c r="B2328" t="inlineStr">
        <is>
          <t>Farm Implement – Equipment Sheds</t>
        </is>
      </c>
      <c r="C2328" t="inlineStr">
        <is>
          <t>478</t>
        </is>
      </c>
      <c r="D2328" t="inlineStr">
        <is>
          <t>17</t>
        </is>
      </c>
      <c r="E2328" t="inlineStr">
        <is>
          <t>29</t>
        </is>
      </c>
      <c r="F2328" t="inlineStr">
        <is>
          <t>SSLANT</t>
        </is>
      </c>
      <c r="G2328" t="inlineStr">
        <is>
          <t>Average</t>
        </is>
      </c>
      <c r="H2328" t="n">
        <v>18.2</v>
      </c>
      <c r="I2328">
        <f>B2328&amp;"~"&amp;F2328&amp;"~"&amp;G2328</f>
        <v/>
      </c>
      <c r="J2328" t="inlineStr">
        <is>
          <t>MVS Sec.17 p.29</t>
        </is>
      </c>
    </row>
    <row r="2329">
      <c r="B2329" t="inlineStr">
        <is>
          <t>Farm Implement – Equipment Sheds</t>
        </is>
      </c>
      <c r="C2329" t="inlineStr">
        <is>
          <t>478</t>
        </is>
      </c>
      <c r="D2329" t="inlineStr">
        <is>
          <t>17</t>
        </is>
      </c>
      <c r="E2329" t="inlineStr">
        <is>
          <t>29</t>
        </is>
      </c>
      <c r="F2329" t="inlineStr">
        <is>
          <t>SSLANT</t>
        </is>
      </c>
      <c r="G2329" t="inlineStr">
        <is>
          <t>Low Cost</t>
        </is>
      </c>
      <c r="H2329" t="n">
        <v>11.05</v>
      </c>
      <c r="I2329">
        <f>B2329&amp;"~"&amp;F2329&amp;"~"&amp;G2329</f>
        <v/>
      </c>
      <c r="J2329" t="inlineStr">
        <is>
          <t>MVS Sec.17 p.29</t>
        </is>
      </c>
    </row>
    <row r="2330">
      <c r="B2330" t="inlineStr">
        <is>
          <t>Barns – General Purpose</t>
        </is>
      </c>
      <c r="C2330" t="inlineStr">
        <is>
          <t>102</t>
        </is>
      </c>
      <c r="D2330" t="inlineStr">
        <is>
          <t>17</t>
        </is>
      </c>
      <c r="E2330" t="inlineStr">
        <is>
          <t>30</t>
        </is>
      </c>
      <c r="F2330" t="inlineStr">
        <is>
          <t>C</t>
        </is>
      </c>
      <c r="G2330" t="inlineStr">
        <is>
          <t>Good</t>
        </is>
      </c>
      <c r="H2330" t="n">
        <v>53</v>
      </c>
      <c r="I2330">
        <f>B2330&amp;"~"&amp;F2330&amp;"~"&amp;G2330</f>
        <v/>
      </c>
      <c r="J2330" t="inlineStr">
        <is>
          <t>MVS Sec.17 p.30</t>
        </is>
      </c>
    </row>
    <row r="2331">
      <c r="B2331" t="inlineStr">
        <is>
          <t>Barns – General Purpose</t>
        </is>
      </c>
      <c r="C2331" t="inlineStr">
        <is>
          <t>102</t>
        </is>
      </c>
      <c r="D2331" t="inlineStr">
        <is>
          <t>17</t>
        </is>
      </c>
      <c r="E2331" t="inlineStr">
        <is>
          <t>30</t>
        </is>
      </c>
      <c r="F2331" t="inlineStr">
        <is>
          <t>C</t>
        </is>
      </c>
      <c r="G2331" t="inlineStr">
        <is>
          <t>Average</t>
        </is>
      </c>
      <c r="H2331" t="n">
        <v>40.25</v>
      </c>
      <c r="I2331">
        <f>B2331&amp;"~"&amp;F2331&amp;"~"&amp;G2331</f>
        <v/>
      </c>
      <c r="J2331" t="inlineStr">
        <is>
          <t>MVS Sec.17 p.30</t>
        </is>
      </c>
    </row>
    <row r="2332">
      <c r="B2332" t="inlineStr">
        <is>
          <t>Barns – General Purpose</t>
        </is>
      </c>
      <c r="C2332" t="inlineStr">
        <is>
          <t>102</t>
        </is>
      </c>
      <c r="D2332" t="inlineStr">
        <is>
          <t>17</t>
        </is>
      </c>
      <c r="E2332" t="inlineStr">
        <is>
          <t>30</t>
        </is>
      </c>
      <c r="F2332" t="inlineStr">
        <is>
          <t>C</t>
        </is>
      </c>
      <c r="G2332" t="inlineStr">
        <is>
          <t>Low Cost</t>
        </is>
      </c>
      <c r="H2332" t="n">
        <v>30.75</v>
      </c>
      <c r="I2332">
        <f>B2332&amp;"~"&amp;F2332&amp;"~"&amp;G2332</f>
        <v/>
      </c>
      <c r="J2332" t="inlineStr">
        <is>
          <t>MVS Sec.17 p.30</t>
        </is>
      </c>
    </row>
    <row r="2333">
      <c r="B2333" t="inlineStr">
        <is>
          <t>Barns – General Purpose</t>
        </is>
      </c>
      <c r="C2333" t="inlineStr">
        <is>
          <t>102</t>
        </is>
      </c>
      <c r="D2333" t="inlineStr">
        <is>
          <t>17</t>
        </is>
      </c>
      <c r="E2333" t="inlineStr">
        <is>
          <t>30</t>
        </is>
      </c>
      <c r="F2333" t="inlineStr">
        <is>
          <t>D</t>
        </is>
      </c>
      <c r="G2333" t="inlineStr">
        <is>
          <t>Good</t>
        </is>
      </c>
      <c r="H2333" t="n">
        <v>47.25</v>
      </c>
      <c r="I2333">
        <f>B2333&amp;"~"&amp;F2333&amp;"~"&amp;G2333</f>
        <v/>
      </c>
      <c r="J2333" t="inlineStr">
        <is>
          <t>MVS Sec.17 p.30</t>
        </is>
      </c>
    </row>
    <row r="2334">
      <c r="B2334" t="inlineStr">
        <is>
          <t>Barns – General Purpose</t>
        </is>
      </c>
      <c r="C2334" t="inlineStr">
        <is>
          <t>102</t>
        </is>
      </c>
      <c r="D2334" t="inlineStr">
        <is>
          <t>17</t>
        </is>
      </c>
      <c r="E2334" t="inlineStr">
        <is>
          <t>30</t>
        </is>
      </c>
      <c r="F2334" t="inlineStr">
        <is>
          <t>D</t>
        </is>
      </c>
      <c r="G2334" t="inlineStr">
        <is>
          <t>Average</t>
        </is>
      </c>
      <c r="H2334" t="n">
        <v>34</v>
      </c>
      <c r="I2334">
        <f>B2334&amp;"~"&amp;F2334&amp;"~"&amp;G2334</f>
        <v/>
      </c>
      <c r="J2334" t="inlineStr">
        <is>
          <t>MVS Sec.17 p.30</t>
        </is>
      </c>
    </row>
    <row r="2335">
      <c r="B2335" t="inlineStr">
        <is>
          <t>Barns – General Purpose</t>
        </is>
      </c>
      <c r="C2335" t="inlineStr">
        <is>
          <t>102</t>
        </is>
      </c>
      <c r="D2335" t="inlineStr">
        <is>
          <t>17</t>
        </is>
      </c>
      <c r="E2335" t="inlineStr">
        <is>
          <t>30</t>
        </is>
      </c>
      <c r="F2335" t="inlineStr">
        <is>
          <t>D</t>
        </is>
      </c>
      <c r="G2335" t="inlineStr">
        <is>
          <t>Low Cost</t>
        </is>
      </c>
      <c r="H2335" t="n">
        <v>24.7</v>
      </c>
      <c r="I2335">
        <f>B2335&amp;"~"&amp;F2335&amp;"~"&amp;G2335</f>
        <v/>
      </c>
      <c r="J2335" t="inlineStr">
        <is>
          <t>MVS Sec.17 p.30</t>
        </is>
      </c>
    </row>
    <row r="2336">
      <c r="B2336" t="inlineStr">
        <is>
          <t>Barns – General Purpose</t>
        </is>
      </c>
      <c r="C2336" t="inlineStr">
        <is>
          <t>102</t>
        </is>
      </c>
      <c r="D2336" t="inlineStr">
        <is>
          <t>17</t>
        </is>
      </c>
      <c r="E2336" t="inlineStr">
        <is>
          <t>30</t>
        </is>
      </c>
      <c r="F2336" t="inlineStr">
        <is>
          <t>DPOLE</t>
        </is>
      </c>
      <c r="G2336" t="inlineStr">
        <is>
          <t>Good</t>
        </is>
      </c>
      <c r="H2336" t="n">
        <v>41</v>
      </c>
      <c r="I2336">
        <f>B2336&amp;"~"&amp;F2336&amp;"~"&amp;G2336</f>
        <v/>
      </c>
      <c r="J2336" t="inlineStr">
        <is>
          <t>MVS Sec.17 p.30</t>
        </is>
      </c>
    </row>
    <row r="2337">
      <c r="B2337" t="inlineStr">
        <is>
          <t>Barns – General Purpose</t>
        </is>
      </c>
      <c r="C2337" t="inlineStr">
        <is>
          <t>102</t>
        </is>
      </c>
      <c r="D2337" t="inlineStr">
        <is>
          <t>17</t>
        </is>
      </c>
      <c r="E2337" t="inlineStr">
        <is>
          <t>30</t>
        </is>
      </c>
      <c r="F2337" t="inlineStr">
        <is>
          <t>DPOLE</t>
        </is>
      </c>
      <c r="G2337" t="inlineStr">
        <is>
          <t>Average</t>
        </is>
      </c>
      <c r="H2337" t="n">
        <v>29.25</v>
      </c>
      <c r="I2337">
        <f>B2337&amp;"~"&amp;F2337&amp;"~"&amp;G2337</f>
        <v/>
      </c>
      <c r="J2337" t="inlineStr">
        <is>
          <t>MVS Sec.17 p.30</t>
        </is>
      </c>
    </row>
    <row r="2338">
      <c r="B2338" t="inlineStr">
        <is>
          <t>Barns – General Purpose</t>
        </is>
      </c>
      <c r="C2338" t="inlineStr">
        <is>
          <t>102</t>
        </is>
      </c>
      <c r="D2338" t="inlineStr">
        <is>
          <t>17</t>
        </is>
      </c>
      <c r="E2338" t="inlineStr">
        <is>
          <t>30</t>
        </is>
      </c>
      <c r="F2338" t="inlineStr">
        <is>
          <t>DPOLE</t>
        </is>
      </c>
      <c r="G2338" t="inlineStr">
        <is>
          <t>Low Cost</t>
        </is>
      </c>
      <c r="H2338" t="n">
        <v>20.85</v>
      </c>
      <c r="I2338">
        <f>B2338&amp;"~"&amp;F2338&amp;"~"&amp;G2338</f>
        <v/>
      </c>
      <c r="J2338" t="inlineStr">
        <is>
          <t>MVS Sec.17 p.30</t>
        </is>
      </c>
    </row>
    <row r="2339">
      <c r="B2339" t="inlineStr">
        <is>
          <t>Barns – General Purpose</t>
        </is>
      </c>
      <c r="C2339" t="inlineStr">
        <is>
          <t>102</t>
        </is>
      </c>
      <c r="D2339" t="inlineStr">
        <is>
          <t>17</t>
        </is>
      </c>
      <c r="E2339" t="inlineStr">
        <is>
          <t>30</t>
        </is>
      </c>
      <c r="F2339" t="inlineStr">
        <is>
          <t>S</t>
        </is>
      </c>
      <c r="G2339" t="inlineStr">
        <is>
          <t>Good</t>
        </is>
      </c>
      <c r="H2339" t="n">
        <v>44.75</v>
      </c>
      <c r="I2339">
        <f>B2339&amp;"~"&amp;F2339&amp;"~"&amp;G2339</f>
        <v/>
      </c>
      <c r="J2339" t="inlineStr">
        <is>
          <t>MVS Sec.17 p.30</t>
        </is>
      </c>
    </row>
    <row r="2340">
      <c r="B2340" t="inlineStr">
        <is>
          <t>Barns – General Purpose</t>
        </is>
      </c>
      <c r="C2340" t="inlineStr">
        <is>
          <t>102</t>
        </is>
      </c>
      <c r="D2340" t="inlineStr">
        <is>
          <t>17</t>
        </is>
      </c>
      <c r="E2340" t="inlineStr">
        <is>
          <t>30</t>
        </is>
      </c>
      <c r="F2340" t="inlineStr">
        <is>
          <t>S</t>
        </is>
      </c>
      <c r="G2340" t="inlineStr">
        <is>
          <t>Average</t>
        </is>
      </c>
      <c r="H2340" t="n">
        <v>32.5</v>
      </c>
      <c r="I2340">
        <f>B2340&amp;"~"&amp;F2340&amp;"~"&amp;G2340</f>
        <v/>
      </c>
      <c r="J2340" t="inlineStr">
        <is>
          <t>MVS Sec.17 p.30</t>
        </is>
      </c>
    </row>
    <row r="2341">
      <c r="B2341" t="inlineStr">
        <is>
          <t>Barns – General Purpose</t>
        </is>
      </c>
      <c r="C2341" t="inlineStr">
        <is>
          <t>102</t>
        </is>
      </c>
      <c r="D2341" t="inlineStr">
        <is>
          <t>17</t>
        </is>
      </c>
      <c r="E2341" t="inlineStr">
        <is>
          <t>30</t>
        </is>
      </c>
      <c r="F2341" t="inlineStr">
        <is>
          <t>S</t>
        </is>
      </c>
      <c r="G2341" t="inlineStr">
        <is>
          <t>Low Cost</t>
        </is>
      </c>
      <c r="H2341" t="n">
        <v>23.55</v>
      </c>
      <c r="I2341">
        <f>B2341&amp;"~"&amp;F2341&amp;"~"&amp;G2341</f>
        <v/>
      </c>
      <c r="J2341" t="inlineStr">
        <is>
          <t>MVS Sec.17 p.30</t>
        </is>
      </c>
    </row>
    <row r="2342">
      <c r="B2342" t="inlineStr">
        <is>
          <t>Bank Barns (Two-Story) – General Purpose</t>
        </is>
      </c>
      <c r="C2342" t="inlineStr">
        <is>
          <t>100</t>
        </is>
      </c>
      <c r="D2342" t="inlineStr">
        <is>
          <t>17</t>
        </is>
      </c>
      <c r="E2342" t="inlineStr">
        <is>
          <t>30</t>
        </is>
      </c>
      <c r="F2342" t="inlineStr">
        <is>
          <t>C</t>
        </is>
      </c>
      <c r="G2342" t="inlineStr">
        <is>
          <t>Good</t>
        </is>
      </c>
      <c r="H2342" t="n">
        <v>38.25</v>
      </c>
      <c r="I2342">
        <f>B2342&amp;"~"&amp;F2342&amp;"~"&amp;G2342</f>
        <v/>
      </c>
      <c r="J2342" t="inlineStr">
        <is>
          <t>MVS Sec.17 p.30</t>
        </is>
      </c>
    </row>
    <row r="2343">
      <c r="B2343" t="inlineStr">
        <is>
          <t>Bank Barns (Two-Story) – General Purpose</t>
        </is>
      </c>
      <c r="C2343" t="inlineStr">
        <is>
          <t>100</t>
        </is>
      </c>
      <c r="D2343" t="inlineStr">
        <is>
          <t>17</t>
        </is>
      </c>
      <c r="E2343" t="inlineStr">
        <is>
          <t>30</t>
        </is>
      </c>
      <c r="F2343" t="inlineStr">
        <is>
          <t>C</t>
        </is>
      </c>
      <c r="G2343" t="inlineStr">
        <is>
          <t>Average</t>
        </is>
      </c>
      <c r="H2343" t="n">
        <v>29.25</v>
      </c>
      <c r="I2343">
        <f>B2343&amp;"~"&amp;F2343&amp;"~"&amp;G2343</f>
        <v/>
      </c>
      <c r="J2343" t="inlineStr">
        <is>
          <t>MVS Sec.17 p.30</t>
        </is>
      </c>
    </row>
    <row r="2344">
      <c r="B2344" t="inlineStr">
        <is>
          <t>Bank Barns (Two-Story) – General Purpose</t>
        </is>
      </c>
      <c r="C2344" t="inlineStr">
        <is>
          <t>100</t>
        </is>
      </c>
      <c r="D2344" t="inlineStr">
        <is>
          <t>17</t>
        </is>
      </c>
      <c r="E2344" t="inlineStr">
        <is>
          <t>30</t>
        </is>
      </c>
      <c r="F2344" t="inlineStr">
        <is>
          <t>C</t>
        </is>
      </c>
      <c r="G2344" t="inlineStr">
        <is>
          <t>Low Cost</t>
        </is>
      </c>
      <c r="H2344" t="n">
        <v>22.4</v>
      </c>
      <c r="I2344">
        <f>B2344&amp;"~"&amp;F2344&amp;"~"&amp;G2344</f>
        <v/>
      </c>
      <c r="J2344" t="inlineStr">
        <is>
          <t>MVS Sec.17 p.30</t>
        </is>
      </c>
    </row>
    <row r="2345">
      <c r="B2345" t="inlineStr">
        <is>
          <t>Bank Barns (Two-Story) – General Purpose</t>
        </is>
      </c>
      <c r="C2345" t="inlineStr">
        <is>
          <t>100</t>
        </is>
      </c>
      <c r="D2345" t="inlineStr">
        <is>
          <t>17</t>
        </is>
      </c>
      <c r="E2345" t="inlineStr">
        <is>
          <t>30</t>
        </is>
      </c>
      <c r="F2345" t="inlineStr">
        <is>
          <t>D</t>
        </is>
      </c>
      <c r="G2345" t="inlineStr">
        <is>
          <t>Good</t>
        </is>
      </c>
      <c r="H2345" t="n">
        <v>35.25</v>
      </c>
      <c r="I2345">
        <f>B2345&amp;"~"&amp;F2345&amp;"~"&amp;G2345</f>
        <v/>
      </c>
      <c r="J2345" t="inlineStr">
        <is>
          <t>MVS Sec.17 p.30</t>
        </is>
      </c>
    </row>
    <row r="2346">
      <c r="B2346" t="inlineStr">
        <is>
          <t>Bank Barns (Two-Story) – General Purpose</t>
        </is>
      </c>
      <c r="C2346" t="inlineStr">
        <is>
          <t>100</t>
        </is>
      </c>
      <c r="D2346" t="inlineStr">
        <is>
          <t>17</t>
        </is>
      </c>
      <c r="E2346" t="inlineStr">
        <is>
          <t>30</t>
        </is>
      </c>
      <c r="F2346" t="inlineStr">
        <is>
          <t>D</t>
        </is>
      </c>
      <c r="G2346" t="inlineStr">
        <is>
          <t>Average</t>
        </is>
      </c>
      <c r="H2346" t="n">
        <v>26</v>
      </c>
      <c r="I2346">
        <f>B2346&amp;"~"&amp;F2346&amp;"~"&amp;G2346</f>
        <v/>
      </c>
      <c r="J2346" t="inlineStr">
        <is>
          <t>MVS Sec.17 p.30</t>
        </is>
      </c>
    </row>
    <row r="2347">
      <c r="B2347" t="inlineStr">
        <is>
          <t>Bank Barns (Two-Story) – General Purpose</t>
        </is>
      </c>
      <c r="C2347" t="inlineStr">
        <is>
          <t>100</t>
        </is>
      </c>
      <c r="D2347" t="inlineStr">
        <is>
          <t>17</t>
        </is>
      </c>
      <c r="E2347" t="inlineStr">
        <is>
          <t>30</t>
        </is>
      </c>
      <c r="F2347" t="inlineStr">
        <is>
          <t>D</t>
        </is>
      </c>
      <c r="G2347" t="inlineStr">
        <is>
          <t>Low Cost</t>
        </is>
      </c>
      <c r="H2347" t="n">
        <v>19.2</v>
      </c>
      <c r="I2347">
        <f>B2347&amp;"~"&amp;F2347&amp;"~"&amp;G2347</f>
        <v/>
      </c>
      <c r="J2347" t="inlineStr">
        <is>
          <t>MVS Sec.17 p.30</t>
        </is>
      </c>
    </row>
    <row r="2348">
      <c r="B2348" t="inlineStr">
        <is>
          <t>Bank Barns (Two-Story) – General Purpose</t>
        </is>
      </c>
      <c r="C2348" t="inlineStr">
        <is>
          <t>100</t>
        </is>
      </c>
      <c r="D2348" t="inlineStr">
        <is>
          <t>17</t>
        </is>
      </c>
      <c r="E2348" t="inlineStr">
        <is>
          <t>30</t>
        </is>
      </c>
      <c r="F2348" t="inlineStr">
        <is>
          <t>DPOLE</t>
        </is>
      </c>
      <c r="G2348" t="inlineStr">
        <is>
          <t>Good</t>
        </is>
      </c>
      <c r="H2348" t="n">
        <v>31.75</v>
      </c>
      <c r="I2348">
        <f>B2348&amp;"~"&amp;F2348&amp;"~"&amp;G2348</f>
        <v/>
      </c>
      <c r="J2348" t="inlineStr">
        <is>
          <t>MVS Sec.17 p.30</t>
        </is>
      </c>
    </row>
    <row r="2349">
      <c r="B2349" t="inlineStr">
        <is>
          <t>Bank Barns (Two-Story) – General Purpose</t>
        </is>
      </c>
      <c r="C2349" t="inlineStr">
        <is>
          <t>100</t>
        </is>
      </c>
      <c r="D2349" t="inlineStr">
        <is>
          <t>17</t>
        </is>
      </c>
      <c r="E2349" t="inlineStr">
        <is>
          <t>30</t>
        </is>
      </c>
      <c r="F2349" t="inlineStr">
        <is>
          <t>DPOLE</t>
        </is>
      </c>
      <c r="G2349" t="inlineStr">
        <is>
          <t>Average</t>
        </is>
      </c>
      <c r="H2349" t="n">
        <v>23.4</v>
      </c>
      <c r="I2349">
        <f>B2349&amp;"~"&amp;F2349&amp;"~"&amp;G2349</f>
        <v/>
      </c>
      <c r="J2349" t="inlineStr">
        <is>
          <t>MVS Sec.17 p.30</t>
        </is>
      </c>
    </row>
    <row r="2350">
      <c r="B2350" t="inlineStr">
        <is>
          <t>Bank Barns (Two-Story) – General Purpose</t>
        </is>
      </c>
      <c r="C2350" t="inlineStr">
        <is>
          <t>100</t>
        </is>
      </c>
      <c r="D2350" t="inlineStr">
        <is>
          <t>17</t>
        </is>
      </c>
      <c r="E2350" t="inlineStr">
        <is>
          <t>30</t>
        </is>
      </c>
      <c r="F2350" t="inlineStr">
        <is>
          <t>DPOLE</t>
        </is>
      </c>
      <c r="G2350" t="inlineStr">
        <is>
          <t>Low Cost</t>
        </is>
      </c>
      <c r="H2350" t="n">
        <v>17.25</v>
      </c>
      <c r="I2350">
        <f>B2350&amp;"~"&amp;F2350&amp;"~"&amp;G2350</f>
        <v/>
      </c>
      <c r="J2350" t="inlineStr">
        <is>
          <t>MVS Sec.17 p.30</t>
        </is>
      </c>
    </row>
    <row r="2351">
      <c r="B2351" t="inlineStr">
        <is>
          <t>Barns – Special Purpose</t>
        </is>
      </c>
      <c r="C2351" t="inlineStr">
        <is>
          <t>103</t>
        </is>
      </c>
      <c r="D2351" t="inlineStr">
        <is>
          <t>17</t>
        </is>
      </c>
      <c r="E2351" t="inlineStr">
        <is>
          <t>31</t>
        </is>
      </c>
      <c r="F2351" t="inlineStr">
        <is>
          <t>C</t>
        </is>
      </c>
      <c r="G2351" t="inlineStr">
        <is>
          <t>Excellent</t>
        </is>
      </c>
      <c r="H2351" t="n">
        <v>93</v>
      </c>
      <c r="I2351">
        <f>B2351&amp;"~"&amp;F2351&amp;"~"&amp;G2351</f>
        <v/>
      </c>
      <c r="J2351" t="inlineStr">
        <is>
          <t>MVS Sec.17 p.31</t>
        </is>
      </c>
    </row>
    <row r="2352">
      <c r="B2352" t="inlineStr">
        <is>
          <t>Barns – Special Purpose</t>
        </is>
      </c>
      <c r="C2352" t="inlineStr">
        <is>
          <t>103</t>
        </is>
      </c>
      <c r="D2352" t="inlineStr">
        <is>
          <t>17</t>
        </is>
      </c>
      <c r="E2352" t="inlineStr">
        <is>
          <t>31</t>
        </is>
      </c>
      <c r="F2352" t="inlineStr">
        <is>
          <t>C</t>
        </is>
      </c>
      <c r="G2352" t="inlineStr">
        <is>
          <t>Good</t>
        </is>
      </c>
      <c r="H2352" t="n">
        <v>70.5</v>
      </c>
      <c r="I2352">
        <f>B2352&amp;"~"&amp;F2352&amp;"~"&amp;G2352</f>
        <v/>
      </c>
      <c r="J2352" t="inlineStr">
        <is>
          <t>MVS Sec.17 p.31</t>
        </is>
      </c>
    </row>
    <row r="2353">
      <c r="B2353" t="inlineStr">
        <is>
          <t>Barns – Special Purpose</t>
        </is>
      </c>
      <c r="C2353" t="inlineStr">
        <is>
          <t>103</t>
        </is>
      </c>
      <c r="D2353" t="inlineStr">
        <is>
          <t>17</t>
        </is>
      </c>
      <c r="E2353" t="inlineStr">
        <is>
          <t>31</t>
        </is>
      </c>
      <c r="F2353" t="inlineStr">
        <is>
          <t>C</t>
        </is>
      </c>
      <c r="G2353" t="inlineStr">
        <is>
          <t>Average</t>
        </is>
      </c>
      <c r="H2353" t="n">
        <v>53.5</v>
      </c>
      <c r="I2353">
        <f>B2353&amp;"~"&amp;F2353&amp;"~"&amp;G2353</f>
        <v/>
      </c>
      <c r="J2353" t="inlineStr">
        <is>
          <t>MVS Sec.17 p.31</t>
        </is>
      </c>
    </row>
    <row r="2354">
      <c r="B2354" t="inlineStr">
        <is>
          <t>Barns – Special Purpose</t>
        </is>
      </c>
      <c r="C2354" t="inlineStr">
        <is>
          <t>103</t>
        </is>
      </c>
      <c r="D2354" t="inlineStr">
        <is>
          <t>17</t>
        </is>
      </c>
      <c r="E2354" t="inlineStr">
        <is>
          <t>31</t>
        </is>
      </c>
      <c r="F2354" t="inlineStr">
        <is>
          <t>C</t>
        </is>
      </c>
      <c r="G2354" t="inlineStr">
        <is>
          <t>Low Cost</t>
        </is>
      </c>
      <c r="H2354" t="n">
        <v>40.75</v>
      </c>
      <c r="I2354">
        <f>B2354&amp;"~"&amp;F2354&amp;"~"&amp;G2354</f>
        <v/>
      </c>
      <c r="J2354" t="inlineStr">
        <is>
          <t>MVS Sec.17 p.31</t>
        </is>
      </c>
    </row>
    <row r="2355">
      <c r="B2355" t="inlineStr">
        <is>
          <t>Barns – Special Purpose</t>
        </is>
      </c>
      <c r="C2355" t="inlineStr">
        <is>
          <t>103</t>
        </is>
      </c>
      <c r="D2355" t="inlineStr">
        <is>
          <t>17</t>
        </is>
      </c>
      <c r="E2355" t="inlineStr">
        <is>
          <t>31</t>
        </is>
      </c>
      <c r="F2355" t="inlineStr">
        <is>
          <t>D</t>
        </is>
      </c>
      <c r="G2355" t="inlineStr">
        <is>
          <t>Excellent</t>
        </is>
      </c>
      <c r="H2355" t="n">
        <v>90</v>
      </c>
      <c r="I2355">
        <f>B2355&amp;"~"&amp;F2355&amp;"~"&amp;G2355</f>
        <v/>
      </c>
      <c r="J2355" t="inlineStr">
        <is>
          <t>MVS Sec.17 p.31</t>
        </is>
      </c>
    </row>
    <row r="2356">
      <c r="B2356" t="inlineStr">
        <is>
          <t>Barns – Special Purpose</t>
        </is>
      </c>
      <c r="C2356" t="inlineStr">
        <is>
          <t>103</t>
        </is>
      </c>
      <c r="D2356" t="inlineStr">
        <is>
          <t>17</t>
        </is>
      </c>
      <c r="E2356" t="inlineStr">
        <is>
          <t>31</t>
        </is>
      </c>
      <c r="F2356" t="inlineStr">
        <is>
          <t>D</t>
        </is>
      </c>
      <c r="G2356" t="inlineStr">
        <is>
          <t>Good</t>
        </is>
      </c>
      <c r="H2356" t="n">
        <v>66.5</v>
      </c>
      <c r="I2356">
        <f>B2356&amp;"~"&amp;F2356&amp;"~"&amp;G2356</f>
        <v/>
      </c>
      <c r="J2356" t="inlineStr">
        <is>
          <t>MVS Sec.17 p.31</t>
        </is>
      </c>
    </row>
    <row r="2357">
      <c r="B2357" t="inlineStr">
        <is>
          <t>Barns – Special Purpose</t>
        </is>
      </c>
      <c r="C2357" t="inlineStr">
        <is>
          <t>103</t>
        </is>
      </c>
      <c r="D2357" t="inlineStr">
        <is>
          <t>17</t>
        </is>
      </c>
      <c r="E2357" t="inlineStr">
        <is>
          <t>31</t>
        </is>
      </c>
      <c r="F2357" t="inlineStr">
        <is>
          <t>D</t>
        </is>
      </c>
      <c r="G2357" t="inlineStr">
        <is>
          <t>Average</t>
        </is>
      </c>
      <c r="H2357" t="n">
        <v>49.25</v>
      </c>
      <c r="I2357">
        <f>B2357&amp;"~"&amp;F2357&amp;"~"&amp;G2357</f>
        <v/>
      </c>
      <c r="J2357" t="inlineStr">
        <is>
          <t>MVS Sec.17 p.31</t>
        </is>
      </c>
    </row>
    <row r="2358">
      <c r="B2358" t="inlineStr">
        <is>
          <t>Barns – Special Purpose</t>
        </is>
      </c>
      <c r="C2358" t="inlineStr">
        <is>
          <t>103</t>
        </is>
      </c>
      <c r="D2358" t="inlineStr">
        <is>
          <t>17</t>
        </is>
      </c>
      <c r="E2358" t="inlineStr">
        <is>
          <t>31</t>
        </is>
      </c>
      <c r="F2358" t="inlineStr">
        <is>
          <t>D</t>
        </is>
      </c>
      <c r="G2358" t="inlineStr">
        <is>
          <t>Low Cost</t>
        </is>
      </c>
      <c r="H2358" t="n">
        <v>36.5</v>
      </c>
      <c r="I2358">
        <f>B2358&amp;"~"&amp;F2358&amp;"~"&amp;G2358</f>
        <v/>
      </c>
      <c r="J2358" t="inlineStr">
        <is>
          <t>MVS Sec.17 p.31</t>
        </is>
      </c>
    </row>
    <row r="2359">
      <c r="B2359" t="inlineStr">
        <is>
          <t>Barns – Special Purpose</t>
        </is>
      </c>
      <c r="C2359" t="inlineStr">
        <is>
          <t>103</t>
        </is>
      </c>
      <c r="D2359" t="inlineStr">
        <is>
          <t>17</t>
        </is>
      </c>
      <c r="E2359" t="inlineStr">
        <is>
          <t>31</t>
        </is>
      </c>
      <c r="F2359" t="inlineStr">
        <is>
          <t>DPOLE</t>
        </is>
      </c>
      <c r="G2359" t="inlineStr">
        <is>
          <t>Average</t>
        </is>
      </c>
      <c r="H2359" t="n">
        <v>43.25</v>
      </c>
      <c r="I2359">
        <f>B2359&amp;"~"&amp;F2359&amp;"~"&amp;G2359</f>
        <v/>
      </c>
      <c r="J2359" t="inlineStr">
        <is>
          <t>MVS Sec.17 p.31</t>
        </is>
      </c>
    </row>
    <row r="2360">
      <c r="B2360" t="inlineStr">
        <is>
          <t>Barns – Special Purpose</t>
        </is>
      </c>
      <c r="C2360" t="inlineStr">
        <is>
          <t>103</t>
        </is>
      </c>
      <c r="D2360" t="inlineStr">
        <is>
          <t>17</t>
        </is>
      </c>
      <c r="E2360" t="inlineStr">
        <is>
          <t>31</t>
        </is>
      </c>
      <c r="F2360" t="inlineStr">
        <is>
          <t>DPOLE</t>
        </is>
      </c>
      <c r="G2360" t="inlineStr">
        <is>
          <t>Low Cost</t>
        </is>
      </c>
      <c r="H2360" t="n">
        <v>31.5</v>
      </c>
      <c r="I2360">
        <f>B2360&amp;"~"&amp;F2360&amp;"~"&amp;G2360</f>
        <v/>
      </c>
      <c r="J2360" t="inlineStr">
        <is>
          <t>MVS Sec.17 p.31</t>
        </is>
      </c>
    </row>
    <row r="2361">
      <c r="B2361" t="inlineStr">
        <is>
          <t>Bank Barns (Two-Story) – Special Purpose</t>
        </is>
      </c>
      <c r="C2361" t="inlineStr">
        <is>
          <t>101</t>
        </is>
      </c>
      <c r="D2361" t="inlineStr">
        <is>
          <t>17</t>
        </is>
      </c>
      <c r="E2361" t="inlineStr">
        <is>
          <t>31</t>
        </is>
      </c>
      <c r="F2361" t="inlineStr">
        <is>
          <t>C</t>
        </is>
      </c>
      <c r="G2361" t="inlineStr">
        <is>
          <t>Excellent</t>
        </is>
      </c>
      <c r="H2361" t="n">
        <v>64</v>
      </c>
      <c r="I2361">
        <f>B2361&amp;"~"&amp;F2361&amp;"~"&amp;G2361</f>
        <v/>
      </c>
      <c r="J2361" t="inlineStr">
        <is>
          <t>MVS Sec.17 p.31</t>
        </is>
      </c>
    </row>
    <row r="2362">
      <c r="B2362" t="inlineStr">
        <is>
          <t>Bank Barns (Two-Story) – Special Purpose</t>
        </is>
      </c>
      <c r="C2362" t="inlineStr">
        <is>
          <t>101</t>
        </is>
      </c>
      <c r="D2362" t="inlineStr">
        <is>
          <t>17</t>
        </is>
      </c>
      <c r="E2362" t="inlineStr">
        <is>
          <t>31</t>
        </is>
      </c>
      <c r="F2362" t="inlineStr">
        <is>
          <t>C</t>
        </is>
      </c>
      <c r="G2362" t="inlineStr">
        <is>
          <t>Good</t>
        </is>
      </c>
      <c r="H2362" t="n">
        <v>48.5</v>
      </c>
      <c r="I2362">
        <f>B2362&amp;"~"&amp;F2362&amp;"~"&amp;G2362</f>
        <v/>
      </c>
      <c r="J2362" t="inlineStr">
        <is>
          <t>MVS Sec.17 p.31</t>
        </is>
      </c>
    </row>
    <row r="2363">
      <c r="B2363" t="inlineStr">
        <is>
          <t>Bank Barns (Two-Story) – Special Purpose</t>
        </is>
      </c>
      <c r="C2363" t="inlineStr">
        <is>
          <t>101</t>
        </is>
      </c>
      <c r="D2363" t="inlineStr">
        <is>
          <t>17</t>
        </is>
      </c>
      <c r="E2363" t="inlineStr">
        <is>
          <t>31</t>
        </is>
      </c>
      <c r="F2363" t="inlineStr">
        <is>
          <t>C</t>
        </is>
      </c>
      <c r="G2363" t="inlineStr">
        <is>
          <t>Average</t>
        </is>
      </c>
      <c r="H2363" t="n">
        <v>36.75</v>
      </c>
      <c r="I2363">
        <f>B2363&amp;"~"&amp;F2363&amp;"~"&amp;G2363</f>
        <v/>
      </c>
      <c r="J2363" t="inlineStr">
        <is>
          <t>MVS Sec.17 p.31</t>
        </is>
      </c>
    </row>
    <row r="2364">
      <c r="B2364" t="inlineStr">
        <is>
          <t>Bank Barns (Two-Story) – Special Purpose</t>
        </is>
      </c>
      <c r="C2364" t="inlineStr">
        <is>
          <t>101</t>
        </is>
      </c>
      <c r="D2364" t="inlineStr">
        <is>
          <t>17</t>
        </is>
      </c>
      <c r="E2364" t="inlineStr">
        <is>
          <t>31</t>
        </is>
      </c>
      <c r="F2364" t="inlineStr">
        <is>
          <t>C</t>
        </is>
      </c>
      <c r="G2364" t="inlineStr">
        <is>
          <t>Low Cost</t>
        </is>
      </c>
      <c r="H2364" t="n">
        <v>28</v>
      </c>
      <c r="I2364">
        <f>B2364&amp;"~"&amp;F2364&amp;"~"&amp;G2364</f>
        <v/>
      </c>
      <c r="J2364" t="inlineStr">
        <is>
          <t>MVS Sec.17 p.31</t>
        </is>
      </c>
    </row>
    <row r="2365">
      <c r="B2365" t="inlineStr">
        <is>
          <t>Bank Barns (Two-Story) – Special Purpose</t>
        </is>
      </c>
      <c r="C2365" t="inlineStr">
        <is>
          <t>101</t>
        </is>
      </c>
      <c r="D2365" t="inlineStr">
        <is>
          <t>17</t>
        </is>
      </c>
      <c r="E2365" t="inlineStr">
        <is>
          <t>31</t>
        </is>
      </c>
      <c r="F2365" t="inlineStr">
        <is>
          <t>D</t>
        </is>
      </c>
      <c r="G2365" t="inlineStr">
        <is>
          <t>Excellent</t>
        </is>
      </c>
      <c r="H2365" t="n">
        <v>62</v>
      </c>
      <c r="I2365">
        <f>B2365&amp;"~"&amp;F2365&amp;"~"&amp;G2365</f>
        <v/>
      </c>
      <c r="J2365" t="inlineStr">
        <is>
          <t>MVS Sec.17 p.31</t>
        </is>
      </c>
    </row>
    <row r="2366">
      <c r="B2366" t="inlineStr">
        <is>
          <t>Bank Barns (Two-Story) – Special Purpose</t>
        </is>
      </c>
      <c r="C2366" t="inlineStr">
        <is>
          <t>101</t>
        </is>
      </c>
      <c r="D2366" t="inlineStr">
        <is>
          <t>17</t>
        </is>
      </c>
      <c r="E2366" t="inlineStr">
        <is>
          <t>31</t>
        </is>
      </c>
      <c r="F2366" t="inlineStr">
        <is>
          <t>D</t>
        </is>
      </c>
      <c r="G2366" t="inlineStr">
        <is>
          <t>Good</t>
        </is>
      </c>
      <c r="H2366" t="n">
        <v>46.25</v>
      </c>
      <c r="I2366">
        <f>B2366&amp;"~"&amp;F2366&amp;"~"&amp;G2366</f>
        <v/>
      </c>
      <c r="J2366" t="inlineStr">
        <is>
          <t>MVS Sec.17 p.31</t>
        </is>
      </c>
    </row>
    <row r="2367">
      <c r="B2367" t="inlineStr">
        <is>
          <t>Bank Barns (Two-Story) – Special Purpose</t>
        </is>
      </c>
      <c r="C2367" t="inlineStr">
        <is>
          <t>101</t>
        </is>
      </c>
      <c r="D2367" t="inlineStr">
        <is>
          <t>17</t>
        </is>
      </c>
      <c r="E2367" t="inlineStr">
        <is>
          <t>31</t>
        </is>
      </c>
      <c r="F2367" t="inlineStr">
        <is>
          <t>D</t>
        </is>
      </c>
      <c r="G2367" t="inlineStr">
        <is>
          <t>Average</t>
        </is>
      </c>
      <c r="H2367" t="n">
        <v>34.5</v>
      </c>
      <c r="I2367">
        <f>B2367&amp;"~"&amp;F2367&amp;"~"&amp;G2367</f>
        <v/>
      </c>
      <c r="J2367" t="inlineStr">
        <is>
          <t>MVS Sec.17 p.31</t>
        </is>
      </c>
    </row>
    <row r="2368">
      <c r="B2368" t="inlineStr">
        <is>
          <t>Bank Barns (Two-Story) – Special Purpose</t>
        </is>
      </c>
      <c r="C2368" t="inlineStr">
        <is>
          <t>101</t>
        </is>
      </c>
      <c r="D2368" t="inlineStr">
        <is>
          <t>17</t>
        </is>
      </c>
      <c r="E2368" t="inlineStr">
        <is>
          <t>31</t>
        </is>
      </c>
      <c r="F2368" t="inlineStr">
        <is>
          <t>D</t>
        </is>
      </c>
      <c r="G2368" t="inlineStr">
        <is>
          <t>Low Cost</t>
        </is>
      </c>
      <c r="H2368" t="n">
        <v>25.75</v>
      </c>
      <c r="I2368">
        <f>B2368&amp;"~"&amp;F2368&amp;"~"&amp;G2368</f>
        <v/>
      </c>
      <c r="J2368" t="inlineStr">
        <is>
          <t>MVS Sec.17 p.31</t>
        </is>
      </c>
    </row>
    <row r="2369">
      <c r="B2369" t="inlineStr">
        <is>
          <t>Bank Barns (Two-Story) – Special Purpose</t>
        </is>
      </c>
      <c r="C2369" t="inlineStr">
        <is>
          <t>101</t>
        </is>
      </c>
      <c r="D2369" t="inlineStr">
        <is>
          <t>17</t>
        </is>
      </c>
      <c r="E2369" t="inlineStr">
        <is>
          <t>31</t>
        </is>
      </c>
      <c r="F2369" t="inlineStr">
        <is>
          <t>DPOLE</t>
        </is>
      </c>
      <c r="G2369" t="inlineStr">
        <is>
          <t>Average</t>
        </is>
      </c>
      <c r="H2369" t="n">
        <v>31.25</v>
      </c>
      <c r="I2369">
        <f>B2369&amp;"~"&amp;F2369&amp;"~"&amp;G2369</f>
        <v/>
      </c>
      <c r="J2369" t="inlineStr">
        <is>
          <t>MVS Sec.17 p.31</t>
        </is>
      </c>
    </row>
    <row r="2370">
      <c r="B2370" t="inlineStr">
        <is>
          <t>Bank Barns (Two-Story) – Special Purpose</t>
        </is>
      </c>
      <c r="C2370" t="inlineStr">
        <is>
          <t>101</t>
        </is>
      </c>
      <c r="D2370" t="inlineStr">
        <is>
          <t>17</t>
        </is>
      </c>
      <c r="E2370" t="inlineStr">
        <is>
          <t>31</t>
        </is>
      </c>
      <c r="F2370" t="inlineStr">
        <is>
          <t>DPOLE</t>
        </is>
      </c>
      <c r="G2370" t="inlineStr">
        <is>
          <t>Low Cost</t>
        </is>
      </c>
      <c r="H2370" t="n">
        <v>23.05</v>
      </c>
      <c r="I2370">
        <f>B2370&amp;"~"&amp;F2370&amp;"~"&amp;G2370</f>
        <v/>
      </c>
      <c r="J2370" t="inlineStr">
        <is>
          <t>MVS Sec.17 p.31</t>
        </is>
      </c>
    </row>
    <row r="2371">
      <c r="B2371" t="inlineStr">
        <is>
          <t>Free-Stall Barns</t>
        </is>
      </c>
      <c r="C2371" t="inlineStr">
        <is>
          <t>469</t>
        </is>
      </c>
      <c r="D2371" t="inlineStr">
        <is>
          <t>17</t>
        </is>
      </c>
      <c r="E2371" t="inlineStr">
        <is>
          <t>32</t>
        </is>
      </c>
      <c r="F2371" t="inlineStr">
        <is>
          <t>D</t>
        </is>
      </c>
      <c r="G2371" t="inlineStr">
        <is>
          <t>Excellent</t>
        </is>
      </c>
      <c r="H2371" t="n">
        <v>43.75</v>
      </c>
      <c r="I2371">
        <f>B2371&amp;"~"&amp;F2371&amp;"~"&amp;G2371</f>
        <v/>
      </c>
      <c r="J2371" t="inlineStr">
        <is>
          <t>MVS Sec.17 p.32</t>
        </is>
      </c>
    </row>
    <row r="2372">
      <c r="B2372" t="inlineStr">
        <is>
          <t>Free-Stall Barns</t>
        </is>
      </c>
      <c r="C2372" t="inlineStr">
        <is>
          <t>469</t>
        </is>
      </c>
      <c r="D2372" t="inlineStr">
        <is>
          <t>17</t>
        </is>
      </c>
      <c r="E2372" t="inlineStr">
        <is>
          <t>32</t>
        </is>
      </c>
      <c r="F2372" t="inlineStr">
        <is>
          <t>D</t>
        </is>
      </c>
      <c r="G2372" t="inlineStr">
        <is>
          <t>Good</t>
        </is>
      </c>
      <c r="H2372" t="n">
        <v>32</v>
      </c>
      <c r="I2372">
        <f>B2372&amp;"~"&amp;F2372&amp;"~"&amp;G2372</f>
        <v/>
      </c>
      <c r="J2372" t="inlineStr">
        <is>
          <t>MVS Sec.17 p.32</t>
        </is>
      </c>
    </row>
    <row r="2373">
      <c r="B2373" t="inlineStr">
        <is>
          <t>Free-Stall Barns</t>
        </is>
      </c>
      <c r="C2373" t="inlineStr">
        <is>
          <t>469</t>
        </is>
      </c>
      <c r="D2373" t="inlineStr">
        <is>
          <t>17</t>
        </is>
      </c>
      <c r="E2373" t="inlineStr">
        <is>
          <t>32</t>
        </is>
      </c>
      <c r="F2373" t="inlineStr">
        <is>
          <t>D</t>
        </is>
      </c>
      <c r="G2373" t="inlineStr">
        <is>
          <t>Average</t>
        </is>
      </c>
      <c r="H2373" t="n">
        <v>23.4</v>
      </c>
      <c r="I2373">
        <f>B2373&amp;"~"&amp;F2373&amp;"~"&amp;G2373</f>
        <v/>
      </c>
      <c r="J2373" t="inlineStr">
        <is>
          <t>MVS Sec.17 p.32</t>
        </is>
      </c>
    </row>
    <row r="2374">
      <c r="B2374" t="inlineStr">
        <is>
          <t>Free-Stall Barns</t>
        </is>
      </c>
      <c r="C2374" t="inlineStr">
        <is>
          <t>469</t>
        </is>
      </c>
      <c r="D2374" t="inlineStr">
        <is>
          <t>17</t>
        </is>
      </c>
      <c r="E2374" t="inlineStr">
        <is>
          <t>32</t>
        </is>
      </c>
      <c r="F2374" t="inlineStr">
        <is>
          <t>D</t>
        </is>
      </c>
      <c r="G2374" t="inlineStr">
        <is>
          <t>Low Cost</t>
        </is>
      </c>
      <c r="H2374" t="n">
        <v>17.05</v>
      </c>
      <c r="I2374">
        <f>B2374&amp;"~"&amp;F2374&amp;"~"&amp;G2374</f>
        <v/>
      </c>
      <c r="J2374" t="inlineStr">
        <is>
          <t>MVS Sec.17 p.32</t>
        </is>
      </c>
    </row>
    <row r="2375">
      <c r="B2375" t="inlineStr">
        <is>
          <t>Free-Stall Barns</t>
        </is>
      </c>
      <c r="C2375" t="inlineStr">
        <is>
          <t>469</t>
        </is>
      </c>
      <c r="D2375" t="inlineStr">
        <is>
          <t>17</t>
        </is>
      </c>
      <c r="E2375" t="inlineStr">
        <is>
          <t>32</t>
        </is>
      </c>
      <c r="F2375" t="inlineStr">
        <is>
          <t>DPOLE</t>
        </is>
      </c>
      <c r="G2375" t="inlineStr">
        <is>
          <t>Excellent</t>
        </is>
      </c>
      <c r="H2375" t="n">
        <v>39</v>
      </c>
      <c r="I2375">
        <f>B2375&amp;"~"&amp;F2375&amp;"~"&amp;G2375</f>
        <v/>
      </c>
      <c r="J2375" t="inlineStr">
        <is>
          <t>MVS Sec.17 p.32</t>
        </is>
      </c>
    </row>
    <row r="2376">
      <c r="B2376" t="inlineStr">
        <is>
          <t>Free-Stall Barns</t>
        </is>
      </c>
      <c r="C2376" t="inlineStr">
        <is>
          <t>469</t>
        </is>
      </c>
      <c r="D2376" t="inlineStr">
        <is>
          <t>17</t>
        </is>
      </c>
      <c r="E2376" t="inlineStr">
        <is>
          <t>32</t>
        </is>
      </c>
      <c r="F2376" t="inlineStr">
        <is>
          <t>DPOLE</t>
        </is>
      </c>
      <c r="G2376" t="inlineStr">
        <is>
          <t>Good</t>
        </is>
      </c>
      <c r="H2376" t="n">
        <v>28.5</v>
      </c>
      <c r="I2376">
        <f>B2376&amp;"~"&amp;F2376&amp;"~"&amp;G2376</f>
        <v/>
      </c>
      <c r="J2376" t="inlineStr">
        <is>
          <t>MVS Sec.17 p.32</t>
        </is>
      </c>
    </row>
    <row r="2377">
      <c r="B2377" t="inlineStr">
        <is>
          <t>Free-Stall Barns</t>
        </is>
      </c>
      <c r="C2377" t="inlineStr">
        <is>
          <t>469</t>
        </is>
      </c>
      <c r="D2377" t="inlineStr">
        <is>
          <t>17</t>
        </is>
      </c>
      <c r="E2377" t="inlineStr">
        <is>
          <t>32</t>
        </is>
      </c>
      <c r="F2377" t="inlineStr">
        <is>
          <t>DPOLE</t>
        </is>
      </c>
      <c r="G2377" t="inlineStr">
        <is>
          <t>Average</t>
        </is>
      </c>
      <c r="H2377" t="n">
        <v>20.7</v>
      </c>
      <c r="I2377">
        <f>B2377&amp;"~"&amp;F2377&amp;"~"&amp;G2377</f>
        <v/>
      </c>
      <c r="J2377" t="inlineStr">
        <is>
          <t>MVS Sec.17 p.32</t>
        </is>
      </c>
    </row>
    <row r="2378">
      <c r="B2378" t="inlineStr">
        <is>
          <t>Free-Stall Barns</t>
        </is>
      </c>
      <c r="C2378" t="inlineStr">
        <is>
          <t>469</t>
        </is>
      </c>
      <c r="D2378" t="inlineStr">
        <is>
          <t>17</t>
        </is>
      </c>
      <c r="E2378" t="inlineStr">
        <is>
          <t>32</t>
        </is>
      </c>
      <c r="F2378" t="inlineStr">
        <is>
          <t>DPOLE</t>
        </is>
      </c>
      <c r="G2378" t="inlineStr">
        <is>
          <t>Low Cost</t>
        </is>
      </c>
      <c r="H2378" t="n">
        <v>15.1</v>
      </c>
      <c r="I2378">
        <f>B2378&amp;"~"&amp;F2378&amp;"~"&amp;G2378</f>
        <v/>
      </c>
      <c r="J2378" t="inlineStr">
        <is>
          <t>MVS Sec.17 p.32</t>
        </is>
      </c>
    </row>
    <row r="2379">
      <c r="B2379" t="inlineStr">
        <is>
          <t>Free-Stall Barns</t>
        </is>
      </c>
      <c r="C2379" t="inlineStr">
        <is>
          <t>469</t>
        </is>
      </c>
      <c r="D2379" t="inlineStr">
        <is>
          <t>17</t>
        </is>
      </c>
      <c r="E2379" t="inlineStr">
        <is>
          <t>32</t>
        </is>
      </c>
      <c r="F2379" t="inlineStr">
        <is>
          <t>DPOLE</t>
        </is>
      </c>
      <c r="G2379" t="inlineStr">
        <is>
          <t>Cheap</t>
        </is>
      </c>
      <c r="H2379" t="n">
        <v>10.75</v>
      </c>
      <c r="I2379">
        <f>B2379&amp;"~"&amp;F2379&amp;"~"&amp;G2379</f>
        <v/>
      </c>
      <c r="J2379" t="inlineStr">
        <is>
          <t>MVS Sec.17 p.32</t>
        </is>
      </c>
    </row>
    <row r="2380">
      <c r="B2380" t="inlineStr">
        <is>
          <t>Free-Stall Barns</t>
        </is>
      </c>
      <c r="C2380" t="inlineStr">
        <is>
          <t>469</t>
        </is>
      </c>
      <c r="D2380" t="inlineStr">
        <is>
          <t>17</t>
        </is>
      </c>
      <c r="E2380" t="inlineStr">
        <is>
          <t>32</t>
        </is>
      </c>
      <c r="F2380" t="inlineStr">
        <is>
          <t>DHOOP</t>
        </is>
      </c>
      <c r="G2380" t="inlineStr">
        <is>
          <t>Average</t>
        </is>
      </c>
      <c r="H2380" t="n">
        <v>18</v>
      </c>
      <c r="I2380">
        <f>B2380&amp;"~"&amp;F2380&amp;"~"&amp;G2380</f>
        <v/>
      </c>
      <c r="J2380" t="inlineStr">
        <is>
          <t>MVS Sec.17 p.32</t>
        </is>
      </c>
    </row>
    <row r="2381">
      <c r="B2381" t="inlineStr">
        <is>
          <t>Free-Stall Barns</t>
        </is>
      </c>
      <c r="C2381" t="inlineStr">
        <is>
          <t>469</t>
        </is>
      </c>
      <c r="D2381" t="inlineStr">
        <is>
          <t>17</t>
        </is>
      </c>
      <c r="E2381" t="inlineStr">
        <is>
          <t>32</t>
        </is>
      </c>
      <c r="F2381" t="inlineStr">
        <is>
          <t>DHOOP</t>
        </is>
      </c>
      <c r="G2381" t="inlineStr">
        <is>
          <t>Low Cost</t>
        </is>
      </c>
      <c r="H2381" t="n">
        <v>13.75</v>
      </c>
      <c r="I2381">
        <f>B2381&amp;"~"&amp;F2381&amp;"~"&amp;G2381</f>
        <v/>
      </c>
      <c r="J2381" t="inlineStr">
        <is>
          <t>MVS Sec.17 p.32</t>
        </is>
      </c>
    </row>
    <row r="2382">
      <c r="B2382" t="inlineStr">
        <is>
          <t>Free-Stall Barns</t>
        </is>
      </c>
      <c r="C2382" t="inlineStr">
        <is>
          <t>469</t>
        </is>
      </c>
      <c r="D2382" t="inlineStr">
        <is>
          <t>17</t>
        </is>
      </c>
      <c r="E2382" t="inlineStr">
        <is>
          <t>32</t>
        </is>
      </c>
      <c r="F2382" t="inlineStr">
        <is>
          <t>DHOOP</t>
        </is>
      </c>
      <c r="G2382" t="inlineStr">
        <is>
          <t>Cheap</t>
        </is>
      </c>
      <c r="H2382" t="n">
        <v>12.05</v>
      </c>
      <c r="I2382">
        <f>B2382&amp;"~"&amp;F2382&amp;"~"&amp;G2382</f>
        <v/>
      </c>
      <c r="J2382" t="inlineStr">
        <is>
          <t>MVS Sec.17 p.32</t>
        </is>
      </c>
    </row>
    <row r="2383">
      <c r="B2383" t="inlineStr">
        <is>
          <t>Free-Stall Barns</t>
        </is>
      </c>
      <c r="C2383" t="inlineStr">
        <is>
          <t>469</t>
        </is>
      </c>
      <c r="D2383" t="inlineStr">
        <is>
          <t>17</t>
        </is>
      </c>
      <c r="E2383" t="inlineStr">
        <is>
          <t>32</t>
        </is>
      </c>
      <c r="F2383" t="inlineStr">
        <is>
          <t>S</t>
        </is>
      </c>
      <c r="G2383" t="inlineStr">
        <is>
          <t>Excellent</t>
        </is>
      </c>
      <c r="H2383" t="n">
        <v>42.25</v>
      </c>
      <c r="I2383">
        <f>B2383&amp;"~"&amp;F2383&amp;"~"&amp;G2383</f>
        <v/>
      </c>
      <c r="J2383" t="inlineStr">
        <is>
          <t>MVS Sec.17 p.32</t>
        </is>
      </c>
    </row>
    <row r="2384">
      <c r="B2384" t="inlineStr">
        <is>
          <t>Free-Stall Barns</t>
        </is>
      </c>
      <c r="C2384" t="inlineStr">
        <is>
          <t>469</t>
        </is>
      </c>
      <c r="D2384" t="inlineStr">
        <is>
          <t>17</t>
        </is>
      </c>
      <c r="E2384" t="inlineStr">
        <is>
          <t>32</t>
        </is>
      </c>
      <c r="F2384" t="inlineStr">
        <is>
          <t>S</t>
        </is>
      </c>
      <c r="G2384" t="inlineStr">
        <is>
          <t>Good</t>
        </is>
      </c>
      <c r="H2384" t="n">
        <v>31.75</v>
      </c>
      <c r="I2384">
        <f>B2384&amp;"~"&amp;F2384&amp;"~"&amp;G2384</f>
        <v/>
      </c>
      <c r="J2384" t="inlineStr">
        <is>
          <t>MVS Sec.17 p.32</t>
        </is>
      </c>
    </row>
    <row r="2385">
      <c r="B2385" t="inlineStr">
        <is>
          <t>Free-Stall Barns</t>
        </is>
      </c>
      <c r="C2385" t="inlineStr">
        <is>
          <t>469</t>
        </is>
      </c>
      <c r="D2385" t="inlineStr">
        <is>
          <t>17</t>
        </is>
      </c>
      <c r="E2385" t="inlineStr">
        <is>
          <t>32</t>
        </is>
      </c>
      <c r="F2385" t="inlineStr">
        <is>
          <t>S</t>
        </is>
      </c>
      <c r="G2385" t="inlineStr">
        <is>
          <t>Average</t>
        </is>
      </c>
      <c r="H2385" t="n">
        <v>23.6</v>
      </c>
      <c r="I2385">
        <f>B2385&amp;"~"&amp;F2385&amp;"~"&amp;G2385</f>
        <v/>
      </c>
      <c r="J2385" t="inlineStr">
        <is>
          <t>MVS Sec.17 p.32</t>
        </is>
      </c>
    </row>
    <row r="2386">
      <c r="B2386" t="inlineStr">
        <is>
          <t>Free-Stall Barns</t>
        </is>
      </c>
      <c r="C2386" t="inlineStr">
        <is>
          <t>469</t>
        </is>
      </c>
      <c r="D2386" t="inlineStr">
        <is>
          <t>17</t>
        </is>
      </c>
      <c r="E2386" t="inlineStr">
        <is>
          <t>32</t>
        </is>
      </c>
      <c r="F2386" t="inlineStr">
        <is>
          <t>S</t>
        </is>
      </c>
      <c r="G2386" t="inlineStr">
        <is>
          <t>Low Cost</t>
        </is>
      </c>
      <c r="H2386" t="n">
        <v>17.65</v>
      </c>
      <c r="I2386">
        <f>B2386&amp;"~"&amp;F2386&amp;"~"&amp;G2386</f>
        <v/>
      </c>
      <c r="J2386" t="inlineStr">
        <is>
          <t>MVS Sec.17 p.32</t>
        </is>
      </c>
    </row>
    <row r="2387">
      <c r="B2387" t="inlineStr">
        <is>
          <t>Free-Stall Barns</t>
        </is>
      </c>
      <c r="C2387" t="inlineStr">
        <is>
          <t>469</t>
        </is>
      </c>
      <c r="D2387" t="inlineStr">
        <is>
          <t>17</t>
        </is>
      </c>
      <c r="E2387" t="inlineStr">
        <is>
          <t>32</t>
        </is>
      </c>
      <c r="F2387" t="inlineStr">
        <is>
          <t>S</t>
        </is>
      </c>
      <c r="G2387" t="inlineStr">
        <is>
          <t>Cheap</t>
        </is>
      </c>
      <c r="H2387" t="n">
        <v>11.45</v>
      </c>
      <c r="I2387">
        <f>B2387&amp;"~"&amp;F2387&amp;"~"&amp;G2387</f>
        <v/>
      </c>
      <c r="J2387" t="inlineStr">
        <is>
          <t>MVS Sec.17 p.32</t>
        </is>
      </c>
    </row>
    <row r="2388">
      <c r="B2388" t="inlineStr">
        <is>
          <t>Confinement Barns</t>
        </is>
      </c>
      <c r="C2388" t="inlineStr">
        <is>
          <t>105</t>
        </is>
      </c>
      <c r="D2388" t="inlineStr">
        <is>
          <t>17</t>
        </is>
      </c>
      <c r="E2388" t="inlineStr">
        <is>
          <t>32</t>
        </is>
      </c>
      <c r="F2388" t="inlineStr">
        <is>
          <t>D</t>
        </is>
      </c>
      <c r="G2388" t="inlineStr">
        <is>
          <t>Average</t>
        </is>
      </c>
      <c r="H2388" t="n">
        <v>30.5</v>
      </c>
      <c r="I2388">
        <f>B2388&amp;"~"&amp;F2388&amp;"~"&amp;G2388</f>
        <v/>
      </c>
      <c r="J2388" t="inlineStr">
        <is>
          <t>MVS Sec.17 p.32</t>
        </is>
      </c>
    </row>
    <row r="2389">
      <c r="B2389" t="inlineStr">
        <is>
          <t>Confinement Barns</t>
        </is>
      </c>
      <c r="C2389" t="inlineStr">
        <is>
          <t>105</t>
        </is>
      </c>
      <c r="D2389" t="inlineStr">
        <is>
          <t>17</t>
        </is>
      </c>
      <c r="E2389" t="inlineStr">
        <is>
          <t>32</t>
        </is>
      </c>
      <c r="F2389" t="inlineStr">
        <is>
          <t>D</t>
        </is>
      </c>
      <c r="G2389" t="inlineStr">
        <is>
          <t>Low Cost</t>
        </is>
      </c>
      <c r="H2389" t="n">
        <v>15.2</v>
      </c>
      <c r="I2389">
        <f>B2389&amp;"~"&amp;F2389&amp;"~"&amp;G2389</f>
        <v/>
      </c>
      <c r="J2389" t="inlineStr">
        <is>
          <t>MVS Sec.17 p.32</t>
        </is>
      </c>
    </row>
    <row r="2390">
      <c r="B2390" t="inlineStr">
        <is>
          <t>Confinement Barns</t>
        </is>
      </c>
      <c r="C2390" t="inlineStr">
        <is>
          <t>105</t>
        </is>
      </c>
      <c r="D2390" t="inlineStr">
        <is>
          <t>17</t>
        </is>
      </c>
      <c r="E2390" t="inlineStr">
        <is>
          <t>32</t>
        </is>
      </c>
      <c r="F2390" t="inlineStr">
        <is>
          <t>DPOLE</t>
        </is>
      </c>
      <c r="G2390" t="inlineStr">
        <is>
          <t>Average</t>
        </is>
      </c>
      <c r="H2390" t="n">
        <v>27.5</v>
      </c>
      <c r="I2390">
        <f>B2390&amp;"~"&amp;F2390&amp;"~"&amp;G2390</f>
        <v/>
      </c>
      <c r="J2390" t="inlineStr">
        <is>
          <t>MVS Sec.17 p.32</t>
        </is>
      </c>
    </row>
    <row r="2391">
      <c r="B2391" t="inlineStr">
        <is>
          <t>Confinement Barns</t>
        </is>
      </c>
      <c r="C2391" t="inlineStr">
        <is>
          <t>105</t>
        </is>
      </c>
      <c r="D2391" t="inlineStr">
        <is>
          <t>17</t>
        </is>
      </c>
      <c r="E2391" t="inlineStr">
        <is>
          <t>32</t>
        </is>
      </c>
      <c r="F2391" t="inlineStr">
        <is>
          <t>DPOLE</t>
        </is>
      </c>
      <c r="G2391" t="inlineStr">
        <is>
          <t>Low Cost</t>
        </is>
      </c>
      <c r="H2391" t="n">
        <v>13.2</v>
      </c>
      <c r="I2391">
        <f>B2391&amp;"~"&amp;F2391&amp;"~"&amp;G2391</f>
        <v/>
      </c>
      <c r="J2391" t="inlineStr">
        <is>
          <t>MVS Sec.17 p.32</t>
        </is>
      </c>
    </row>
    <row r="2392">
      <c r="B2392" t="inlineStr">
        <is>
          <t>Confinement Barns</t>
        </is>
      </c>
      <c r="C2392" t="inlineStr">
        <is>
          <t>105</t>
        </is>
      </c>
      <c r="D2392" t="inlineStr">
        <is>
          <t>17</t>
        </is>
      </c>
      <c r="E2392" t="inlineStr">
        <is>
          <t>32</t>
        </is>
      </c>
      <c r="F2392" t="inlineStr">
        <is>
          <t>DHOOP</t>
        </is>
      </c>
      <c r="G2392" t="inlineStr">
        <is>
          <t>Low Cost</t>
        </is>
      </c>
      <c r="H2392" t="n">
        <v>9.41</v>
      </c>
      <c r="I2392">
        <f>B2392&amp;"~"&amp;F2392&amp;"~"&amp;G2392</f>
        <v/>
      </c>
      <c r="J2392" t="inlineStr">
        <is>
          <t>MVS Sec.17 p.32</t>
        </is>
      </c>
    </row>
    <row r="2393">
      <c r="B2393" t="inlineStr">
        <is>
          <t>Confinement Barns</t>
        </is>
      </c>
      <c r="C2393" t="inlineStr">
        <is>
          <t>105</t>
        </is>
      </c>
      <c r="D2393" t="inlineStr">
        <is>
          <t>17</t>
        </is>
      </c>
      <c r="E2393" t="inlineStr">
        <is>
          <t>32</t>
        </is>
      </c>
      <c r="F2393" t="inlineStr">
        <is>
          <t>S</t>
        </is>
      </c>
      <c r="G2393" t="inlineStr">
        <is>
          <t>Average</t>
        </is>
      </c>
      <c r="H2393" t="n">
        <v>30</v>
      </c>
      <c r="I2393">
        <f>B2393&amp;"~"&amp;F2393&amp;"~"&amp;G2393</f>
        <v/>
      </c>
      <c r="J2393" t="inlineStr">
        <is>
          <t>MVS Sec.17 p.32</t>
        </is>
      </c>
    </row>
    <row r="2394">
      <c r="B2394" t="inlineStr">
        <is>
          <t>Confinement Barns</t>
        </is>
      </c>
      <c r="C2394" t="inlineStr">
        <is>
          <t>105</t>
        </is>
      </c>
      <c r="D2394" t="inlineStr">
        <is>
          <t>17</t>
        </is>
      </c>
      <c r="E2394" t="inlineStr">
        <is>
          <t>32</t>
        </is>
      </c>
      <c r="F2394" t="inlineStr">
        <is>
          <t>S</t>
        </is>
      </c>
      <c r="G2394" t="inlineStr">
        <is>
          <t>Low Cost</t>
        </is>
      </c>
      <c r="H2394" t="n">
        <v>15.65</v>
      </c>
      <c r="I2394">
        <f>B2394&amp;"~"&amp;F2394&amp;"~"&amp;G2394</f>
        <v/>
      </c>
      <c r="J2394" t="inlineStr">
        <is>
          <t>MVS Sec.17 p.32</t>
        </is>
      </c>
    </row>
    <row r="2395">
      <c r="B2395" t="inlineStr">
        <is>
          <t>Feeder Barns – Sheds</t>
        </is>
      </c>
      <c r="C2395" t="inlineStr">
        <is>
          <t>561</t>
        </is>
      </c>
      <c r="D2395" t="inlineStr">
        <is>
          <t>17</t>
        </is>
      </c>
      <c r="E2395" t="inlineStr">
        <is>
          <t>33</t>
        </is>
      </c>
      <c r="F2395" t="inlineStr">
        <is>
          <t>D</t>
        </is>
      </c>
      <c r="G2395" t="inlineStr">
        <is>
          <t>Good</t>
        </is>
      </c>
      <c r="H2395" t="n">
        <v>12.95</v>
      </c>
      <c r="I2395">
        <f>B2395&amp;"~"&amp;F2395&amp;"~"&amp;G2395</f>
        <v/>
      </c>
      <c r="J2395" t="inlineStr">
        <is>
          <t>MVS Sec.17 p.33</t>
        </is>
      </c>
    </row>
    <row r="2396">
      <c r="B2396" t="inlineStr">
        <is>
          <t>Feeder Barns – Sheds</t>
        </is>
      </c>
      <c r="C2396" t="inlineStr">
        <is>
          <t>561</t>
        </is>
      </c>
      <c r="D2396" t="inlineStr">
        <is>
          <t>17</t>
        </is>
      </c>
      <c r="E2396" t="inlineStr">
        <is>
          <t>33</t>
        </is>
      </c>
      <c r="F2396" t="inlineStr">
        <is>
          <t>D</t>
        </is>
      </c>
      <c r="G2396" t="inlineStr">
        <is>
          <t>Average</t>
        </is>
      </c>
      <c r="H2396" t="n">
        <v>11.4</v>
      </c>
      <c r="I2396">
        <f>B2396&amp;"~"&amp;F2396&amp;"~"&amp;G2396</f>
        <v/>
      </c>
      <c r="J2396" t="inlineStr">
        <is>
          <t>MVS Sec.17 p.33</t>
        </is>
      </c>
    </row>
    <row r="2397">
      <c r="B2397" t="inlineStr">
        <is>
          <t>Feeder Barns – Sheds</t>
        </is>
      </c>
      <c r="C2397" t="inlineStr">
        <is>
          <t>561</t>
        </is>
      </c>
      <c r="D2397" t="inlineStr">
        <is>
          <t>17</t>
        </is>
      </c>
      <c r="E2397" t="inlineStr">
        <is>
          <t>33</t>
        </is>
      </c>
      <c r="F2397" t="inlineStr">
        <is>
          <t>D</t>
        </is>
      </c>
      <c r="G2397" t="inlineStr">
        <is>
          <t>Low Cost</t>
        </is>
      </c>
      <c r="H2397" t="n">
        <v>10.05</v>
      </c>
      <c r="I2397">
        <f>B2397&amp;"~"&amp;F2397&amp;"~"&amp;G2397</f>
        <v/>
      </c>
      <c r="J2397" t="inlineStr">
        <is>
          <t>MVS Sec.17 p.33</t>
        </is>
      </c>
    </row>
    <row r="2398">
      <c r="B2398" t="inlineStr">
        <is>
          <t>Feeder Barns – Sheds</t>
        </is>
      </c>
      <c r="C2398" t="inlineStr">
        <is>
          <t>561</t>
        </is>
      </c>
      <c r="D2398" t="inlineStr">
        <is>
          <t>17</t>
        </is>
      </c>
      <c r="E2398" t="inlineStr">
        <is>
          <t>33</t>
        </is>
      </c>
      <c r="F2398" t="inlineStr">
        <is>
          <t>DPOLE</t>
        </is>
      </c>
      <c r="G2398" t="inlineStr">
        <is>
          <t>Good</t>
        </is>
      </c>
      <c r="H2398" t="n">
        <v>10.95</v>
      </c>
      <c r="I2398">
        <f>B2398&amp;"~"&amp;F2398&amp;"~"&amp;G2398</f>
        <v/>
      </c>
      <c r="J2398" t="inlineStr">
        <is>
          <t>MVS Sec.17 p.33</t>
        </is>
      </c>
    </row>
    <row r="2399">
      <c r="B2399" t="inlineStr">
        <is>
          <t>Feeder Barns – Sheds</t>
        </is>
      </c>
      <c r="C2399" t="inlineStr">
        <is>
          <t>561</t>
        </is>
      </c>
      <c r="D2399" t="inlineStr">
        <is>
          <t>17</t>
        </is>
      </c>
      <c r="E2399" t="inlineStr">
        <is>
          <t>33</t>
        </is>
      </c>
      <c r="F2399" t="inlineStr">
        <is>
          <t>DPOLE</t>
        </is>
      </c>
      <c r="G2399" t="inlineStr">
        <is>
          <t>Average</t>
        </is>
      </c>
      <c r="H2399" t="n">
        <v>9.630000000000001</v>
      </c>
      <c r="I2399">
        <f>B2399&amp;"~"&amp;F2399&amp;"~"&amp;G2399</f>
        <v/>
      </c>
      <c r="J2399" t="inlineStr">
        <is>
          <t>MVS Sec.17 p.33</t>
        </is>
      </c>
    </row>
    <row r="2400">
      <c r="B2400" t="inlineStr">
        <is>
          <t>Feeder Barns – Sheds</t>
        </is>
      </c>
      <c r="C2400" t="inlineStr">
        <is>
          <t>561</t>
        </is>
      </c>
      <c r="D2400" t="inlineStr">
        <is>
          <t>17</t>
        </is>
      </c>
      <c r="E2400" t="inlineStr">
        <is>
          <t>33</t>
        </is>
      </c>
      <c r="F2400" t="inlineStr">
        <is>
          <t>DPOLE</t>
        </is>
      </c>
      <c r="G2400" t="inlineStr">
        <is>
          <t>Low Cost</t>
        </is>
      </c>
      <c r="H2400" t="n">
        <v>8.449999999999999</v>
      </c>
      <c r="I2400">
        <f>B2400&amp;"~"&amp;F2400&amp;"~"&amp;G2400</f>
        <v/>
      </c>
      <c r="J2400" t="inlineStr">
        <is>
          <t>MVS Sec.17 p.33</t>
        </is>
      </c>
    </row>
    <row r="2401">
      <c r="B2401" t="inlineStr">
        <is>
          <t>Feeder Barns – Sheds</t>
        </is>
      </c>
      <c r="C2401" t="inlineStr">
        <is>
          <t>561</t>
        </is>
      </c>
      <c r="D2401" t="inlineStr">
        <is>
          <t>17</t>
        </is>
      </c>
      <c r="E2401" t="inlineStr">
        <is>
          <t>33</t>
        </is>
      </c>
      <c r="F2401" t="inlineStr">
        <is>
          <t>DHOOP</t>
        </is>
      </c>
      <c r="G2401" t="inlineStr">
        <is>
          <t>Average</t>
        </is>
      </c>
      <c r="H2401" t="n">
        <v>9.09</v>
      </c>
      <c r="I2401">
        <f>B2401&amp;"~"&amp;F2401&amp;"~"&amp;G2401</f>
        <v/>
      </c>
      <c r="J2401" t="inlineStr">
        <is>
          <t>MVS Sec.17 p.33</t>
        </is>
      </c>
    </row>
    <row r="2402">
      <c r="B2402" t="inlineStr">
        <is>
          <t>Feeder Barns – Sheds</t>
        </is>
      </c>
      <c r="C2402" t="inlineStr">
        <is>
          <t>561</t>
        </is>
      </c>
      <c r="D2402" t="inlineStr">
        <is>
          <t>17</t>
        </is>
      </c>
      <c r="E2402" t="inlineStr">
        <is>
          <t>33</t>
        </is>
      </c>
      <c r="F2402" t="inlineStr">
        <is>
          <t>DHOOP</t>
        </is>
      </c>
      <c r="G2402" t="inlineStr">
        <is>
          <t>Low Cost</t>
        </is>
      </c>
      <c r="H2402" t="n">
        <v>7.98</v>
      </c>
      <c r="I2402">
        <f>B2402&amp;"~"&amp;F2402&amp;"~"&amp;G2402</f>
        <v/>
      </c>
      <c r="J2402" t="inlineStr">
        <is>
          <t>MVS Sec.17 p.33</t>
        </is>
      </c>
    </row>
    <row r="2403">
      <c r="B2403" t="inlineStr">
        <is>
          <t>Feeder Barns – Sheds</t>
        </is>
      </c>
      <c r="C2403" t="inlineStr">
        <is>
          <t>561</t>
        </is>
      </c>
      <c r="D2403" t="inlineStr">
        <is>
          <t>17</t>
        </is>
      </c>
      <c r="E2403" t="inlineStr">
        <is>
          <t>33</t>
        </is>
      </c>
      <c r="F2403" t="inlineStr">
        <is>
          <t>S</t>
        </is>
      </c>
      <c r="G2403" t="inlineStr">
        <is>
          <t>Good</t>
        </is>
      </c>
      <c r="H2403" t="n">
        <v>13.75</v>
      </c>
      <c r="I2403">
        <f>B2403&amp;"~"&amp;F2403&amp;"~"&amp;G2403</f>
        <v/>
      </c>
      <c r="J2403" t="inlineStr">
        <is>
          <t>MVS Sec.17 p.33</t>
        </is>
      </c>
    </row>
    <row r="2404">
      <c r="B2404" t="inlineStr">
        <is>
          <t>Feeder Barns – Sheds</t>
        </is>
      </c>
      <c r="C2404" t="inlineStr">
        <is>
          <t>561</t>
        </is>
      </c>
      <c r="D2404" t="inlineStr">
        <is>
          <t>17</t>
        </is>
      </c>
      <c r="E2404" t="inlineStr">
        <is>
          <t>33</t>
        </is>
      </c>
      <c r="F2404" t="inlineStr">
        <is>
          <t>S</t>
        </is>
      </c>
      <c r="G2404" t="inlineStr">
        <is>
          <t>Average</t>
        </is>
      </c>
      <c r="H2404" t="n">
        <v>12.25</v>
      </c>
      <c r="I2404">
        <f>B2404&amp;"~"&amp;F2404&amp;"~"&amp;G2404</f>
        <v/>
      </c>
      <c r="J2404" t="inlineStr">
        <is>
          <t>MVS Sec.17 p.33</t>
        </is>
      </c>
    </row>
    <row r="2405">
      <c r="B2405" t="inlineStr">
        <is>
          <t>Feeder Barns – Sheds</t>
        </is>
      </c>
      <c r="C2405" t="inlineStr">
        <is>
          <t>561</t>
        </is>
      </c>
      <c r="D2405" t="inlineStr">
        <is>
          <t>17</t>
        </is>
      </c>
      <c r="E2405" t="inlineStr">
        <is>
          <t>33</t>
        </is>
      </c>
      <c r="F2405" t="inlineStr">
        <is>
          <t>S</t>
        </is>
      </c>
      <c r="G2405" t="inlineStr">
        <is>
          <t>Low Cost</t>
        </is>
      </c>
      <c r="H2405" t="n">
        <v>10.9</v>
      </c>
      <c r="I2405">
        <f>B2405&amp;"~"&amp;F2405&amp;"~"&amp;G2405</f>
        <v/>
      </c>
      <c r="J2405" t="inlineStr">
        <is>
          <t>MVS Sec.17 p.33</t>
        </is>
      </c>
    </row>
    <row r="2406">
      <c r="B2406" t="inlineStr">
        <is>
          <t>Loafing Sheds</t>
        </is>
      </c>
      <c r="C2406" t="inlineStr">
        <is>
          <t>113</t>
        </is>
      </c>
      <c r="D2406" t="inlineStr">
        <is>
          <t>17</t>
        </is>
      </c>
      <c r="E2406" t="inlineStr">
        <is>
          <t>33</t>
        </is>
      </c>
      <c r="F2406" t="inlineStr">
        <is>
          <t>D</t>
        </is>
      </c>
      <c r="G2406" t="inlineStr">
        <is>
          <t>Good</t>
        </is>
      </c>
      <c r="H2406" t="n">
        <v>11.3</v>
      </c>
      <c r="I2406">
        <f>B2406&amp;"~"&amp;F2406&amp;"~"&amp;G2406</f>
        <v/>
      </c>
      <c r="J2406" t="inlineStr">
        <is>
          <t>MVS Sec.17 p.33</t>
        </is>
      </c>
    </row>
    <row r="2407">
      <c r="B2407" t="inlineStr">
        <is>
          <t>Loafing Sheds</t>
        </is>
      </c>
      <c r="C2407" t="inlineStr">
        <is>
          <t>113</t>
        </is>
      </c>
      <c r="D2407" t="inlineStr">
        <is>
          <t>17</t>
        </is>
      </c>
      <c r="E2407" t="inlineStr">
        <is>
          <t>33</t>
        </is>
      </c>
      <c r="F2407" t="inlineStr">
        <is>
          <t>D</t>
        </is>
      </c>
      <c r="G2407" t="inlineStr">
        <is>
          <t>Average</t>
        </is>
      </c>
      <c r="H2407" t="n">
        <v>10.55</v>
      </c>
      <c r="I2407">
        <f>B2407&amp;"~"&amp;F2407&amp;"~"&amp;G2407</f>
        <v/>
      </c>
      <c r="J2407" t="inlineStr">
        <is>
          <t>MVS Sec.17 p.33</t>
        </is>
      </c>
    </row>
    <row r="2408">
      <c r="B2408" t="inlineStr">
        <is>
          <t>Loafing Sheds</t>
        </is>
      </c>
      <c r="C2408" t="inlineStr">
        <is>
          <t>113</t>
        </is>
      </c>
      <c r="D2408" t="inlineStr">
        <is>
          <t>17</t>
        </is>
      </c>
      <c r="E2408" t="inlineStr">
        <is>
          <t>33</t>
        </is>
      </c>
      <c r="F2408" t="inlineStr">
        <is>
          <t>D</t>
        </is>
      </c>
      <c r="G2408" t="inlineStr">
        <is>
          <t>Low Cost</t>
        </is>
      </c>
      <c r="H2408" t="n">
        <v>9.859999999999999</v>
      </c>
      <c r="I2408">
        <f>B2408&amp;"~"&amp;F2408&amp;"~"&amp;G2408</f>
        <v/>
      </c>
      <c r="J2408" t="inlineStr">
        <is>
          <t>MVS Sec.17 p.33</t>
        </is>
      </c>
    </row>
    <row r="2409">
      <c r="B2409" t="inlineStr">
        <is>
          <t>Loafing Sheds</t>
        </is>
      </c>
      <c r="C2409" t="inlineStr">
        <is>
          <t>113</t>
        </is>
      </c>
      <c r="D2409" t="inlineStr">
        <is>
          <t>17</t>
        </is>
      </c>
      <c r="E2409" t="inlineStr">
        <is>
          <t>33</t>
        </is>
      </c>
      <c r="F2409" t="inlineStr">
        <is>
          <t>DPOLE</t>
        </is>
      </c>
      <c r="G2409" t="inlineStr">
        <is>
          <t>Low Cost</t>
        </is>
      </c>
      <c r="H2409" t="n">
        <v>8.25</v>
      </c>
      <c r="I2409">
        <f>B2409&amp;"~"&amp;F2409&amp;"~"&amp;G2409</f>
        <v/>
      </c>
      <c r="J2409" t="inlineStr">
        <is>
          <t>MVS Sec.17 p.33</t>
        </is>
      </c>
    </row>
    <row r="2410">
      <c r="B2410" t="inlineStr">
        <is>
          <t>Loafing Sheds</t>
        </is>
      </c>
      <c r="C2410" t="inlineStr">
        <is>
          <t>113</t>
        </is>
      </c>
      <c r="D2410" t="inlineStr">
        <is>
          <t>17</t>
        </is>
      </c>
      <c r="E2410" t="inlineStr">
        <is>
          <t>33</t>
        </is>
      </c>
      <c r="F2410" t="inlineStr">
        <is>
          <t>S</t>
        </is>
      </c>
      <c r="G2410" t="inlineStr">
        <is>
          <t>Low Cost</t>
        </is>
      </c>
      <c r="H2410" t="n">
        <v>10.65</v>
      </c>
      <c r="I2410">
        <f>B2410&amp;"~"&amp;F2410&amp;"~"&amp;G2410</f>
        <v/>
      </c>
      <c r="J2410" t="inlineStr">
        <is>
          <t>MVS Sec.17 p.33</t>
        </is>
      </c>
    </row>
    <row r="2411">
      <c r="B2411" t="inlineStr">
        <is>
          <t>Farm Utility Shelters (Open Hay Sheds)</t>
        </is>
      </c>
      <c r="C2411" t="inlineStr">
        <is>
          <t>565</t>
        </is>
      </c>
      <c r="D2411" t="inlineStr">
        <is>
          <t>17</t>
        </is>
      </c>
      <c r="E2411" t="inlineStr">
        <is>
          <t>33</t>
        </is>
      </c>
      <c r="F2411" t="inlineStr">
        <is>
          <t>D</t>
        </is>
      </c>
      <c r="G2411" t="inlineStr">
        <is>
          <t>Good</t>
        </is>
      </c>
      <c r="H2411" t="n">
        <v>7.94</v>
      </c>
      <c r="I2411">
        <f>B2411&amp;"~"&amp;F2411&amp;"~"&amp;G2411</f>
        <v/>
      </c>
      <c r="J2411" t="inlineStr">
        <is>
          <t>MVS Sec.17 p.33 (midpoint of 6.62-9.25 range)</t>
        </is>
      </c>
    </row>
    <row r="2412">
      <c r="B2412" t="inlineStr">
        <is>
          <t>Farm Utility Shelters (Open Hay Sheds)</t>
        </is>
      </c>
      <c r="C2412" t="inlineStr">
        <is>
          <t>565</t>
        </is>
      </c>
      <c r="D2412" t="inlineStr">
        <is>
          <t>17</t>
        </is>
      </c>
      <c r="E2412" t="inlineStr">
        <is>
          <t>33</t>
        </is>
      </c>
      <c r="F2412" t="inlineStr">
        <is>
          <t>D</t>
        </is>
      </c>
      <c r="G2412" t="inlineStr">
        <is>
          <t>Average</t>
        </is>
      </c>
      <c r="H2412" t="n">
        <v>6.19</v>
      </c>
      <c r="I2412">
        <f>B2412&amp;"~"&amp;F2412&amp;"~"&amp;G2412</f>
        <v/>
      </c>
      <c r="J2412" t="inlineStr">
        <is>
          <t>MVS Sec.17 p.33 (midpoint of 5.16-7.21 range)</t>
        </is>
      </c>
    </row>
    <row r="2413">
      <c r="B2413" t="inlineStr">
        <is>
          <t>Farm Utility Shelters (Open Hay Sheds)</t>
        </is>
      </c>
      <c r="C2413" t="inlineStr">
        <is>
          <t>565</t>
        </is>
      </c>
      <c r="D2413" t="inlineStr">
        <is>
          <t>17</t>
        </is>
      </c>
      <c r="E2413" t="inlineStr">
        <is>
          <t>33</t>
        </is>
      </c>
      <c r="F2413" t="inlineStr">
        <is>
          <t>S</t>
        </is>
      </c>
      <c r="G2413" t="inlineStr">
        <is>
          <t>Good</t>
        </is>
      </c>
      <c r="H2413" t="n">
        <v>10.61</v>
      </c>
      <c r="I2413">
        <f>B2413&amp;"~"&amp;F2413&amp;"~"&amp;G2413</f>
        <v/>
      </c>
      <c r="J2413" t="inlineStr">
        <is>
          <t>MVS Sec.17 p.33 (midpoint of 8.86-12.35 range)</t>
        </is>
      </c>
    </row>
    <row r="2414">
      <c r="B2414" t="inlineStr">
        <is>
          <t>Farm Utility Shelters (Open Hay Sheds)</t>
        </is>
      </c>
      <c r="C2414" t="inlineStr">
        <is>
          <t>565</t>
        </is>
      </c>
      <c r="D2414" t="inlineStr">
        <is>
          <t>17</t>
        </is>
      </c>
      <c r="E2414" t="inlineStr">
        <is>
          <t>33</t>
        </is>
      </c>
      <c r="F2414" t="inlineStr">
        <is>
          <t>S</t>
        </is>
      </c>
      <c r="G2414" t="inlineStr">
        <is>
          <t>Average</t>
        </is>
      </c>
      <c r="H2414" t="n">
        <v>7.54</v>
      </c>
      <c r="I2414">
        <f>B2414&amp;"~"&amp;F2414&amp;"~"&amp;G2414</f>
        <v/>
      </c>
      <c r="J2414" t="inlineStr">
        <is>
          <t>MVS Sec.17 p.33 (midpoint of 6.3-8.79 range)</t>
        </is>
      </c>
    </row>
    <row r="2415">
      <c r="B2415" t="inlineStr">
        <is>
          <t>Calving Barns – Sheds</t>
        </is>
      </c>
      <c r="C2415" t="inlineStr">
        <is>
          <t>182</t>
        </is>
      </c>
      <c r="D2415" t="inlineStr">
        <is>
          <t>17</t>
        </is>
      </c>
      <c r="E2415" t="inlineStr">
        <is>
          <t>34</t>
        </is>
      </c>
      <c r="F2415" t="inlineStr">
        <is>
          <t>D</t>
        </is>
      </c>
      <c r="G2415" t="inlineStr">
        <is>
          <t>Good</t>
        </is>
      </c>
      <c r="H2415" t="n">
        <v>32</v>
      </c>
      <c r="I2415">
        <f>B2415&amp;"~"&amp;F2415&amp;"~"&amp;G2415</f>
        <v/>
      </c>
      <c r="J2415" t="inlineStr">
        <is>
          <t>MVS Sec.17 p.34</t>
        </is>
      </c>
    </row>
    <row r="2416">
      <c r="B2416" t="inlineStr">
        <is>
          <t>Calving Barns – Sheds</t>
        </is>
      </c>
      <c r="C2416" t="inlineStr">
        <is>
          <t>182</t>
        </is>
      </c>
      <c r="D2416" t="inlineStr">
        <is>
          <t>17</t>
        </is>
      </c>
      <c r="E2416" t="inlineStr">
        <is>
          <t>34</t>
        </is>
      </c>
      <c r="F2416" t="inlineStr">
        <is>
          <t>D</t>
        </is>
      </c>
      <c r="G2416" t="inlineStr">
        <is>
          <t>Average</t>
        </is>
      </c>
      <c r="H2416" t="n">
        <v>23.1</v>
      </c>
      <c r="I2416">
        <f>B2416&amp;"~"&amp;F2416&amp;"~"&amp;G2416</f>
        <v/>
      </c>
      <c r="J2416" t="inlineStr">
        <is>
          <t>MVS Sec.17 p.34</t>
        </is>
      </c>
    </row>
    <row r="2417">
      <c r="B2417" t="inlineStr">
        <is>
          <t>Calving Barns – Sheds</t>
        </is>
      </c>
      <c r="C2417" t="inlineStr">
        <is>
          <t>182</t>
        </is>
      </c>
      <c r="D2417" t="inlineStr">
        <is>
          <t>17</t>
        </is>
      </c>
      <c r="E2417" t="inlineStr">
        <is>
          <t>34</t>
        </is>
      </c>
      <c r="F2417" t="inlineStr">
        <is>
          <t>D</t>
        </is>
      </c>
      <c r="G2417" t="inlineStr">
        <is>
          <t>Low Cost</t>
        </is>
      </c>
      <c r="H2417" t="n">
        <v>16.65</v>
      </c>
      <c r="I2417">
        <f>B2417&amp;"~"&amp;F2417&amp;"~"&amp;G2417</f>
        <v/>
      </c>
      <c r="J2417" t="inlineStr">
        <is>
          <t>MVS Sec.17 p.34</t>
        </is>
      </c>
    </row>
    <row r="2418">
      <c r="B2418" t="inlineStr">
        <is>
          <t>Calving Barns – Sheds</t>
        </is>
      </c>
      <c r="C2418" t="inlineStr">
        <is>
          <t>182</t>
        </is>
      </c>
      <c r="D2418" t="inlineStr">
        <is>
          <t>17</t>
        </is>
      </c>
      <c r="E2418" t="inlineStr">
        <is>
          <t>34</t>
        </is>
      </c>
      <c r="F2418" t="inlineStr">
        <is>
          <t>DPOLE</t>
        </is>
      </c>
      <c r="G2418" t="inlineStr">
        <is>
          <t>Good</t>
        </is>
      </c>
      <c r="H2418" t="n">
        <v>29.25</v>
      </c>
      <c r="I2418">
        <f>B2418&amp;"~"&amp;F2418&amp;"~"&amp;G2418</f>
        <v/>
      </c>
      <c r="J2418" t="inlineStr">
        <is>
          <t>MVS Sec.17 p.34</t>
        </is>
      </c>
    </row>
    <row r="2419">
      <c r="B2419" t="inlineStr">
        <is>
          <t>Calving Barns – Sheds</t>
        </is>
      </c>
      <c r="C2419" t="inlineStr">
        <is>
          <t>182</t>
        </is>
      </c>
      <c r="D2419" t="inlineStr">
        <is>
          <t>17</t>
        </is>
      </c>
      <c r="E2419" t="inlineStr">
        <is>
          <t>34</t>
        </is>
      </c>
      <c r="F2419" t="inlineStr">
        <is>
          <t>DPOLE</t>
        </is>
      </c>
      <c r="G2419" t="inlineStr">
        <is>
          <t>Average</t>
        </is>
      </c>
      <c r="H2419" t="n">
        <v>20.9</v>
      </c>
      <c r="I2419">
        <f>B2419&amp;"~"&amp;F2419&amp;"~"&amp;G2419</f>
        <v/>
      </c>
      <c r="J2419" t="inlineStr">
        <is>
          <t>MVS Sec.17 p.34</t>
        </is>
      </c>
    </row>
    <row r="2420">
      <c r="B2420" t="inlineStr">
        <is>
          <t>Calving Barns – Sheds</t>
        </is>
      </c>
      <c r="C2420" t="inlineStr">
        <is>
          <t>182</t>
        </is>
      </c>
      <c r="D2420" t="inlineStr">
        <is>
          <t>17</t>
        </is>
      </c>
      <c r="E2420" t="inlineStr">
        <is>
          <t>34</t>
        </is>
      </c>
      <c r="F2420" t="inlineStr">
        <is>
          <t>DPOLE</t>
        </is>
      </c>
      <c r="G2420" t="inlineStr">
        <is>
          <t>Low Cost</t>
        </is>
      </c>
      <c r="H2420" t="n">
        <v>14.95</v>
      </c>
      <c r="I2420">
        <f>B2420&amp;"~"&amp;F2420&amp;"~"&amp;G2420</f>
        <v/>
      </c>
      <c r="J2420" t="inlineStr">
        <is>
          <t>MVS Sec.17 p.34</t>
        </is>
      </c>
    </row>
    <row r="2421">
      <c r="B2421" t="inlineStr">
        <is>
          <t>Calving Barns – Sheds</t>
        </is>
      </c>
      <c r="C2421" t="inlineStr">
        <is>
          <t>182</t>
        </is>
      </c>
      <c r="D2421" t="inlineStr">
        <is>
          <t>17</t>
        </is>
      </c>
      <c r="E2421" t="inlineStr">
        <is>
          <t>34</t>
        </is>
      </c>
      <c r="F2421" t="inlineStr">
        <is>
          <t>DHOOP</t>
        </is>
      </c>
      <c r="G2421" t="inlineStr">
        <is>
          <t>Average</t>
        </is>
      </c>
      <c r="H2421" t="n">
        <v>14.5</v>
      </c>
      <c r="I2421">
        <f>B2421&amp;"~"&amp;F2421&amp;"~"&amp;G2421</f>
        <v/>
      </c>
      <c r="J2421" t="inlineStr">
        <is>
          <t>MVS Sec.17 p.34</t>
        </is>
      </c>
    </row>
    <row r="2422">
      <c r="B2422" t="inlineStr">
        <is>
          <t>Calving Barns – Sheds</t>
        </is>
      </c>
      <c r="C2422" t="inlineStr">
        <is>
          <t>182</t>
        </is>
      </c>
      <c r="D2422" t="inlineStr">
        <is>
          <t>17</t>
        </is>
      </c>
      <c r="E2422" t="inlineStr">
        <is>
          <t>34</t>
        </is>
      </c>
      <c r="F2422" t="inlineStr">
        <is>
          <t>DHOOP</t>
        </is>
      </c>
      <c r="G2422" t="inlineStr">
        <is>
          <t>Low Cost</t>
        </is>
      </c>
      <c r="H2422" t="n">
        <v>11.75</v>
      </c>
      <c r="I2422">
        <f>B2422&amp;"~"&amp;F2422&amp;"~"&amp;G2422</f>
        <v/>
      </c>
      <c r="J2422" t="inlineStr">
        <is>
          <t>MVS Sec.17 p.34</t>
        </is>
      </c>
    </row>
    <row r="2423">
      <c r="B2423" t="inlineStr">
        <is>
          <t>Calving Barns – Sheds</t>
        </is>
      </c>
      <c r="C2423" t="inlineStr">
        <is>
          <t>182</t>
        </is>
      </c>
      <c r="D2423" t="inlineStr">
        <is>
          <t>17</t>
        </is>
      </c>
      <c r="E2423" t="inlineStr">
        <is>
          <t>34</t>
        </is>
      </c>
      <c r="F2423" t="inlineStr">
        <is>
          <t>S</t>
        </is>
      </c>
      <c r="G2423" t="inlineStr">
        <is>
          <t>Good</t>
        </is>
      </c>
      <c r="H2423" t="n">
        <v>32.25</v>
      </c>
      <c r="I2423">
        <f>B2423&amp;"~"&amp;F2423&amp;"~"&amp;G2423</f>
        <v/>
      </c>
      <c r="J2423" t="inlineStr">
        <is>
          <t>MVS Sec.17 p.34</t>
        </is>
      </c>
    </row>
    <row r="2424">
      <c r="B2424" t="inlineStr">
        <is>
          <t>Calving Barns – Sheds</t>
        </is>
      </c>
      <c r="C2424" t="inlineStr">
        <is>
          <t>182</t>
        </is>
      </c>
      <c r="D2424" t="inlineStr">
        <is>
          <t>17</t>
        </is>
      </c>
      <c r="E2424" t="inlineStr">
        <is>
          <t>34</t>
        </is>
      </c>
      <c r="F2424" t="inlineStr">
        <is>
          <t>S</t>
        </is>
      </c>
      <c r="G2424" t="inlineStr">
        <is>
          <t>Average</t>
        </is>
      </c>
      <c r="H2424" t="n">
        <v>23.2</v>
      </c>
      <c r="I2424">
        <f>B2424&amp;"~"&amp;F2424&amp;"~"&amp;G2424</f>
        <v/>
      </c>
      <c r="J2424" t="inlineStr">
        <is>
          <t>MVS Sec.17 p.34</t>
        </is>
      </c>
    </row>
    <row r="2425">
      <c r="B2425" t="inlineStr">
        <is>
          <t>Calving Barns – Sheds</t>
        </is>
      </c>
      <c r="C2425" t="inlineStr">
        <is>
          <t>182</t>
        </is>
      </c>
      <c r="D2425" t="inlineStr">
        <is>
          <t>17</t>
        </is>
      </c>
      <c r="E2425" t="inlineStr">
        <is>
          <t>34</t>
        </is>
      </c>
      <c r="F2425" t="inlineStr">
        <is>
          <t>S</t>
        </is>
      </c>
      <c r="G2425" t="inlineStr">
        <is>
          <t>Low Cost</t>
        </is>
      </c>
      <c r="H2425" t="n">
        <v>16.75</v>
      </c>
      <c r="I2425">
        <f>B2425&amp;"~"&amp;F2425&amp;"~"&amp;G2425</f>
        <v/>
      </c>
      <c r="J2425" t="inlineStr">
        <is>
          <t>MVS Sec.17 p.34</t>
        </is>
      </c>
    </row>
    <row r="2426">
      <c r="B2426" t="inlineStr">
        <is>
          <t>Arena Shelters</t>
        </is>
      </c>
      <c r="C2426" t="inlineStr">
        <is>
          <t>184</t>
        </is>
      </c>
      <c r="D2426" t="inlineStr">
        <is>
          <t>17</t>
        </is>
      </c>
      <c r="E2426" t="inlineStr">
        <is>
          <t>34</t>
        </is>
      </c>
      <c r="F2426" t="inlineStr">
        <is>
          <t>DPOLE</t>
        </is>
      </c>
      <c r="G2426" t="inlineStr">
        <is>
          <t>Low Cost</t>
        </is>
      </c>
      <c r="H2426" t="n">
        <v>11.7</v>
      </c>
      <c r="I2426">
        <f>B2426&amp;"~"&amp;F2426&amp;"~"&amp;G2426</f>
        <v/>
      </c>
      <c r="J2426" t="inlineStr">
        <is>
          <t>MVS Sec.17 p.34</t>
        </is>
      </c>
    </row>
    <row r="2427">
      <c r="B2427" t="inlineStr">
        <is>
          <t>Arena Shelters</t>
        </is>
      </c>
      <c r="C2427" t="inlineStr">
        <is>
          <t>184</t>
        </is>
      </c>
      <c r="D2427" t="inlineStr">
        <is>
          <t>17</t>
        </is>
      </c>
      <c r="E2427" t="inlineStr">
        <is>
          <t>34</t>
        </is>
      </c>
      <c r="F2427" t="inlineStr">
        <is>
          <t>S</t>
        </is>
      </c>
      <c r="G2427" t="inlineStr">
        <is>
          <t>Good</t>
        </is>
      </c>
      <c r="H2427" t="n">
        <v>23.5</v>
      </c>
      <c r="I2427">
        <f>B2427&amp;"~"&amp;F2427&amp;"~"&amp;G2427</f>
        <v/>
      </c>
      <c r="J2427" t="inlineStr">
        <is>
          <t>MVS Sec.17 p.34</t>
        </is>
      </c>
    </row>
    <row r="2428">
      <c r="B2428" t="inlineStr">
        <is>
          <t>Arena Shelters</t>
        </is>
      </c>
      <c r="C2428" t="inlineStr">
        <is>
          <t>184</t>
        </is>
      </c>
      <c r="D2428" t="inlineStr">
        <is>
          <t>17</t>
        </is>
      </c>
      <c r="E2428" t="inlineStr">
        <is>
          <t>34</t>
        </is>
      </c>
      <c r="F2428" t="inlineStr">
        <is>
          <t>S</t>
        </is>
      </c>
      <c r="G2428" t="inlineStr">
        <is>
          <t>Average</t>
        </is>
      </c>
      <c r="H2428" t="n">
        <v>18.1</v>
      </c>
      <c r="I2428">
        <f>B2428&amp;"~"&amp;F2428&amp;"~"&amp;G2428</f>
        <v/>
      </c>
      <c r="J2428" t="inlineStr">
        <is>
          <t>MVS Sec.17 p.34</t>
        </is>
      </c>
    </row>
    <row r="2429">
      <c r="B2429" t="inlineStr">
        <is>
          <t>Arena Shelters</t>
        </is>
      </c>
      <c r="C2429" t="inlineStr">
        <is>
          <t>184</t>
        </is>
      </c>
      <c r="D2429" t="inlineStr">
        <is>
          <t>17</t>
        </is>
      </c>
      <c r="E2429" t="inlineStr">
        <is>
          <t>34</t>
        </is>
      </c>
      <c r="F2429" t="inlineStr">
        <is>
          <t>S</t>
        </is>
      </c>
      <c r="G2429" t="inlineStr">
        <is>
          <t>Low Cost</t>
        </is>
      </c>
      <c r="H2429" t="n">
        <v>13.9</v>
      </c>
      <c r="I2429">
        <f>B2429&amp;"~"&amp;F2429&amp;"~"&amp;G2429</f>
        <v/>
      </c>
      <c r="J2429" t="inlineStr">
        <is>
          <t>MVS Sec.17 p.34</t>
        </is>
      </c>
    </row>
    <row r="2430">
      <c r="B2430" t="inlineStr">
        <is>
          <t>Farm Sun Shelters</t>
        </is>
      </c>
      <c r="C2430" t="inlineStr">
        <is>
          <t>566</t>
        </is>
      </c>
      <c r="D2430" t="inlineStr">
        <is>
          <t>17</t>
        </is>
      </c>
      <c r="E2430" t="inlineStr">
        <is>
          <t>34</t>
        </is>
      </c>
      <c r="F2430" t="inlineStr">
        <is>
          <t>D</t>
        </is>
      </c>
      <c r="G2430" t="inlineStr">
        <is>
          <t>Average</t>
        </is>
      </c>
      <c r="H2430" t="n">
        <v>4.83</v>
      </c>
      <c r="I2430">
        <f>B2430&amp;"~"&amp;F2430&amp;"~"&amp;G2430</f>
        <v/>
      </c>
      <c r="J2430" t="inlineStr">
        <is>
          <t>MVS Sec.17 p.34 (midpoint of 4.03-5.63 range)</t>
        </is>
      </c>
    </row>
    <row r="2431">
      <c r="B2431" t="inlineStr">
        <is>
          <t>Farm Sun Shelters</t>
        </is>
      </c>
      <c r="C2431" t="inlineStr">
        <is>
          <t>566</t>
        </is>
      </c>
      <c r="D2431" t="inlineStr">
        <is>
          <t>17</t>
        </is>
      </c>
      <c r="E2431" t="inlineStr">
        <is>
          <t>34</t>
        </is>
      </c>
      <c r="F2431" t="inlineStr">
        <is>
          <t>D</t>
        </is>
      </c>
      <c r="G2431" t="inlineStr">
        <is>
          <t>Low Cost</t>
        </is>
      </c>
      <c r="H2431" t="n">
        <v>4.21</v>
      </c>
      <c r="I2431">
        <f>B2431&amp;"~"&amp;F2431&amp;"~"&amp;G2431</f>
        <v/>
      </c>
      <c r="J2431" t="inlineStr">
        <is>
          <t>MVS Sec.17 p.34 (midpoint of 3.51-4.9 range)</t>
        </is>
      </c>
    </row>
    <row r="2432">
      <c r="B2432" t="inlineStr">
        <is>
          <t>Farm Sun Shelters</t>
        </is>
      </c>
      <c r="C2432" t="inlineStr">
        <is>
          <t>566</t>
        </is>
      </c>
      <c r="D2432" t="inlineStr">
        <is>
          <t>17</t>
        </is>
      </c>
      <c r="E2432" t="inlineStr">
        <is>
          <t>34</t>
        </is>
      </c>
      <c r="F2432" t="inlineStr">
        <is>
          <t>S</t>
        </is>
      </c>
      <c r="G2432" t="inlineStr">
        <is>
          <t>Average</t>
        </is>
      </c>
      <c r="H2432" t="n">
        <v>5.38</v>
      </c>
      <c r="I2432">
        <f>B2432&amp;"~"&amp;F2432&amp;"~"&amp;G2432</f>
        <v/>
      </c>
      <c r="J2432" t="inlineStr">
        <is>
          <t>MVS Sec.17 p.34 (midpoint of 4.49-6.27 range)</t>
        </is>
      </c>
    </row>
    <row r="2433">
      <c r="B2433" t="inlineStr">
        <is>
          <t>Farm Sun Shelters</t>
        </is>
      </c>
      <c r="C2433" t="inlineStr">
        <is>
          <t>566</t>
        </is>
      </c>
      <c r="D2433" t="inlineStr">
        <is>
          <t>17</t>
        </is>
      </c>
      <c r="E2433" t="inlineStr">
        <is>
          <t>34</t>
        </is>
      </c>
      <c r="F2433" t="inlineStr">
        <is>
          <t>S</t>
        </is>
      </c>
      <c r="G2433" t="inlineStr">
        <is>
          <t>Low Cost</t>
        </is>
      </c>
      <c r="H2433" t="n">
        <v>4.59</v>
      </c>
      <c r="I2433">
        <f>B2433&amp;"~"&amp;F2433&amp;"~"&amp;G2433</f>
        <v/>
      </c>
      <c r="J2433" t="inlineStr">
        <is>
          <t>MVS Sec.17 p.34 (midpoint of 3.83-5.35 range)</t>
        </is>
      </c>
    </row>
    <row r="2434">
      <c r="B2434" t="inlineStr">
        <is>
          <t>Arenas</t>
        </is>
      </c>
      <c r="C2434" t="inlineStr">
        <is>
          <t>428</t>
        </is>
      </c>
      <c r="D2434" t="inlineStr">
        <is>
          <t>17</t>
        </is>
      </c>
      <c r="E2434" t="inlineStr">
        <is>
          <t>35</t>
        </is>
      </c>
      <c r="F2434" t="inlineStr">
        <is>
          <t>C</t>
        </is>
      </c>
      <c r="G2434" t="inlineStr">
        <is>
          <t>Excellent</t>
        </is>
      </c>
      <c r="H2434" t="n">
        <v>85</v>
      </c>
      <c r="I2434">
        <f>B2434&amp;"~"&amp;F2434&amp;"~"&amp;G2434</f>
        <v/>
      </c>
      <c r="J2434" t="inlineStr">
        <is>
          <t>MVS Sec.17 p.35</t>
        </is>
      </c>
    </row>
    <row r="2435">
      <c r="B2435" t="inlineStr">
        <is>
          <t>Arenas</t>
        </is>
      </c>
      <c r="C2435" t="inlineStr">
        <is>
          <t>428</t>
        </is>
      </c>
      <c r="D2435" t="inlineStr">
        <is>
          <t>17</t>
        </is>
      </c>
      <c r="E2435" t="inlineStr">
        <is>
          <t>35</t>
        </is>
      </c>
      <c r="F2435" t="inlineStr">
        <is>
          <t>C</t>
        </is>
      </c>
      <c r="G2435" t="inlineStr">
        <is>
          <t>Good</t>
        </is>
      </c>
      <c r="H2435" t="n">
        <v>57</v>
      </c>
      <c r="I2435">
        <f>B2435&amp;"~"&amp;F2435&amp;"~"&amp;G2435</f>
        <v/>
      </c>
      <c r="J2435" t="inlineStr">
        <is>
          <t>MVS Sec.17 p.35</t>
        </is>
      </c>
    </row>
    <row r="2436">
      <c r="B2436" t="inlineStr">
        <is>
          <t>Arenas</t>
        </is>
      </c>
      <c r="C2436" t="inlineStr">
        <is>
          <t>428</t>
        </is>
      </c>
      <c r="D2436" t="inlineStr">
        <is>
          <t>17</t>
        </is>
      </c>
      <c r="E2436" t="inlineStr">
        <is>
          <t>35</t>
        </is>
      </c>
      <c r="F2436" t="inlineStr">
        <is>
          <t>C</t>
        </is>
      </c>
      <c r="G2436" t="inlineStr">
        <is>
          <t>Average</t>
        </is>
      </c>
      <c r="H2436" t="n">
        <v>38</v>
      </c>
      <c r="I2436">
        <f>B2436&amp;"~"&amp;F2436&amp;"~"&amp;G2436</f>
        <v/>
      </c>
      <c r="J2436" t="inlineStr">
        <is>
          <t>MVS Sec.17 p.35</t>
        </is>
      </c>
    </row>
    <row r="2437">
      <c r="B2437" t="inlineStr">
        <is>
          <t>Arenas</t>
        </is>
      </c>
      <c r="C2437" t="inlineStr">
        <is>
          <t>428</t>
        </is>
      </c>
      <c r="D2437" t="inlineStr">
        <is>
          <t>17</t>
        </is>
      </c>
      <c r="E2437" t="inlineStr">
        <is>
          <t>35</t>
        </is>
      </c>
      <c r="F2437" t="inlineStr">
        <is>
          <t>C</t>
        </is>
      </c>
      <c r="G2437" t="inlineStr">
        <is>
          <t>Low Cost</t>
        </is>
      </c>
      <c r="H2437" t="n">
        <v>25.5</v>
      </c>
      <c r="I2437">
        <f>B2437&amp;"~"&amp;F2437&amp;"~"&amp;G2437</f>
        <v/>
      </c>
      <c r="J2437" t="inlineStr">
        <is>
          <t>MVS Sec.17 p.35</t>
        </is>
      </c>
    </row>
    <row r="2438">
      <c r="B2438" t="inlineStr">
        <is>
          <t>Arenas</t>
        </is>
      </c>
      <c r="C2438" t="inlineStr">
        <is>
          <t>428</t>
        </is>
      </c>
      <c r="D2438" t="inlineStr">
        <is>
          <t>17</t>
        </is>
      </c>
      <c r="E2438" t="inlineStr">
        <is>
          <t>35</t>
        </is>
      </c>
      <c r="F2438" t="inlineStr">
        <is>
          <t>D</t>
        </is>
      </c>
      <c r="G2438" t="inlineStr">
        <is>
          <t>Excellent</t>
        </is>
      </c>
      <c r="H2438" t="n">
        <v>78.5</v>
      </c>
      <c r="I2438">
        <f>B2438&amp;"~"&amp;F2438&amp;"~"&amp;G2438</f>
        <v/>
      </c>
      <c r="J2438" t="inlineStr">
        <is>
          <t>MVS Sec.17 p.35</t>
        </is>
      </c>
    </row>
    <row r="2439">
      <c r="B2439" t="inlineStr">
        <is>
          <t>Arenas</t>
        </is>
      </c>
      <c r="C2439" t="inlineStr">
        <is>
          <t>428</t>
        </is>
      </c>
      <c r="D2439" t="inlineStr">
        <is>
          <t>17</t>
        </is>
      </c>
      <c r="E2439" t="inlineStr">
        <is>
          <t>35</t>
        </is>
      </c>
      <c r="F2439" t="inlineStr">
        <is>
          <t>D</t>
        </is>
      </c>
      <c r="G2439" t="inlineStr">
        <is>
          <t>Good</t>
        </is>
      </c>
      <c r="H2439" t="n">
        <v>45.5</v>
      </c>
      <c r="I2439">
        <f>B2439&amp;"~"&amp;F2439&amp;"~"&amp;G2439</f>
        <v/>
      </c>
      <c r="J2439" t="inlineStr">
        <is>
          <t>MVS Sec.17 p.35</t>
        </is>
      </c>
    </row>
    <row r="2440">
      <c r="B2440" t="inlineStr">
        <is>
          <t>Arenas</t>
        </is>
      </c>
      <c r="C2440" t="inlineStr">
        <is>
          <t>428</t>
        </is>
      </c>
      <c r="D2440" t="inlineStr">
        <is>
          <t>17</t>
        </is>
      </c>
      <c r="E2440" t="inlineStr">
        <is>
          <t>35</t>
        </is>
      </c>
      <c r="F2440" t="inlineStr">
        <is>
          <t>D</t>
        </is>
      </c>
      <c r="G2440" t="inlineStr">
        <is>
          <t>Average</t>
        </is>
      </c>
      <c r="H2440" t="n">
        <v>26.25</v>
      </c>
      <c r="I2440">
        <f>B2440&amp;"~"&amp;F2440&amp;"~"&amp;G2440</f>
        <v/>
      </c>
      <c r="J2440" t="inlineStr">
        <is>
          <t>MVS Sec.17 p.35</t>
        </is>
      </c>
    </row>
    <row r="2441">
      <c r="B2441" t="inlineStr">
        <is>
          <t>Arenas</t>
        </is>
      </c>
      <c r="C2441" t="inlineStr">
        <is>
          <t>428</t>
        </is>
      </c>
      <c r="D2441" t="inlineStr">
        <is>
          <t>17</t>
        </is>
      </c>
      <c r="E2441" t="inlineStr">
        <is>
          <t>35</t>
        </is>
      </c>
      <c r="F2441" t="inlineStr">
        <is>
          <t>D</t>
        </is>
      </c>
      <c r="G2441" t="inlineStr">
        <is>
          <t>Low Cost</t>
        </is>
      </c>
      <c r="H2441" t="n">
        <v>15.2</v>
      </c>
      <c r="I2441">
        <f>B2441&amp;"~"&amp;F2441&amp;"~"&amp;G2441</f>
        <v/>
      </c>
      <c r="J2441" t="inlineStr">
        <is>
          <t>MVS Sec.17 p.35</t>
        </is>
      </c>
    </row>
    <row r="2442">
      <c r="B2442" t="inlineStr">
        <is>
          <t>Arenas</t>
        </is>
      </c>
      <c r="C2442" t="inlineStr">
        <is>
          <t>428</t>
        </is>
      </c>
      <c r="D2442" t="inlineStr">
        <is>
          <t>17</t>
        </is>
      </c>
      <c r="E2442" t="inlineStr">
        <is>
          <t>35</t>
        </is>
      </c>
      <c r="F2442" t="inlineStr">
        <is>
          <t>DPOLE</t>
        </is>
      </c>
      <c r="G2442" t="inlineStr">
        <is>
          <t>Good</t>
        </is>
      </c>
      <c r="H2442" t="n">
        <v>40.75</v>
      </c>
      <c r="I2442">
        <f>B2442&amp;"~"&amp;F2442&amp;"~"&amp;G2442</f>
        <v/>
      </c>
      <c r="J2442" t="inlineStr">
        <is>
          <t>MVS Sec.17 p.35</t>
        </is>
      </c>
    </row>
    <row r="2443">
      <c r="B2443" t="inlineStr">
        <is>
          <t>Arenas</t>
        </is>
      </c>
      <c r="C2443" t="inlineStr">
        <is>
          <t>428</t>
        </is>
      </c>
      <c r="D2443" t="inlineStr">
        <is>
          <t>17</t>
        </is>
      </c>
      <c r="E2443" t="inlineStr">
        <is>
          <t>35</t>
        </is>
      </c>
      <c r="F2443" t="inlineStr">
        <is>
          <t>DPOLE</t>
        </is>
      </c>
      <c r="G2443" t="inlineStr">
        <is>
          <t>Average</t>
        </is>
      </c>
      <c r="H2443" t="n">
        <v>23.4</v>
      </c>
      <c r="I2443">
        <f>B2443&amp;"~"&amp;F2443&amp;"~"&amp;G2443</f>
        <v/>
      </c>
      <c r="J2443" t="inlineStr">
        <is>
          <t>MVS Sec.17 p.35</t>
        </is>
      </c>
    </row>
    <row r="2444">
      <c r="B2444" t="inlineStr">
        <is>
          <t>Arenas</t>
        </is>
      </c>
      <c r="C2444" t="inlineStr">
        <is>
          <t>428</t>
        </is>
      </c>
      <c r="D2444" t="inlineStr">
        <is>
          <t>17</t>
        </is>
      </c>
      <c r="E2444" t="inlineStr">
        <is>
          <t>35</t>
        </is>
      </c>
      <c r="F2444" t="inlineStr">
        <is>
          <t>DPOLE</t>
        </is>
      </c>
      <c r="G2444" t="inlineStr">
        <is>
          <t>Low Cost</t>
        </is>
      </c>
      <c r="H2444" t="n">
        <v>13.45</v>
      </c>
      <c r="I2444">
        <f>B2444&amp;"~"&amp;F2444&amp;"~"&amp;G2444</f>
        <v/>
      </c>
      <c r="J2444" t="inlineStr">
        <is>
          <t>MVS Sec.17 p.35</t>
        </is>
      </c>
    </row>
    <row r="2445">
      <c r="B2445" t="inlineStr">
        <is>
          <t>Arenas</t>
        </is>
      </c>
      <c r="C2445" t="inlineStr">
        <is>
          <t>428</t>
        </is>
      </c>
      <c r="D2445" t="inlineStr">
        <is>
          <t>17</t>
        </is>
      </c>
      <c r="E2445" t="inlineStr">
        <is>
          <t>35</t>
        </is>
      </c>
      <c r="F2445" t="inlineStr">
        <is>
          <t>DPOLE</t>
        </is>
      </c>
      <c r="G2445" t="inlineStr">
        <is>
          <t>Cheap</t>
        </is>
      </c>
      <c r="H2445" t="n">
        <v>12.2</v>
      </c>
      <c r="I2445">
        <f>B2445&amp;"~"&amp;F2445&amp;"~"&amp;G2445</f>
        <v/>
      </c>
      <c r="J2445" t="inlineStr">
        <is>
          <t>MVS Sec.17 p.35</t>
        </is>
      </c>
    </row>
    <row r="2446">
      <c r="B2446" t="inlineStr">
        <is>
          <t>Arenas</t>
        </is>
      </c>
      <c r="C2446" t="inlineStr">
        <is>
          <t>428</t>
        </is>
      </c>
      <c r="D2446" t="inlineStr">
        <is>
          <t>17</t>
        </is>
      </c>
      <c r="E2446" t="inlineStr">
        <is>
          <t>35</t>
        </is>
      </c>
      <c r="F2446" t="inlineStr">
        <is>
          <t>DHOOP</t>
        </is>
      </c>
      <c r="G2446" t="inlineStr">
        <is>
          <t>Cheap</t>
        </is>
      </c>
      <c r="H2446" t="n">
        <v>10.45</v>
      </c>
      <c r="I2446">
        <f>B2446&amp;"~"&amp;F2446&amp;"~"&amp;G2446</f>
        <v/>
      </c>
      <c r="J2446" t="inlineStr">
        <is>
          <t>MVS Sec.17 p.35</t>
        </is>
      </c>
    </row>
    <row r="2447">
      <c r="B2447" t="inlineStr">
        <is>
          <t>Arenas</t>
        </is>
      </c>
      <c r="C2447" t="inlineStr">
        <is>
          <t>428</t>
        </is>
      </c>
      <c r="D2447" t="inlineStr">
        <is>
          <t>17</t>
        </is>
      </c>
      <c r="E2447" t="inlineStr">
        <is>
          <t>35</t>
        </is>
      </c>
      <c r="F2447" t="inlineStr">
        <is>
          <t>S</t>
        </is>
      </c>
      <c r="G2447" t="inlineStr">
        <is>
          <t>Excellent</t>
        </is>
      </c>
      <c r="H2447" t="n">
        <v>78.5</v>
      </c>
      <c r="I2447">
        <f>B2447&amp;"~"&amp;F2447&amp;"~"&amp;G2447</f>
        <v/>
      </c>
      <c r="J2447" t="inlineStr">
        <is>
          <t>MVS Sec.17 p.35</t>
        </is>
      </c>
    </row>
    <row r="2448">
      <c r="B2448" t="inlineStr">
        <is>
          <t>Arenas</t>
        </is>
      </c>
      <c r="C2448" t="inlineStr">
        <is>
          <t>428</t>
        </is>
      </c>
      <c r="D2448" t="inlineStr">
        <is>
          <t>17</t>
        </is>
      </c>
      <c r="E2448" t="inlineStr">
        <is>
          <t>35</t>
        </is>
      </c>
      <c r="F2448" t="inlineStr">
        <is>
          <t>S</t>
        </is>
      </c>
      <c r="G2448" t="inlineStr">
        <is>
          <t>Good</t>
        </is>
      </c>
      <c r="H2448" t="n">
        <v>46.25</v>
      </c>
      <c r="I2448">
        <f>B2448&amp;"~"&amp;F2448&amp;"~"&amp;G2448</f>
        <v/>
      </c>
      <c r="J2448" t="inlineStr">
        <is>
          <t>MVS Sec.17 p.35</t>
        </is>
      </c>
    </row>
    <row r="2449">
      <c r="B2449" t="inlineStr">
        <is>
          <t>Arenas</t>
        </is>
      </c>
      <c r="C2449" t="inlineStr">
        <is>
          <t>428</t>
        </is>
      </c>
      <c r="D2449" t="inlineStr">
        <is>
          <t>17</t>
        </is>
      </c>
      <c r="E2449" t="inlineStr">
        <is>
          <t>35</t>
        </is>
      </c>
      <c r="F2449" t="inlineStr">
        <is>
          <t>S</t>
        </is>
      </c>
      <c r="G2449" t="inlineStr">
        <is>
          <t>Average</t>
        </is>
      </c>
      <c r="H2449" t="n">
        <v>27</v>
      </c>
      <c r="I2449">
        <f>B2449&amp;"~"&amp;F2449&amp;"~"&amp;G2449</f>
        <v/>
      </c>
      <c r="J2449" t="inlineStr">
        <is>
          <t>MVS Sec.17 p.35</t>
        </is>
      </c>
    </row>
    <row r="2450">
      <c r="B2450" t="inlineStr">
        <is>
          <t>Arenas</t>
        </is>
      </c>
      <c r="C2450" t="inlineStr">
        <is>
          <t>428</t>
        </is>
      </c>
      <c r="D2450" t="inlineStr">
        <is>
          <t>17</t>
        </is>
      </c>
      <c r="E2450" t="inlineStr">
        <is>
          <t>35</t>
        </is>
      </c>
      <c r="F2450" t="inlineStr">
        <is>
          <t>S</t>
        </is>
      </c>
      <c r="G2450" t="inlineStr">
        <is>
          <t>Low Cost</t>
        </is>
      </c>
      <c r="H2450" t="n">
        <v>15.95</v>
      </c>
      <c r="I2450">
        <f>B2450&amp;"~"&amp;F2450&amp;"~"&amp;G2450</f>
        <v/>
      </c>
      <c r="J2450" t="inlineStr">
        <is>
          <t>MVS Sec.17 p.35</t>
        </is>
      </c>
    </row>
    <row r="2451">
      <c r="B2451" t="inlineStr">
        <is>
          <t>Arenas</t>
        </is>
      </c>
      <c r="C2451" t="inlineStr">
        <is>
          <t>428</t>
        </is>
      </c>
      <c r="D2451" t="inlineStr">
        <is>
          <t>17</t>
        </is>
      </c>
      <c r="E2451" t="inlineStr">
        <is>
          <t>35</t>
        </is>
      </c>
      <c r="F2451" t="inlineStr">
        <is>
          <t>S</t>
        </is>
      </c>
      <c r="G2451" t="inlineStr">
        <is>
          <t>Cheap</t>
        </is>
      </c>
      <c r="H2451" t="n">
        <v>14.5</v>
      </c>
      <c r="I2451">
        <f>B2451&amp;"~"&amp;F2451&amp;"~"&amp;G2451</f>
        <v/>
      </c>
      <c r="J2451" t="inlineStr">
        <is>
          <t>MVS Sec.17 p.35</t>
        </is>
      </c>
    </row>
    <row r="2452">
      <c r="B2452" t="inlineStr">
        <is>
          <t>Equestrian Lean-Tos</t>
        </is>
      </c>
      <c r="C2452" t="inlineStr">
        <is>
          <t>560</t>
        </is>
      </c>
      <c r="D2452" t="inlineStr">
        <is>
          <t>17</t>
        </is>
      </c>
      <c r="E2452" t="inlineStr">
        <is>
          <t>35</t>
        </is>
      </c>
      <c r="F2452" t="inlineStr">
        <is>
          <t>D</t>
        </is>
      </c>
      <c r="G2452" t="inlineStr">
        <is>
          <t>Average</t>
        </is>
      </c>
      <c r="H2452" t="n">
        <v>23.85</v>
      </c>
      <c r="I2452">
        <f>B2452&amp;"~"&amp;F2452&amp;"~"&amp;G2452</f>
        <v/>
      </c>
      <c r="J2452" t="inlineStr">
        <is>
          <t>MVS Sec.17 p.35</t>
        </is>
      </c>
    </row>
    <row r="2453">
      <c r="B2453" t="inlineStr">
        <is>
          <t>Equestrian Lean-Tos</t>
        </is>
      </c>
      <c r="C2453" t="inlineStr">
        <is>
          <t>560</t>
        </is>
      </c>
      <c r="D2453" t="inlineStr">
        <is>
          <t>17</t>
        </is>
      </c>
      <c r="E2453" t="inlineStr">
        <is>
          <t>35</t>
        </is>
      </c>
      <c r="F2453" t="inlineStr">
        <is>
          <t>D</t>
        </is>
      </c>
      <c r="G2453" t="inlineStr">
        <is>
          <t>Low Cost</t>
        </is>
      </c>
      <c r="H2453" t="n">
        <v>14.4</v>
      </c>
      <c r="I2453">
        <f>B2453&amp;"~"&amp;F2453&amp;"~"&amp;G2453</f>
        <v/>
      </c>
      <c r="J2453" t="inlineStr">
        <is>
          <t>MVS Sec.17 p.35</t>
        </is>
      </c>
    </row>
    <row r="2454">
      <c r="B2454" t="inlineStr">
        <is>
          <t>Equestrian Lean-Tos</t>
        </is>
      </c>
      <c r="C2454" t="inlineStr">
        <is>
          <t>560</t>
        </is>
      </c>
      <c r="D2454" t="inlineStr">
        <is>
          <t>17</t>
        </is>
      </c>
      <c r="E2454" t="inlineStr">
        <is>
          <t>35</t>
        </is>
      </c>
      <c r="F2454" t="inlineStr">
        <is>
          <t>DPOLE</t>
        </is>
      </c>
      <c r="G2454" t="inlineStr">
        <is>
          <t>Average</t>
        </is>
      </c>
      <c r="H2454" t="n">
        <v>22.15</v>
      </c>
      <c r="I2454">
        <f>B2454&amp;"~"&amp;F2454&amp;"~"&amp;G2454</f>
        <v/>
      </c>
      <c r="J2454" t="inlineStr">
        <is>
          <t>MVS Sec.17 p.35</t>
        </is>
      </c>
    </row>
    <row r="2455">
      <c r="B2455" t="inlineStr">
        <is>
          <t>Equestrian Lean-Tos</t>
        </is>
      </c>
      <c r="C2455" t="inlineStr">
        <is>
          <t>560</t>
        </is>
      </c>
      <c r="D2455" t="inlineStr">
        <is>
          <t>17</t>
        </is>
      </c>
      <c r="E2455" t="inlineStr">
        <is>
          <t>35</t>
        </is>
      </c>
      <c r="F2455" t="inlineStr">
        <is>
          <t>DPOLE</t>
        </is>
      </c>
      <c r="G2455" t="inlineStr">
        <is>
          <t>Low Cost</t>
        </is>
      </c>
      <c r="H2455" t="n">
        <v>13.05</v>
      </c>
      <c r="I2455">
        <f>B2455&amp;"~"&amp;F2455&amp;"~"&amp;G2455</f>
        <v/>
      </c>
      <c r="J2455" t="inlineStr">
        <is>
          <t>MVS Sec.17 p.35</t>
        </is>
      </c>
    </row>
    <row r="2456">
      <c r="B2456" t="inlineStr">
        <is>
          <t>Equestrian Lean-Tos</t>
        </is>
      </c>
      <c r="C2456" t="inlineStr">
        <is>
          <t>560</t>
        </is>
      </c>
      <c r="D2456" t="inlineStr">
        <is>
          <t>17</t>
        </is>
      </c>
      <c r="E2456" t="inlineStr">
        <is>
          <t>35</t>
        </is>
      </c>
      <c r="F2456" t="inlineStr">
        <is>
          <t>S</t>
        </is>
      </c>
      <c r="G2456" t="inlineStr">
        <is>
          <t>Average</t>
        </is>
      </c>
      <c r="H2456" t="n">
        <v>24.35</v>
      </c>
      <c r="I2456">
        <f>B2456&amp;"~"&amp;F2456&amp;"~"&amp;G2456</f>
        <v/>
      </c>
      <c r="J2456" t="inlineStr">
        <is>
          <t>MVS Sec.17 p.35</t>
        </is>
      </c>
    </row>
    <row r="2457">
      <c r="B2457" t="inlineStr">
        <is>
          <t>Equestrian Lean-Tos</t>
        </is>
      </c>
      <c r="C2457" t="inlineStr">
        <is>
          <t>560</t>
        </is>
      </c>
      <c r="D2457" t="inlineStr">
        <is>
          <t>17</t>
        </is>
      </c>
      <c r="E2457" t="inlineStr">
        <is>
          <t>35</t>
        </is>
      </c>
      <c r="F2457" t="inlineStr">
        <is>
          <t>S</t>
        </is>
      </c>
      <c r="G2457" t="inlineStr">
        <is>
          <t>Low Cost</t>
        </is>
      </c>
      <c r="H2457" t="n">
        <v>14.95</v>
      </c>
      <c r="I2457">
        <f>B2457&amp;"~"&amp;F2457&amp;"~"&amp;G2457</f>
        <v/>
      </c>
      <c r="J2457" t="inlineStr">
        <is>
          <t>MVS Sec.17 p.35</t>
        </is>
      </c>
    </row>
    <row r="2458">
      <c r="B2458" t="inlineStr">
        <is>
          <t>Stables</t>
        </is>
      </c>
      <c r="C2458" t="inlineStr">
        <is>
          <t>378</t>
        </is>
      </c>
      <c r="D2458" t="inlineStr">
        <is>
          <t>17</t>
        </is>
      </c>
      <c r="E2458" t="inlineStr">
        <is>
          <t>36</t>
        </is>
      </c>
      <c r="F2458" t="inlineStr">
        <is>
          <t>C</t>
        </is>
      </c>
      <c r="G2458" t="inlineStr">
        <is>
          <t>Good</t>
        </is>
      </c>
      <c r="H2458" t="n">
        <v>68</v>
      </c>
      <c r="I2458">
        <f>B2458&amp;"~"&amp;F2458&amp;"~"&amp;G2458</f>
        <v/>
      </c>
      <c r="J2458" t="inlineStr">
        <is>
          <t>MVS Sec.17 p.36</t>
        </is>
      </c>
    </row>
    <row r="2459">
      <c r="B2459" t="inlineStr">
        <is>
          <t>Stables</t>
        </is>
      </c>
      <c r="C2459" t="inlineStr">
        <is>
          <t>378</t>
        </is>
      </c>
      <c r="D2459" t="inlineStr">
        <is>
          <t>17</t>
        </is>
      </c>
      <c r="E2459" t="inlineStr">
        <is>
          <t>36</t>
        </is>
      </c>
      <c r="F2459" t="inlineStr">
        <is>
          <t>C</t>
        </is>
      </c>
      <c r="G2459" t="inlineStr">
        <is>
          <t>Average</t>
        </is>
      </c>
      <c r="H2459" t="n">
        <v>48</v>
      </c>
      <c r="I2459">
        <f>B2459&amp;"~"&amp;F2459&amp;"~"&amp;G2459</f>
        <v/>
      </c>
      <c r="J2459" t="inlineStr">
        <is>
          <t>MVS Sec.17 p.36</t>
        </is>
      </c>
    </row>
    <row r="2460">
      <c r="B2460" t="inlineStr">
        <is>
          <t>Stables</t>
        </is>
      </c>
      <c r="C2460" t="inlineStr">
        <is>
          <t>378</t>
        </is>
      </c>
      <c r="D2460" t="inlineStr">
        <is>
          <t>17</t>
        </is>
      </c>
      <c r="E2460" t="inlineStr">
        <is>
          <t>36</t>
        </is>
      </c>
      <c r="F2460" t="inlineStr">
        <is>
          <t>C</t>
        </is>
      </c>
      <c r="G2460" t="inlineStr">
        <is>
          <t>Low Cost</t>
        </is>
      </c>
      <c r="H2460" t="n">
        <v>34.25</v>
      </c>
      <c r="I2460">
        <f>B2460&amp;"~"&amp;F2460&amp;"~"&amp;G2460</f>
        <v/>
      </c>
      <c r="J2460" t="inlineStr">
        <is>
          <t>MVS Sec.17 p.36</t>
        </is>
      </c>
    </row>
    <row r="2461">
      <c r="B2461" t="inlineStr">
        <is>
          <t>Stables</t>
        </is>
      </c>
      <c r="C2461" t="inlineStr">
        <is>
          <t>378</t>
        </is>
      </c>
      <c r="D2461" t="inlineStr">
        <is>
          <t>17</t>
        </is>
      </c>
      <c r="E2461" t="inlineStr">
        <is>
          <t>36</t>
        </is>
      </c>
      <c r="F2461" t="inlineStr">
        <is>
          <t>D</t>
        </is>
      </c>
      <c r="G2461" t="inlineStr">
        <is>
          <t>Good</t>
        </is>
      </c>
      <c r="H2461" t="n">
        <v>60</v>
      </c>
      <c r="I2461">
        <f>B2461&amp;"~"&amp;F2461&amp;"~"&amp;G2461</f>
        <v/>
      </c>
      <c r="J2461" t="inlineStr">
        <is>
          <t>MVS Sec.17 p.36</t>
        </is>
      </c>
    </row>
    <row r="2462">
      <c r="B2462" t="inlineStr">
        <is>
          <t>Stables</t>
        </is>
      </c>
      <c r="C2462" t="inlineStr">
        <is>
          <t>378</t>
        </is>
      </c>
      <c r="D2462" t="inlineStr">
        <is>
          <t>17</t>
        </is>
      </c>
      <c r="E2462" t="inlineStr">
        <is>
          <t>36</t>
        </is>
      </c>
      <c r="F2462" t="inlineStr">
        <is>
          <t>D</t>
        </is>
      </c>
      <c r="G2462" t="inlineStr">
        <is>
          <t>Average</t>
        </is>
      </c>
      <c r="H2462" t="n">
        <v>38.75</v>
      </c>
      <c r="I2462">
        <f>B2462&amp;"~"&amp;F2462&amp;"~"&amp;G2462</f>
        <v/>
      </c>
      <c r="J2462" t="inlineStr">
        <is>
          <t>MVS Sec.17 p.36</t>
        </is>
      </c>
    </row>
    <row r="2463">
      <c r="B2463" t="inlineStr">
        <is>
          <t>Stables</t>
        </is>
      </c>
      <c r="C2463" t="inlineStr">
        <is>
          <t>378</t>
        </is>
      </c>
      <c r="D2463" t="inlineStr">
        <is>
          <t>17</t>
        </is>
      </c>
      <c r="E2463" t="inlineStr">
        <is>
          <t>36</t>
        </is>
      </c>
      <c r="F2463" t="inlineStr">
        <is>
          <t>D</t>
        </is>
      </c>
      <c r="G2463" t="inlineStr">
        <is>
          <t>Low Cost</t>
        </is>
      </c>
      <c r="H2463" t="n">
        <v>25</v>
      </c>
      <c r="I2463">
        <f>B2463&amp;"~"&amp;F2463&amp;"~"&amp;G2463</f>
        <v/>
      </c>
      <c r="J2463" t="inlineStr">
        <is>
          <t>MVS Sec.17 p.36</t>
        </is>
      </c>
    </row>
    <row r="2464">
      <c r="B2464" t="inlineStr">
        <is>
          <t>Stables</t>
        </is>
      </c>
      <c r="C2464" t="inlineStr">
        <is>
          <t>378</t>
        </is>
      </c>
      <c r="D2464" t="inlineStr">
        <is>
          <t>17</t>
        </is>
      </c>
      <c r="E2464" t="inlineStr">
        <is>
          <t>36</t>
        </is>
      </c>
      <c r="F2464" t="inlineStr">
        <is>
          <t>DPOLE</t>
        </is>
      </c>
      <c r="G2464" t="inlineStr">
        <is>
          <t>Good</t>
        </is>
      </c>
      <c r="H2464" t="n">
        <v>55.5</v>
      </c>
      <c r="I2464">
        <f>B2464&amp;"~"&amp;F2464&amp;"~"&amp;G2464</f>
        <v/>
      </c>
      <c r="J2464" t="inlineStr">
        <is>
          <t>MVS Sec.17 p.36</t>
        </is>
      </c>
    </row>
    <row r="2465">
      <c r="B2465" t="inlineStr">
        <is>
          <t>Stables</t>
        </is>
      </c>
      <c r="C2465" t="inlineStr">
        <is>
          <t>378</t>
        </is>
      </c>
      <c r="D2465" t="inlineStr">
        <is>
          <t>17</t>
        </is>
      </c>
      <c r="E2465" t="inlineStr">
        <is>
          <t>36</t>
        </is>
      </c>
      <c r="F2465" t="inlineStr">
        <is>
          <t>DPOLE</t>
        </is>
      </c>
      <c r="G2465" t="inlineStr">
        <is>
          <t>Average</t>
        </is>
      </c>
      <c r="H2465" t="n">
        <v>36</v>
      </c>
      <c r="I2465">
        <f>B2465&amp;"~"&amp;F2465&amp;"~"&amp;G2465</f>
        <v/>
      </c>
      <c r="J2465" t="inlineStr">
        <is>
          <t>MVS Sec.17 p.36</t>
        </is>
      </c>
    </row>
    <row r="2466">
      <c r="B2466" t="inlineStr">
        <is>
          <t>Stables</t>
        </is>
      </c>
      <c r="C2466" t="inlineStr">
        <is>
          <t>378</t>
        </is>
      </c>
      <c r="D2466" t="inlineStr">
        <is>
          <t>17</t>
        </is>
      </c>
      <c r="E2466" t="inlineStr">
        <is>
          <t>36</t>
        </is>
      </c>
      <c r="F2466" t="inlineStr">
        <is>
          <t>DPOLE</t>
        </is>
      </c>
      <c r="G2466" t="inlineStr">
        <is>
          <t>Low Cost</t>
        </is>
      </c>
      <c r="H2466" t="n">
        <v>23.25</v>
      </c>
      <c r="I2466">
        <f>B2466&amp;"~"&amp;F2466&amp;"~"&amp;G2466</f>
        <v/>
      </c>
      <c r="J2466" t="inlineStr">
        <is>
          <t>MVS Sec.17 p.36</t>
        </is>
      </c>
    </row>
    <row r="2467">
      <c r="B2467" t="inlineStr">
        <is>
          <t>Stables</t>
        </is>
      </c>
      <c r="C2467" t="inlineStr">
        <is>
          <t>378</t>
        </is>
      </c>
      <c r="D2467" t="inlineStr">
        <is>
          <t>17</t>
        </is>
      </c>
      <c r="E2467" t="inlineStr">
        <is>
          <t>36</t>
        </is>
      </c>
      <c r="F2467" t="inlineStr">
        <is>
          <t>DPOLE</t>
        </is>
      </c>
      <c r="G2467" t="inlineStr">
        <is>
          <t>Cheap</t>
        </is>
      </c>
      <c r="H2467" t="n">
        <v>18.4</v>
      </c>
      <c r="I2467">
        <f>B2467&amp;"~"&amp;F2467&amp;"~"&amp;G2467</f>
        <v/>
      </c>
      <c r="J2467" t="inlineStr">
        <is>
          <t>MVS Sec.17 p.36</t>
        </is>
      </c>
    </row>
    <row r="2468">
      <c r="B2468" t="inlineStr">
        <is>
          <t>Stables</t>
        </is>
      </c>
      <c r="C2468" t="inlineStr">
        <is>
          <t>378</t>
        </is>
      </c>
      <c r="D2468" t="inlineStr">
        <is>
          <t>17</t>
        </is>
      </c>
      <c r="E2468" t="inlineStr">
        <is>
          <t>36</t>
        </is>
      </c>
      <c r="F2468" t="inlineStr">
        <is>
          <t>DHOOP</t>
        </is>
      </c>
      <c r="G2468" t="inlineStr">
        <is>
          <t>Average</t>
        </is>
      </c>
      <c r="H2468" t="n">
        <v>12.9</v>
      </c>
      <c r="I2468">
        <f>B2468&amp;"~"&amp;F2468&amp;"~"&amp;G2468</f>
        <v/>
      </c>
      <c r="J2468" t="inlineStr">
        <is>
          <t>MVS Sec.17 p.36</t>
        </is>
      </c>
    </row>
    <row r="2469">
      <c r="B2469" t="inlineStr">
        <is>
          <t>Stables</t>
        </is>
      </c>
      <c r="C2469" t="inlineStr">
        <is>
          <t>378</t>
        </is>
      </c>
      <c r="D2469" t="inlineStr">
        <is>
          <t>17</t>
        </is>
      </c>
      <c r="E2469" t="inlineStr">
        <is>
          <t>36</t>
        </is>
      </c>
      <c r="F2469" t="inlineStr">
        <is>
          <t>DHOOP</t>
        </is>
      </c>
      <c r="G2469" t="inlineStr">
        <is>
          <t>Low Cost</t>
        </is>
      </c>
      <c r="H2469" t="n">
        <v>8.73</v>
      </c>
      <c r="I2469">
        <f>B2469&amp;"~"&amp;F2469&amp;"~"&amp;G2469</f>
        <v/>
      </c>
      <c r="J2469" t="inlineStr">
        <is>
          <t>MVS Sec.17 p.36</t>
        </is>
      </c>
    </row>
    <row r="2470">
      <c r="B2470" t="inlineStr">
        <is>
          <t>Stables</t>
        </is>
      </c>
      <c r="C2470" t="inlineStr">
        <is>
          <t>378</t>
        </is>
      </c>
      <c r="D2470" t="inlineStr">
        <is>
          <t>17</t>
        </is>
      </c>
      <c r="E2470" t="inlineStr">
        <is>
          <t>36</t>
        </is>
      </c>
      <c r="F2470" t="inlineStr">
        <is>
          <t>S</t>
        </is>
      </c>
      <c r="G2470" t="inlineStr">
        <is>
          <t>Good</t>
        </is>
      </c>
      <c r="H2470" t="n">
        <v>59.5</v>
      </c>
      <c r="I2470">
        <f>B2470&amp;"~"&amp;F2470&amp;"~"&amp;G2470</f>
        <v/>
      </c>
      <c r="J2470" t="inlineStr">
        <is>
          <t>MVS Sec.17 p.36</t>
        </is>
      </c>
    </row>
    <row r="2471">
      <c r="B2471" t="inlineStr">
        <is>
          <t>Stables</t>
        </is>
      </c>
      <c r="C2471" t="inlineStr">
        <is>
          <t>378</t>
        </is>
      </c>
      <c r="D2471" t="inlineStr">
        <is>
          <t>17</t>
        </is>
      </c>
      <c r="E2471" t="inlineStr">
        <is>
          <t>36</t>
        </is>
      </c>
      <c r="F2471" t="inlineStr">
        <is>
          <t>S</t>
        </is>
      </c>
      <c r="G2471" t="inlineStr">
        <is>
          <t>Average</t>
        </is>
      </c>
      <c r="H2471" t="n">
        <v>38.75</v>
      </c>
      <c r="I2471">
        <f>B2471&amp;"~"&amp;F2471&amp;"~"&amp;G2471</f>
        <v/>
      </c>
      <c r="J2471" t="inlineStr">
        <is>
          <t>MVS Sec.17 p.36</t>
        </is>
      </c>
    </row>
    <row r="2472">
      <c r="B2472" t="inlineStr">
        <is>
          <t>Stables</t>
        </is>
      </c>
      <c r="C2472" t="inlineStr">
        <is>
          <t>378</t>
        </is>
      </c>
      <c r="D2472" t="inlineStr">
        <is>
          <t>17</t>
        </is>
      </c>
      <c r="E2472" t="inlineStr">
        <is>
          <t>36</t>
        </is>
      </c>
      <c r="F2472" t="inlineStr">
        <is>
          <t>S</t>
        </is>
      </c>
      <c r="G2472" t="inlineStr">
        <is>
          <t>Low Cost</t>
        </is>
      </c>
      <c r="H2472" t="n">
        <v>25.25</v>
      </c>
      <c r="I2472">
        <f>B2472&amp;"~"&amp;F2472&amp;"~"&amp;G2472</f>
        <v/>
      </c>
      <c r="J2472" t="inlineStr">
        <is>
          <t>MVS Sec.17 p.36</t>
        </is>
      </c>
    </row>
    <row r="2473">
      <c r="B2473" t="inlineStr">
        <is>
          <t>High-Value (Estate) Stables – Horse Barns</t>
        </is>
      </c>
      <c r="C2473" t="inlineStr">
        <is>
          <t>559</t>
        </is>
      </c>
      <c r="D2473" t="inlineStr">
        <is>
          <t>17</t>
        </is>
      </c>
      <c r="E2473" t="inlineStr">
        <is>
          <t>36</t>
        </is>
      </c>
      <c r="F2473" t="inlineStr">
        <is>
          <t>C</t>
        </is>
      </c>
      <c r="G2473" t="inlineStr">
        <is>
          <t>Excellent</t>
        </is>
      </c>
      <c r="H2473" t="n">
        <v>286</v>
      </c>
      <c r="I2473">
        <f>B2473&amp;"~"&amp;F2473&amp;"~"&amp;G2473</f>
        <v/>
      </c>
      <c r="J2473" t="inlineStr">
        <is>
          <t>MVS Sec.17 p.36</t>
        </is>
      </c>
    </row>
    <row r="2474">
      <c r="B2474" t="inlineStr">
        <is>
          <t>High-Value (Estate) Stables – Horse Barns</t>
        </is>
      </c>
      <c r="C2474" t="inlineStr">
        <is>
          <t>559</t>
        </is>
      </c>
      <c r="D2474" t="inlineStr">
        <is>
          <t>17</t>
        </is>
      </c>
      <c r="E2474" t="inlineStr">
        <is>
          <t>36</t>
        </is>
      </c>
      <c r="F2474" t="inlineStr">
        <is>
          <t>C</t>
        </is>
      </c>
      <c r="G2474" t="inlineStr">
        <is>
          <t>Good</t>
        </is>
      </c>
      <c r="H2474" t="n">
        <v>199</v>
      </c>
      <c r="I2474">
        <f>B2474&amp;"~"&amp;F2474&amp;"~"&amp;G2474</f>
        <v/>
      </c>
      <c r="J2474" t="inlineStr">
        <is>
          <t>MVS Sec.17 p.36</t>
        </is>
      </c>
    </row>
    <row r="2475">
      <c r="B2475" t="inlineStr">
        <is>
          <t>High-Value (Estate) Stables – Horse Barns</t>
        </is>
      </c>
      <c r="C2475" t="inlineStr">
        <is>
          <t>559</t>
        </is>
      </c>
      <c r="D2475" t="inlineStr">
        <is>
          <t>17</t>
        </is>
      </c>
      <c r="E2475" t="inlineStr">
        <is>
          <t>36</t>
        </is>
      </c>
      <c r="F2475" t="inlineStr">
        <is>
          <t>C</t>
        </is>
      </c>
      <c r="G2475" t="inlineStr">
        <is>
          <t>Average</t>
        </is>
      </c>
      <c r="H2475" t="n">
        <v>139</v>
      </c>
      <c r="I2475">
        <f>B2475&amp;"~"&amp;F2475&amp;"~"&amp;G2475</f>
        <v/>
      </c>
      <c r="J2475" t="inlineStr">
        <is>
          <t>MVS Sec.17 p.36</t>
        </is>
      </c>
    </row>
    <row r="2476">
      <c r="B2476" t="inlineStr">
        <is>
          <t>High-Value (Estate) Stables – Horse Barns</t>
        </is>
      </c>
      <c r="C2476" t="inlineStr">
        <is>
          <t>559</t>
        </is>
      </c>
      <c r="D2476" t="inlineStr">
        <is>
          <t>17</t>
        </is>
      </c>
      <c r="E2476" t="inlineStr">
        <is>
          <t>36</t>
        </is>
      </c>
      <c r="F2476" t="inlineStr">
        <is>
          <t>C</t>
        </is>
      </c>
      <c r="G2476" t="inlineStr">
        <is>
          <t>Low Cost</t>
        </is>
      </c>
      <c r="H2476" t="n">
        <v>97</v>
      </c>
      <c r="I2476">
        <f>B2476&amp;"~"&amp;F2476&amp;"~"&amp;G2476</f>
        <v/>
      </c>
      <c r="J2476" t="inlineStr">
        <is>
          <t>MVS Sec.17 p.36</t>
        </is>
      </c>
    </row>
    <row r="2477">
      <c r="B2477" t="inlineStr">
        <is>
          <t>High-Value (Estate) Stables – Horse Barns</t>
        </is>
      </c>
      <c r="C2477" t="inlineStr">
        <is>
          <t>559</t>
        </is>
      </c>
      <c r="D2477" t="inlineStr">
        <is>
          <t>17</t>
        </is>
      </c>
      <c r="E2477" t="inlineStr">
        <is>
          <t>36</t>
        </is>
      </c>
      <c r="F2477" t="inlineStr">
        <is>
          <t>D</t>
        </is>
      </c>
      <c r="G2477" t="inlineStr">
        <is>
          <t>Excellent</t>
        </is>
      </c>
      <c r="H2477" t="n">
        <v>287</v>
      </c>
      <c r="I2477">
        <f>B2477&amp;"~"&amp;F2477&amp;"~"&amp;G2477</f>
        <v/>
      </c>
      <c r="J2477" t="inlineStr">
        <is>
          <t>MVS Sec.17 p.36</t>
        </is>
      </c>
    </row>
    <row r="2478">
      <c r="B2478" t="inlineStr">
        <is>
          <t>High-Value (Estate) Stables – Horse Barns</t>
        </is>
      </c>
      <c r="C2478" t="inlineStr">
        <is>
          <t>559</t>
        </is>
      </c>
      <c r="D2478" t="inlineStr">
        <is>
          <t>17</t>
        </is>
      </c>
      <c r="E2478" t="inlineStr">
        <is>
          <t>36</t>
        </is>
      </c>
      <c r="F2478" t="inlineStr">
        <is>
          <t>D</t>
        </is>
      </c>
      <c r="G2478" t="inlineStr">
        <is>
          <t>Good</t>
        </is>
      </c>
      <c r="H2478" t="n">
        <v>197</v>
      </c>
      <c r="I2478">
        <f>B2478&amp;"~"&amp;F2478&amp;"~"&amp;G2478</f>
        <v/>
      </c>
      <c r="J2478" t="inlineStr">
        <is>
          <t>MVS Sec.17 p.36</t>
        </is>
      </c>
    </row>
    <row r="2479">
      <c r="B2479" t="inlineStr">
        <is>
          <t>High-Value (Estate) Stables – Horse Barns</t>
        </is>
      </c>
      <c r="C2479" t="inlineStr">
        <is>
          <t>559</t>
        </is>
      </c>
      <c r="D2479" t="inlineStr">
        <is>
          <t>17</t>
        </is>
      </c>
      <c r="E2479" t="inlineStr">
        <is>
          <t>36</t>
        </is>
      </c>
      <c r="F2479" t="inlineStr">
        <is>
          <t>D</t>
        </is>
      </c>
      <c r="G2479" t="inlineStr">
        <is>
          <t>Average</t>
        </is>
      </c>
      <c r="H2479" t="n">
        <v>136</v>
      </c>
      <c r="I2479">
        <f>B2479&amp;"~"&amp;F2479&amp;"~"&amp;G2479</f>
        <v/>
      </c>
      <c r="J2479" t="inlineStr">
        <is>
          <t>MVS Sec.17 p.36</t>
        </is>
      </c>
    </row>
    <row r="2480">
      <c r="B2480" t="inlineStr">
        <is>
          <t>High-Value (Estate) Stables – Horse Barns</t>
        </is>
      </c>
      <c r="C2480" t="inlineStr">
        <is>
          <t>559</t>
        </is>
      </c>
      <c r="D2480" t="inlineStr">
        <is>
          <t>17</t>
        </is>
      </c>
      <c r="E2480" t="inlineStr">
        <is>
          <t>36</t>
        </is>
      </c>
      <c r="F2480" t="inlineStr">
        <is>
          <t>D</t>
        </is>
      </c>
      <c r="G2480" t="inlineStr">
        <is>
          <t>Low Cost</t>
        </is>
      </c>
      <c r="H2480" t="n">
        <v>93.5</v>
      </c>
      <c r="I2480">
        <f>B2480&amp;"~"&amp;F2480&amp;"~"&amp;G2480</f>
        <v/>
      </c>
      <c r="J2480" t="inlineStr">
        <is>
          <t>MVS Sec.17 p.36</t>
        </is>
      </c>
    </row>
    <row r="2481">
      <c r="B2481" t="inlineStr">
        <is>
          <t>High-Value (Estate) Stables – Horse Barns</t>
        </is>
      </c>
      <c r="C2481" t="inlineStr">
        <is>
          <t>559</t>
        </is>
      </c>
      <c r="D2481" t="inlineStr">
        <is>
          <t>17</t>
        </is>
      </c>
      <c r="E2481" t="inlineStr">
        <is>
          <t>36</t>
        </is>
      </c>
      <c r="F2481" t="inlineStr">
        <is>
          <t>DPOLE</t>
        </is>
      </c>
      <c r="G2481" t="inlineStr">
        <is>
          <t>Low Cost</t>
        </is>
      </c>
      <c r="H2481" t="n">
        <v>87</v>
      </c>
      <c r="I2481">
        <f>B2481&amp;"~"&amp;F2481&amp;"~"&amp;G2481</f>
        <v/>
      </c>
      <c r="J2481" t="inlineStr">
        <is>
          <t>MVS Sec.17 p.36</t>
        </is>
      </c>
    </row>
    <row r="2482">
      <c r="B2482" t="inlineStr">
        <is>
          <t>High-Value (Estate) Stables – Horse Barns</t>
        </is>
      </c>
      <c r="C2482" t="inlineStr">
        <is>
          <t>559</t>
        </is>
      </c>
      <c r="D2482" t="inlineStr">
        <is>
          <t>17</t>
        </is>
      </c>
      <c r="E2482" t="inlineStr">
        <is>
          <t>36</t>
        </is>
      </c>
      <c r="F2482" t="inlineStr">
        <is>
          <t>S</t>
        </is>
      </c>
      <c r="G2482" t="inlineStr">
        <is>
          <t>Low Cost</t>
        </is>
      </c>
      <c r="H2482" t="n">
        <v>93</v>
      </c>
      <c r="I2482">
        <f>B2482&amp;"~"&amp;F2482&amp;"~"&amp;G2482</f>
        <v/>
      </c>
      <c r="J2482" t="inlineStr">
        <is>
          <t>MVS Sec.17 p.36</t>
        </is>
      </c>
    </row>
    <row r="2483">
      <c r="B2483" t="inlineStr">
        <is>
          <t>Dairies (Milking Parlors)</t>
        </is>
      </c>
      <c r="C2483" t="inlineStr">
        <is>
          <t>316</t>
        </is>
      </c>
      <c r="D2483" t="inlineStr">
        <is>
          <t>17</t>
        </is>
      </c>
      <c r="E2483" t="inlineStr">
        <is>
          <t>38</t>
        </is>
      </c>
      <c r="F2483" t="inlineStr">
        <is>
          <t>C</t>
        </is>
      </c>
      <c r="G2483" t="inlineStr">
        <is>
          <t>Excellent</t>
        </is>
      </c>
      <c r="H2483" t="n">
        <v>104</v>
      </c>
      <c r="I2483">
        <f>B2483&amp;"~"&amp;F2483&amp;"~"&amp;G2483</f>
        <v/>
      </c>
      <c r="J2483" t="inlineStr">
        <is>
          <t>MVS Sec.17 p.38</t>
        </is>
      </c>
    </row>
    <row r="2484">
      <c r="B2484" t="inlineStr">
        <is>
          <t>Dairies (Milking Parlors)</t>
        </is>
      </c>
      <c r="C2484" t="inlineStr">
        <is>
          <t>316</t>
        </is>
      </c>
      <c r="D2484" t="inlineStr">
        <is>
          <t>17</t>
        </is>
      </c>
      <c r="E2484" t="inlineStr">
        <is>
          <t>38</t>
        </is>
      </c>
      <c r="F2484" t="inlineStr">
        <is>
          <t>C</t>
        </is>
      </c>
      <c r="G2484" t="inlineStr">
        <is>
          <t>Good</t>
        </is>
      </c>
      <c r="H2484" t="n">
        <v>78</v>
      </c>
      <c r="I2484">
        <f>B2484&amp;"~"&amp;F2484&amp;"~"&amp;G2484</f>
        <v/>
      </c>
      <c r="J2484" t="inlineStr">
        <is>
          <t>MVS Sec.17 p.38</t>
        </is>
      </c>
    </row>
    <row r="2485">
      <c r="B2485" t="inlineStr">
        <is>
          <t>Dairies (Milking Parlors)</t>
        </is>
      </c>
      <c r="C2485" t="inlineStr">
        <is>
          <t>316</t>
        </is>
      </c>
      <c r="D2485" t="inlineStr">
        <is>
          <t>17</t>
        </is>
      </c>
      <c r="E2485" t="inlineStr">
        <is>
          <t>38</t>
        </is>
      </c>
      <c r="F2485" t="inlineStr">
        <is>
          <t>C</t>
        </is>
      </c>
      <c r="G2485" t="inlineStr">
        <is>
          <t>Average</t>
        </is>
      </c>
      <c r="H2485" t="n">
        <v>59</v>
      </c>
      <c r="I2485">
        <f>B2485&amp;"~"&amp;F2485&amp;"~"&amp;G2485</f>
        <v/>
      </c>
      <c r="J2485" t="inlineStr">
        <is>
          <t>MVS Sec.17 p.38</t>
        </is>
      </c>
    </row>
    <row r="2486">
      <c r="B2486" t="inlineStr">
        <is>
          <t>Dairies (Milking Parlors)</t>
        </is>
      </c>
      <c r="C2486" t="inlineStr">
        <is>
          <t>316</t>
        </is>
      </c>
      <c r="D2486" t="inlineStr">
        <is>
          <t>17</t>
        </is>
      </c>
      <c r="E2486" t="inlineStr">
        <is>
          <t>38</t>
        </is>
      </c>
      <c r="F2486" t="inlineStr">
        <is>
          <t>C</t>
        </is>
      </c>
      <c r="G2486" t="inlineStr">
        <is>
          <t>Low Cost</t>
        </is>
      </c>
      <c r="H2486" t="n">
        <v>44.5</v>
      </c>
      <c r="I2486">
        <f>B2486&amp;"~"&amp;F2486&amp;"~"&amp;G2486</f>
        <v/>
      </c>
      <c r="J2486" t="inlineStr">
        <is>
          <t>MVS Sec.17 p.38</t>
        </is>
      </c>
    </row>
    <row r="2487">
      <c r="B2487" t="inlineStr">
        <is>
          <t>Dairies (Milking Parlors)</t>
        </is>
      </c>
      <c r="C2487" t="inlineStr">
        <is>
          <t>316</t>
        </is>
      </c>
      <c r="D2487" t="inlineStr">
        <is>
          <t>17</t>
        </is>
      </c>
      <c r="E2487" t="inlineStr">
        <is>
          <t>38</t>
        </is>
      </c>
      <c r="F2487" t="inlineStr">
        <is>
          <t>D</t>
        </is>
      </c>
      <c r="G2487" t="inlineStr">
        <is>
          <t>Excellent</t>
        </is>
      </c>
      <c r="H2487" t="n">
        <v>98</v>
      </c>
      <c r="I2487">
        <f>B2487&amp;"~"&amp;F2487&amp;"~"&amp;G2487</f>
        <v/>
      </c>
      <c r="J2487" t="inlineStr">
        <is>
          <t>MVS Sec.17 p.38</t>
        </is>
      </c>
    </row>
    <row r="2488">
      <c r="B2488" t="inlineStr">
        <is>
          <t>Dairies (Milking Parlors)</t>
        </is>
      </c>
      <c r="C2488" t="inlineStr">
        <is>
          <t>316</t>
        </is>
      </c>
      <c r="D2488" t="inlineStr">
        <is>
          <t>17</t>
        </is>
      </c>
      <c r="E2488" t="inlineStr">
        <is>
          <t>38</t>
        </is>
      </c>
      <c r="F2488" t="inlineStr">
        <is>
          <t>D</t>
        </is>
      </c>
      <c r="G2488" t="inlineStr">
        <is>
          <t>Good</t>
        </is>
      </c>
      <c r="H2488" t="n">
        <v>70.5</v>
      </c>
      <c r="I2488">
        <f>B2488&amp;"~"&amp;F2488&amp;"~"&amp;G2488</f>
        <v/>
      </c>
      <c r="J2488" t="inlineStr">
        <is>
          <t>MVS Sec.17 p.38</t>
        </is>
      </c>
    </row>
    <row r="2489">
      <c r="B2489" t="inlineStr">
        <is>
          <t>Dairies (Milking Parlors)</t>
        </is>
      </c>
      <c r="C2489" t="inlineStr">
        <is>
          <t>316</t>
        </is>
      </c>
      <c r="D2489" t="inlineStr">
        <is>
          <t>17</t>
        </is>
      </c>
      <c r="E2489" t="inlineStr">
        <is>
          <t>38</t>
        </is>
      </c>
      <c r="F2489" t="inlineStr">
        <is>
          <t>D</t>
        </is>
      </c>
      <c r="G2489" t="inlineStr">
        <is>
          <t>Average</t>
        </is>
      </c>
      <c r="H2489" t="n">
        <v>51</v>
      </c>
      <c r="I2489">
        <f>B2489&amp;"~"&amp;F2489&amp;"~"&amp;G2489</f>
        <v/>
      </c>
      <c r="J2489" t="inlineStr">
        <is>
          <t>MVS Sec.17 p.38</t>
        </is>
      </c>
    </row>
    <row r="2490">
      <c r="B2490" t="inlineStr">
        <is>
          <t>Dairies (Milking Parlors)</t>
        </is>
      </c>
      <c r="C2490" t="inlineStr">
        <is>
          <t>316</t>
        </is>
      </c>
      <c r="D2490" t="inlineStr">
        <is>
          <t>17</t>
        </is>
      </c>
      <c r="E2490" t="inlineStr">
        <is>
          <t>38</t>
        </is>
      </c>
      <c r="F2490" t="inlineStr">
        <is>
          <t>D</t>
        </is>
      </c>
      <c r="G2490" t="inlineStr">
        <is>
          <t>Low Cost</t>
        </is>
      </c>
      <c r="H2490" t="n">
        <v>36.75</v>
      </c>
      <c r="I2490">
        <f>B2490&amp;"~"&amp;F2490&amp;"~"&amp;G2490</f>
        <v/>
      </c>
      <c r="J2490" t="inlineStr">
        <is>
          <t>MVS Sec.17 p.38</t>
        </is>
      </c>
    </row>
    <row r="2491">
      <c r="B2491" t="inlineStr">
        <is>
          <t>Dairies (Milking Parlors)</t>
        </is>
      </c>
      <c r="C2491" t="inlineStr">
        <is>
          <t>316</t>
        </is>
      </c>
      <c r="D2491" t="inlineStr">
        <is>
          <t>17</t>
        </is>
      </c>
      <c r="E2491" t="inlineStr">
        <is>
          <t>38</t>
        </is>
      </c>
      <c r="F2491" t="inlineStr">
        <is>
          <t>DPOLE</t>
        </is>
      </c>
      <c r="G2491" t="inlineStr">
        <is>
          <t>Excellent</t>
        </is>
      </c>
      <c r="H2491" t="n">
        <v>89.5</v>
      </c>
      <c r="I2491">
        <f>B2491&amp;"~"&amp;F2491&amp;"~"&amp;G2491</f>
        <v/>
      </c>
      <c r="J2491" t="inlineStr">
        <is>
          <t>MVS Sec.17 p.38</t>
        </is>
      </c>
    </row>
    <row r="2492">
      <c r="B2492" t="inlineStr">
        <is>
          <t>Dairies (Milking Parlors)</t>
        </is>
      </c>
      <c r="C2492" t="inlineStr">
        <is>
          <t>316</t>
        </is>
      </c>
      <c r="D2492" t="inlineStr">
        <is>
          <t>17</t>
        </is>
      </c>
      <c r="E2492" t="inlineStr">
        <is>
          <t>38</t>
        </is>
      </c>
      <c r="F2492" t="inlineStr">
        <is>
          <t>DPOLE</t>
        </is>
      </c>
      <c r="G2492" t="inlineStr">
        <is>
          <t>Good</t>
        </is>
      </c>
      <c r="H2492" t="n">
        <v>64.5</v>
      </c>
      <c r="I2492">
        <f>B2492&amp;"~"&amp;F2492&amp;"~"&amp;G2492</f>
        <v/>
      </c>
      <c r="J2492" t="inlineStr">
        <is>
          <t>MVS Sec.17 p.38</t>
        </is>
      </c>
    </row>
    <row r="2493">
      <c r="B2493" t="inlineStr">
        <is>
          <t>Dairies (Milking Parlors)</t>
        </is>
      </c>
      <c r="C2493" t="inlineStr">
        <is>
          <t>316</t>
        </is>
      </c>
      <c r="D2493" t="inlineStr">
        <is>
          <t>17</t>
        </is>
      </c>
      <c r="E2493" t="inlineStr">
        <is>
          <t>38</t>
        </is>
      </c>
      <c r="F2493" t="inlineStr">
        <is>
          <t>DPOLE</t>
        </is>
      </c>
      <c r="G2493" t="inlineStr">
        <is>
          <t>Average</t>
        </is>
      </c>
      <c r="H2493" t="n">
        <v>47</v>
      </c>
      <c r="I2493">
        <f>B2493&amp;"~"&amp;F2493&amp;"~"&amp;G2493</f>
        <v/>
      </c>
      <c r="J2493" t="inlineStr">
        <is>
          <t>MVS Sec.17 p.38</t>
        </is>
      </c>
    </row>
    <row r="2494">
      <c r="B2494" t="inlineStr">
        <is>
          <t>Dairies (Milking Parlors)</t>
        </is>
      </c>
      <c r="C2494" t="inlineStr">
        <is>
          <t>316</t>
        </is>
      </c>
      <c r="D2494" t="inlineStr">
        <is>
          <t>17</t>
        </is>
      </c>
      <c r="E2494" t="inlineStr">
        <is>
          <t>38</t>
        </is>
      </c>
      <c r="F2494" t="inlineStr">
        <is>
          <t>DPOLE</t>
        </is>
      </c>
      <c r="G2494" t="inlineStr">
        <is>
          <t>Low Cost</t>
        </is>
      </c>
      <c r="H2494" t="n">
        <v>34.25</v>
      </c>
      <c r="I2494">
        <f>B2494&amp;"~"&amp;F2494&amp;"~"&amp;G2494</f>
        <v/>
      </c>
      <c r="J2494" t="inlineStr">
        <is>
          <t>MVS Sec.17 p.38</t>
        </is>
      </c>
    </row>
    <row r="2495">
      <c r="B2495" t="inlineStr">
        <is>
          <t>Dairies (Milking Parlors)</t>
        </is>
      </c>
      <c r="C2495" t="inlineStr">
        <is>
          <t>316</t>
        </is>
      </c>
      <c r="D2495" t="inlineStr">
        <is>
          <t>17</t>
        </is>
      </c>
      <c r="E2495" t="inlineStr">
        <is>
          <t>38</t>
        </is>
      </c>
      <c r="F2495" t="inlineStr">
        <is>
          <t>S</t>
        </is>
      </c>
      <c r="G2495" t="inlineStr">
        <is>
          <t>Excellent</t>
        </is>
      </c>
      <c r="H2495" t="n">
        <v>97</v>
      </c>
      <c r="I2495">
        <f>B2495&amp;"~"&amp;F2495&amp;"~"&amp;G2495</f>
        <v/>
      </c>
      <c r="J2495" t="inlineStr">
        <is>
          <t>MVS Sec.17 p.38</t>
        </is>
      </c>
    </row>
    <row r="2496">
      <c r="B2496" t="inlineStr">
        <is>
          <t>Dairies (Milking Parlors)</t>
        </is>
      </c>
      <c r="C2496" t="inlineStr">
        <is>
          <t>316</t>
        </is>
      </c>
      <c r="D2496" t="inlineStr">
        <is>
          <t>17</t>
        </is>
      </c>
      <c r="E2496" t="inlineStr">
        <is>
          <t>38</t>
        </is>
      </c>
      <c r="F2496" t="inlineStr">
        <is>
          <t>S</t>
        </is>
      </c>
      <c r="G2496" t="inlineStr">
        <is>
          <t>Good</t>
        </is>
      </c>
      <c r="H2496" t="n">
        <v>71</v>
      </c>
      <c r="I2496">
        <f>B2496&amp;"~"&amp;F2496&amp;"~"&amp;G2496</f>
        <v/>
      </c>
      <c r="J2496" t="inlineStr">
        <is>
          <t>MVS Sec.17 p.38</t>
        </is>
      </c>
    </row>
    <row r="2497">
      <c r="B2497" t="inlineStr">
        <is>
          <t>Dairies (Milking Parlors)</t>
        </is>
      </c>
      <c r="C2497" t="inlineStr">
        <is>
          <t>316</t>
        </is>
      </c>
      <c r="D2497" t="inlineStr">
        <is>
          <t>17</t>
        </is>
      </c>
      <c r="E2497" t="inlineStr">
        <is>
          <t>38</t>
        </is>
      </c>
      <c r="F2497" t="inlineStr">
        <is>
          <t>S</t>
        </is>
      </c>
      <c r="G2497" t="inlineStr">
        <is>
          <t>Average</t>
        </is>
      </c>
      <c r="H2497" t="n">
        <v>52</v>
      </c>
      <c r="I2497">
        <f>B2497&amp;"~"&amp;F2497&amp;"~"&amp;G2497</f>
        <v/>
      </c>
      <c r="J2497" t="inlineStr">
        <is>
          <t>MVS Sec.17 p.38</t>
        </is>
      </c>
    </row>
    <row r="2498">
      <c r="B2498" t="inlineStr">
        <is>
          <t>Dairies (Milking Parlors)</t>
        </is>
      </c>
      <c r="C2498" t="inlineStr">
        <is>
          <t>316</t>
        </is>
      </c>
      <c r="D2498" t="inlineStr">
        <is>
          <t>17</t>
        </is>
      </c>
      <c r="E2498" t="inlineStr">
        <is>
          <t>38</t>
        </is>
      </c>
      <c r="F2498" t="inlineStr">
        <is>
          <t>S</t>
        </is>
      </c>
      <c r="G2498" t="inlineStr">
        <is>
          <t>Low Cost</t>
        </is>
      </c>
      <c r="H2498" t="n">
        <v>38.25</v>
      </c>
      <c r="I2498">
        <f>B2498&amp;"~"&amp;F2498&amp;"~"&amp;G2498</f>
        <v/>
      </c>
      <c r="J2498" t="inlineStr">
        <is>
          <t>MVS Sec.17 p.38</t>
        </is>
      </c>
    </row>
    <row r="2499">
      <c r="B2499" t="inlineStr">
        <is>
          <t>Milkhouses</t>
        </is>
      </c>
      <c r="C2499" t="inlineStr">
        <is>
          <t>440</t>
        </is>
      </c>
      <c r="D2499" t="inlineStr">
        <is>
          <t>17</t>
        </is>
      </c>
      <c r="E2499" t="inlineStr">
        <is>
          <t>38</t>
        </is>
      </c>
      <c r="F2499" t="inlineStr">
        <is>
          <t>C</t>
        </is>
      </c>
      <c r="G2499" t="inlineStr">
        <is>
          <t>Good</t>
        </is>
      </c>
      <c r="H2499" t="n">
        <v>86</v>
      </c>
      <c r="I2499">
        <f>B2499&amp;"~"&amp;F2499&amp;"~"&amp;G2499</f>
        <v/>
      </c>
      <c r="J2499" t="inlineStr">
        <is>
          <t>MVS Sec.17 p.38</t>
        </is>
      </c>
    </row>
    <row r="2500">
      <c r="B2500" t="inlineStr">
        <is>
          <t>Milkhouses</t>
        </is>
      </c>
      <c r="C2500" t="inlineStr">
        <is>
          <t>440</t>
        </is>
      </c>
      <c r="D2500" t="inlineStr">
        <is>
          <t>17</t>
        </is>
      </c>
      <c r="E2500" t="inlineStr">
        <is>
          <t>38</t>
        </is>
      </c>
      <c r="F2500" t="inlineStr">
        <is>
          <t>C</t>
        </is>
      </c>
      <c r="G2500" t="inlineStr">
        <is>
          <t>Average</t>
        </is>
      </c>
      <c r="H2500" t="n">
        <v>63</v>
      </c>
      <c r="I2500">
        <f>B2500&amp;"~"&amp;F2500&amp;"~"&amp;G2500</f>
        <v/>
      </c>
      <c r="J2500" t="inlineStr">
        <is>
          <t>MVS Sec.17 p.38</t>
        </is>
      </c>
    </row>
    <row r="2501">
      <c r="B2501" t="inlineStr">
        <is>
          <t>Milkhouses</t>
        </is>
      </c>
      <c r="C2501" t="inlineStr">
        <is>
          <t>440</t>
        </is>
      </c>
      <c r="D2501" t="inlineStr">
        <is>
          <t>17</t>
        </is>
      </c>
      <c r="E2501" t="inlineStr">
        <is>
          <t>38</t>
        </is>
      </c>
      <c r="F2501" t="inlineStr">
        <is>
          <t>D</t>
        </is>
      </c>
      <c r="G2501" t="inlineStr">
        <is>
          <t>Good</t>
        </is>
      </c>
      <c r="H2501" t="n">
        <v>77</v>
      </c>
      <c r="I2501">
        <f>B2501&amp;"~"&amp;F2501&amp;"~"&amp;G2501</f>
        <v/>
      </c>
      <c r="J2501" t="inlineStr">
        <is>
          <t>MVS Sec.17 p.38</t>
        </is>
      </c>
    </row>
    <row r="2502">
      <c r="B2502" t="inlineStr">
        <is>
          <t>Milkhouses</t>
        </is>
      </c>
      <c r="C2502" t="inlineStr">
        <is>
          <t>440</t>
        </is>
      </c>
      <c r="D2502" t="inlineStr">
        <is>
          <t>17</t>
        </is>
      </c>
      <c r="E2502" t="inlineStr">
        <is>
          <t>38</t>
        </is>
      </c>
      <c r="F2502" t="inlineStr">
        <is>
          <t>D</t>
        </is>
      </c>
      <c r="G2502" t="inlineStr">
        <is>
          <t>Average</t>
        </is>
      </c>
      <c r="H2502" t="n">
        <v>56.5</v>
      </c>
      <c r="I2502">
        <f>B2502&amp;"~"&amp;F2502&amp;"~"&amp;G2502</f>
        <v/>
      </c>
      <c r="J2502" t="inlineStr">
        <is>
          <t>MVS Sec.17 p.38</t>
        </is>
      </c>
    </row>
    <row r="2503">
      <c r="B2503" t="inlineStr">
        <is>
          <t>Milkhouse Sheds</t>
        </is>
      </c>
      <c r="C2503" t="inlineStr">
        <is>
          <t>114</t>
        </is>
      </c>
      <c r="D2503" t="inlineStr">
        <is>
          <t>17</t>
        </is>
      </c>
      <c r="E2503" t="inlineStr">
        <is>
          <t>38</t>
        </is>
      </c>
      <c r="F2503" t="inlineStr">
        <is>
          <t>C</t>
        </is>
      </c>
      <c r="G2503" t="inlineStr">
        <is>
          <t>Good</t>
        </is>
      </c>
      <c r="H2503" t="n">
        <v>74</v>
      </c>
      <c r="I2503">
        <f>B2503&amp;"~"&amp;F2503&amp;"~"&amp;G2503</f>
        <v/>
      </c>
      <c r="J2503" t="inlineStr">
        <is>
          <t>MVS Sec.17 p.38</t>
        </is>
      </c>
    </row>
    <row r="2504">
      <c r="B2504" t="inlineStr">
        <is>
          <t>Milkhouse Sheds</t>
        </is>
      </c>
      <c r="C2504" t="inlineStr">
        <is>
          <t>114</t>
        </is>
      </c>
      <c r="D2504" t="inlineStr">
        <is>
          <t>17</t>
        </is>
      </c>
      <c r="E2504" t="inlineStr">
        <is>
          <t>38</t>
        </is>
      </c>
      <c r="F2504" t="inlineStr">
        <is>
          <t>C</t>
        </is>
      </c>
      <c r="G2504" t="inlineStr">
        <is>
          <t>Average</t>
        </is>
      </c>
      <c r="H2504" t="n">
        <v>54.5</v>
      </c>
      <c r="I2504">
        <f>B2504&amp;"~"&amp;F2504&amp;"~"&amp;G2504</f>
        <v/>
      </c>
      <c r="J2504" t="inlineStr">
        <is>
          <t>MVS Sec.17 p.38</t>
        </is>
      </c>
    </row>
    <row r="2505">
      <c r="B2505" t="inlineStr">
        <is>
          <t>Milkhouse Sheds</t>
        </is>
      </c>
      <c r="C2505" t="inlineStr">
        <is>
          <t>114</t>
        </is>
      </c>
      <c r="D2505" t="inlineStr">
        <is>
          <t>17</t>
        </is>
      </c>
      <c r="E2505" t="inlineStr">
        <is>
          <t>38</t>
        </is>
      </c>
      <c r="F2505" t="inlineStr">
        <is>
          <t>D</t>
        </is>
      </c>
      <c r="G2505" t="inlineStr">
        <is>
          <t>Good</t>
        </is>
      </c>
      <c r="H2505" t="n">
        <v>66</v>
      </c>
      <c r="I2505">
        <f>B2505&amp;"~"&amp;F2505&amp;"~"&amp;G2505</f>
        <v/>
      </c>
      <c r="J2505" t="inlineStr">
        <is>
          <t>MVS Sec.17 p.38</t>
        </is>
      </c>
    </row>
    <row r="2506">
      <c r="B2506" t="inlineStr">
        <is>
          <t>Milkhouse Sheds</t>
        </is>
      </c>
      <c r="C2506" t="inlineStr">
        <is>
          <t>114</t>
        </is>
      </c>
      <c r="D2506" t="inlineStr">
        <is>
          <t>17</t>
        </is>
      </c>
      <c r="E2506" t="inlineStr">
        <is>
          <t>38</t>
        </is>
      </c>
      <c r="F2506" t="inlineStr">
        <is>
          <t>D</t>
        </is>
      </c>
      <c r="G2506" t="inlineStr">
        <is>
          <t>Average</t>
        </is>
      </c>
      <c r="H2506" t="n">
        <v>48.25</v>
      </c>
      <c r="I2506">
        <f>B2506&amp;"~"&amp;F2506&amp;"~"&amp;G2506</f>
        <v/>
      </c>
      <c r="J2506" t="inlineStr">
        <is>
          <t>MVS Sec.17 p.38</t>
        </is>
      </c>
    </row>
    <row r="2507">
      <c r="B2507" t="inlineStr">
        <is>
          <t>Hog Barns – Nursery</t>
        </is>
      </c>
      <c r="C2507" t="inlineStr">
        <is>
          <t>112</t>
        </is>
      </c>
      <c r="D2507" t="inlineStr">
        <is>
          <t>17</t>
        </is>
      </c>
      <c r="E2507" t="inlineStr">
        <is>
          <t>40</t>
        </is>
      </c>
      <c r="F2507" t="inlineStr">
        <is>
          <t>C</t>
        </is>
      </c>
      <c r="G2507" t="inlineStr">
        <is>
          <t>Good</t>
        </is>
      </c>
      <c r="H2507" t="n">
        <v>69.5</v>
      </c>
      <c r="I2507">
        <f>B2507&amp;"~"&amp;F2507&amp;"~"&amp;G2507</f>
        <v/>
      </c>
      <c r="J2507" t="inlineStr">
        <is>
          <t>MVS Sec.17 p.40</t>
        </is>
      </c>
    </row>
    <row r="2508">
      <c r="B2508" t="inlineStr">
        <is>
          <t>Hog Barns – Nursery</t>
        </is>
      </c>
      <c r="C2508" t="inlineStr">
        <is>
          <t>112</t>
        </is>
      </c>
      <c r="D2508" t="inlineStr">
        <is>
          <t>17</t>
        </is>
      </c>
      <c r="E2508" t="inlineStr">
        <is>
          <t>40</t>
        </is>
      </c>
      <c r="F2508" t="inlineStr">
        <is>
          <t>C</t>
        </is>
      </c>
      <c r="G2508" t="inlineStr">
        <is>
          <t>Average</t>
        </is>
      </c>
      <c r="H2508" t="n">
        <v>62</v>
      </c>
      <c r="I2508">
        <f>B2508&amp;"~"&amp;F2508&amp;"~"&amp;G2508</f>
        <v/>
      </c>
      <c r="J2508" t="inlineStr">
        <is>
          <t>MVS Sec.17 p.40</t>
        </is>
      </c>
    </row>
    <row r="2509">
      <c r="B2509" t="inlineStr">
        <is>
          <t>Hog Barns – Nursery</t>
        </is>
      </c>
      <c r="C2509" t="inlineStr">
        <is>
          <t>112</t>
        </is>
      </c>
      <c r="D2509" t="inlineStr">
        <is>
          <t>17</t>
        </is>
      </c>
      <c r="E2509" t="inlineStr">
        <is>
          <t>40</t>
        </is>
      </c>
      <c r="F2509" t="inlineStr">
        <is>
          <t>D</t>
        </is>
      </c>
      <c r="G2509" t="inlineStr">
        <is>
          <t>Good</t>
        </is>
      </c>
      <c r="H2509" t="n">
        <v>65.5</v>
      </c>
      <c r="I2509">
        <f>B2509&amp;"~"&amp;F2509&amp;"~"&amp;G2509</f>
        <v/>
      </c>
      <c r="J2509" t="inlineStr">
        <is>
          <t>MVS Sec.17 p.40</t>
        </is>
      </c>
    </row>
    <row r="2510">
      <c r="B2510" t="inlineStr">
        <is>
          <t>Hog Barns – Nursery</t>
        </is>
      </c>
      <c r="C2510" t="inlineStr">
        <is>
          <t>112</t>
        </is>
      </c>
      <c r="D2510" t="inlineStr">
        <is>
          <t>17</t>
        </is>
      </c>
      <c r="E2510" t="inlineStr">
        <is>
          <t>40</t>
        </is>
      </c>
      <c r="F2510" t="inlineStr">
        <is>
          <t>D</t>
        </is>
      </c>
      <c r="G2510" t="inlineStr">
        <is>
          <t>Average</t>
        </is>
      </c>
      <c r="H2510" t="n">
        <v>57</v>
      </c>
      <c r="I2510">
        <f>B2510&amp;"~"&amp;F2510&amp;"~"&amp;G2510</f>
        <v/>
      </c>
      <c r="J2510" t="inlineStr">
        <is>
          <t>MVS Sec.17 p.40</t>
        </is>
      </c>
    </row>
    <row r="2511">
      <c r="B2511" t="inlineStr">
        <is>
          <t>Hog Barns – Nursery</t>
        </is>
      </c>
      <c r="C2511" t="inlineStr">
        <is>
          <t>112</t>
        </is>
      </c>
      <c r="D2511" t="inlineStr">
        <is>
          <t>17</t>
        </is>
      </c>
      <c r="E2511" t="inlineStr">
        <is>
          <t>40</t>
        </is>
      </c>
      <c r="F2511" t="inlineStr">
        <is>
          <t>DPOLE</t>
        </is>
      </c>
      <c r="G2511" t="inlineStr">
        <is>
          <t>Good</t>
        </is>
      </c>
      <c r="H2511" t="n">
        <v>60.5</v>
      </c>
      <c r="I2511">
        <f>B2511&amp;"~"&amp;F2511&amp;"~"&amp;G2511</f>
        <v/>
      </c>
      <c r="J2511" t="inlineStr">
        <is>
          <t>MVS Sec.17 p.40</t>
        </is>
      </c>
    </row>
    <row r="2512">
      <c r="B2512" t="inlineStr">
        <is>
          <t>Hog Barns – Nursery</t>
        </is>
      </c>
      <c r="C2512" t="inlineStr">
        <is>
          <t>112</t>
        </is>
      </c>
      <c r="D2512" t="inlineStr">
        <is>
          <t>17</t>
        </is>
      </c>
      <c r="E2512" t="inlineStr">
        <is>
          <t>40</t>
        </is>
      </c>
      <c r="F2512" t="inlineStr">
        <is>
          <t>DPOLE</t>
        </is>
      </c>
      <c r="G2512" t="inlineStr">
        <is>
          <t>Average</t>
        </is>
      </c>
      <c r="H2512" t="n">
        <v>53</v>
      </c>
      <c r="I2512">
        <f>B2512&amp;"~"&amp;F2512&amp;"~"&amp;G2512</f>
        <v/>
      </c>
      <c r="J2512" t="inlineStr">
        <is>
          <t>MVS Sec.17 p.40</t>
        </is>
      </c>
    </row>
    <row r="2513">
      <c r="B2513" t="inlineStr">
        <is>
          <t>Hog Barns – Nursery</t>
        </is>
      </c>
      <c r="C2513" t="inlineStr">
        <is>
          <t>112</t>
        </is>
      </c>
      <c r="D2513" t="inlineStr">
        <is>
          <t>17</t>
        </is>
      </c>
      <c r="E2513" t="inlineStr">
        <is>
          <t>40</t>
        </is>
      </c>
      <c r="F2513" t="inlineStr">
        <is>
          <t>S</t>
        </is>
      </c>
      <c r="G2513" t="inlineStr">
        <is>
          <t>Good</t>
        </is>
      </c>
      <c r="H2513" t="n">
        <v>65.5</v>
      </c>
      <c r="I2513">
        <f>B2513&amp;"~"&amp;F2513&amp;"~"&amp;G2513</f>
        <v/>
      </c>
      <c r="J2513" t="inlineStr">
        <is>
          <t>MVS Sec.17 p.40</t>
        </is>
      </c>
    </row>
    <row r="2514">
      <c r="B2514" t="inlineStr">
        <is>
          <t>Hog Barns – Nursery</t>
        </is>
      </c>
      <c r="C2514" t="inlineStr">
        <is>
          <t>112</t>
        </is>
      </c>
      <c r="D2514" t="inlineStr">
        <is>
          <t>17</t>
        </is>
      </c>
      <c r="E2514" t="inlineStr">
        <is>
          <t>40</t>
        </is>
      </c>
      <c r="F2514" t="inlineStr">
        <is>
          <t>S</t>
        </is>
      </c>
      <c r="G2514" t="inlineStr">
        <is>
          <t>Average</t>
        </is>
      </c>
      <c r="H2514" t="n">
        <v>57.5</v>
      </c>
      <c r="I2514">
        <f>B2514&amp;"~"&amp;F2514&amp;"~"&amp;G2514</f>
        <v/>
      </c>
      <c r="J2514" t="inlineStr">
        <is>
          <t>MVS Sec.17 p.40</t>
        </is>
      </c>
    </row>
    <row r="2515">
      <c r="B2515" t="inlineStr">
        <is>
          <t>Hog Barns – Breeding/Gestation</t>
        </is>
      </c>
      <c r="C2515" t="inlineStr">
        <is>
          <t>109</t>
        </is>
      </c>
      <c r="D2515" t="inlineStr">
        <is>
          <t>17</t>
        </is>
      </c>
      <c r="E2515" t="inlineStr">
        <is>
          <t>40</t>
        </is>
      </c>
      <c r="F2515" t="inlineStr">
        <is>
          <t>C</t>
        </is>
      </c>
      <c r="G2515" t="inlineStr">
        <is>
          <t>Good</t>
        </is>
      </c>
      <c r="H2515" t="n">
        <v>55.5</v>
      </c>
      <c r="I2515">
        <f>B2515&amp;"~"&amp;F2515&amp;"~"&amp;G2515</f>
        <v/>
      </c>
      <c r="J2515" t="inlineStr">
        <is>
          <t>MVS Sec.17 p.40</t>
        </is>
      </c>
    </row>
    <row r="2516">
      <c r="B2516" t="inlineStr">
        <is>
          <t>Hog Barns – Breeding/Gestation</t>
        </is>
      </c>
      <c r="C2516" t="inlineStr">
        <is>
          <t>109</t>
        </is>
      </c>
      <c r="D2516" t="inlineStr">
        <is>
          <t>17</t>
        </is>
      </c>
      <c r="E2516" t="inlineStr">
        <is>
          <t>40</t>
        </is>
      </c>
      <c r="F2516" t="inlineStr">
        <is>
          <t>C</t>
        </is>
      </c>
      <c r="G2516" t="inlineStr">
        <is>
          <t>Average</t>
        </is>
      </c>
      <c r="H2516" t="n">
        <v>44</v>
      </c>
      <c r="I2516">
        <f>B2516&amp;"~"&amp;F2516&amp;"~"&amp;G2516</f>
        <v/>
      </c>
      <c r="J2516" t="inlineStr">
        <is>
          <t>MVS Sec.17 p.40</t>
        </is>
      </c>
    </row>
    <row r="2517">
      <c r="B2517" t="inlineStr">
        <is>
          <t>Hog Barns – Breeding/Gestation</t>
        </is>
      </c>
      <c r="C2517" t="inlineStr">
        <is>
          <t>109</t>
        </is>
      </c>
      <c r="D2517" t="inlineStr">
        <is>
          <t>17</t>
        </is>
      </c>
      <c r="E2517" t="inlineStr">
        <is>
          <t>40</t>
        </is>
      </c>
      <c r="F2517" t="inlineStr">
        <is>
          <t>C</t>
        </is>
      </c>
      <c r="G2517" t="inlineStr">
        <is>
          <t>Low Cost</t>
        </is>
      </c>
      <c r="H2517" t="n">
        <v>38.25</v>
      </c>
      <c r="I2517">
        <f>B2517&amp;"~"&amp;F2517&amp;"~"&amp;G2517</f>
        <v/>
      </c>
      <c r="J2517" t="inlineStr">
        <is>
          <t>MVS Sec.17 p.40</t>
        </is>
      </c>
    </row>
    <row r="2518">
      <c r="B2518" t="inlineStr">
        <is>
          <t>Hog Barns – Breeding/Gestation</t>
        </is>
      </c>
      <c r="C2518" t="inlineStr">
        <is>
          <t>109</t>
        </is>
      </c>
      <c r="D2518" t="inlineStr">
        <is>
          <t>17</t>
        </is>
      </c>
      <c r="E2518" t="inlineStr">
        <is>
          <t>40</t>
        </is>
      </c>
      <c r="F2518" t="inlineStr">
        <is>
          <t>D</t>
        </is>
      </c>
      <c r="G2518" t="inlineStr">
        <is>
          <t>Good</t>
        </is>
      </c>
      <c r="H2518" t="n">
        <v>49.5</v>
      </c>
      <c r="I2518">
        <f>B2518&amp;"~"&amp;F2518&amp;"~"&amp;G2518</f>
        <v/>
      </c>
      <c r="J2518" t="inlineStr">
        <is>
          <t>MVS Sec.17 p.40</t>
        </is>
      </c>
    </row>
    <row r="2519">
      <c r="B2519" t="inlineStr">
        <is>
          <t>Hog Barns – Breeding/Gestation</t>
        </is>
      </c>
      <c r="C2519" t="inlineStr">
        <is>
          <t>109</t>
        </is>
      </c>
      <c r="D2519" t="inlineStr">
        <is>
          <t>17</t>
        </is>
      </c>
      <c r="E2519" t="inlineStr">
        <is>
          <t>40</t>
        </is>
      </c>
      <c r="F2519" t="inlineStr">
        <is>
          <t>D</t>
        </is>
      </c>
      <c r="G2519" t="inlineStr">
        <is>
          <t>Average</t>
        </is>
      </c>
      <c r="H2519" t="n">
        <v>37.5</v>
      </c>
      <c r="I2519">
        <f>B2519&amp;"~"&amp;F2519&amp;"~"&amp;G2519</f>
        <v/>
      </c>
      <c r="J2519" t="inlineStr">
        <is>
          <t>MVS Sec.17 p.40</t>
        </is>
      </c>
    </row>
    <row r="2520">
      <c r="B2520" t="inlineStr">
        <is>
          <t>Hog Barns – Breeding/Gestation</t>
        </is>
      </c>
      <c r="C2520" t="inlineStr">
        <is>
          <t>109</t>
        </is>
      </c>
      <c r="D2520" t="inlineStr">
        <is>
          <t>17</t>
        </is>
      </c>
      <c r="E2520" t="inlineStr">
        <is>
          <t>40</t>
        </is>
      </c>
      <c r="F2520" t="inlineStr">
        <is>
          <t>D</t>
        </is>
      </c>
      <c r="G2520" t="inlineStr">
        <is>
          <t>Low Cost</t>
        </is>
      </c>
      <c r="H2520" t="n">
        <v>32.25</v>
      </c>
      <c r="I2520">
        <f>B2520&amp;"~"&amp;F2520&amp;"~"&amp;G2520</f>
        <v/>
      </c>
      <c r="J2520" t="inlineStr">
        <is>
          <t>MVS Sec.17 p.40</t>
        </is>
      </c>
    </row>
    <row r="2521">
      <c r="B2521" t="inlineStr">
        <is>
          <t>Hog Barns – Breeding/Gestation</t>
        </is>
      </c>
      <c r="C2521" t="inlineStr">
        <is>
          <t>109</t>
        </is>
      </c>
      <c r="D2521" t="inlineStr">
        <is>
          <t>17</t>
        </is>
      </c>
      <c r="E2521" t="inlineStr">
        <is>
          <t>40</t>
        </is>
      </c>
      <c r="F2521" t="inlineStr">
        <is>
          <t>D</t>
        </is>
      </c>
      <c r="G2521" t="inlineStr">
        <is>
          <t>Cheap</t>
        </is>
      </c>
      <c r="H2521" t="n">
        <v>24.8</v>
      </c>
      <c r="I2521">
        <f>B2521&amp;"~"&amp;F2521&amp;"~"&amp;G2521</f>
        <v/>
      </c>
      <c r="J2521" t="inlineStr">
        <is>
          <t>MVS Sec.17 p.40</t>
        </is>
      </c>
    </row>
    <row r="2522">
      <c r="B2522" t="inlineStr">
        <is>
          <t>Hog Barns – Breeding/Gestation</t>
        </is>
      </c>
      <c r="C2522" t="inlineStr">
        <is>
          <t>109</t>
        </is>
      </c>
      <c r="D2522" t="inlineStr">
        <is>
          <t>17</t>
        </is>
      </c>
      <c r="E2522" t="inlineStr">
        <is>
          <t>40</t>
        </is>
      </c>
      <c r="F2522" t="inlineStr">
        <is>
          <t>DPOLE</t>
        </is>
      </c>
      <c r="G2522" t="inlineStr">
        <is>
          <t>Good</t>
        </is>
      </c>
      <c r="H2522" t="n">
        <v>46.5</v>
      </c>
      <c r="I2522">
        <f>B2522&amp;"~"&amp;F2522&amp;"~"&amp;G2522</f>
        <v/>
      </c>
      <c r="J2522" t="inlineStr">
        <is>
          <t>MVS Sec.17 p.40</t>
        </is>
      </c>
    </row>
    <row r="2523">
      <c r="B2523" t="inlineStr">
        <is>
          <t>Hog Barns – Breeding/Gestation</t>
        </is>
      </c>
      <c r="C2523" t="inlineStr">
        <is>
          <t>109</t>
        </is>
      </c>
      <c r="D2523" t="inlineStr">
        <is>
          <t>17</t>
        </is>
      </c>
      <c r="E2523" t="inlineStr">
        <is>
          <t>40</t>
        </is>
      </c>
      <c r="F2523" t="inlineStr">
        <is>
          <t>DPOLE</t>
        </is>
      </c>
      <c r="G2523" t="inlineStr">
        <is>
          <t>Average</t>
        </is>
      </c>
      <c r="H2523" t="n">
        <v>35.5</v>
      </c>
      <c r="I2523">
        <f>B2523&amp;"~"&amp;F2523&amp;"~"&amp;G2523</f>
        <v/>
      </c>
      <c r="J2523" t="inlineStr">
        <is>
          <t>MVS Sec.17 p.40</t>
        </is>
      </c>
    </row>
    <row r="2524">
      <c r="B2524" t="inlineStr">
        <is>
          <t>Hog Barns – Breeding/Gestation</t>
        </is>
      </c>
      <c r="C2524" t="inlineStr">
        <is>
          <t>109</t>
        </is>
      </c>
      <c r="D2524" t="inlineStr">
        <is>
          <t>17</t>
        </is>
      </c>
      <c r="E2524" t="inlineStr">
        <is>
          <t>40</t>
        </is>
      </c>
      <c r="F2524" t="inlineStr">
        <is>
          <t>DPOLE</t>
        </is>
      </c>
      <c r="G2524" t="inlineStr">
        <is>
          <t>Low Cost</t>
        </is>
      </c>
      <c r="H2524" t="n">
        <v>30.75</v>
      </c>
      <c r="I2524">
        <f>B2524&amp;"~"&amp;F2524&amp;"~"&amp;G2524</f>
        <v/>
      </c>
      <c r="J2524" t="inlineStr">
        <is>
          <t>MVS Sec.17 p.40</t>
        </is>
      </c>
    </row>
    <row r="2525">
      <c r="B2525" t="inlineStr">
        <is>
          <t>Hog Barns – Breeding/Gestation</t>
        </is>
      </c>
      <c r="C2525" t="inlineStr">
        <is>
          <t>109</t>
        </is>
      </c>
      <c r="D2525" t="inlineStr">
        <is>
          <t>17</t>
        </is>
      </c>
      <c r="E2525" t="inlineStr">
        <is>
          <t>40</t>
        </is>
      </c>
      <c r="F2525" t="inlineStr">
        <is>
          <t>DPOLE</t>
        </is>
      </c>
      <c r="G2525" t="inlineStr">
        <is>
          <t>Cheap</t>
        </is>
      </c>
      <c r="H2525" t="n">
        <v>23.95</v>
      </c>
      <c r="I2525">
        <f>B2525&amp;"~"&amp;F2525&amp;"~"&amp;G2525</f>
        <v/>
      </c>
      <c r="J2525" t="inlineStr">
        <is>
          <t>MVS Sec.17 p.40</t>
        </is>
      </c>
    </row>
    <row r="2526">
      <c r="B2526" t="inlineStr">
        <is>
          <t>Hog Barns – Breeding/Gestation</t>
        </is>
      </c>
      <c r="C2526" t="inlineStr">
        <is>
          <t>109</t>
        </is>
      </c>
      <c r="D2526" t="inlineStr">
        <is>
          <t>17</t>
        </is>
      </c>
      <c r="E2526" t="inlineStr">
        <is>
          <t>40</t>
        </is>
      </c>
      <c r="F2526" t="inlineStr">
        <is>
          <t>S</t>
        </is>
      </c>
      <c r="G2526" t="inlineStr">
        <is>
          <t>Good</t>
        </is>
      </c>
      <c r="H2526" t="n">
        <v>49.75</v>
      </c>
      <c r="I2526">
        <f>B2526&amp;"~"&amp;F2526&amp;"~"&amp;G2526</f>
        <v/>
      </c>
      <c r="J2526" t="inlineStr">
        <is>
          <t>MVS Sec.17 p.40</t>
        </is>
      </c>
    </row>
    <row r="2527">
      <c r="B2527" t="inlineStr">
        <is>
          <t>Hog Barns – Breeding/Gestation</t>
        </is>
      </c>
      <c r="C2527" t="inlineStr">
        <is>
          <t>109</t>
        </is>
      </c>
      <c r="D2527" t="inlineStr">
        <is>
          <t>17</t>
        </is>
      </c>
      <c r="E2527" t="inlineStr">
        <is>
          <t>40</t>
        </is>
      </c>
      <c r="F2527" t="inlineStr">
        <is>
          <t>S</t>
        </is>
      </c>
      <c r="G2527" t="inlineStr">
        <is>
          <t>Average</t>
        </is>
      </c>
      <c r="H2527" t="n">
        <v>38</v>
      </c>
      <c r="I2527">
        <f>B2527&amp;"~"&amp;F2527&amp;"~"&amp;G2527</f>
        <v/>
      </c>
      <c r="J2527" t="inlineStr">
        <is>
          <t>MVS Sec.17 p.40</t>
        </is>
      </c>
    </row>
    <row r="2528">
      <c r="B2528" t="inlineStr">
        <is>
          <t>Hog Barns – Breeding/Gestation</t>
        </is>
      </c>
      <c r="C2528" t="inlineStr">
        <is>
          <t>109</t>
        </is>
      </c>
      <c r="D2528" t="inlineStr">
        <is>
          <t>17</t>
        </is>
      </c>
      <c r="E2528" t="inlineStr">
        <is>
          <t>40</t>
        </is>
      </c>
      <c r="F2528" t="inlineStr">
        <is>
          <t>S</t>
        </is>
      </c>
      <c r="G2528" t="inlineStr">
        <is>
          <t>Low Cost</t>
        </is>
      </c>
      <c r="H2528" t="n">
        <v>32.5</v>
      </c>
      <c r="I2528">
        <f>B2528&amp;"~"&amp;F2528&amp;"~"&amp;G2528</f>
        <v/>
      </c>
      <c r="J2528" t="inlineStr">
        <is>
          <t>MVS Sec.17 p.40</t>
        </is>
      </c>
    </row>
    <row r="2529">
      <c r="B2529" t="inlineStr">
        <is>
          <t>Hog Barns – Breeding/Gestation</t>
        </is>
      </c>
      <c r="C2529" t="inlineStr">
        <is>
          <t>109</t>
        </is>
      </c>
      <c r="D2529" t="inlineStr">
        <is>
          <t>17</t>
        </is>
      </c>
      <c r="E2529" t="inlineStr">
        <is>
          <t>40</t>
        </is>
      </c>
      <c r="F2529" t="inlineStr">
        <is>
          <t>S</t>
        </is>
      </c>
      <c r="G2529" t="inlineStr">
        <is>
          <t>Cheap</t>
        </is>
      </c>
      <c r="H2529" t="n">
        <v>25.25</v>
      </c>
      <c r="I2529">
        <f>B2529&amp;"~"&amp;F2529&amp;"~"&amp;G2529</f>
        <v/>
      </c>
      <c r="J2529" t="inlineStr">
        <is>
          <t>MVS Sec.17 p.40</t>
        </is>
      </c>
    </row>
    <row r="2530">
      <c r="B2530" t="inlineStr">
        <is>
          <t>Hog Barns – Farrowing</t>
        </is>
      </c>
      <c r="C2530" t="inlineStr">
        <is>
          <t>110</t>
        </is>
      </c>
      <c r="D2530" t="inlineStr">
        <is>
          <t>17</t>
        </is>
      </c>
      <c r="E2530" t="inlineStr">
        <is>
          <t>41</t>
        </is>
      </c>
      <c r="F2530" t="inlineStr">
        <is>
          <t>C</t>
        </is>
      </c>
      <c r="G2530" t="inlineStr">
        <is>
          <t>Good</t>
        </is>
      </c>
      <c r="H2530" t="n">
        <v>62</v>
      </c>
      <c r="I2530">
        <f>B2530&amp;"~"&amp;F2530&amp;"~"&amp;G2530</f>
        <v/>
      </c>
      <c r="J2530" t="inlineStr">
        <is>
          <t>MVS Sec.17 p.41</t>
        </is>
      </c>
    </row>
    <row r="2531">
      <c r="B2531" t="inlineStr">
        <is>
          <t>Hog Barns – Farrowing</t>
        </is>
      </c>
      <c r="C2531" t="inlineStr">
        <is>
          <t>110</t>
        </is>
      </c>
      <c r="D2531" t="inlineStr">
        <is>
          <t>17</t>
        </is>
      </c>
      <c r="E2531" t="inlineStr">
        <is>
          <t>41</t>
        </is>
      </c>
      <c r="F2531" t="inlineStr">
        <is>
          <t>C</t>
        </is>
      </c>
      <c r="G2531" t="inlineStr">
        <is>
          <t>Average</t>
        </is>
      </c>
      <c r="H2531" t="n">
        <v>50.5</v>
      </c>
      <c r="I2531">
        <f>B2531&amp;"~"&amp;F2531&amp;"~"&amp;G2531</f>
        <v/>
      </c>
      <c r="J2531" t="inlineStr">
        <is>
          <t>MVS Sec.17 p.41</t>
        </is>
      </c>
    </row>
    <row r="2532">
      <c r="B2532" t="inlineStr">
        <is>
          <t>Hog Barns – Farrowing</t>
        </is>
      </c>
      <c r="C2532" t="inlineStr">
        <is>
          <t>110</t>
        </is>
      </c>
      <c r="D2532" t="inlineStr">
        <is>
          <t>17</t>
        </is>
      </c>
      <c r="E2532" t="inlineStr">
        <is>
          <t>41</t>
        </is>
      </c>
      <c r="F2532" t="inlineStr">
        <is>
          <t>C</t>
        </is>
      </c>
      <c r="G2532" t="inlineStr">
        <is>
          <t>Low Cost</t>
        </is>
      </c>
      <c r="H2532" t="n">
        <v>41</v>
      </c>
      <c r="I2532">
        <f>B2532&amp;"~"&amp;F2532&amp;"~"&amp;G2532</f>
        <v/>
      </c>
      <c r="J2532" t="inlineStr">
        <is>
          <t>MVS Sec.17 p.41</t>
        </is>
      </c>
    </row>
    <row r="2533">
      <c r="B2533" t="inlineStr">
        <is>
          <t>Hog Barns – Farrowing</t>
        </is>
      </c>
      <c r="C2533" t="inlineStr">
        <is>
          <t>110</t>
        </is>
      </c>
      <c r="D2533" t="inlineStr">
        <is>
          <t>17</t>
        </is>
      </c>
      <c r="E2533" t="inlineStr">
        <is>
          <t>41</t>
        </is>
      </c>
      <c r="F2533" t="inlineStr">
        <is>
          <t>D</t>
        </is>
      </c>
      <c r="G2533" t="inlineStr">
        <is>
          <t>Good</t>
        </is>
      </c>
      <c r="H2533" t="n">
        <v>57</v>
      </c>
      <c r="I2533">
        <f>B2533&amp;"~"&amp;F2533&amp;"~"&amp;G2533</f>
        <v/>
      </c>
      <c r="J2533" t="inlineStr">
        <is>
          <t>MVS Sec.17 p.41</t>
        </is>
      </c>
    </row>
    <row r="2534">
      <c r="B2534" t="inlineStr">
        <is>
          <t>Hog Barns – Farrowing</t>
        </is>
      </c>
      <c r="C2534" t="inlineStr">
        <is>
          <t>110</t>
        </is>
      </c>
      <c r="D2534" t="inlineStr">
        <is>
          <t>17</t>
        </is>
      </c>
      <c r="E2534" t="inlineStr">
        <is>
          <t>41</t>
        </is>
      </c>
      <c r="F2534" t="inlineStr">
        <is>
          <t>D</t>
        </is>
      </c>
      <c r="G2534" t="inlineStr">
        <is>
          <t>Average</t>
        </is>
      </c>
      <c r="H2534" t="n">
        <v>44.25</v>
      </c>
      <c r="I2534">
        <f>B2534&amp;"~"&amp;F2534&amp;"~"&amp;G2534</f>
        <v/>
      </c>
      <c r="J2534" t="inlineStr">
        <is>
          <t>MVS Sec.17 p.41</t>
        </is>
      </c>
    </row>
    <row r="2535">
      <c r="B2535" t="inlineStr">
        <is>
          <t>Hog Barns – Farrowing</t>
        </is>
      </c>
      <c r="C2535" t="inlineStr">
        <is>
          <t>110</t>
        </is>
      </c>
      <c r="D2535" t="inlineStr">
        <is>
          <t>17</t>
        </is>
      </c>
      <c r="E2535" t="inlineStr">
        <is>
          <t>41</t>
        </is>
      </c>
      <c r="F2535" t="inlineStr">
        <is>
          <t>D</t>
        </is>
      </c>
      <c r="G2535" t="inlineStr">
        <is>
          <t>Low Cost</t>
        </is>
      </c>
      <c r="H2535" t="n">
        <v>34.5</v>
      </c>
      <c r="I2535">
        <f>B2535&amp;"~"&amp;F2535&amp;"~"&amp;G2535</f>
        <v/>
      </c>
      <c r="J2535" t="inlineStr">
        <is>
          <t>MVS Sec.17 p.41</t>
        </is>
      </c>
    </row>
    <row r="2536">
      <c r="B2536" t="inlineStr">
        <is>
          <t>Hog Barns – Farrowing</t>
        </is>
      </c>
      <c r="C2536" t="inlineStr">
        <is>
          <t>110</t>
        </is>
      </c>
      <c r="D2536" t="inlineStr">
        <is>
          <t>17</t>
        </is>
      </c>
      <c r="E2536" t="inlineStr">
        <is>
          <t>41</t>
        </is>
      </c>
      <c r="F2536" t="inlineStr">
        <is>
          <t>DPOLE</t>
        </is>
      </c>
      <c r="G2536" t="inlineStr">
        <is>
          <t>Good</t>
        </is>
      </c>
      <c r="H2536" t="n">
        <v>53</v>
      </c>
      <c r="I2536">
        <f>B2536&amp;"~"&amp;F2536&amp;"~"&amp;G2536</f>
        <v/>
      </c>
      <c r="J2536" t="inlineStr">
        <is>
          <t>MVS Sec.17 p.41</t>
        </is>
      </c>
    </row>
    <row r="2537">
      <c r="B2537" t="inlineStr">
        <is>
          <t>Hog Barns – Farrowing</t>
        </is>
      </c>
      <c r="C2537" t="inlineStr">
        <is>
          <t>110</t>
        </is>
      </c>
      <c r="D2537" t="inlineStr">
        <is>
          <t>17</t>
        </is>
      </c>
      <c r="E2537" t="inlineStr">
        <is>
          <t>41</t>
        </is>
      </c>
      <c r="F2537" t="inlineStr">
        <is>
          <t>DPOLE</t>
        </is>
      </c>
      <c r="G2537" t="inlineStr">
        <is>
          <t>Average</t>
        </is>
      </c>
      <c r="H2537" t="n">
        <v>41.75</v>
      </c>
      <c r="I2537">
        <f>B2537&amp;"~"&amp;F2537&amp;"~"&amp;G2537</f>
        <v/>
      </c>
      <c r="J2537" t="inlineStr">
        <is>
          <t>MVS Sec.17 p.41</t>
        </is>
      </c>
    </row>
    <row r="2538">
      <c r="B2538" t="inlineStr">
        <is>
          <t>Hog Barns – Farrowing</t>
        </is>
      </c>
      <c r="C2538" t="inlineStr">
        <is>
          <t>110</t>
        </is>
      </c>
      <c r="D2538" t="inlineStr">
        <is>
          <t>17</t>
        </is>
      </c>
      <c r="E2538" t="inlineStr">
        <is>
          <t>41</t>
        </is>
      </c>
      <c r="F2538" t="inlineStr">
        <is>
          <t>DPOLE</t>
        </is>
      </c>
      <c r="G2538" t="inlineStr">
        <is>
          <t>Low Cost</t>
        </is>
      </c>
      <c r="H2538" t="n">
        <v>32.75</v>
      </c>
      <c r="I2538">
        <f>B2538&amp;"~"&amp;F2538&amp;"~"&amp;G2538</f>
        <v/>
      </c>
      <c r="J2538" t="inlineStr">
        <is>
          <t>MVS Sec.17 p.41</t>
        </is>
      </c>
    </row>
    <row r="2539">
      <c r="B2539" t="inlineStr">
        <is>
          <t>Hog Barns – Farrowing</t>
        </is>
      </c>
      <c r="C2539" t="inlineStr">
        <is>
          <t>110</t>
        </is>
      </c>
      <c r="D2539" t="inlineStr">
        <is>
          <t>17</t>
        </is>
      </c>
      <c r="E2539" t="inlineStr">
        <is>
          <t>41</t>
        </is>
      </c>
      <c r="F2539" t="inlineStr">
        <is>
          <t>DPOLE</t>
        </is>
      </c>
      <c r="G2539" t="inlineStr">
        <is>
          <t>Cheap</t>
        </is>
      </c>
      <c r="H2539" t="n">
        <v>29.25</v>
      </c>
      <c r="I2539">
        <f>B2539&amp;"~"&amp;F2539&amp;"~"&amp;G2539</f>
        <v/>
      </c>
      <c r="J2539" t="inlineStr">
        <is>
          <t>MVS Sec.17 p.41</t>
        </is>
      </c>
    </row>
    <row r="2540">
      <c r="B2540" t="inlineStr">
        <is>
          <t>Hog Barns – Farrowing</t>
        </is>
      </c>
      <c r="C2540" t="inlineStr">
        <is>
          <t>110</t>
        </is>
      </c>
      <c r="D2540" t="inlineStr">
        <is>
          <t>17</t>
        </is>
      </c>
      <c r="E2540" t="inlineStr">
        <is>
          <t>41</t>
        </is>
      </c>
      <c r="F2540" t="inlineStr">
        <is>
          <t>S</t>
        </is>
      </c>
      <c r="G2540" t="inlineStr">
        <is>
          <t>Good</t>
        </is>
      </c>
      <c r="H2540" t="n">
        <v>57</v>
      </c>
      <c r="I2540">
        <f>B2540&amp;"~"&amp;F2540&amp;"~"&amp;G2540</f>
        <v/>
      </c>
      <c r="J2540" t="inlineStr">
        <is>
          <t>MVS Sec.17 p.41</t>
        </is>
      </c>
    </row>
    <row r="2541">
      <c r="B2541" t="inlineStr">
        <is>
          <t>Hog Barns – Farrowing</t>
        </is>
      </c>
      <c r="C2541" t="inlineStr">
        <is>
          <t>110</t>
        </is>
      </c>
      <c r="D2541" t="inlineStr">
        <is>
          <t>17</t>
        </is>
      </c>
      <c r="E2541" t="inlineStr">
        <is>
          <t>41</t>
        </is>
      </c>
      <c r="F2541" t="inlineStr">
        <is>
          <t>S</t>
        </is>
      </c>
      <c r="G2541" t="inlineStr">
        <is>
          <t>Average</t>
        </is>
      </c>
      <c r="H2541" t="n">
        <v>44.75</v>
      </c>
      <c r="I2541">
        <f>B2541&amp;"~"&amp;F2541&amp;"~"&amp;G2541</f>
        <v/>
      </c>
      <c r="J2541" t="inlineStr">
        <is>
          <t>MVS Sec.17 p.41</t>
        </is>
      </c>
    </row>
    <row r="2542">
      <c r="B2542" t="inlineStr">
        <is>
          <t>Hog Barns – Farrowing</t>
        </is>
      </c>
      <c r="C2542" t="inlineStr">
        <is>
          <t>110</t>
        </is>
      </c>
      <c r="D2542" t="inlineStr">
        <is>
          <t>17</t>
        </is>
      </c>
      <c r="E2542" t="inlineStr">
        <is>
          <t>41</t>
        </is>
      </c>
      <c r="F2542" t="inlineStr">
        <is>
          <t>S</t>
        </is>
      </c>
      <c r="G2542" t="inlineStr">
        <is>
          <t>Low Cost</t>
        </is>
      </c>
      <c r="H2542" t="n">
        <v>35</v>
      </c>
      <c r="I2542">
        <f>B2542&amp;"~"&amp;F2542&amp;"~"&amp;G2542</f>
        <v/>
      </c>
      <c r="J2542" t="inlineStr">
        <is>
          <t>MVS Sec.17 p.41</t>
        </is>
      </c>
    </row>
    <row r="2543">
      <c r="B2543" t="inlineStr">
        <is>
          <t>Hog Barns – Farrowing</t>
        </is>
      </c>
      <c r="C2543" t="inlineStr">
        <is>
          <t>110</t>
        </is>
      </c>
      <c r="D2543" t="inlineStr">
        <is>
          <t>17</t>
        </is>
      </c>
      <c r="E2543" t="inlineStr">
        <is>
          <t>41</t>
        </is>
      </c>
      <c r="F2543" t="inlineStr">
        <is>
          <t>S</t>
        </is>
      </c>
      <c r="G2543" t="inlineStr">
        <is>
          <t>Cheap</t>
        </is>
      </c>
      <c r="H2543" t="n">
        <v>30.75</v>
      </c>
      <c r="I2543">
        <f>B2543&amp;"~"&amp;F2543&amp;"~"&amp;G2543</f>
        <v/>
      </c>
      <c r="J2543" t="inlineStr">
        <is>
          <t>MVS Sec.17 p.41</t>
        </is>
      </c>
    </row>
    <row r="2544">
      <c r="B2544" t="inlineStr">
        <is>
          <t>Hog Barns – Finishing</t>
        </is>
      </c>
      <c r="C2544" t="inlineStr">
        <is>
          <t>111</t>
        </is>
      </c>
      <c r="D2544" t="inlineStr">
        <is>
          <t>17</t>
        </is>
      </c>
      <c r="E2544" t="inlineStr">
        <is>
          <t>41</t>
        </is>
      </c>
      <c r="F2544" t="inlineStr">
        <is>
          <t>C</t>
        </is>
      </c>
      <c r="G2544" t="inlineStr">
        <is>
          <t>Average</t>
        </is>
      </c>
      <c r="H2544" t="n">
        <v>39.25</v>
      </c>
      <c r="I2544">
        <f>B2544&amp;"~"&amp;F2544&amp;"~"&amp;G2544</f>
        <v/>
      </c>
      <c r="J2544" t="inlineStr">
        <is>
          <t>MVS Sec.17 p.41</t>
        </is>
      </c>
    </row>
    <row r="2545">
      <c r="B2545" t="inlineStr">
        <is>
          <t>Hog Barns – Finishing</t>
        </is>
      </c>
      <c r="C2545" t="inlineStr">
        <is>
          <t>111</t>
        </is>
      </c>
      <c r="D2545" t="inlineStr">
        <is>
          <t>17</t>
        </is>
      </c>
      <c r="E2545" t="inlineStr">
        <is>
          <t>41</t>
        </is>
      </c>
      <c r="F2545" t="inlineStr">
        <is>
          <t>C</t>
        </is>
      </c>
      <c r="G2545" t="inlineStr">
        <is>
          <t>Low Cost</t>
        </is>
      </c>
      <c r="H2545" t="n">
        <v>35</v>
      </c>
      <c r="I2545">
        <f>B2545&amp;"~"&amp;F2545&amp;"~"&amp;G2545</f>
        <v/>
      </c>
      <c r="J2545" t="inlineStr">
        <is>
          <t>MVS Sec.17 p.41</t>
        </is>
      </c>
    </row>
    <row r="2546">
      <c r="B2546" t="inlineStr">
        <is>
          <t>Hog Barns – Finishing</t>
        </is>
      </c>
      <c r="C2546" t="inlineStr">
        <is>
          <t>111</t>
        </is>
      </c>
      <c r="D2546" t="inlineStr">
        <is>
          <t>17</t>
        </is>
      </c>
      <c r="E2546" t="inlineStr">
        <is>
          <t>41</t>
        </is>
      </c>
      <c r="F2546" t="inlineStr">
        <is>
          <t>C</t>
        </is>
      </c>
      <c r="G2546" t="inlineStr">
        <is>
          <t>Cheap</t>
        </is>
      </c>
      <c r="H2546" t="n">
        <v>22.35</v>
      </c>
      <c r="I2546">
        <f>B2546&amp;"~"&amp;F2546&amp;"~"&amp;G2546</f>
        <v/>
      </c>
      <c r="J2546" t="inlineStr">
        <is>
          <t>MVS Sec.17 p.41</t>
        </is>
      </c>
    </row>
    <row r="2547">
      <c r="B2547" t="inlineStr">
        <is>
          <t>Hog Barns – Finishing</t>
        </is>
      </c>
      <c r="C2547" t="inlineStr">
        <is>
          <t>111</t>
        </is>
      </c>
      <c r="D2547" t="inlineStr">
        <is>
          <t>17</t>
        </is>
      </c>
      <c r="E2547" t="inlineStr">
        <is>
          <t>41</t>
        </is>
      </c>
      <c r="F2547" t="inlineStr">
        <is>
          <t>D</t>
        </is>
      </c>
      <c r="G2547" t="inlineStr">
        <is>
          <t>Average</t>
        </is>
      </c>
      <c r="H2547" t="n">
        <v>33</v>
      </c>
      <c r="I2547">
        <f>B2547&amp;"~"&amp;F2547&amp;"~"&amp;G2547</f>
        <v/>
      </c>
      <c r="J2547" t="inlineStr">
        <is>
          <t>MVS Sec.17 p.41</t>
        </is>
      </c>
    </row>
    <row r="2548">
      <c r="B2548" t="inlineStr">
        <is>
          <t>Hog Barns – Finishing</t>
        </is>
      </c>
      <c r="C2548" t="inlineStr">
        <is>
          <t>111</t>
        </is>
      </c>
      <c r="D2548" t="inlineStr">
        <is>
          <t>17</t>
        </is>
      </c>
      <c r="E2548" t="inlineStr">
        <is>
          <t>41</t>
        </is>
      </c>
      <c r="F2548" t="inlineStr">
        <is>
          <t>D</t>
        </is>
      </c>
      <c r="G2548" t="inlineStr">
        <is>
          <t>Low Cost</t>
        </is>
      </c>
      <c r="H2548" t="n">
        <v>28.5</v>
      </c>
      <c r="I2548">
        <f>B2548&amp;"~"&amp;F2548&amp;"~"&amp;G2548</f>
        <v/>
      </c>
      <c r="J2548" t="inlineStr">
        <is>
          <t>MVS Sec.17 p.41</t>
        </is>
      </c>
    </row>
    <row r="2549">
      <c r="B2549" t="inlineStr">
        <is>
          <t>Hog Barns – Finishing</t>
        </is>
      </c>
      <c r="C2549" t="inlineStr">
        <is>
          <t>111</t>
        </is>
      </c>
      <c r="D2549" t="inlineStr">
        <is>
          <t>17</t>
        </is>
      </c>
      <c r="E2549" t="inlineStr">
        <is>
          <t>41</t>
        </is>
      </c>
      <c r="F2549" t="inlineStr">
        <is>
          <t>D</t>
        </is>
      </c>
      <c r="G2549" t="inlineStr">
        <is>
          <t>Cheap</t>
        </is>
      </c>
      <c r="H2549" t="n">
        <v>17.45</v>
      </c>
      <c r="I2549">
        <f>B2549&amp;"~"&amp;F2549&amp;"~"&amp;G2549</f>
        <v/>
      </c>
      <c r="J2549" t="inlineStr">
        <is>
          <t>MVS Sec.17 p.41</t>
        </is>
      </c>
    </row>
    <row r="2550">
      <c r="B2550" t="inlineStr">
        <is>
          <t>Hog Barns – Finishing</t>
        </is>
      </c>
      <c r="C2550" t="inlineStr">
        <is>
          <t>111</t>
        </is>
      </c>
      <c r="D2550" t="inlineStr">
        <is>
          <t>17</t>
        </is>
      </c>
      <c r="E2550" t="inlineStr">
        <is>
          <t>41</t>
        </is>
      </c>
      <c r="F2550" t="inlineStr">
        <is>
          <t>DPOLE</t>
        </is>
      </c>
      <c r="G2550" t="inlineStr">
        <is>
          <t>Average</t>
        </is>
      </c>
      <c r="H2550" t="n">
        <v>31.25</v>
      </c>
      <c r="I2550">
        <f>B2550&amp;"~"&amp;F2550&amp;"~"&amp;G2550</f>
        <v/>
      </c>
      <c r="J2550" t="inlineStr">
        <is>
          <t>MVS Sec.17 p.41</t>
        </is>
      </c>
    </row>
    <row r="2551">
      <c r="B2551" t="inlineStr">
        <is>
          <t>Hog Barns – Finishing</t>
        </is>
      </c>
      <c r="C2551" t="inlineStr">
        <is>
          <t>111</t>
        </is>
      </c>
      <c r="D2551" t="inlineStr">
        <is>
          <t>17</t>
        </is>
      </c>
      <c r="E2551" t="inlineStr">
        <is>
          <t>41</t>
        </is>
      </c>
      <c r="F2551" t="inlineStr">
        <is>
          <t>DPOLE</t>
        </is>
      </c>
      <c r="G2551" t="inlineStr">
        <is>
          <t>Low Cost</t>
        </is>
      </c>
      <c r="H2551" t="n">
        <v>27.25</v>
      </c>
      <c r="I2551">
        <f>B2551&amp;"~"&amp;F2551&amp;"~"&amp;G2551</f>
        <v/>
      </c>
      <c r="J2551" t="inlineStr">
        <is>
          <t>MVS Sec.17 p.41</t>
        </is>
      </c>
    </row>
    <row r="2552">
      <c r="B2552" t="inlineStr">
        <is>
          <t>Hog Barns – Finishing</t>
        </is>
      </c>
      <c r="C2552" t="inlineStr">
        <is>
          <t>111</t>
        </is>
      </c>
      <c r="D2552" t="inlineStr">
        <is>
          <t>17</t>
        </is>
      </c>
      <c r="E2552" t="inlineStr">
        <is>
          <t>41</t>
        </is>
      </c>
      <c r="F2552" t="inlineStr">
        <is>
          <t>DPOLE</t>
        </is>
      </c>
      <c r="G2552" t="inlineStr">
        <is>
          <t>Cheap</t>
        </is>
      </c>
      <c r="H2552" t="n">
        <v>16</v>
      </c>
      <c r="I2552">
        <f>B2552&amp;"~"&amp;F2552&amp;"~"&amp;G2552</f>
        <v/>
      </c>
      <c r="J2552" t="inlineStr">
        <is>
          <t>MVS Sec.17 p.41</t>
        </is>
      </c>
    </row>
    <row r="2553">
      <c r="B2553" t="inlineStr">
        <is>
          <t>Hog Barns – Finishing</t>
        </is>
      </c>
      <c r="C2553" t="inlineStr">
        <is>
          <t>111</t>
        </is>
      </c>
      <c r="D2553" t="inlineStr">
        <is>
          <t>17</t>
        </is>
      </c>
      <c r="E2553" t="inlineStr">
        <is>
          <t>41</t>
        </is>
      </c>
      <c r="F2553" t="inlineStr">
        <is>
          <t>S</t>
        </is>
      </c>
      <c r="G2553" t="inlineStr">
        <is>
          <t>Average</t>
        </is>
      </c>
      <c r="H2553" t="n">
        <v>33</v>
      </c>
      <c r="I2553">
        <f>B2553&amp;"~"&amp;F2553&amp;"~"&amp;G2553</f>
        <v/>
      </c>
      <c r="J2553" t="inlineStr">
        <is>
          <t>MVS Sec.17 p.41</t>
        </is>
      </c>
    </row>
    <row r="2554">
      <c r="B2554" t="inlineStr">
        <is>
          <t>Hog Barns – Finishing</t>
        </is>
      </c>
      <c r="C2554" t="inlineStr">
        <is>
          <t>111</t>
        </is>
      </c>
      <c r="D2554" t="inlineStr">
        <is>
          <t>17</t>
        </is>
      </c>
      <c r="E2554" t="inlineStr">
        <is>
          <t>41</t>
        </is>
      </c>
      <c r="F2554" t="inlineStr">
        <is>
          <t>S</t>
        </is>
      </c>
      <c r="G2554" t="inlineStr">
        <is>
          <t>Low Cost</t>
        </is>
      </c>
      <c r="H2554" t="n">
        <v>28.75</v>
      </c>
      <c r="I2554">
        <f>B2554&amp;"~"&amp;F2554&amp;"~"&amp;G2554</f>
        <v/>
      </c>
      <c r="J2554" t="inlineStr">
        <is>
          <t>MVS Sec.17 p.41</t>
        </is>
      </c>
    </row>
    <row r="2555">
      <c r="B2555" t="inlineStr">
        <is>
          <t>Hog Barns – Finishing</t>
        </is>
      </c>
      <c r="C2555" t="inlineStr">
        <is>
          <t>111</t>
        </is>
      </c>
      <c r="D2555" t="inlineStr">
        <is>
          <t>17</t>
        </is>
      </c>
      <c r="E2555" t="inlineStr">
        <is>
          <t>41</t>
        </is>
      </c>
      <c r="F2555" t="inlineStr">
        <is>
          <t>S</t>
        </is>
      </c>
      <c r="G2555" t="inlineStr">
        <is>
          <t>Cheap</t>
        </is>
      </c>
      <c r="H2555" t="n">
        <v>18</v>
      </c>
      <c r="I2555">
        <f>B2555&amp;"~"&amp;F2555&amp;"~"&amp;G2555</f>
        <v/>
      </c>
      <c r="J2555" t="inlineStr">
        <is>
          <t>MVS Sec.17 p.41</t>
        </is>
      </c>
    </row>
    <row r="2556">
      <c r="B2556" t="inlineStr">
        <is>
          <t>Modified Hog Sheds</t>
        </is>
      </c>
      <c r="C2556" t="inlineStr">
        <is>
          <t>429</t>
        </is>
      </c>
      <c r="D2556" t="inlineStr">
        <is>
          <t>17</t>
        </is>
      </c>
      <c r="E2556" t="inlineStr">
        <is>
          <t>42</t>
        </is>
      </c>
      <c r="F2556" t="inlineStr">
        <is>
          <t>C</t>
        </is>
      </c>
      <c r="G2556" t="inlineStr">
        <is>
          <t>Average</t>
        </is>
      </c>
      <c r="H2556" t="n">
        <v>38.75</v>
      </c>
      <c r="I2556">
        <f>B2556&amp;"~"&amp;F2556&amp;"~"&amp;G2556</f>
        <v/>
      </c>
      <c r="J2556" t="inlineStr">
        <is>
          <t>MVS Sec.17 p.42</t>
        </is>
      </c>
    </row>
    <row r="2557">
      <c r="B2557" t="inlineStr">
        <is>
          <t>Modified Hog Sheds</t>
        </is>
      </c>
      <c r="C2557" t="inlineStr">
        <is>
          <t>429</t>
        </is>
      </c>
      <c r="D2557" t="inlineStr">
        <is>
          <t>17</t>
        </is>
      </c>
      <c r="E2557" t="inlineStr">
        <is>
          <t>42</t>
        </is>
      </c>
      <c r="F2557" t="inlineStr">
        <is>
          <t>C</t>
        </is>
      </c>
      <c r="G2557" t="inlineStr">
        <is>
          <t>Low Cost</t>
        </is>
      </c>
      <c r="H2557" t="n">
        <v>34.25</v>
      </c>
      <c r="I2557">
        <f>B2557&amp;"~"&amp;F2557&amp;"~"&amp;G2557</f>
        <v/>
      </c>
      <c r="J2557" t="inlineStr">
        <is>
          <t>MVS Sec.17 p.42</t>
        </is>
      </c>
    </row>
    <row r="2558">
      <c r="B2558" t="inlineStr">
        <is>
          <t>Modified Hog Sheds</t>
        </is>
      </c>
      <c r="C2558" t="inlineStr">
        <is>
          <t>429</t>
        </is>
      </c>
      <c r="D2558" t="inlineStr">
        <is>
          <t>17</t>
        </is>
      </c>
      <c r="E2558" t="inlineStr">
        <is>
          <t>42</t>
        </is>
      </c>
      <c r="F2558" t="inlineStr">
        <is>
          <t>D</t>
        </is>
      </c>
      <c r="G2558" t="inlineStr">
        <is>
          <t>Average</t>
        </is>
      </c>
      <c r="H2558" t="n">
        <v>32.25</v>
      </c>
      <c r="I2558">
        <f>B2558&amp;"~"&amp;F2558&amp;"~"&amp;G2558</f>
        <v/>
      </c>
      <c r="J2558" t="inlineStr">
        <is>
          <t>MVS Sec.17 p.42</t>
        </is>
      </c>
    </row>
    <row r="2559">
      <c r="B2559" t="inlineStr">
        <is>
          <t>Modified Hog Sheds</t>
        </is>
      </c>
      <c r="C2559" t="inlineStr">
        <is>
          <t>429</t>
        </is>
      </c>
      <c r="D2559" t="inlineStr">
        <is>
          <t>17</t>
        </is>
      </c>
      <c r="E2559" t="inlineStr">
        <is>
          <t>42</t>
        </is>
      </c>
      <c r="F2559" t="inlineStr">
        <is>
          <t>D</t>
        </is>
      </c>
      <c r="G2559" t="inlineStr">
        <is>
          <t>Low Cost</t>
        </is>
      </c>
      <c r="H2559" t="n">
        <v>28</v>
      </c>
      <c r="I2559">
        <f>B2559&amp;"~"&amp;F2559&amp;"~"&amp;G2559</f>
        <v/>
      </c>
      <c r="J2559" t="inlineStr">
        <is>
          <t>MVS Sec.17 p.42</t>
        </is>
      </c>
    </row>
    <row r="2560">
      <c r="B2560" t="inlineStr">
        <is>
          <t>Modified Hog Sheds</t>
        </is>
      </c>
      <c r="C2560" t="inlineStr">
        <is>
          <t>429</t>
        </is>
      </c>
      <c r="D2560" t="inlineStr">
        <is>
          <t>17</t>
        </is>
      </c>
      <c r="E2560" t="inlineStr">
        <is>
          <t>42</t>
        </is>
      </c>
      <c r="F2560" t="inlineStr">
        <is>
          <t>DPOLE</t>
        </is>
      </c>
      <c r="G2560" t="inlineStr">
        <is>
          <t>Average</t>
        </is>
      </c>
      <c r="H2560" t="n">
        <v>30.25</v>
      </c>
      <c r="I2560">
        <f>B2560&amp;"~"&amp;F2560&amp;"~"&amp;G2560</f>
        <v/>
      </c>
      <c r="J2560" t="inlineStr">
        <is>
          <t>MVS Sec.17 p.42</t>
        </is>
      </c>
    </row>
    <row r="2561">
      <c r="B2561" t="inlineStr">
        <is>
          <t>Modified Hog Sheds</t>
        </is>
      </c>
      <c r="C2561" t="inlineStr">
        <is>
          <t>429</t>
        </is>
      </c>
      <c r="D2561" t="inlineStr">
        <is>
          <t>17</t>
        </is>
      </c>
      <c r="E2561" t="inlineStr">
        <is>
          <t>42</t>
        </is>
      </c>
      <c r="F2561" t="inlineStr">
        <is>
          <t>DPOLE</t>
        </is>
      </c>
      <c r="G2561" t="inlineStr">
        <is>
          <t>Low Cost</t>
        </is>
      </c>
      <c r="H2561" t="n">
        <v>27</v>
      </c>
      <c r="I2561">
        <f>B2561&amp;"~"&amp;F2561&amp;"~"&amp;G2561</f>
        <v/>
      </c>
      <c r="J2561" t="inlineStr">
        <is>
          <t>MVS Sec.17 p.42</t>
        </is>
      </c>
    </row>
    <row r="2562">
      <c r="B2562" t="inlineStr">
        <is>
          <t>Modified Hog Sheds</t>
        </is>
      </c>
      <c r="C2562" t="inlineStr">
        <is>
          <t>429</t>
        </is>
      </c>
      <c r="D2562" t="inlineStr">
        <is>
          <t>17</t>
        </is>
      </c>
      <c r="E2562" t="inlineStr">
        <is>
          <t>42</t>
        </is>
      </c>
      <c r="F2562" t="inlineStr">
        <is>
          <t>S</t>
        </is>
      </c>
      <c r="G2562" t="inlineStr">
        <is>
          <t>Average</t>
        </is>
      </c>
      <c r="H2562" t="n">
        <v>32.5</v>
      </c>
      <c r="I2562">
        <f>B2562&amp;"~"&amp;F2562&amp;"~"&amp;G2562</f>
        <v/>
      </c>
      <c r="J2562" t="inlineStr">
        <is>
          <t>MVS Sec.17 p.42</t>
        </is>
      </c>
    </row>
    <row r="2563">
      <c r="B2563" t="inlineStr">
        <is>
          <t>Modified Hog Sheds</t>
        </is>
      </c>
      <c r="C2563" t="inlineStr">
        <is>
          <t>429</t>
        </is>
      </c>
      <c r="D2563" t="inlineStr">
        <is>
          <t>17</t>
        </is>
      </c>
      <c r="E2563" t="inlineStr">
        <is>
          <t>42</t>
        </is>
      </c>
      <c r="F2563" t="inlineStr">
        <is>
          <t>S</t>
        </is>
      </c>
      <c r="G2563" t="inlineStr">
        <is>
          <t>Low Cost</t>
        </is>
      </c>
      <c r="H2563" t="n">
        <v>28.5</v>
      </c>
      <c r="I2563">
        <f>B2563&amp;"~"&amp;F2563&amp;"~"&amp;G2563</f>
        <v/>
      </c>
      <c r="J2563" t="inlineStr">
        <is>
          <t>MVS Sec.17 p.42</t>
        </is>
      </c>
    </row>
    <row r="2564">
      <c r="B2564" t="inlineStr">
        <is>
          <t>Hog Sheds</t>
        </is>
      </c>
      <c r="C2564" t="inlineStr">
        <is>
          <t>430</t>
        </is>
      </c>
      <c r="D2564" t="inlineStr">
        <is>
          <t>17</t>
        </is>
      </c>
      <c r="E2564" t="inlineStr">
        <is>
          <t>42</t>
        </is>
      </c>
      <c r="F2564" t="inlineStr">
        <is>
          <t>D</t>
        </is>
      </c>
      <c r="G2564" t="inlineStr">
        <is>
          <t>Average</t>
        </is>
      </c>
      <c r="H2564" t="n">
        <v>25.5</v>
      </c>
      <c r="I2564">
        <f>B2564&amp;"~"&amp;F2564&amp;"~"&amp;G2564</f>
        <v/>
      </c>
      <c r="J2564" t="inlineStr">
        <is>
          <t>MVS Sec.17 p.42</t>
        </is>
      </c>
    </row>
    <row r="2565">
      <c r="B2565" t="inlineStr">
        <is>
          <t>Hog Sheds</t>
        </is>
      </c>
      <c r="C2565" t="inlineStr">
        <is>
          <t>430</t>
        </is>
      </c>
      <c r="D2565" t="inlineStr">
        <is>
          <t>17</t>
        </is>
      </c>
      <c r="E2565" t="inlineStr">
        <is>
          <t>42</t>
        </is>
      </c>
      <c r="F2565" t="inlineStr">
        <is>
          <t>D</t>
        </is>
      </c>
      <c r="G2565" t="inlineStr">
        <is>
          <t>Low Cost</t>
        </is>
      </c>
      <c r="H2565" t="n">
        <v>22</v>
      </c>
      <c r="I2565">
        <f>B2565&amp;"~"&amp;F2565&amp;"~"&amp;G2565</f>
        <v/>
      </c>
      <c r="J2565" t="inlineStr">
        <is>
          <t>MVS Sec.17 p.42</t>
        </is>
      </c>
    </row>
    <row r="2566">
      <c r="B2566" t="inlineStr">
        <is>
          <t>Hog Sheds</t>
        </is>
      </c>
      <c r="C2566" t="inlineStr">
        <is>
          <t>430</t>
        </is>
      </c>
      <c r="D2566" t="inlineStr">
        <is>
          <t>17</t>
        </is>
      </c>
      <c r="E2566" t="inlineStr">
        <is>
          <t>42</t>
        </is>
      </c>
      <c r="F2566" t="inlineStr">
        <is>
          <t>D</t>
        </is>
      </c>
      <c r="G2566" t="inlineStr">
        <is>
          <t>Cheap</t>
        </is>
      </c>
      <c r="H2566" t="n">
        <v>16.25</v>
      </c>
      <c r="I2566">
        <f>B2566&amp;"~"&amp;F2566&amp;"~"&amp;G2566</f>
        <v/>
      </c>
      <c r="J2566" t="inlineStr">
        <is>
          <t>MVS Sec.17 p.42</t>
        </is>
      </c>
    </row>
    <row r="2567">
      <c r="B2567" t="inlineStr">
        <is>
          <t>Hog Sheds</t>
        </is>
      </c>
      <c r="C2567" t="inlineStr">
        <is>
          <t>430</t>
        </is>
      </c>
      <c r="D2567" t="inlineStr">
        <is>
          <t>17</t>
        </is>
      </c>
      <c r="E2567" t="inlineStr">
        <is>
          <t>42</t>
        </is>
      </c>
      <c r="F2567" t="inlineStr">
        <is>
          <t>DPOLE</t>
        </is>
      </c>
      <c r="G2567" t="inlineStr">
        <is>
          <t>Average</t>
        </is>
      </c>
      <c r="H2567" t="n">
        <v>23.6</v>
      </c>
      <c r="I2567">
        <f>B2567&amp;"~"&amp;F2567&amp;"~"&amp;G2567</f>
        <v/>
      </c>
      <c r="J2567" t="inlineStr">
        <is>
          <t>MVS Sec.17 p.42</t>
        </is>
      </c>
    </row>
    <row r="2568">
      <c r="B2568" t="inlineStr">
        <is>
          <t>Hog Sheds</t>
        </is>
      </c>
      <c r="C2568" t="inlineStr">
        <is>
          <t>430</t>
        </is>
      </c>
      <c r="D2568" t="inlineStr">
        <is>
          <t>17</t>
        </is>
      </c>
      <c r="E2568" t="inlineStr">
        <is>
          <t>42</t>
        </is>
      </c>
      <c r="F2568" t="inlineStr">
        <is>
          <t>DPOLE</t>
        </is>
      </c>
      <c r="G2568" t="inlineStr">
        <is>
          <t>Low Cost</t>
        </is>
      </c>
      <c r="H2568" t="n">
        <v>20.3</v>
      </c>
      <c r="I2568">
        <f>B2568&amp;"~"&amp;F2568&amp;"~"&amp;G2568</f>
        <v/>
      </c>
      <c r="J2568" t="inlineStr">
        <is>
          <t>MVS Sec.17 p.42</t>
        </is>
      </c>
    </row>
    <row r="2569">
      <c r="B2569" t="inlineStr">
        <is>
          <t>Hog Sheds</t>
        </is>
      </c>
      <c r="C2569" t="inlineStr">
        <is>
          <t>430</t>
        </is>
      </c>
      <c r="D2569" t="inlineStr">
        <is>
          <t>17</t>
        </is>
      </c>
      <c r="E2569" t="inlineStr">
        <is>
          <t>42</t>
        </is>
      </c>
      <c r="F2569" t="inlineStr">
        <is>
          <t>DPOLE</t>
        </is>
      </c>
      <c r="G2569" t="inlineStr">
        <is>
          <t>Cheap</t>
        </is>
      </c>
      <c r="H2569" t="n">
        <v>14.75</v>
      </c>
      <c r="I2569">
        <f>B2569&amp;"~"&amp;F2569&amp;"~"&amp;G2569</f>
        <v/>
      </c>
      <c r="J2569" t="inlineStr">
        <is>
          <t>MVS Sec.17 p.42</t>
        </is>
      </c>
    </row>
    <row r="2570">
      <c r="B2570" t="inlineStr">
        <is>
          <t>Hog Sheds</t>
        </is>
      </c>
      <c r="C2570" t="inlineStr">
        <is>
          <t>430</t>
        </is>
      </c>
      <c r="D2570" t="inlineStr">
        <is>
          <t>17</t>
        </is>
      </c>
      <c r="E2570" t="inlineStr">
        <is>
          <t>42</t>
        </is>
      </c>
      <c r="F2570" t="inlineStr">
        <is>
          <t>DHOOP</t>
        </is>
      </c>
      <c r="G2570" t="inlineStr">
        <is>
          <t>Average</t>
        </is>
      </c>
      <c r="H2570" t="n">
        <v>15.25</v>
      </c>
      <c r="I2570">
        <f>B2570&amp;"~"&amp;F2570&amp;"~"&amp;G2570</f>
        <v/>
      </c>
      <c r="J2570" t="inlineStr">
        <is>
          <t>MVS Sec.17 p.42</t>
        </is>
      </c>
    </row>
    <row r="2571">
      <c r="B2571" t="inlineStr">
        <is>
          <t>Hog Sheds</t>
        </is>
      </c>
      <c r="C2571" t="inlineStr">
        <is>
          <t>430</t>
        </is>
      </c>
      <c r="D2571" t="inlineStr">
        <is>
          <t>17</t>
        </is>
      </c>
      <c r="E2571" t="inlineStr">
        <is>
          <t>42</t>
        </is>
      </c>
      <c r="F2571" t="inlineStr">
        <is>
          <t>DHOOP</t>
        </is>
      </c>
      <c r="G2571" t="inlineStr">
        <is>
          <t>Low Cost</t>
        </is>
      </c>
      <c r="H2571" t="n">
        <v>12.4</v>
      </c>
      <c r="I2571">
        <f>B2571&amp;"~"&amp;F2571&amp;"~"&amp;G2571</f>
        <v/>
      </c>
      <c r="J2571" t="inlineStr">
        <is>
          <t>MVS Sec.17 p.42</t>
        </is>
      </c>
    </row>
    <row r="2572">
      <c r="B2572" t="inlineStr">
        <is>
          <t>Hog Sheds</t>
        </is>
      </c>
      <c r="C2572" t="inlineStr">
        <is>
          <t>430</t>
        </is>
      </c>
      <c r="D2572" t="inlineStr">
        <is>
          <t>17</t>
        </is>
      </c>
      <c r="E2572" t="inlineStr">
        <is>
          <t>42</t>
        </is>
      </c>
      <c r="F2572" t="inlineStr">
        <is>
          <t>DHOOP</t>
        </is>
      </c>
      <c r="G2572" t="inlineStr">
        <is>
          <t>Cheap</t>
        </is>
      </c>
      <c r="H2572" t="n">
        <v>11.15</v>
      </c>
      <c r="I2572">
        <f>B2572&amp;"~"&amp;F2572&amp;"~"&amp;G2572</f>
        <v/>
      </c>
      <c r="J2572" t="inlineStr">
        <is>
          <t>MVS Sec.17 p.42</t>
        </is>
      </c>
    </row>
    <row r="2573">
      <c r="B2573" t="inlineStr">
        <is>
          <t>Hog Sheds</t>
        </is>
      </c>
      <c r="C2573" t="inlineStr">
        <is>
          <t>430</t>
        </is>
      </c>
      <c r="D2573" t="inlineStr">
        <is>
          <t>17</t>
        </is>
      </c>
      <c r="E2573" t="inlineStr">
        <is>
          <t>42</t>
        </is>
      </c>
      <c r="F2573" t="inlineStr">
        <is>
          <t>S</t>
        </is>
      </c>
      <c r="G2573" t="inlineStr">
        <is>
          <t>Average</t>
        </is>
      </c>
      <c r="H2573" t="n">
        <v>25.75</v>
      </c>
      <c r="I2573">
        <f>B2573&amp;"~"&amp;F2573&amp;"~"&amp;G2573</f>
        <v/>
      </c>
      <c r="J2573" t="inlineStr">
        <is>
          <t>MVS Sec.17 p.42</t>
        </is>
      </c>
    </row>
    <row r="2574">
      <c r="B2574" t="inlineStr">
        <is>
          <t>Hog Sheds</t>
        </is>
      </c>
      <c r="C2574" t="inlineStr">
        <is>
          <t>430</t>
        </is>
      </c>
      <c r="D2574" t="inlineStr">
        <is>
          <t>17</t>
        </is>
      </c>
      <c r="E2574" t="inlineStr">
        <is>
          <t>42</t>
        </is>
      </c>
      <c r="F2574" t="inlineStr">
        <is>
          <t>S</t>
        </is>
      </c>
      <c r="G2574" t="inlineStr">
        <is>
          <t>Low Cost</t>
        </is>
      </c>
      <c r="H2574" t="n">
        <v>22.05</v>
      </c>
      <c r="I2574">
        <f>B2574&amp;"~"&amp;F2574&amp;"~"&amp;G2574</f>
        <v/>
      </c>
      <c r="J2574" t="inlineStr">
        <is>
          <t>MVS Sec.17 p.42</t>
        </is>
      </c>
    </row>
    <row r="2575">
      <c r="B2575" t="inlineStr">
        <is>
          <t>Hog Sheds</t>
        </is>
      </c>
      <c r="C2575" t="inlineStr">
        <is>
          <t>430</t>
        </is>
      </c>
      <c r="D2575" t="inlineStr">
        <is>
          <t>17</t>
        </is>
      </c>
      <c r="E2575" t="inlineStr">
        <is>
          <t>42</t>
        </is>
      </c>
      <c r="F2575" t="inlineStr">
        <is>
          <t>S</t>
        </is>
      </c>
      <c r="G2575" t="inlineStr">
        <is>
          <t>Cheap</t>
        </is>
      </c>
      <c r="H2575" t="n">
        <v>16.5</v>
      </c>
      <c r="I2575">
        <f>B2575&amp;"~"&amp;F2575&amp;"~"&amp;G2575</f>
        <v/>
      </c>
      <c r="J2575" t="inlineStr">
        <is>
          <t>MVS Sec.17 p.42</t>
        </is>
      </c>
    </row>
    <row r="2576">
      <c r="B2576" t="inlineStr">
        <is>
          <t>Hog Sheds</t>
        </is>
      </c>
      <c r="C2576" t="inlineStr">
        <is>
          <t>430</t>
        </is>
      </c>
      <c r="D2576" t="inlineStr">
        <is>
          <t>17</t>
        </is>
      </c>
      <c r="E2576" t="inlineStr">
        <is>
          <t>42</t>
        </is>
      </c>
      <c r="F2576" t="inlineStr">
        <is>
          <t>SSLANT</t>
        </is>
      </c>
      <c r="G2576" t="inlineStr">
        <is>
          <t>Low Cost</t>
        </is>
      </c>
      <c r="H2576" t="n">
        <v>20.6</v>
      </c>
      <c r="I2576">
        <f>B2576&amp;"~"&amp;F2576&amp;"~"&amp;G2576</f>
        <v/>
      </c>
      <c r="J2576" t="inlineStr">
        <is>
          <t>MVS Sec.17 p.42</t>
        </is>
      </c>
    </row>
    <row r="2577">
      <c r="B2577" t="inlineStr">
        <is>
          <t>Hog Sheds</t>
        </is>
      </c>
      <c r="C2577" t="inlineStr">
        <is>
          <t>430</t>
        </is>
      </c>
      <c r="D2577" t="inlineStr">
        <is>
          <t>17</t>
        </is>
      </c>
      <c r="E2577" t="inlineStr">
        <is>
          <t>42</t>
        </is>
      </c>
      <c r="F2577" t="inlineStr">
        <is>
          <t>SSLANT</t>
        </is>
      </c>
      <c r="G2577" t="inlineStr">
        <is>
          <t>Cheap</t>
        </is>
      </c>
      <c r="H2577" t="n">
        <v>15.4</v>
      </c>
      <c r="I2577">
        <f>B2577&amp;"~"&amp;F2577&amp;"~"&amp;G2577</f>
        <v/>
      </c>
      <c r="J2577" t="inlineStr">
        <is>
          <t>MVS Sec.17 p.42</t>
        </is>
      </c>
    </row>
    <row r="2578">
      <c r="B2578" t="inlineStr">
        <is>
          <t>Sheep Barns</t>
        </is>
      </c>
      <c r="C2578" t="inlineStr">
        <is>
          <t>397</t>
        </is>
      </c>
      <c r="D2578" t="inlineStr">
        <is>
          <t>17</t>
        </is>
      </c>
      <c r="E2578" t="inlineStr">
        <is>
          <t>44</t>
        </is>
      </c>
      <c r="F2578" t="inlineStr">
        <is>
          <t>D</t>
        </is>
      </c>
      <c r="G2578" t="inlineStr">
        <is>
          <t>Good</t>
        </is>
      </c>
      <c r="H2578" t="n">
        <v>42.5</v>
      </c>
      <c r="I2578">
        <f>B2578&amp;"~"&amp;F2578&amp;"~"&amp;G2578</f>
        <v/>
      </c>
      <c r="J2578" t="inlineStr">
        <is>
          <t>MVS Sec.17 p.44</t>
        </is>
      </c>
    </row>
    <row r="2579">
      <c r="B2579" t="inlineStr">
        <is>
          <t>Sheep Barns</t>
        </is>
      </c>
      <c r="C2579" t="inlineStr">
        <is>
          <t>397</t>
        </is>
      </c>
      <c r="D2579" t="inlineStr">
        <is>
          <t>17</t>
        </is>
      </c>
      <c r="E2579" t="inlineStr">
        <is>
          <t>44</t>
        </is>
      </c>
      <c r="F2579" t="inlineStr">
        <is>
          <t>D</t>
        </is>
      </c>
      <c r="G2579" t="inlineStr">
        <is>
          <t>Average</t>
        </is>
      </c>
      <c r="H2579" t="n">
        <v>33.25</v>
      </c>
      <c r="I2579">
        <f>B2579&amp;"~"&amp;F2579&amp;"~"&amp;G2579</f>
        <v/>
      </c>
      <c r="J2579" t="inlineStr">
        <is>
          <t>MVS Sec.17 p.44</t>
        </is>
      </c>
    </row>
    <row r="2580">
      <c r="B2580" t="inlineStr">
        <is>
          <t>Sheep Barns</t>
        </is>
      </c>
      <c r="C2580" t="inlineStr">
        <is>
          <t>397</t>
        </is>
      </c>
      <c r="D2580" t="inlineStr">
        <is>
          <t>17</t>
        </is>
      </c>
      <c r="E2580" t="inlineStr">
        <is>
          <t>44</t>
        </is>
      </c>
      <c r="F2580" t="inlineStr">
        <is>
          <t>DPOLE</t>
        </is>
      </c>
      <c r="G2580" t="inlineStr">
        <is>
          <t>Good</t>
        </is>
      </c>
      <c r="H2580" t="n">
        <v>37</v>
      </c>
      <c r="I2580">
        <f>B2580&amp;"~"&amp;F2580&amp;"~"&amp;G2580</f>
        <v/>
      </c>
      <c r="J2580" t="inlineStr">
        <is>
          <t>MVS Sec.17 p.44</t>
        </is>
      </c>
    </row>
    <row r="2581">
      <c r="B2581" t="inlineStr">
        <is>
          <t>Sheep Barns</t>
        </is>
      </c>
      <c r="C2581" t="inlineStr">
        <is>
          <t>397</t>
        </is>
      </c>
      <c r="D2581" t="inlineStr">
        <is>
          <t>17</t>
        </is>
      </c>
      <c r="E2581" t="inlineStr">
        <is>
          <t>44</t>
        </is>
      </c>
      <c r="F2581" t="inlineStr">
        <is>
          <t>DPOLE</t>
        </is>
      </c>
      <c r="G2581" t="inlineStr">
        <is>
          <t>Average</t>
        </is>
      </c>
      <c r="H2581" t="n">
        <v>29</v>
      </c>
      <c r="I2581">
        <f>B2581&amp;"~"&amp;F2581&amp;"~"&amp;G2581</f>
        <v/>
      </c>
      <c r="J2581" t="inlineStr">
        <is>
          <t>MVS Sec.17 p.44</t>
        </is>
      </c>
    </row>
    <row r="2582">
      <c r="B2582" t="inlineStr">
        <is>
          <t>Sheep Barns</t>
        </is>
      </c>
      <c r="C2582" t="inlineStr">
        <is>
          <t>397</t>
        </is>
      </c>
      <c r="D2582" t="inlineStr">
        <is>
          <t>17</t>
        </is>
      </c>
      <c r="E2582" t="inlineStr">
        <is>
          <t>44</t>
        </is>
      </c>
      <c r="F2582" t="inlineStr">
        <is>
          <t>S</t>
        </is>
      </c>
      <c r="G2582" t="inlineStr">
        <is>
          <t>Good</t>
        </is>
      </c>
      <c r="H2582" t="n">
        <v>40.25</v>
      </c>
      <c r="I2582">
        <f>B2582&amp;"~"&amp;F2582&amp;"~"&amp;G2582</f>
        <v/>
      </c>
      <c r="J2582" t="inlineStr">
        <is>
          <t>MVS Sec.17 p.44</t>
        </is>
      </c>
    </row>
    <row r="2583">
      <c r="B2583" t="inlineStr">
        <is>
          <t>Sheep Barns</t>
        </is>
      </c>
      <c r="C2583" t="inlineStr">
        <is>
          <t>397</t>
        </is>
      </c>
      <c r="D2583" t="inlineStr">
        <is>
          <t>17</t>
        </is>
      </c>
      <c r="E2583" t="inlineStr">
        <is>
          <t>44</t>
        </is>
      </c>
      <c r="F2583" t="inlineStr">
        <is>
          <t>S</t>
        </is>
      </c>
      <c r="G2583" t="inlineStr">
        <is>
          <t>Average</t>
        </is>
      </c>
      <c r="H2583" t="n">
        <v>32.5</v>
      </c>
      <c r="I2583">
        <f>B2583&amp;"~"&amp;F2583&amp;"~"&amp;G2583</f>
        <v/>
      </c>
      <c r="J2583" t="inlineStr">
        <is>
          <t>MVS Sec.17 p.44</t>
        </is>
      </c>
    </row>
    <row r="2584">
      <c r="B2584" t="inlineStr">
        <is>
          <t>Sheep Sheds</t>
        </is>
      </c>
      <c r="C2584" t="inlineStr">
        <is>
          <t>120</t>
        </is>
      </c>
      <c r="D2584" t="inlineStr">
        <is>
          <t>17</t>
        </is>
      </c>
      <c r="E2584" t="inlineStr">
        <is>
          <t>44</t>
        </is>
      </c>
      <c r="F2584" t="inlineStr">
        <is>
          <t>D</t>
        </is>
      </c>
      <c r="G2584" t="inlineStr">
        <is>
          <t>Good</t>
        </is>
      </c>
      <c r="H2584" t="n">
        <v>22.9</v>
      </c>
      <c r="I2584">
        <f>B2584&amp;"~"&amp;F2584&amp;"~"&amp;G2584</f>
        <v/>
      </c>
      <c r="J2584" t="inlineStr">
        <is>
          <t>MVS Sec.17 p.44</t>
        </is>
      </c>
    </row>
    <row r="2585">
      <c r="B2585" t="inlineStr">
        <is>
          <t>Sheep Sheds</t>
        </is>
      </c>
      <c r="C2585" t="inlineStr">
        <is>
          <t>120</t>
        </is>
      </c>
      <c r="D2585" t="inlineStr">
        <is>
          <t>17</t>
        </is>
      </c>
      <c r="E2585" t="inlineStr">
        <is>
          <t>44</t>
        </is>
      </c>
      <c r="F2585" t="inlineStr">
        <is>
          <t>D</t>
        </is>
      </c>
      <c r="G2585" t="inlineStr">
        <is>
          <t>Average</t>
        </is>
      </c>
      <c r="H2585" t="n">
        <v>18.3</v>
      </c>
      <c r="I2585">
        <f>B2585&amp;"~"&amp;F2585&amp;"~"&amp;G2585</f>
        <v/>
      </c>
      <c r="J2585" t="inlineStr">
        <is>
          <t>MVS Sec.17 p.44</t>
        </is>
      </c>
    </row>
    <row r="2586">
      <c r="B2586" t="inlineStr">
        <is>
          <t>Sheep Sheds</t>
        </is>
      </c>
      <c r="C2586" t="inlineStr">
        <is>
          <t>120</t>
        </is>
      </c>
      <c r="D2586" t="inlineStr">
        <is>
          <t>17</t>
        </is>
      </c>
      <c r="E2586" t="inlineStr">
        <is>
          <t>44</t>
        </is>
      </c>
      <c r="F2586" t="inlineStr">
        <is>
          <t>D</t>
        </is>
      </c>
      <c r="G2586" t="inlineStr">
        <is>
          <t>Low Cost</t>
        </is>
      </c>
      <c r="H2586" t="n">
        <v>14.6</v>
      </c>
      <c r="I2586">
        <f>B2586&amp;"~"&amp;F2586&amp;"~"&amp;G2586</f>
        <v/>
      </c>
      <c r="J2586" t="inlineStr">
        <is>
          <t>MVS Sec.17 p.44</t>
        </is>
      </c>
    </row>
    <row r="2587">
      <c r="B2587" t="inlineStr">
        <is>
          <t>Sheep Sheds</t>
        </is>
      </c>
      <c r="C2587" t="inlineStr">
        <is>
          <t>120</t>
        </is>
      </c>
      <c r="D2587" t="inlineStr">
        <is>
          <t>17</t>
        </is>
      </c>
      <c r="E2587" t="inlineStr">
        <is>
          <t>44</t>
        </is>
      </c>
      <c r="F2587" t="inlineStr">
        <is>
          <t>D</t>
        </is>
      </c>
      <c r="G2587" t="inlineStr">
        <is>
          <t>Cheap</t>
        </is>
      </c>
      <c r="H2587" t="n">
        <v>13.1</v>
      </c>
      <c r="I2587">
        <f>B2587&amp;"~"&amp;F2587&amp;"~"&amp;G2587</f>
        <v/>
      </c>
      <c r="J2587" t="inlineStr">
        <is>
          <t>MVS Sec.17 p.44</t>
        </is>
      </c>
    </row>
    <row r="2588">
      <c r="B2588" t="inlineStr">
        <is>
          <t>Sheep Sheds</t>
        </is>
      </c>
      <c r="C2588" t="inlineStr">
        <is>
          <t>120</t>
        </is>
      </c>
      <c r="D2588" t="inlineStr">
        <is>
          <t>17</t>
        </is>
      </c>
      <c r="E2588" t="inlineStr">
        <is>
          <t>44</t>
        </is>
      </c>
      <c r="F2588" t="inlineStr">
        <is>
          <t>DPOLE</t>
        </is>
      </c>
      <c r="G2588" t="inlineStr">
        <is>
          <t>Good</t>
        </is>
      </c>
      <c r="H2588" t="n">
        <v>20.85</v>
      </c>
      <c r="I2588">
        <f>B2588&amp;"~"&amp;F2588&amp;"~"&amp;G2588</f>
        <v/>
      </c>
      <c r="J2588" t="inlineStr">
        <is>
          <t>MVS Sec.17 p.44</t>
        </is>
      </c>
    </row>
    <row r="2589">
      <c r="B2589" t="inlineStr">
        <is>
          <t>Sheep Sheds</t>
        </is>
      </c>
      <c r="C2589" t="inlineStr">
        <is>
          <t>120</t>
        </is>
      </c>
      <c r="D2589" t="inlineStr">
        <is>
          <t>17</t>
        </is>
      </c>
      <c r="E2589" t="inlineStr">
        <is>
          <t>44</t>
        </is>
      </c>
      <c r="F2589" t="inlineStr">
        <is>
          <t>DPOLE</t>
        </is>
      </c>
      <c r="G2589" t="inlineStr">
        <is>
          <t>Average</t>
        </is>
      </c>
      <c r="H2589" t="n">
        <v>16.35</v>
      </c>
      <c r="I2589">
        <f>B2589&amp;"~"&amp;F2589&amp;"~"&amp;G2589</f>
        <v/>
      </c>
      <c r="J2589" t="inlineStr">
        <is>
          <t>MVS Sec.17 p.44</t>
        </is>
      </c>
    </row>
    <row r="2590">
      <c r="B2590" t="inlineStr">
        <is>
          <t>Sheep Sheds</t>
        </is>
      </c>
      <c r="C2590" t="inlineStr">
        <is>
          <t>120</t>
        </is>
      </c>
      <c r="D2590" t="inlineStr">
        <is>
          <t>17</t>
        </is>
      </c>
      <c r="E2590" t="inlineStr">
        <is>
          <t>44</t>
        </is>
      </c>
      <c r="F2590" t="inlineStr">
        <is>
          <t>DPOLE</t>
        </is>
      </c>
      <c r="G2590" t="inlineStr">
        <is>
          <t>Low Cost</t>
        </is>
      </c>
      <c r="H2590" t="n">
        <v>12.85</v>
      </c>
      <c r="I2590">
        <f>B2590&amp;"~"&amp;F2590&amp;"~"&amp;G2590</f>
        <v/>
      </c>
      <c r="J2590" t="inlineStr">
        <is>
          <t>MVS Sec.17 p.44</t>
        </is>
      </c>
    </row>
    <row r="2591">
      <c r="B2591" t="inlineStr">
        <is>
          <t>Sheep Sheds</t>
        </is>
      </c>
      <c r="C2591" t="inlineStr">
        <is>
          <t>120</t>
        </is>
      </c>
      <c r="D2591" t="inlineStr">
        <is>
          <t>17</t>
        </is>
      </c>
      <c r="E2591" t="inlineStr">
        <is>
          <t>44</t>
        </is>
      </c>
      <c r="F2591" t="inlineStr">
        <is>
          <t>DPOLE</t>
        </is>
      </c>
      <c r="G2591" t="inlineStr">
        <is>
          <t>Cheap</t>
        </is>
      </c>
      <c r="H2591" t="n">
        <v>11.25</v>
      </c>
      <c r="I2591">
        <f>B2591&amp;"~"&amp;F2591&amp;"~"&amp;G2591</f>
        <v/>
      </c>
      <c r="J2591" t="inlineStr">
        <is>
          <t>MVS Sec.17 p.44</t>
        </is>
      </c>
    </row>
    <row r="2592">
      <c r="B2592" t="inlineStr">
        <is>
          <t>Sheep Sheds</t>
        </is>
      </c>
      <c r="C2592" t="inlineStr">
        <is>
          <t>120</t>
        </is>
      </c>
      <c r="D2592" t="inlineStr">
        <is>
          <t>17</t>
        </is>
      </c>
      <c r="E2592" t="inlineStr">
        <is>
          <t>44</t>
        </is>
      </c>
      <c r="F2592" t="inlineStr">
        <is>
          <t>DHOOP</t>
        </is>
      </c>
      <c r="G2592" t="inlineStr">
        <is>
          <t>Good</t>
        </is>
      </c>
      <c r="H2592" t="n">
        <v>13.35</v>
      </c>
      <c r="I2592">
        <f>B2592&amp;"~"&amp;F2592&amp;"~"&amp;G2592</f>
        <v/>
      </c>
      <c r="J2592" t="inlineStr">
        <is>
          <t>MVS Sec.17 p.44</t>
        </is>
      </c>
    </row>
    <row r="2593">
      <c r="B2593" t="inlineStr">
        <is>
          <t>Sheep Sheds</t>
        </is>
      </c>
      <c r="C2593" t="inlineStr">
        <is>
          <t>120</t>
        </is>
      </c>
      <c r="D2593" t="inlineStr">
        <is>
          <t>17</t>
        </is>
      </c>
      <c r="E2593" t="inlineStr">
        <is>
          <t>44</t>
        </is>
      </c>
      <c r="F2593" t="inlineStr">
        <is>
          <t>DHOOP</t>
        </is>
      </c>
      <c r="G2593" t="inlineStr">
        <is>
          <t>Low Cost</t>
        </is>
      </c>
      <c r="H2593" t="n">
        <v>8.380000000000001</v>
      </c>
      <c r="I2593">
        <f>B2593&amp;"~"&amp;F2593&amp;"~"&amp;G2593</f>
        <v/>
      </c>
      <c r="J2593" t="inlineStr">
        <is>
          <t>MVS Sec.17 p.44</t>
        </is>
      </c>
    </row>
    <row r="2594">
      <c r="B2594" t="inlineStr">
        <is>
          <t>Sheep Sheds</t>
        </is>
      </c>
      <c r="C2594" t="inlineStr">
        <is>
          <t>120</t>
        </is>
      </c>
      <c r="D2594" t="inlineStr">
        <is>
          <t>17</t>
        </is>
      </c>
      <c r="E2594" t="inlineStr">
        <is>
          <t>44</t>
        </is>
      </c>
      <c r="F2594" t="inlineStr">
        <is>
          <t>S</t>
        </is>
      </c>
      <c r="G2594" t="inlineStr">
        <is>
          <t>Good</t>
        </is>
      </c>
      <c r="H2594" t="n">
        <v>23.05</v>
      </c>
      <c r="I2594">
        <f>B2594&amp;"~"&amp;F2594&amp;"~"&amp;G2594</f>
        <v/>
      </c>
      <c r="J2594" t="inlineStr">
        <is>
          <t>MVS Sec.17 p.44</t>
        </is>
      </c>
    </row>
    <row r="2595">
      <c r="B2595" t="inlineStr">
        <is>
          <t>Sheep Sheds</t>
        </is>
      </c>
      <c r="C2595" t="inlineStr">
        <is>
          <t>120</t>
        </is>
      </c>
      <c r="D2595" t="inlineStr">
        <is>
          <t>17</t>
        </is>
      </c>
      <c r="E2595" t="inlineStr">
        <is>
          <t>44</t>
        </is>
      </c>
      <c r="F2595" t="inlineStr">
        <is>
          <t>S</t>
        </is>
      </c>
      <c r="G2595" t="inlineStr">
        <is>
          <t>Average</t>
        </is>
      </c>
      <c r="H2595" t="n">
        <v>18.55</v>
      </c>
      <c r="I2595">
        <f>B2595&amp;"~"&amp;F2595&amp;"~"&amp;G2595</f>
        <v/>
      </c>
      <c r="J2595" t="inlineStr">
        <is>
          <t>MVS Sec.17 p.44</t>
        </is>
      </c>
    </row>
    <row r="2596">
      <c r="B2596" t="inlineStr">
        <is>
          <t>Sheep Sheds</t>
        </is>
      </c>
      <c r="C2596" t="inlineStr">
        <is>
          <t>120</t>
        </is>
      </c>
      <c r="D2596" t="inlineStr">
        <is>
          <t>17</t>
        </is>
      </c>
      <c r="E2596" t="inlineStr">
        <is>
          <t>44</t>
        </is>
      </c>
      <c r="F2596" t="inlineStr">
        <is>
          <t>S</t>
        </is>
      </c>
      <c r="G2596" t="inlineStr">
        <is>
          <t>Low Cost</t>
        </is>
      </c>
      <c r="H2596" t="n">
        <v>14.95</v>
      </c>
      <c r="I2596">
        <f>B2596&amp;"~"&amp;F2596&amp;"~"&amp;G2596</f>
        <v/>
      </c>
      <c r="J2596" t="inlineStr">
        <is>
          <t>MVS Sec.17 p.44</t>
        </is>
      </c>
    </row>
    <row r="2597">
      <c r="B2597" t="inlineStr">
        <is>
          <t>Sheep Sheds</t>
        </is>
      </c>
      <c r="C2597" t="inlineStr">
        <is>
          <t>120</t>
        </is>
      </c>
      <c r="D2597" t="inlineStr">
        <is>
          <t>17</t>
        </is>
      </c>
      <c r="E2597" t="inlineStr">
        <is>
          <t>44</t>
        </is>
      </c>
      <c r="F2597" t="inlineStr">
        <is>
          <t>S</t>
        </is>
      </c>
      <c r="G2597" t="inlineStr">
        <is>
          <t>Cheap</t>
        </is>
      </c>
      <c r="H2597" t="n">
        <v>13.6</v>
      </c>
      <c r="I2597">
        <f>B2597&amp;"~"&amp;F2597&amp;"~"&amp;G2597</f>
        <v/>
      </c>
      <c r="J2597" t="inlineStr">
        <is>
          <t>MVS Sec.17 p.44</t>
        </is>
      </c>
    </row>
    <row r="2598">
      <c r="B2598" t="inlineStr">
        <is>
          <t>Sheep Sheds</t>
        </is>
      </c>
      <c r="C2598" t="inlineStr">
        <is>
          <t>120</t>
        </is>
      </c>
      <c r="D2598" t="inlineStr">
        <is>
          <t>17</t>
        </is>
      </c>
      <c r="E2598" t="inlineStr">
        <is>
          <t>44</t>
        </is>
      </c>
      <c r="F2598" t="inlineStr">
        <is>
          <t>SSLANT</t>
        </is>
      </c>
      <c r="G2598" t="inlineStr">
        <is>
          <t>Average</t>
        </is>
      </c>
      <c r="H2598" t="n">
        <v>17.3</v>
      </c>
      <c r="I2598">
        <f>B2598&amp;"~"&amp;F2598&amp;"~"&amp;G2598</f>
        <v/>
      </c>
      <c r="J2598" t="inlineStr">
        <is>
          <t>MVS Sec.17 p.44</t>
        </is>
      </c>
    </row>
    <row r="2599">
      <c r="B2599" t="inlineStr">
        <is>
          <t>Sheep Sheds</t>
        </is>
      </c>
      <c r="C2599" t="inlineStr">
        <is>
          <t>120</t>
        </is>
      </c>
      <c r="D2599" t="inlineStr">
        <is>
          <t>17</t>
        </is>
      </c>
      <c r="E2599" t="inlineStr">
        <is>
          <t>44</t>
        </is>
      </c>
      <c r="F2599" t="inlineStr">
        <is>
          <t>SSLANT</t>
        </is>
      </c>
      <c r="G2599" t="inlineStr">
        <is>
          <t>Low Cost</t>
        </is>
      </c>
      <c r="H2599" t="n">
        <v>13.75</v>
      </c>
      <c r="I2599">
        <f>B2599&amp;"~"&amp;F2599&amp;"~"&amp;G2599</f>
        <v/>
      </c>
      <c r="J2599" t="inlineStr">
        <is>
          <t>MVS Sec.17 p.44</t>
        </is>
      </c>
    </row>
    <row r="2600">
      <c r="B2600" t="inlineStr">
        <is>
          <t>Poultry Floor Operation – Breeder Houses</t>
        </is>
      </c>
      <c r="C2600" t="inlineStr">
        <is>
          <t>117</t>
        </is>
      </c>
      <c r="D2600" t="inlineStr">
        <is>
          <t>17</t>
        </is>
      </c>
      <c r="E2600" t="inlineStr">
        <is>
          <t>46</t>
        </is>
      </c>
      <c r="F2600" t="inlineStr">
        <is>
          <t>C</t>
        </is>
      </c>
      <c r="G2600" t="inlineStr">
        <is>
          <t>Good</t>
        </is>
      </c>
      <c r="H2600" t="n">
        <v>31</v>
      </c>
      <c r="I2600">
        <f>B2600&amp;"~"&amp;F2600&amp;"~"&amp;G2600</f>
        <v/>
      </c>
      <c r="J2600" t="inlineStr">
        <is>
          <t>MVS Sec.17 p.46</t>
        </is>
      </c>
    </row>
    <row r="2601">
      <c r="B2601" t="inlineStr">
        <is>
          <t>Poultry Floor Operation – Breeder Houses</t>
        </is>
      </c>
      <c r="C2601" t="inlineStr">
        <is>
          <t>117</t>
        </is>
      </c>
      <c r="D2601" t="inlineStr">
        <is>
          <t>17</t>
        </is>
      </c>
      <c r="E2601" t="inlineStr">
        <is>
          <t>46</t>
        </is>
      </c>
      <c r="F2601" t="inlineStr">
        <is>
          <t>C</t>
        </is>
      </c>
      <c r="G2601" t="inlineStr">
        <is>
          <t>Average</t>
        </is>
      </c>
      <c r="H2601" t="n">
        <v>24.05</v>
      </c>
      <c r="I2601">
        <f>B2601&amp;"~"&amp;F2601&amp;"~"&amp;G2601</f>
        <v/>
      </c>
      <c r="J2601" t="inlineStr">
        <is>
          <t>MVS Sec.17 p.46</t>
        </is>
      </c>
    </row>
    <row r="2602">
      <c r="B2602" t="inlineStr">
        <is>
          <t>Poultry Floor Operation – Breeder Houses</t>
        </is>
      </c>
      <c r="C2602" t="inlineStr">
        <is>
          <t>117</t>
        </is>
      </c>
      <c r="D2602" t="inlineStr">
        <is>
          <t>17</t>
        </is>
      </c>
      <c r="E2602" t="inlineStr">
        <is>
          <t>46</t>
        </is>
      </c>
      <c r="F2602" t="inlineStr">
        <is>
          <t>D</t>
        </is>
      </c>
      <c r="G2602" t="inlineStr">
        <is>
          <t>Good</t>
        </is>
      </c>
      <c r="H2602" t="n">
        <v>26</v>
      </c>
      <c r="I2602">
        <f>B2602&amp;"~"&amp;F2602&amp;"~"&amp;G2602</f>
        <v/>
      </c>
      <c r="J2602" t="inlineStr">
        <is>
          <t>MVS Sec.17 p.46</t>
        </is>
      </c>
    </row>
    <row r="2603">
      <c r="B2603" t="inlineStr">
        <is>
          <t>Poultry Floor Operation – Breeder Houses</t>
        </is>
      </c>
      <c r="C2603" t="inlineStr">
        <is>
          <t>117</t>
        </is>
      </c>
      <c r="D2603" t="inlineStr">
        <is>
          <t>17</t>
        </is>
      </c>
      <c r="E2603" t="inlineStr">
        <is>
          <t>46</t>
        </is>
      </c>
      <c r="F2603" t="inlineStr">
        <is>
          <t>D</t>
        </is>
      </c>
      <c r="G2603" t="inlineStr">
        <is>
          <t>Average</t>
        </is>
      </c>
      <c r="H2603" t="n">
        <v>19.65</v>
      </c>
      <c r="I2603">
        <f>B2603&amp;"~"&amp;F2603&amp;"~"&amp;G2603</f>
        <v/>
      </c>
      <c r="J2603" t="inlineStr">
        <is>
          <t>MVS Sec.17 p.46</t>
        </is>
      </c>
    </row>
    <row r="2604">
      <c r="B2604" t="inlineStr">
        <is>
          <t>Poultry Floor Operation – Breeder Houses</t>
        </is>
      </c>
      <c r="C2604" t="inlineStr">
        <is>
          <t>117</t>
        </is>
      </c>
      <c r="D2604" t="inlineStr">
        <is>
          <t>17</t>
        </is>
      </c>
      <c r="E2604" t="inlineStr">
        <is>
          <t>46</t>
        </is>
      </c>
      <c r="F2604" t="inlineStr">
        <is>
          <t>DPOLE</t>
        </is>
      </c>
      <c r="G2604" t="inlineStr">
        <is>
          <t>Good</t>
        </is>
      </c>
      <c r="H2604" t="n">
        <v>20.95</v>
      </c>
      <c r="I2604">
        <f>B2604&amp;"~"&amp;F2604&amp;"~"&amp;G2604</f>
        <v/>
      </c>
      <c r="J2604" t="inlineStr">
        <is>
          <t>MVS Sec.17 p.46</t>
        </is>
      </c>
    </row>
    <row r="2605">
      <c r="B2605" t="inlineStr">
        <is>
          <t>Poultry Floor Operation – Breeder Houses</t>
        </is>
      </c>
      <c r="C2605" t="inlineStr">
        <is>
          <t>117</t>
        </is>
      </c>
      <c r="D2605" t="inlineStr">
        <is>
          <t>17</t>
        </is>
      </c>
      <c r="E2605" t="inlineStr">
        <is>
          <t>46</t>
        </is>
      </c>
      <c r="F2605" t="inlineStr">
        <is>
          <t>DPOLE</t>
        </is>
      </c>
      <c r="G2605" t="inlineStr">
        <is>
          <t>Average</t>
        </is>
      </c>
      <c r="H2605" t="n">
        <v>17.8</v>
      </c>
      <c r="I2605">
        <f>B2605&amp;"~"&amp;F2605&amp;"~"&amp;G2605</f>
        <v/>
      </c>
      <c r="J2605" t="inlineStr">
        <is>
          <t>MVS Sec.17 p.46</t>
        </is>
      </c>
    </row>
    <row r="2606">
      <c r="B2606" t="inlineStr">
        <is>
          <t>Poultry Floor Operation – Breeder Houses</t>
        </is>
      </c>
      <c r="C2606" t="inlineStr">
        <is>
          <t>117</t>
        </is>
      </c>
      <c r="D2606" t="inlineStr">
        <is>
          <t>17</t>
        </is>
      </c>
      <c r="E2606" t="inlineStr">
        <is>
          <t>46</t>
        </is>
      </c>
      <c r="F2606" t="inlineStr">
        <is>
          <t>DPOLE</t>
        </is>
      </c>
      <c r="G2606" t="inlineStr">
        <is>
          <t>Fair</t>
        </is>
      </c>
      <c r="H2606" t="n">
        <v>16.4</v>
      </c>
      <c r="I2606">
        <f>B2606&amp;"~"&amp;F2606&amp;"~"&amp;G2606</f>
        <v/>
      </c>
      <c r="J2606" t="inlineStr">
        <is>
          <t>MVS Sec.17 p.46</t>
        </is>
      </c>
    </row>
    <row r="2607">
      <c r="B2607" t="inlineStr">
        <is>
          <t>Poultry Floor Operation – Breeder Houses</t>
        </is>
      </c>
      <c r="C2607" t="inlineStr">
        <is>
          <t>117</t>
        </is>
      </c>
      <c r="D2607" t="inlineStr">
        <is>
          <t>17</t>
        </is>
      </c>
      <c r="E2607" t="inlineStr">
        <is>
          <t>46</t>
        </is>
      </c>
      <c r="F2607" t="inlineStr">
        <is>
          <t>DPOLE</t>
        </is>
      </c>
      <c r="G2607" t="inlineStr">
        <is>
          <t>Low Cost</t>
        </is>
      </c>
      <c r="H2607" t="n">
        <v>15.15</v>
      </c>
      <c r="I2607">
        <f>B2607&amp;"~"&amp;F2607&amp;"~"&amp;G2607</f>
        <v/>
      </c>
      <c r="J2607" t="inlineStr">
        <is>
          <t>MVS Sec.17 p.46</t>
        </is>
      </c>
    </row>
    <row r="2608">
      <c r="B2608" t="inlineStr">
        <is>
          <t>Poultry Floor Operation – Breeder Houses</t>
        </is>
      </c>
      <c r="C2608" t="inlineStr">
        <is>
          <t>117</t>
        </is>
      </c>
      <c r="D2608" t="inlineStr">
        <is>
          <t>17</t>
        </is>
      </c>
      <c r="E2608" t="inlineStr">
        <is>
          <t>46</t>
        </is>
      </c>
      <c r="F2608" t="inlineStr">
        <is>
          <t>DPOLE</t>
        </is>
      </c>
      <c r="G2608" t="inlineStr">
        <is>
          <t>Cheap</t>
        </is>
      </c>
      <c r="H2608" t="n">
        <v>10.1</v>
      </c>
      <c r="I2608">
        <f>B2608&amp;"~"&amp;F2608&amp;"~"&amp;G2608</f>
        <v/>
      </c>
      <c r="J2608" t="inlineStr">
        <is>
          <t>MVS Sec.17 p.46</t>
        </is>
      </c>
    </row>
    <row r="2609">
      <c r="B2609" t="inlineStr">
        <is>
          <t>Poultry Floor Operation – Breeder Houses</t>
        </is>
      </c>
      <c r="C2609" t="inlineStr">
        <is>
          <t>117</t>
        </is>
      </c>
      <c r="D2609" t="inlineStr">
        <is>
          <t>17</t>
        </is>
      </c>
      <c r="E2609" t="inlineStr">
        <is>
          <t>46</t>
        </is>
      </c>
      <c r="F2609" t="inlineStr">
        <is>
          <t>S</t>
        </is>
      </c>
      <c r="G2609" t="inlineStr">
        <is>
          <t>Good</t>
        </is>
      </c>
      <c r="H2609" t="n">
        <v>22.6</v>
      </c>
      <c r="I2609">
        <f>B2609&amp;"~"&amp;F2609&amp;"~"&amp;G2609</f>
        <v/>
      </c>
      <c r="J2609" t="inlineStr">
        <is>
          <t>MVS Sec.17 p.46</t>
        </is>
      </c>
    </row>
    <row r="2610">
      <c r="B2610" t="inlineStr">
        <is>
          <t>Poultry Floor Operation – Breeder Houses</t>
        </is>
      </c>
      <c r="C2610" t="inlineStr">
        <is>
          <t>117</t>
        </is>
      </c>
      <c r="D2610" t="inlineStr">
        <is>
          <t>17</t>
        </is>
      </c>
      <c r="E2610" t="inlineStr">
        <is>
          <t>46</t>
        </is>
      </c>
      <c r="F2610" t="inlineStr">
        <is>
          <t>S</t>
        </is>
      </c>
      <c r="G2610" t="inlineStr">
        <is>
          <t>Average</t>
        </is>
      </c>
      <c r="H2610" t="n">
        <v>19.55</v>
      </c>
      <c r="I2610">
        <f>B2610&amp;"~"&amp;F2610&amp;"~"&amp;G2610</f>
        <v/>
      </c>
      <c r="J2610" t="inlineStr">
        <is>
          <t>MVS Sec.17 p.46</t>
        </is>
      </c>
    </row>
    <row r="2611">
      <c r="B2611" t="inlineStr">
        <is>
          <t>Poultry Floor Operation – Breeder Houses</t>
        </is>
      </c>
      <c r="C2611" t="inlineStr">
        <is>
          <t>117</t>
        </is>
      </c>
      <c r="D2611" t="inlineStr">
        <is>
          <t>17</t>
        </is>
      </c>
      <c r="E2611" t="inlineStr">
        <is>
          <t>46</t>
        </is>
      </c>
      <c r="F2611" t="inlineStr">
        <is>
          <t>S</t>
        </is>
      </c>
      <c r="G2611" t="inlineStr">
        <is>
          <t>Fair</t>
        </is>
      </c>
      <c r="H2611" t="n">
        <v>18.25</v>
      </c>
      <c r="I2611">
        <f>B2611&amp;"~"&amp;F2611&amp;"~"&amp;G2611</f>
        <v/>
      </c>
      <c r="J2611" t="inlineStr">
        <is>
          <t>MVS Sec.17 p.46</t>
        </is>
      </c>
    </row>
    <row r="2612">
      <c r="B2612" t="inlineStr">
        <is>
          <t>Poultry Floor Operation – Breeder Houses</t>
        </is>
      </c>
      <c r="C2612" t="inlineStr">
        <is>
          <t>117</t>
        </is>
      </c>
      <c r="D2612" t="inlineStr">
        <is>
          <t>17</t>
        </is>
      </c>
      <c r="E2612" t="inlineStr">
        <is>
          <t>46</t>
        </is>
      </c>
      <c r="F2612" t="inlineStr">
        <is>
          <t>S</t>
        </is>
      </c>
      <c r="G2612" t="inlineStr">
        <is>
          <t>Low Cost</t>
        </is>
      </c>
      <c r="H2612" t="n">
        <v>16.95</v>
      </c>
      <c r="I2612">
        <f>B2612&amp;"~"&amp;F2612&amp;"~"&amp;G2612</f>
        <v/>
      </c>
      <c r="J2612" t="inlineStr">
        <is>
          <t>MVS Sec.17 p.46</t>
        </is>
      </c>
    </row>
    <row r="2613">
      <c r="B2613" t="inlineStr">
        <is>
          <t>Poultry Floor Operation – Breeder Houses</t>
        </is>
      </c>
      <c r="C2613" t="inlineStr">
        <is>
          <t>117</t>
        </is>
      </c>
      <c r="D2613" t="inlineStr">
        <is>
          <t>17</t>
        </is>
      </c>
      <c r="E2613" t="inlineStr">
        <is>
          <t>46</t>
        </is>
      </c>
      <c r="F2613" t="inlineStr">
        <is>
          <t>S</t>
        </is>
      </c>
      <c r="G2613" t="inlineStr">
        <is>
          <t>Cheap</t>
        </is>
      </c>
      <c r="H2613" t="n">
        <v>10.8</v>
      </c>
      <c r="I2613">
        <f>B2613&amp;"~"&amp;F2613&amp;"~"&amp;G2613</f>
        <v/>
      </c>
      <c r="J2613" t="inlineStr">
        <is>
          <t>MVS Sec.17 p.46</t>
        </is>
      </c>
    </row>
    <row r="2614">
      <c r="B2614" t="inlineStr">
        <is>
          <t>Poultry Floor Operation – Broiler Houses</t>
        </is>
      </c>
      <c r="C2614" t="inlineStr">
        <is>
          <t>118</t>
        </is>
      </c>
      <c r="D2614" t="inlineStr">
        <is>
          <t>17</t>
        </is>
      </c>
      <c r="E2614" t="inlineStr">
        <is>
          <t>46</t>
        </is>
      </c>
      <c r="F2614" t="inlineStr">
        <is>
          <t>DPOLE</t>
        </is>
      </c>
      <c r="G2614" t="inlineStr">
        <is>
          <t>Good</t>
        </is>
      </c>
      <c r="H2614" t="n">
        <v>19.25</v>
      </c>
      <c r="I2614">
        <f>B2614&amp;"~"&amp;F2614&amp;"~"&amp;G2614</f>
        <v/>
      </c>
      <c r="J2614" t="inlineStr">
        <is>
          <t>MVS Sec.17 p.46</t>
        </is>
      </c>
    </row>
    <row r="2615">
      <c r="B2615" t="inlineStr">
        <is>
          <t>Poultry Floor Operation – Broiler Houses</t>
        </is>
      </c>
      <c r="C2615" t="inlineStr">
        <is>
          <t>118</t>
        </is>
      </c>
      <c r="D2615" t="inlineStr">
        <is>
          <t>17</t>
        </is>
      </c>
      <c r="E2615" t="inlineStr">
        <is>
          <t>46</t>
        </is>
      </c>
      <c r="F2615" t="inlineStr">
        <is>
          <t>DPOLE</t>
        </is>
      </c>
      <c r="G2615" t="inlineStr">
        <is>
          <t>Average</t>
        </is>
      </c>
      <c r="H2615" t="n">
        <v>16.1</v>
      </c>
      <c r="I2615">
        <f>B2615&amp;"~"&amp;F2615&amp;"~"&amp;G2615</f>
        <v/>
      </c>
      <c r="J2615" t="inlineStr">
        <is>
          <t>MVS Sec.17 p.46</t>
        </is>
      </c>
    </row>
    <row r="2616">
      <c r="B2616" t="inlineStr">
        <is>
          <t>Poultry Floor Operation – Broiler Houses</t>
        </is>
      </c>
      <c r="C2616" t="inlineStr">
        <is>
          <t>118</t>
        </is>
      </c>
      <c r="D2616" t="inlineStr">
        <is>
          <t>17</t>
        </is>
      </c>
      <c r="E2616" t="inlineStr">
        <is>
          <t>46</t>
        </is>
      </c>
      <c r="F2616" t="inlineStr">
        <is>
          <t>DPOLE</t>
        </is>
      </c>
      <c r="G2616" t="inlineStr">
        <is>
          <t>Fair</t>
        </is>
      </c>
      <c r="H2616" t="n">
        <v>14.7</v>
      </c>
      <c r="I2616">
        <f>B2616&amp;"~"&amp;F2616&amp;"~"&amp;G2616</f>
        <v/>
      </c>
      <c r="J2616" t="inlineStr">
        <is>
          <t>MVS Sec.17 p.46</t>
        </is>
      </c>
    </row>
    <row r="2617">
      <c r="B2617" t="inlineStr">
        <is>
          <t>Poultry Floor Operation – Broiler Houses</t>
        </is>
      </c>
      <c r="C2617" t="inlineStr">
        <is>
          <t>118</t>
        </is>
      </c>
      <c r="D2617" t="inlineStr">
        <is>
          <t>17</t>
        </is>
      </c>
      <c r="E2617" t="inlineStr">
        <is>
          <t>46</t>
        </is>
      </c>
      <c r="F2617" t="inlineStr">
        <is>
          <t>DPOLE</t>
        </is>
      </c>
      <c r="G2617" t="inlineStr">
        <is>
          <t>Low Cost</t>
        </is>
      </c>
      <c r="H2617" t="n">
        <v>13.45</v>
      </c>
      <c r="I2617">
        <f>B2617&amp;"~"&amp;F2617&amp;"~"&amp;G2617</f>
        <v/>
      </c>
      <c r="J2617" t="inlineStr">
        <is>
          <t>MVS Sec.17 p.46</t>
        </is>
      </c>
    </row>
    <row r="2618">
      <c r="B2618" t="inlineStr">
        <is>
          <t>Poultry Floor Operation – Broiler Houses</t>
        </is>
      </c>
      <c r="C2618" t="inlineStr">
        <is>
          <t>118</t>
        </is>
      </c>
      <c r="D2618" t="inlineStr">
        <is>
          <t>17</t>
        </is>
      </c>
      <c r="E2618" t="inlineStr">
        <is>
          <t>46</t>
        </is>
      </c>
      <c r="F2618" t="inlineStr">
        <is>
          <t>DPOLE</t>
        </is>
      </c>
      <c r="G2618" t="inlineStr">
        <is>
          <t>Cheap</t>
        </is>
      </c>
      <c r="H2618" t="n">
        <v>8.470000000000001</v>
      </c>
      <c r="I2618">
        <f>B2618&amp;"~"&amp;F2618&amp;"~"&amp;G2618</f>
        <v/>
      </c>
      <c r="J2618" t="inlineStr">
        <is>
          <t>MVS Sec.17 p.46</t>
        </is>
      </c>
    </row>
    <row r="2619">
      <c r="B2619" t="inlineStr">
        <is>
          <t>Poultry Floor Operation – Broiler Houses</t>
        </is>
      </c>
      <c r="C2619" t="inlineStr">
        <is>
          <t>118</t>
        </is>
      </c>
      <c r="D2619" t="inlineStr">
        <is>
          <t>17</t>
        </is>
      </c>
      <c r="E2619" t="inlineStr">
        <is>
          <t>46</t>
        </is>
      </c>
      <c r="F2619" t="inlineStr">
        <is>
          <t>S</t>
        </is>
      </c>
      <c r="G2619" t="inlineStr">
        <is>
          <t>Good</t>
        </is>
      </c>
      <c r="H2619" t="n">
        <v>20.9</v>
      </c>
      <c r="I2619">
        <f>B2619&amp;"~"&amp;F2619&amp;"~"&amp;G2619</f>
        <v/>
      </c>
      <c r="J2619" t="inlineStr">
        <is>
          <t>MVS Sec.17 p.46</t>
        </is>
      </c>
    </row>
    <row r="2620">
      <c r="B2620" t="inlineStr">
        <is>
          <t>Poultry Floor Operation – Broiler Houses</t>
        </is>
      </c>
      <c r="C2620" t="inlineStr">
        <is>
          <t>118</t>
        </is>
      </c>
      <c r="D2620" t="inlineStr">
        <is>
          <t>17</t>
        </is>
      </c>
      <c r="E2620" t="inlineStr">
        <is>
          <t>46</t>
        </is>
      </c>
      <c r="F2620" t="inlineStr">
        <is>
          <t>S</t>
        </is>
      </c>
      <c r="G2620" t="inlineStr">
        <is>
          <t>Average</t>
        </is>
      </c>
      <c r="H2620" t="n">
        <v>17.8</v>
      </c>
      <c r="I2620">
        <f>B2620&amp;"~"&amp;F2620&amp;"~"&amp;G2620</f>
        <v/>
      </c>
      <c r="J2620" t="inlineStr">
        <is>
          <t>MVS Sec.17 p.46</t>
        </is>
      </c>
    </row>
    <row r="2621">
      <c r="B2621" t="inlineStr">
        <is>
          <t>Poultry Floor Operation – Broiler Houses</t>
        </is>
      </c>
      <c r="C2621" t="inlineStr">
        <is>
          <t>118</t>
        </is>
      </c>
      <c r="D2621" t="inlineStr">
        <is>
          <t>17</t>
        </is>
      </c>
      <c r="E2621" t="inlineStr">
        <is>
          <t>46</t>
        </is>
      </c>
      <c r="F2621" t="inlineStr">
        <is>
          <t>S</t>
        </is>
      </c>
      <c r="G2621" t="inlineStr">
        <is>
          <t>Fair</t>
        </is>
      </c>
      <c r="H2621" t="n">
        <v>16.5</v>
      </c>
      <c r="I2621">
        <f>B2621&amp;"~"&amp;F2621&amp;"~"&amp;G2621</f>
        <v/>
      </c>
      <c r="J2621" t="inlineStr">
        <is>
          <t>MVS Sec.17 p.46</t>
        </is>
      </c>
    </row>
    <row r="2622">
      <c r="B2622" t="inlineStr">
        <is>
          <t>Poultry Floor Operation – Broiler Houses</t>
        </is>
      </c>
      <c r="C2622" t="inlineStr">
        <is>
          <t>118</t>
        </is>
      </c>
      <c r="D2622" t="inlineStr">
        <is>
          <t>17</t>
        </is>
      </c>
      <c r="E2622" t="inlineStr">
        <is>
          <t>46</t>
        </is>
      </c>
      <c r="F2622" t="inlineStr">
        <is>
          <t>S</t>
        </is>
      </c>
      <c r="G2622" t="inlineStr">
        <is>
          <t>Low Cost</t>
        </is>
      </c>
      <c r="H2622" t="n">
        <v>15.2</v>
      </c>
      <c r="I2622">
        <f>B2622&amp;"~"&amp;F2622&amp;"~"&amp;G2622</f>
        <v/>
      </c>
      <c r="J2622" t="inlineStr">
        <is>
          <t>MVS Sec.17 p.46</t>
        </is>
      </c>
    </row>
    <row r="2623">
      <c r="B2623" t="inlineStr">
        <is>
          <t>Poultry Cage Operation – Enclosed Houses</t>
        </is>
      </c>
      <c r="C2623" t="inlineStr">
        <is>
          <t>474</t>
        </is>
      </c>
      <c r="D2623" t="inlineStr">
        <is>
          <t>17</t>
        </is>
      </c>
      <c r="E2623" t="inlineStr">
        <is>
          <t>47</t>
        </is>
      </c>
      <c r="F2623" t="inlineStr">
        <is>
          <t>C</t>
        </is>
      </c>
      <c r="G2623" t="inlineStr">
        <is>
          <t>Good</t>
        </is>
      </c>
      <c r="H2623" t="n">
        <v>50.5</v>
      </c>
      <c r="I2623">
        <f>B2623&amp;"~"&amp;F2623&amp;"~"&amp;G2623</f>
        <v/>
      </c>
      <c r="J2623" t="inlineStr">
        <is>
          <t>MVS Sec.17 p.47</t>
        </is>
      </c>
    </row>
    <row r="2624">
      <c r="B2624" t="inlineStr">
        <is>
          <t>Poultry Cage Operation – Enclosed Houses</t>
        </is>
      </c>
      <c r="C2624" t="inlineStr">
        <is>
          <t>474</t>
        </is>
      </c>
      <c r="D2624" t="inlineStr">
        <is>
          <t>17</t>
        </is>
      </c>
      <c r="E2624" t="inlineStr">
        <is>
          <t>47</t>
        </is>
      </c>
      <c r="F2624" t="inlineStr">
        <is>
          <t>C</t>
        </is>
      </c>
      <c r="G2624" t="inlineStr">
        <is>
          <t>Average</t>
        </is>
      </c>
      <c r="H2624" t="n">
        <v>36.5</v>
      </c>
      <c r="I2624">
        <f>B2624&amp;"~"&amp;F2624&amp;"~"&amp;G2624</f>
        <v/>
      </c>
      <c r="J2624" t="inlineStr">
        <is>
          <t>MVS Sec.17 p.47</t>
        </is>
      </c>
    </row>
    <row r="2625">
      <c r="B2625" t="inlineStr">
        <is>
          <t>Poultry Cage Operation – Enclosed Houses</t>
        </is>
      </c>
      <c r="C2625" t="inlineStr">
        <is>
          <t>474</t>
        </is>
      </c>
      <c r="D2625" t="inlineStr">
        <is>
          <t>17</t>
        </is>
      </c>
      <c r="E2625" t="inlineStr">
        <is>
          <t>47</t>
        </is>
      </c>
      <c r="F2625" t="inlineStr">
        <is>
          <t>C</t>
        </is>
      </c>
      <c r="G2625" t="inlineStr">
        <is>
          <t>Low Cost</t>
        </is>
      </c>
      <c r="H2625" t="n">
        <v>26.5</v>
      </c>
      <c r="I2625">
        <f>B2625&amp;"~"&amp;F2625&amp;"~"&amp;G2625</f>
        <v/>
      </c>
      <c r="J2625" t="inlineStr">
        <is>
          <t>MVS Sec.17 p.47</t>
        </is>
      </c>
    </row>
    <row r="2626">
      <c r="B2626" t="inlineStr">
        <is>
          <t>Poultry Cage Operation – Enclosed Houses</t>
        </is>
      </c>
      <c r="C2626" t="inlineStr">
        <is>
          <t>474</t>
        </is>
      </c>
      <c r="D2626" t="inlineStr">
        <is>
          <t>17</t>
        </is>
      </c>
      <c r="E2626" t="inlineStr">
        <is>
          <t>47</t>
        </is>
      </c>
      <c r="F2626" t="inlineStr">
        <is>
          <t>D</t>
        </is>
      </c>
      <c r="G2626" t="inlineStr">
        <is>
          <t>Good</t>
        </is>
      </c>
      <c r="H2626" t="n">
        <v>44</v>
      </c>
      <c r="I2626">
        <f>B2626&amp;"~"&amp;F2626&amp;"~"&amp;G2626</f>
        <v/>
      </c>
      <c r="J2626" t="inlineStr">
        <is>
          <t>MVS Sec.17 p.47</t>
        </is>
      </c>
    </row>
    <row r="2627">
      <c r="B2627" t="inlineStr">
        <is>
          <t>Poultry Cage Operation – Enclosed Houses</t>
        </is>
      </c>
      <c r="C2627" t="inlineStr">
        <is>
          <t>474</t>
        </is>
      </c>
      <c r="D2627" t="inlineStr">
        <is>
          <t>17</t>
        </is>
      </c>
      <c r="E2627" t="inlineStr">
        <is>
          <t>47</t>
        </is>
      </c>
      <c r="F2627" t="inlineStr">
        <is>
          <t>D</t>
        </is>
      </c>
      <c r="G2627" t="inlineStr">
        <is>
          <t>Average</t>
        </is>
      </c>
      <c r="H2627" t="n">
        <v>30.75</v>
      </c>
      <c r="I2627">
        <f>B2627&amp;"~"&amp;F2627&amp;"~"&amp;G2627</f>
        <v/>
      </c>
      <c r="J2627" t="inlineStr">
        <is>
          <t>MVS Sec.17 p.47</t>
        </is>
      </c>
    </row>
    <row r="2628">
      <c r="B2628" t="inlineStr">
        <is>
          <t>Poultry Cage Operation – Enclosed Houses</t>
        </is>
      </c>
      <c r="C2628" t="inlineStr">
        <is>
          <t>474</t>
        </is>
      </c>
      <c r="D2628" t="inlineStr">
        <is>
          <t>17</t>
        </is>
      </c>
      <c r="E2628" t="inlineStr">
        <is>
          <t>47</t>
        </is>
      </c>
      <c r="F2628" t="inlineStr">
        <is>
          <t>D</t>
        </is>
      </c>
      <c r="G2628" t="inlineStr">
        <is>
          <t>Low Cost</t>
        </is>
      </c>
      <c r="H2628" t="n">
        <v>21.6</v>
      </c>
      <c r="I2628">
        <f>B2628&amp;"~"&amp;F2628&amp;"~"&amp;G2628</f>
        <v/>
      </c>
      <c r="J2628" t="inlineStr">
        <is>
          <t>MVS Sec.17 p.47</t>
        </is>
      </c>
    </row>
    <row r="2629">
      <c r="B2629" t="inlineStr">
        <is>
          <t>Poultry Cage Operation – Enclosed Houses</t>
        </is>
      </c>
      <c r="C2629" t="inlineStr">
        <is>
          <t>474</t>
        </is>
      </c>
      <c r="D2629" t="inlineStr">
        <is>
          <t>17</t>
        </is>
      </c>
      <c r="E2629" t="inlineStr">
        <is>
          <t>47</t>
        </is>
      </c>
      <c r="F2629" t="inlineStr">
        <is>
          <t>DPOLE</t>
        </is>
      </c>
      <c r="G2629" t="inlineStr">
        <is>
          <t>Good</t>
        </is>
      </c>
      <c r="H2629" t="n">
        <v>40.75</v>
      </c>
      <c r="I2629">
        <f>B2629&amp;"~"&amp;F2629&amp;"~"&amp;G2629</f>
        <v/>
      </c>
      <c r="J2629" t="inlineStr">
        <is>
          <t>MVS Sec.17 p.47</t>
        </is>
      </c>
    </row>
    <row r="2630">
      <c r="B2630" t="inlineStr">
        <is>
          <t>Poultry Cage Operation – Enclosed Houses</t>
        </is>
      </c>
      <c r="C2630" t="inlineStr">
        <is>
          <t>474</t>
        </is>
      </c>
      <c r="D2630" t="inlineStr">
        <is>
          <t>17</t>
        </is>
      </c>
      <c r="E2630" t="inlineStr">
        <is>
          <t>47</t>
        </is>
      </c>
      <c r="F2630" t="inlineStr">
        <is>
          <t>DPOLE</t>
        </is>
      </c>
      <c r="G2630" t="inlineStr">
        <is>
          <t>Average</t>
        </is>
      </c>
      <c r="H2630" t="n">
        <v>28.25</v>
      </c>
      <c r="I2630">
        <f>B2630&amp;"~"&amp;F2630&amp;"~"&amp;G2630</f>
        <v/>
      </c>
      <c r="J2630" t="inlineStr">
        <is>
          <t>MVS Sec.17 p.47</t>
        </is>
      </c>
    </row>
    <row r="2631">
      <c r="B2631" t="inlineStr">
        <is>
          <t>Poultry Cage Operation – Enclosed Houses</t>
        </is>
      </c>
      <c r="C2631" t="inlineStr">
        <is>
          <t>474</t>
        </is>
      </c>
      <c r="D2631" t="inlineStr">
        <is>
          <t>17</t>
        </is>
      </c>
      <c r="E2631" t="inlineStr">
        <is>
          <t>47</t>
        </is>
      </c>
      <c r="F2631" t="inlineStr">
        <is>
          <t>DPOLE</t>
        </is>
      </c>
      <c r="G2631" t="inlineStr">
        <is>
          <t>Low Cost</t>
        </is>
      </c>
      <c r="H2631" t="n">
        <v>19.45</v>
      </c>
      <c r="I2631">
        <f>B2631&amp;"~"&amp;F2631&amp;"~"&amp;G2631</f>
        <v/>
      </c>
      <c r="J2631" t="inlineStr">
        <is>
          <t>MVS Sec.17 p.47</t>
        </is>
      </c>
    </row>
    <row r="2632">
      <c r="B2632" t="inlineStr">
        <is>
          <t>Poultry Cage Operation – Enclosed Houses</t>
        </is>
      </c>
      <c r="C2632" t="inlineStr">
        <is>
          <t>474</t>
        </is>
      </c>
      <c r="D2632" t="inlineStr">
        <is>
          <t>17</t>
        </is>
      </c>
      <c r="E2632" t="inlineStr">
        <is>
          <t>47</t>
        </is>
      </c>
      <c r="F2632" t="inlineStr">
        <is>
          <t>DPOLE</t>
        </is>
      </c>
      <c r="G2632" t="inlineStr">
        <is>
          <t>Cheap</t>
        </is>
      </c>
      <c r="H2632" t="n">
        <v>15.95</v>
      </c>
      <c r="I2632">
        <f>B2632&amp;"~"&amp;F2632&amp;"~"&amp;G2632</f>
        <v/>
      </c>
      <c r="J2632" t="inlineStr">
        <is>
          <t>MVS Sec.17 p.47</t>
        </is>
      </c>
    </row>
    <row r="2633">
      <c r="B2633" t="inlineStr">
        <is>
          <t>Poultry Cage Operation – Enclosed Houses</t>
        </is>
      </c>
      <c r="C2633" t="inlineStr">
        <is>
          <t>474</t>
        </is>
      </c>
      <c r="D2633" t="inlineStr">
        <is>
          <t>17</t>
        </is>
      </c>
      <c r="E2633" t="inlineStr">
        <is>
          <t>47</t>
        </is>
      </c>
      <c r="F2633" t="inlineStr">
        <is>
          <t>S</t>
        </is>
      </c>
      <c r="G2633" t="inlineStr">
        <is>
          <t>Good</t>
        </is>
      </c>
      <c r="H2633" t="n">
        <v>43.5</v>
      </c>
      <c r="I2633">
        <f>B2633&amp;"~"&amp;F2633&amp;"~"&amp;G2633</f>
        <v/>
      </c>
      <c r="J2633" t="inlineStr">
        <is>
          <t>MVS Sec.17 p.47</t>
        </is>
      </c>
    </row>
    <row r="2634">
      <c r="B2634" t="inlineStr">
        <is>
          <t>Poultry Cage Operation – Enclosed Houses</t>
        </is>
      </c>
      <c r="C2634" t="inlineStr">
        <is>
          <t>474</t>
        </is>
      </c>
      <c r="D2634" t="inlineStr">
        <is>
          <t>17</t>
        </is>
      </c>
      <c r="E2634" t="inlineStr">
        <is>
          <t>47</t>
        </is>
      </c>
      <c r="F2634" t="inlineStr">
        <is>
          <t>S</t>
        </is>
      </c>
      <c r="G2634" t="inlineStr">
        <is>
          <t>Average</t>
        </is>
      </c>
      <c r="H2634" t="n">
        <v>30.5</v>
      </c>
      <c r="I2634">
        <f>B2634&amp;"~"&amp;F2634&amp;"~"&amp;G2634</f>
        <v/>
      </c>
      <c r="J2634" t="inlineStr">
        <is>
          <t>MVS Sec.17 p.47</t>
        </is>
      </c>
    </row>
    <row r="2635">
      <c r="B2635" t="inlineStr">
        <is>
          <t>Poultry Cage Operation – Enclosed Houses</t>
        </is>
      </c>
      <c r="C2635" t="inlineStr">
        <is>
          <t>474</t>
        </is>
      </c>
      <c r="D2635" t="inlineStr">
        <is>
          <t>17</t>
        </is>
      </c>
      <c r="E2635" t="inlineStr">
        <is>
          <t>47</t>
        </is>
      </c>
      <c r="F2635" t="inlineStr">
        <is>
          <t>S</t>
        </is>
      </c>
      <c r="G2635" t="inlineStr">
        <is>
          <t>Low Cost</t>
        </is>
      </c>
      <c r="H2635" t="n">
        <v>21.3</v>
      </c>
      <c r="I2635">
        <f>B2635&amp;"~"&amp;F2635&amp;"~"&amp;G2635</f>
        <v/>
      </c>
      <c r="J2635" t="inlineStr">
        <is>
          <t>MVS Sec.17 p.47</t>
        </is>
      </c>
    </row>
    <row r="2636">
      <c r="B2636" t="inlineStr">
        <is>
          <t>Poultry Cage Operation – Enclosed Houses</t>
        </is>
      </c>
      <c r="C2636" t="inlineStr">
        <is>
          <t>474</t>
        </is>
      </c>
      <c r="D2636" t="inlineStr">
        <is>
          <t>17</t>
        </is>
      </c>
      <c r="E2636" t="inlineStr">
        <is>
          <t>47</t>
        </is>
      </c>
      <c r="F2636" t="inlineStr">
        <is>
          <t>S</t>
        </is>
      </c>
      <c r="G2636" t="inlineStr">
        <is>
          <t>Cheap</t>
        </is>
      </c>
      <c r="H2636" t="n">
        <v>17.8</v>
      </c>
      <c r="I2636">
        <f>B2636&amp;"~"&amp;F2636&amp;"~"&amp;G2636</f>
        <v/>
      </c>
      <c r="J2636" t="inlineStr">
        <is>
          <t>MVS Sec.17 p.47</t>
        </is>
      </c>
    </row>
    <row r="2637">
      <c r="B2637" t="inlineStr">
        <is>
          <t>Poultry Cage Operation – Screened Houses</t>
        </is>
      </c>
      <c r="C2637" t="inlineStr">
        <is>
          <t>115</t>
        </is>
      </c>
      <c r="D2637" t="inlineStr">
        <is>
          <t>17</t>
        </is>
      </c>
      <c r="E2637" t="inlineStr">
        <is>
          <t>47</t>
        </is>
      </c>
      <c r="F2637" t="inlineStr">
        <is>
          <t>DPOLE</t>
        </is>
      </c>
      <c r="G2637" t="inlineStr">
        <is>
          <t>Average</t>
        </is>
      </c>
      <c r="H2637" t="n">
        <v>20.05</v>
      </c>
      <c r="I2637">
        <f>B2637&amp;"~"&amp;F2637&amp;"~"&amp;G2637</f>
        <v/>
      </c>
      <c r="J2637" t="inlineStr">
        <is>
          <t>MVS Sec.17 p.47</t>
        </is>
      </c>
    </row>
    <row r="2638">
      <c r="B2638" t="inlineStr">
        <is>
          <t>Poultry Cage Operation – Screened Houses</t>
        </is>
      </c>
      <c r="C2638" t="inlineStr">
        <is>
          <t>115</t>
        </is>
      </c>
      <c r="D2638" t="inlineStr">
        <is>
          <t>17</t>
        </is>
      </c>
      <c r="E2638" t="inlineStr">
        <is>
          <t>47</t>
        </is>
      </c>
      <c r="F2638" t="inlineStr">
        <is>
          <t>DPOLE</t>
        </is>
      </c>
      <c r="G2638" t="inlineStr">
        <is>
          <t>Fair</t>
        </is>
      </c>
      <c r="H2638" t="n">
        <v>18.4</v>
      </c>
      <c r="I2638">
        <f>B2638&amp;"~"&amp;F2638&amp;"~"&amp;G2638</f>
        <v/>
      </c>
      <c r="J2638" t="inlineStr">
        <is>
          <t>MVS Sec.17 p.47</t>
        </is>
      </c>
    </row>
    <row r="2639">
      <c r="B2639" t="inlineStr">
        <is>
          <t>Poultry Cage Operation – Screened Houses</t>
        </is>
      </c>
      <c r="C2639" t="inlineStr">
        <is>
          <t>115</t>
        </is>
      </c>
      <c r="D2639" t="inlineStr">
        <is>
          <t>17</t>
        </is>
      </c>
      <c r="E2639" t="inlineStr">
        <is>
          <t>47</t>
        </is>
      </c>
      <c r="F2639" t="inlineStr">
        <is>
          <t>DPOLE</t>
        </is>
      </c>
      <c r="G2639" t="inlineStr">
        <is>
          <t>Low Cost</t>
        </is>
      </c>
      <c r="H2639" t="n">
        <v>16.9</v>
      </c>
      <c r="I2639">
        <f>B2639&amp;"~"&amp;F2639&amp;"~"&amp;G2639</f>
        <v/>
      </c>
      <c r="J2639" t="inlineStr">
        <is>
          <t>MVS Sec.17 p.47</t>
        </is>
      </c>
    </row>
    <row r="2640">
      <c r="B2640" t="inlineStr">
        <is>
          <t>Poultry Cage Operation – Screened Houses</t>
        </is>
      </c>
      <c r="C2640" t="inlineStr">
        <is>
          <t>115</t>
        </is>
      </c>
      <c r="D2640" t="inlineStr">
        <is>
          <t>17</t>
        </is>
      </c>
      <c r="E2640" t="inlineStr">
        <is>
          <t>47</t>
        </is>
      </c>
      <c r="F2640" t="inlineStr">
        <is>
          <t>DPOLE</t>
        </is>
      </c>
      <c r="G2640" t="inlineStr">
        <is>
          <t>Cheap</t>
        </is>
      </c>
      <c r="H2640" t="n">
        <v>11.1</v>
      </c>
      <c r="I2640">
        <f>B2640&amp;"~"&amp;F2640&amp;"~"&amp;G2640</f>
        <v/>
      </c>
      <c r="J2640" t="inlineStr">
        <is>
          <t>MVS Sec.17 p.47</t>
        </is>
      </c>
    </row>
    <row r="2641">
      <c r="B2641" t="inlineStr">
        <is>
          <t>Poultry Cage Operation – Screened Houses</t>
        </is>
      </c>
      <c r="C2641" t="inlineStr">
        <is>
          <t>115</t>
        </is>
      </c>
      <c r="D2641" t="inlineStr">
        <is>
          <t>17</t>
        </is>
      </c>
      <c r="E2641" t="inlineStr">
        <is>
          <t>47</t>
        </is>
      </c>
      <c r="F2641" t="inlineStr">
        <is>
          <t>S</t>
        </is>
      </c>
      <c r="G2641" t="inlineStr">
        <is>
          <t>Average</t>
        </is>
      </c>
      <c r="H2641" t="n">
        <v>21.85</v>
      </c>
      <c r="I2641">
        <f>B2641&amp;"~"&amp;F2641&amp;"~"&amp;G2641</f>
        <v/>
      </c>
      <c r="J2641" t="inlineStr">
        <is>
          <t>MVS Sec.17 p.47</t>
        </is>
      </c>
    </row>
    <row r="2642">
      <c r="B2642" t="inlineStr">
        <is>
          <t>Poultry Cage Operation – Screened Houses</t>
        </is>
      </c>
      <c r="C2642" t="inlineStr">
        <is>
          <t>115</t>
        </is>
      </c>
      <c r="D2642" t="inlineStr">
        <is>
          <t>17</t>
        </is>
      </c>
      <c r="E2642" t="inlineStr">
        <is>
          <t>47</t>
        </is>
      </c>
      <c r="F2642" t="inlineStr">
        <is>
          <t>S</t>
        </is>
      </c>
      <c r="G2642" t="inlineStr">
        <is>
          <t>Fair</t>
        </is>
      </c>
      <c r="H2642" t="n">
        <v>20.2</v>
      </c>
      <c r="I2642">
        <f>B2642&amp;"~"&amp;F2642&amp;"~"&amp;G2642</f>
        <v/>
      </c>
      <c r="J2642" t="inlineStr">
        <is>
          <t>MVS Sec.17 p.47</t>
        </is>
      </c>
    </row>
    <row r="2643">
      <c r="B2643" t="inlineStr">
        <is>
          <t>Poultry Cage Operation – Screened Houses</t>
        </is>
      </c>
      <c r="C2643" t="inlineStr">
        <is>
          <t>115</t>
        </is>
      </c>
      <c r="D2643" t="inlineStr">
        <is>
          <t>17</t>
        </is>
      </c>
      <c r="E2643" t="inlineStr">
        <is>
          <t>47</t>
        </is>
      </c>
      <c r="F2643" t="inlineStr">
        <is>
          <t>S</t>
        </is>
      </c>
      <c r="G2643" t="inlineStr">
        <is>
          <t>Low Cost</t>
        </is>
      </c>
      <c r="H2643" t="n">
        <v>18.75</v>
      </c>
      <c r="I2643">
        <f>B2643&amp;"~"&amp;F2643&amp;"~"&amp;G2643</f>
        <v/>
      </c>
      <c r="J2643" t="inlineStr">
        <is>
          <t>MVS Sec.17 p.47</t>
        </is>
      </c>
    </row>
    <row r="2644">
      <c r="B2644" t="inlineStr">
        <is>
          <t>Poultry Cage Operation – Screened Houses</t>
        </is>
      </c>
      <c r="C2644" t="inlineStr">
        <is>
          <t>115</t>
        </is>
      </c>
      <c r="D2644" t="inlineStr">
        <is>
          <t>17</t>
        </is>
      </c>
      <c r="E2644" t="inlineStr">
        <is>
          <t>47</t>
        </is>
      </c>
      <c r="F2644" t="inlineStr">
        <is>
          <t>S</t>
        </is>
      </c>
      <c r="G2644" t="inlineStr">
        <is>
          <t>Cheap</t>
        </is>
      </c>
      <c r="H2644" t="n">
        <v>11.8</v>
      </c>
      <c r="I2644">
        <f>B2644&amp;"~"&amp;F2644&amp;"~"&amp;G2644</f>
        <v/>
      </c>
      <c r="J2644" t="inlineStr">
        <is>
          <t>MVS Sec.17 p.47</t>
        </is>
      </c>
    </row>
    <row r="2645">
      <c r="B2645" t="inlineStr">
        <is>
          <t>Farm Labor Housing – Dormitories</t>
        </is>
      </c>
      <c r="C2645" t="inlineStr">
        <is>
          <t>393</t>
        </is>
      </c>
      <c r="D2645" t="inlineStr">
        <is>
          <t>17</t>
        </is>
      </c>
      <c r="E2645" t="inlineStr">
        <is>
          <t>49</t>
        </is>
      </c>
      <c r="F2645" t="inlineStr">
        <is>
          <t>C</t>
        </is>
      </c>
      <c r="G2645" t="inlineStr">
        <is>
          <t>Good</t>
        </is>
      </c>
      <c r="H2645" t="n">
        <v>70.5</v>
      </c>
      <c r="I2645">
        <f>B2645&amp;"~"&amp;F2645&amp;"~"&amp;G2645</f>
        <v/>
      </c>
      <c r="J2645" t="inlineStr">
        <is>
          <t>MVS Sec.17 p.49</t>
        </is>
      </c>
    </row>
    <row r="2646">
      <c r="B2646" t="inlineStr">
        <is>
          <t>Farm Labor Housing – Dormitories</t>
        </is>
      </c>
      <c r="C2646" t="inlineStr">
        <is>
          <t>393</t>
        </is>
      </c>
      <c r="D2646" t="inlineStr">
        <is>
          <t>17</t>
        </is>
      </c>
      <c r="E2646" t="inlineStr">
        <is>
          <t>49</t>
        </is>
      </c>
      <c r="F2646" t="inlineStr">
        <is>
          <t>C</t>
        </is>
      </c>
      <c r="G2646" t="inlineStr">
        <is>
          <t>Average</t>
        </is>
      </c>
      <c r="H2646" t="n">
        <v>55</v>
      </c>
      <c r="I2646">
        <f>B2646&amp;"~"&amp;F2646&amp;"~"&amp;G2646</f>
        <v/>
      </c>
      <c r="J2646" t="inlineStr">
        <is>
          <t>MVS Sec.17 p.49</t>
        </is>
      </c>
    </row>
    <row r="2647">
      <c r="B2647" t="inlineStr">
        <is>
          <t>Farm Labor Housing – Dormitories</t>
        </is>
      </c>
      <c r="C2647" t="inlineStr">
        <is>
          <t>393</t>
        </is>
      </c>
      <c r="D2647" t="inlineStr">
        <is>
          <t>17</t>
        </is>
      </c>
      <c r="E2647" t="inlineStr">
        <is>
          <t>49</t>
        </is>
      </c>
      <c r="F2647" t="inlineStr">
        <is>
          <t>C</t>
        </is>
      </c>
      <c r="G2647" t="inlineStr">
        <is>
          <t>Low Cost</t>
        </is>
      </c>
      <c r="H2647" t="n">
        <v>43</v>
      </c>
      <c r="I2647">
        <f>B2647&amp;"~"&amp;F2647&amp;"~"&amp;G2647</f>
        <v/>
      </c>
      <c r="J2647" t="inlineStr">
        <is>
          <t>MVS Sec.17 p.49</t>
        </is>
      </c>
    </row>
    <row r="2648">
      <c r="B2648" t="inlineStr">
        <is>
          <t>Farm Labor Housing – Dormitories</t>
        </is>
      </c>
      <c r="C2648" t="inlineStr">
        <is>
          <t>393</t>
        </is>
      </c>
      <c r="D2648" t="inlineStr">
        <is>
          <t>17</t>
        </is>
      </c>
      <c r="E2648" t="inlineStr">
        <is>
          <t>49</t>
        </is>
      </c>
      <c r="F2648" t="inlineStr">
        <is>
          <t>D</t>
        </is>
      </c>
      <c r="G2648" t="inlineStr">
        <is>
          <t>Good</t>
        </is>
      </c>
      <c r="H2648" t="n">
        <v>66</v>
      </c>
      <c r="I2648">
        <f>B2648&amp;"~"&amp;F2648&amp;"~"&amp;G2648</f>
        <v/>
      </c>
      <c r="J2648" t="inlineStr">
        <is>
          <t>MVS Sec.17 p.49</t>
        </is>
      </c>
    </row>
    <row r="2649">
      <c r="B2649" t="inlineStr">
        <is>
          <t>Farm Labor Housing – Dormitories</t>
        </is>
      </c>
      <c r="C2649" t="inlineStr">
        <is>
          <t>393</t>
        </is>
      </c>
      <c r="D2649" t="inlineStr">
        <is>
          <t>17</t>
        </is>
      </c>
      <c r="E2649" t="inlineStr">
        <is>
          <t>49</t>
        </is>
      </c>
      <c r="F2649" t="inlineStr">
        <is>
          <t>D</t>
        </is>
      </c>
      <c r="G2649" t="inlineStr">
        <is>
          <t>Average</t>
        </is>
      </c>
      <c r="H2649" t="n">
        <v>49</v>
      </c>
      <c r="I2649">
        <f>B2649&amp;"~"&amp;F2649&amp;"~"&amp;G2649</f>
        <v/>
      </c>
      <c r="J2649" t="inlineStr">
        <is>
          <t>MVS Sec.17 p.49</t>
        </is>
      </c>
    </row>
    <row r="2650">
      <c r="B2650" t="inlineStr">
        <is>
          <t>Farm Labor Housing – Dormitories</t>
        </is>
      </c>
      <c r="C2650" t="inlineStr">
        <is>
          <t>393</t>
        </is>
      </c>
      <c r="D2650" t="inlineStr">
        <is>
          <t>17</t>
        </is>
      </c>
      <c r="E2650" t="inlineStr">
        <is>
          <t>49</t>
        </is>
      </c>
      <c r="F2650" t="inlineStr">
        <is>
          <t>D</t>
        </is>
      </c>
      <c r="G2650" t="inlineStr">
        <is>
          <t>Low Cost</t>
        </is>
      </c>
      <c r="H2650" t="n">
        <v>36.25</v>
      </c>
      <c r="I2650">
        <f>B2650&amp;"~"&amp;F2650&amp;"~"&amp;G2650</f>
        <v/>
      </c>
      <c r="J2650" t="inlineStr">
        <is>
          <t>MVS Sec.17 p.49</t>
        </is>
      </c>
    </row>
    <row r="2651">
      <c r="B2651" t="inlineStr">
        <is>
          <t>Farm Labor Housing – Dormitories</t>
        </is>
      </c>
      <c r="C2651" t="inlineStr">
        <is>
          <t>393</t>
        </is>
      </c>
      <c r="D2651" t="inlineStr">
        <is>
          <t>17</t>
        </is>
      </c>
      <c r="E2651" t="inlineStr">
        <is>
          <t>49</t>
        </is>
      </c>
      <c r="F2651" t="inlineStr">
        <is>
          <t>S</t>
        </is>
      </c>
      <c r="G2651" t="inlineStr">
        <is>
          <t>Good</t>
        </is>
      </c>
      <c r="H2651" t="n">
        <v>67</v>
      </c>
      <c r="I2651">
        <f>B2651&amp;"~"&amp;F2651&amp;"~"&amp;G2651</f>
        <v/>
      </c>
      <c r="J2651" t="inlineStr">
        <is>
          <t>MVS Sec.17 p.49</t>
        </is>
      </c>
    </row>
    <row r="2652">
      <c r="B2652" t="inlineStr">
        <is>
          <t>Farm Labor Housing – Dormitories</t>
        </is>
      </c>
      <c r="C2652" t="inlineStr">
        <is>
          <t>393</t>
        </is>
      </c>
      <c r="D2652" t="inlineStr">
        <is>
          <t>17</t>
        </is>
      </c>
      <c r="E2652" t="inlineStr">
        <is>
          <t>49</t>
        </is>
      </c>
      <c r="F2652" t="inlineStr">
        <is>
          <t>S</t>
        </is>
      </c>
      <c r="G2652" t="inlineStr">
        <is>
          <t>Average</t>
        </is>
      </c>
      <c r="H2652" t="n">
        <v>50.5</v>
      </c>
      <c r="I2652">
        <f>B2652&amp;"~"&amp;F2652&amp;"~"&amp;G2652</f>
        <v/>
      </c>
      <c r="J2652" t="inlineStr">
        <is>
          <t>MVS Sec.17 p.49</t>
        </is>
      </c>
    </row>
    <row r="2653">
      <c r="B2653" t="inlineStr">
        <is>
          <t>Transient Labor Cabins</t>
        </is>
      </c>
      <c r="C2653" t="inlineStr">
        <is>
          <t>394</t>
        </is>
      </c>
      <c r="D2653" t="inlineStr">
        <is>
          <t>17</t>
        </is>
      </c>
      <c r="E2653" t="inlineStr">
        <is>
          <t>49</t>
        </is>
      </c>
      <c r="F2653" t="inlineStr">
        <is>
          <t>D</t>
        </is>
      </c>
      <c r="G2653" t="inlineStr">
        <is>
          <t>Average</t>
        </is>
      </c>
      <c r="H2653" t="n">
        <v>45.75</v>
      </c>
      <c r="I2653">
        <f>B2653&amp;"~"&amp;F2653&amp;"~"&amp;G2653</f>
        <v/>
      </c>
      <c r="J2653" t="inlineStr">
        <is>
          <t>MVS Sec.17 p.49</t>
        </is>
      </c>
    </row>
    <row r="2654">
      <c r="B2654" t="inlineStr">
        <is>
          <t>Hunting Shelters</t>
        </is>
      </c>
      <c r="C2654" t="inlineStr">
        <is>
          <t>155</t>
        </is>
      </c>
      <c r="D2654" t="inlineStr">
        <is>
          <t>17</t>
        </is>
      </c>
      <c r="E2654" t="inlineStr">
        <is>
          <t>49</t>
        </is>
      </c>
      <c r="F2654" t="inlineStr">
        <is>
          <t>D</t>
        </is>
      </c>
      <c r="G2654" t="inlineStr">
        <is>
          <t>Good</t>
        </is>
      </c>
      <c r="H2654" t="n">
        <v>30.5</v>
      </c>
      <c r="I2654">
        <f>B2654&amp;"~"&amp;F2654&amp;"~"&amp;G2654</f>
        <v/>
      </c>
      <c r="J2654" t="inlineStr">
        <is>
          <t>MVS Sec.17 p.49</t>
        </is>
      </c>
    </row>
    <row r="2655">
      <c r="B2655" t="inlineStr">
        <is>
          <t>Hunting Shelters</t>
        </is>
      </c>
      <c r="C2655" t="inlineStr">
        <is>
          <t>155</t>
        </is>
      </c>
      <c r="D2655" t="inlineStr">
        <is>
          <t>17</t>
        </is>
      </c>
      <c r="E2655" t="inlineStr">
        <is>
          <t>49</t>
        </is>
      </c>
      <c r="F2655" t="inlineStr">
        <is>
          <t>D</t>
        </is>
      </c>
      <c r="G2655" t="inlineStr">
        <is>
          <t>Average</t>
        </is>
      </c>
      <c r="H2655" t="n">
        <v>22.55</v>
      </c>
      <c r="I2655">
        <f>B2655&amp;"~"&amp;F2655&amp;"~"&amp;G2655</f>
        <v/>
      </c>
      <c r="J2655" t="inlineStr">
        <is>
          <t>MVS Sec.17 p.49</t>
        </is>
      </c>
    </row>
    <row r="2656">
      <c r="B2656" t="inlineStr">
        <is>
          <t>Hunting Shelters</t>
        </is>
      </c>
      <c r="C2656" t="inlineStr">
        <is>
          <t>155</t>
        </is>
      </c>
      <c r="D2656" t="inlineStr">
        <is>
          <t>17</t>
        </is>
      </c>
      <c r="E2656" t="inlineStr">
        <is>
          <t>49</t>
        </is>
      </c>
      <c r="F2656" t="inlineStr">
        <is>
          <t>D</t>
        </is>
      </c>
      <c r="G2656" t="inlineStr">
        <is>
          <t>Low Cost</t>
        </is>
      </c>
      <c r="H2656" t="n">
        <v>16.65</v>
      </c>
      <c r="I2656">
        <f>B2656&amp;"~"&amp;F2656&amp;"~"&amp;G2656</f>
        <v/>
      </c>
      <c r="J2656" t="inlineStr">
        <is>
          <t>MVS Sec.17 p.49</t>
        </is>
      </c>
    </row>
    <row r="2657">
      <c r="B2657" t="inlineStr">
        <is>
          <t>Hunting Shelters</t>
        </is>
      </c>
      <c r="C2657" t="inlineStr">
        <is>
          <t>155</t>
        </is>
      </c>
      <c r="D2657" t="inlineStr">
        <is>
          <t>17</t>
        </is>
      </c>
      <c r="E2657" t="inlineStr">
        <is>
          <t>49</t>
        </is>
      </c>
      <c r="F2657" t="inlineStr">
        <is>
          <t>D</t>
        </is>
      </c>
      <c r="G2657" t="inlineStr">
        <is>
          <t>Cheap</t>
        </is>
      </c>
      <c r="H2657" t="n">
        <v>12.3</v>
      </c>
      <c r="I2657">
        <f>B2657&amp;"~"&amp;F2657&amp;"~"&amp;G2657</f>
        <v/>
      </c>
      <c r="J2657" t="inlineStr">
        <is>
          <t>MVS Sec.17 p.49</t>
        </is>
      </c>
    </row>
    <row r="2658">
      <c r="B2658" t="inlineStr">
        <is>
          <t>High Schools</t>
        </is>
      </c>
      <c r="C2658" t="inlineStr">
        <is>
          <t>484</t>
        </is>
      </c>
      <c r="D2658" t="inlineStr">
        <is>
          <t>18</t>
        </is>
      </c>
      <c r="E2658" t="inlineStr">
        <is>
          <t>9</t>
        </is>
      </c>
      <c r="F2658" t="inlineStr">
        <is>
          <t>A</t>
        </is>
      </c>
      <c r="G2658" t="inlineStr">
        <is>
          <t>Excellent</t>
        </is>
      </c>
      <c r="H2658" t="n">
        <v>407</v>
      </c>
      <c r="I2658">
        <f>B2658&amp;"~"&amp;F2658&amp;"~"&amp;G2658</f>
        <v/>
      </c>
      <c r="J2658" t="inlineStr">
        <is>
          <t>MVS Sec.18 p.9</t>
        </is>
      </c>
    </row>
    <row r="2659">
      <c r="B2659" t="inlineStr">
        <is>
          <t>High Schools</t>
        </is>
      </c>
      <c r="C2659" t="inlineStr">
        <is>
          <t>484</t>
        </is>
      </c>
      <c r="D2659" t="inlineStr">
        <is>
          <t>18</t>
        </is>
      </c>
      <c r="E2659" t="inlineStr">
        <is>
          <t>9</t>
        </is>
      </c>
      <c r="F2659" t="inlineStr">
        <is>
          <t>A</t>
        </is>
      </c>
      <c r="G2659" t="inlineStr">
        <is>
          <t>Good</t>
        </is>
      </c>
      <c r="H2659" t="n">
        <v>334</v>
      </c>
      <c r="I2659">
        <f>B2659&amp;"~"&amp;F2659&amp;"~"&amp;G2659</f>
        <v/>
      </c>
      <c r="J2659" t="inlineStr">
        <is>
          <t>MVS Sec.18 p.9</t>
        </is>
      </c>
    </row>
    <row r="2660">
      <c r="B2660" t="inlineStr">
        <is>
          <t>High Schools</t>
        </is>
      </c>
      <c r="C2660" t="inlineStr">
        <is>
          <t>484</t>
        </is>
      </c>
      <c r="D2660" t="inlineStr">
        <is>
          <t>18</t>
        </is>
      </c>
      <c r="E2660" t="inlineStr">
        <is>
          <t>9</t>
        </is>
      </c>
      <c r="F2660" t="inlineStr">
        <is>
          <t>A</t>
        </is>
      </c>
      <c r="G2660" t="inlineStr">
        <is>
          <t>Average</t>
        </is>
      </c>
      <c r="H2660" t="n">
        <v>261</v>
      </c>
      <c r="I2660">
        <f>B2660&amp;"~"&amp;F2660&amp;"~"&amp;G2660</f>
        <v/>
      </c>
      <c r="J2660" t="inlineStr">
        <is>
          <t>MVS Sec.18 p.9</t>
        </is>
      </c>
    </row>
    <row r="2661">
      <c r="B2661" t="inlineStr">
        <is>
          <t>High Schools</t>
        </is>
      </c>
      <c r="C2661" t="inlineStr">
        <is>
          <t>484</t>
        </is>
      </c>
      <c r="D2661" t="inlineStr">
        <is>
          <t>18</t>
        </is>
      </c>
      <c r="E2661" t="inlineStr">
        <is>
          <t>9</t>
        </is>
      </c>
      <c r="F2661" t="inlineStr">
        <is>
          <t>B</t>
        </is>
      </c>
      <c r="G2661" t="inlineStr">
        <is>
          <t>Excellent</t>
        </is>
      </c>
      <c r="H2661" t="n">
        <v>372</v>
      </c>
      <c r="I2661">
        <f>B2661&amp;"~"&amp;F2661&amp;"~"&amp;G2661</f>
        <v/>
      </c>
      <c r="J2661" t="inlineStr">
        <is>
          <t>MVS Sec.18 p.9</t>
        </is>
      </c>
    </row>
    <row r="2662">
      <c r="B2662" t="inlineStr">
        <is>
          <t>High Schools</t>
        </is>
      </c>
      <c r="C2662" t="inlineStr">
        <is>
          <t>484</t>
        </is>
      </c>
      <c r="D2662" t="inlineStr">
        <is>
          <t>18</t>
        </is>
      </c>
      <c r="E2662" t="inlineStr">
        <is>
          <t>9</t>
        </is>
      </c>
      <c r="F2662" t="inlineStr">
        <is>
          <t>B</t>
        </is>
      </c>
      <c r="G2662" t="inlineStr">
        <is>
          <t>Good</t>
        </is>
      </c>
      <c r="H2662" t="n">
        <v>307</v>
      </c>
      <c r="I2662">
        <f>B2662&amp;"~"&amp;F2662&amp;"~"&amp;G2662</f>
        <v/>
      </c>
      <c r="J2662" t="inlineStr">
        <is>
          <t>MVS Sec.18 p.9</t>
        </is>
      </c>
    </row>
    <row r="2663">
      <c r="B2663" t="inlineStr">
        <is>
          <t>High Schools</t>
        </is>
      </c>
      <c r="C2663" t="inlineStr">
        <is>
          <t>484</t>
        </is>
      </c>
      <c r="D2663" t="inlineStr">
        <is>
          <t>18</t>
        </is>
      </c>
      <c r="E2663" t="inlineStr">
        <is>
          <t>9</t>
        </is>
      </c>
      <c r="F2663" t="inlineStr">
        <is>
          <t>B</t>
        </is>
      </c>
      <c r="G2663" t="inlineStr">
        <is>
          <t>Average</t>
        </is>
      </c>
      <c r="H2663" t="n">
        <v>241</v>
      </c>
      <c r="I2663">
        <f>B2663&amp;"~"&amp;F2663&amp;"~"&amp;G2663</f>
        <v/>
      </c>
      <c r="J2663" t="inlineStr">
        <is>
          <t>MVS Sec.18 p.9</t>
        </is>
      </c>
    </row>
    <row r="2664">
      <c r="B2664" t="inlineStr">
        <is>
          <t>High Schools</t>
        </is>
      </c>
      <c r="C2664" t="inlineStr">
        <is>
          <t>484</t>
        </is>
      </c>
      <c r="D2664" t="inlineStr">
        <is>
          <t>18</t>
        </is>
      </c>
      <c r="E2664" t="inlineStr">
        <is>
          <t>9</t>
        </is>
      </c>
      <c r="F2664" t="inlineStr">
        <is>
          <t>C</t>
        </is>
      </c>
      <c r="G2664" t="inlineStr">
        <is>
          <t>Excellent</t>
        </is>
      </c>
      <c r="H2664" t="n">
        <v>308</v>
      </c>
      <c r="I2664">
        <f>B2664&amp;"~"&amp;F2664&amp;"~"&amp;G2664</f>
        <v/>
      </c>
      <c r="J2664" t="inlineStr">
        <is>
          <t>MVS Sec.18 p.9</t>
        </is>
      </c>
    </row>
    <row r="2665">
      <c r="B2665" t="inlineStr">
        <is>
          <t>High Schools</t>
        </is>
      </c>
      <c r="C2665" t="inlineStr">
        <is>
          <t>484</t>
        </is>
      </c>
      <c r="D2665" t="inlineStr">
        <is>
          <t>18</t>
        </is>
      </c>
      <c r="E2665" t="inlineStr">
        <is>
          <t>9</t>
        </is>
      </c>
      <c r="F2665" t="inlineStr">
        <is>
          <t>C</t>
        </is>
      </c>
      <c r="G2665" t="inlineStr">
        <is>
          <t>Good</t>
        </is>
      </c>
      <c r="H2665" t="n">
        <v>242</v>
      </c>
      <c r="I2665">
        <f>B2665&amp;"~"&amp;F2665&amp;"~"&amp;G2665</f>
        <v/>
      </c>
      <c r="J2665" t="inlineStr">
        <is>
          <t>MVS Sec.18 p.9</t>
        </is>
      </c>
    </row>
    <row r="2666">
      <c r="B2666" t="inlineStr">
        <is>
          <t>High Schools</t>
        </is>
      </c>
      <c r="C2666" t="inlineStr">
        <is>
          <t>484</t>
        </is>
      </c>
      <c r="D2666" t="inlineStr">
        <is>
          <t>18</t>
        </is>
      </c>
      <c r="E2666" t="inlineStr">
        <is>
          <t>9</t>
        </is>
      </c>
      <c r="F2666" t="inlineStr">
        <is>
          <t>C</t>
        </is>
      </c>
      <c r="G2666" t="inlineStr">
        <is>
          <t>Average</t>
        </is>
      </c>
      <c r="H2666" t="n">
        <v>196</v>
      </c>
      <c r="I2666">
        <f>B2666&amp;"~"&amp;F2666&amp;"~"&amp;G2666</f>
        <v/>
      </c>
      <c r="J2666" t="inlineStr">
        <is>
          <t>MVS Sec.18 p.9</t>
        </is>
      </c>
    </row>
    <row r="2667">
      <c r="B2667" t="inlineStr">
        <is>
          <t>High Schools</t>
        </is>
      </c>
      <c r="C2667" t="inlineStr">
        <is>
          <t>484</t>
        </is>
      </c>
      <c r="D2667" t="inlineStr">
        <is>
          <t>18</t>
        </is>
      </c>
      <c r="E2667" t="inlineStr">
        <is>
          <t>9</t>
        </is>
      </c>
      <c r="F2667" t="inlineStr">
        <is>
          <t>C</t>
        </is>
      </c>
      <c r="G2667" t="inlineStr">
        <is>
          <t>Low Cost</t>
        </is>
      </c>
      <c r="H2667" t="n">
        <v>157</v>
      </c>
      <c r="I2667">
        <f>B2667&amp;"~"&amp;F2667&amp;"~"&amp;G2667</f>
        <v/>
      </c>
      <c r="J2667" t="inlineStr">
        <is>
          <t>MVS Sec.18 p.9</t>
        </is>
      </c>
    </row>
    <row r="2668">
      <c r="B2668" t="inlineStr">
        <is>
          <t>High Schools</t>
        </is>
      </c>
      <c r="C2668" t="inlineStr">
        <is>
          <t>484</t>
        </is>
      </c>
      <c r="D2668" t="inlineStr">
        <is>
          <t>18</t>
        </is>
      </c>
      <c r="E2668" t="inlineStr">
        <is>
          <t>9</t>
        </is>
      </c>
      <c r="F2668" t="inlineStr">
        <is>
          <t>D</t>
        </is>
      </c>
      <c r="G2668" t="inlineStr">
        <is>
          <t>Excellent</t>
        </is>
      </c>
      <c r="H2668" t="n">
        <v>303</v>
      </c>
      <c r="I2668">
        <f>B2668&amp;"~"&amp;F2668&amp;"~"&amp;G2668</f>
        <v/>
      </c>
      <c r="J2668" t="inlineStr">
        <is>
          <t>MVS Sec.18 p.9</t>
        </is>
      </c>
    </row>
    <row r="2669">
      <c r="B2669" t="inlineStr">
        <is>
          <t>High Schools</t>
        </is>
      </c>
      <c r="C2669" t="inlineStr">
        <is>
          <t>484</t>
        </is>
      </c>
      <c r="D2669" t="inlineStr">
        <is>
          <t>18</t>
        </is>
      </c>
      <c r="E2669" t="inlineStr">
        <is>
          <t>9</t>
        </is>
      </c>
      <c r="F2669" t="inlineStr">
        <is>
          <t>D</t>
        </is>
      </c>
      <c r="G2669" t="inlineStr">
        <is>
          <t>Good</t>
        </is>
      </c>
      <c r="H2669" t="n">
        <v>237</v>
      </c>
      <c r="I2669">
        <f>B2669&amp;"~"&amp;F2669&amp;"~"&amp;G2669</f>
        <v/>
      </c>
      <c r="J2669" t="inlineStr">
        <is>
          <t>MVS Sec.18 p.9</t>
        </is>
      </c>
    </row>
    <row r="2670">
      <c r="B2670" t="inlineStr">
        <is>
          <t>High Schools</t>
        </is>
      </c>
      <c r="C2670" t="inlineStr">
        <is>
          <t>484</t>
        </is>
      </c>
      <c r="D2670" t="inlineStr">
        <is>
          <t>18</t>
        </is>
      </c>
      <c r="E2670" t="inlineStr">
        <is>
          <t>9</t>
        </is>
      </c>
      <c r="F2670" t="inlineStr">
        <is>
          <t>D</t>
        </is>
      </c>
      <c r="G2670" t="inlineStr">
        <is>
          <t>Average</t>
        </is>
      </c>
      <c r="H2670" t="n">
        <v>190</v>
      </c>
      <c r="I2670">
        <f>B2670&amp;"~"&amp;F2670&amp;"~"&amp;G2670</f>
        <v/>
      </c>
      <c r="J2670" t="inlineStr">
        <is>
          <t>MVS Sec.18 p.9</t>
        </is>
      </c>
    </row>
    <row r="2671">
      <c r="B2671" t="inlineStr">
        <is>
          <t>High Schools</t>
        </is>
      </c>
      <c r="C2671" t="inlineStr">
        <is>
          <t>484</t>
        </is>
      </c>
      <c r="D2671" t="inlineStr">
        <is>
          <t>18</t>
        </is>
      </c>
      <c r="E2671" t="inlineStr">
        <is>
          <t>9</t>
        </is>
      </c>
      <c r="F2671" t="inlineStr">
        <is>
          <t>D</t>
        </is>
      </c>
      <c r="G2671" t="inlineStr">
        <is>
          <t>Low Cost</t>
        </is>
      </c>
      <c r="H2671" t="n">
        <v>151</v>
      </c>
      <c r="I2671">
        <f>B2671&amp;"~"&amp;F2671&amp;"~"&amp;G2671</f>
        <v/>
      </c>
      <c r="J2671" t="inlineStr">
        <is>
          <t>MVS Sec.18 p.9</t>
        </is>
      </c>
    </row>
    <row r="2672">
      <c r="B2672" t="inlineStr">
        <is>
          <t>High Schools</t>
        </is>
      </c>
      <c r="C2672" t="inlineStr">
        <is>
          <t>484</t>
        </is>
      </c>
      <c r="D2672" t="inlineStr">
        <is>
          <t>18</t>
        </is>
      </c>
      <c r="E2672" t="inlineStr">
        <is>
          <t>9</t>
        </is>
      </c>
      <c r="F2672" t="inlineStr">
        <is>
          <t>DPOLE</t>
        </is>
      </c>
      <c r="G2672" t="inlineStr">
        <is>
          <t>Average</t>
        </is>
      </c>
      <c r="H2672" t="n">
        <v>183</v>
      </c>
      <c r="I2672">
        <f>B2672&amp;"~"&amp;F2672&amp;"~"&amp;G2672</f>
        <v/>
      </c>
      <c r="J2672" t="inlineStr">
        <is>
          <t>MVS Sec.18 p.9</t>
        </is>
      </c>
    </row>
    <row r="2673">
      <c r="B2673" t="inlineStr">
        <is>
          <t>High Schools</t>
        </is>
      </c>
      <c r="C2673" t="inlineStr">
        <is>
          <t>484</t>
        </is>
      </c>
      <c r="D2673" t="inlineStr">
        <is>
          <t>18</t>
        </is>
      </c>
      <c r="E2673" t="inlineStr">
        <is>
          <t>9</t>
        </is>
      </c>
      <c r="F2673" t="inlineStr">
        <is>
          <t>DPOLE</t>
        </is>
      </c>
      <c r="G2673" t="inlineStr">
        <is>
          <t>Low Cost</t>
        </is>
      </c>
      <c r="H2673" t="n">
        <v>145</v>
      </c>
      <c r="I2673">
        <f>B2673&amp;"~"&amp;F2673&amp;"~"&amp;G2673</f>
        <v/>
      </c>
      <c r="J2673" t="inlineStr">
        <is>
          <t>MVS Sec.18 p.9</t>
        </is>
      </c>
    </row>
    <row r="2674">
      <c r="B2674" t="inlineStr">
        <is>
          <t>High Schools</t>
        </is>
      </c>
      <c r="C2674" t="inlineStr">
        <is>
          <t>484</t>
        </is>
      </c>
      <c r="D2674" t="inlineStr">
        <is>
          <t>18</t>
        </is>
      </c>
      <c r="E2674" t="inlineStr">
        <is>
          <t>9</t>
        </is>
      </c>
      <c r="F2674" t="inlineStr">
        <is>
          <t>S</t>
        </is>
      </c>
      <c r="G2674" t="inlineStr">
        <is>
          <t>Good</t>
        </is>
      </c>
      <c r="H2674" t="n">
        <v>232</v>
      </c>
      <c r="I2674">
        <f>B2674&amp;"~"&amp;F2674&amp;"~"&amp;G2674</f>
        <v/>
      </c>
      <c r="J2674" t="inlineStr">
        <is>
          <t>MVS Sec.18 p.9</t>
        </is>
      </c>
    </row>
    <row r="2675">
      <c r="B2675" t="inlineStr">
        <is>
          <t>High Schools</t>
        </is>
      </c>
      <c r="C2675" t="inlineStr">
        <is>
          <t>484</t>
        </is>
      </c>
      <c r="D2675" t="inlineStr">
        <is>
          <t>18</t>
        </is>
      </c>
      <c r="E2675" t="inlineStr">
        <is>
          <t>9</t>
        </is>
      </c>
      <c r="F2675" t="inlineStr">
        <is>
          <t>S</t>
        </is>
      </c>
      <c r="G2675" t="inlineStr">
        <is>
          <t>Average</t>
        </is>
      </c>
      <c r="H2675" t="n">
        <v>185</v>
      </c>
      <c r="I2675">
        <f>B2675&amp;"~"&amp;F2675&amp;"~"&amp;G2675</f>
        <v/>
      </c>
      <c r="J2675" t="inlineStr">
        <is>
          <t>MVS Sec.18 p.9</t>
        </is>
      </c>
    </row>
    <row r="2676">
      <c r="B2676" t="inlineStr">
        <is>
          <t>High Schools</t>
        </is>
      </c>
      <c r="C2676" t="inlineStr">
        <is>
          <t>484</t>
        </is>
      </c>
      <c r="D2676" t="inlineStr">
        <is>
          <t>18</t>
        </is>
      </c>
      <c r="E2676" t="inlineStr">
        <is>
          <t>9</t>
        </is>
      </c>
      <c r="F2676" t="inlineStr">
        <is>
          <t>S</t>
        </is>
      </c>
      <c r="G2676" t="inlineStr">
        <is>
          <t>Low Cost</t>
        </is>
      </c>
      <c r="H2676" t="n">
        <v>146</v>
      </c>
      <c r="I2676">
        <f>B2676&amp;"~"&amp;F2676&amp;"~"&amp;G2676</f>
        <v/>
      </c>
      <c r="J2676" t="inlineStr">
        <is>
          <t>MVS Sec.18 p.9</t>
        </is>
      </c>
    </row>
    <row r="2677">
      <c r="B2677" t="inlineStr">
        <is>
          <t>Middle (Junior High) Schools</t>
        </is>
      </c>
      <c r="C2677" t="inlineStr">
        <is>
          <t>366</t>
        </is>
      </c>
      <c r="D2677" t="inlineStr">
        <is>
          <t>18</t>
        </is>
      </c>
      <c r="E2677" t="inlineStr">
        <is>
          <t>10</t>
        </is>
      </c>
      <c r="F2677" t="inlineStr">
        <is>
          <t>A</t>
        </is>
      </c>
      <c r="G2677" t="inlineStr">
        <is>
          <t>Excellent</t>
        </is>
      </c>
      <c r="H2677" t="n">
        <v>380</v>
      </c>
      <c r="I2677">
        <f>B2677&amp;"~"&amp;F2677&amp;"~"&amp;G2677</f>
        <v/>
      </c>
      <c r="J2677" t="inlineStr">
        <is>
          <t>MVS Sec.18 p.10</t>
        </is>
      </c>
    </row>
    <row r="2678">
      <c r="B2678" t="inlineStr">
        <is>
          <t>Middle (Junior High) Schools</t>
        </is>
      </c>
      <c r="C2678" t="inlineStr">
        <is>
          <t>366</t>
        </is>
      </c>
      <c r="D2678" t="inlineStr">
        <is>
          <t>18</t>
        </is>
      </c>
      <c r="E2678" t="inlineStr">
        <is>
          <t>10</t>
        </is>
      </c>
      <c r="F2678" t="inlineStr">
        <is>
          <t>A</t>
        </is>
      </c>
      <c r="G2678" t="inlineStr">
        <is>
          <t>Good</t>
        </is>
      </c>
      <c r="H2678" t="n">
        <v>316</v>
      </c>
      <c r="I2678">
        <f>B2678&amp;"~"&amp;F2678&amp;"~"&amp;G2678</f>
        <v/>
      </c>
      <c r="J2678" t="inlineStr">
        <is>
          <t>MVS Sec.18 p.10</t>
        </is>
      </c>
    </row>
    <row r="2679">
      <c r="B2679" t="inlineStr">
        <is>
          <t>Middle (Junior High) Schools</t>
        </is>
      </c>
      <c r="C2679" t="inlineStr">
        <is>
          <t>366</t>
        </is>
      </c>
      <c r="D2679" t="inlineStr">
        <is>
          <t>18</t>
        </is>
      </c>
      <c r="E2679" t="inlineStr">
        <is>
          <t>10</t>
        </is>
      </c>
      <c r="F2679" t="inlineStr">
        <is>
          <t>A</t>
        </is>
      </c>
      <c r="G2679" t="inlineStr">
        <is>
          <t>Average</t>
        </is>
      </c>
      <c r="H2679" t="n">
        <v>249</v>
      </c>
      <c r="I2679">
        <f>B2679&amp;"~"&amp;F2679&amp;"~"&amp;G2679</f>
        <v/>
      </c>
      <c r="J2679" t="inlineStr">
        <is>
          <t>MVS Sec.18 p.10</t>
        </is>
      </c>
    </row>
    <row r="2680">
      <c r="B2680" t="inlineStr">
        <is>
          <t>Middle (Junior High) Schools</t>
        </is>
      </c>
      <c r="C2680" t="inlineStr">
        <is>
          <t>366</t>
        </is>
      </c>
      <c r="D2680" t="inlineStr">
        <is>
          <t>18</t>
        </is>
      </c>
      <c r="E2680" t="inlineStr">
        <is>
          <t>10</t>
        </is>
      </c>
      <c r="F2680" t="inlineStr">
        <is>
          <t>B</t>
        </is>
      </c>
      <c r="G2680" t="inlineStr">
        <is>
          <t>Excellent</t>
        </is>
      </c>
      <c r="H2680" t="n">
        <v>347</v>
      </c>
      <c r="I2680">
        <f>B2680&amp;"~"&amp;F2680&amp;"~"&amp;G2680</f>
        <v/>
      </c>
      <c r="J2680" t="inlineStr">
        <is>
          <t>MVS Sec.18 p.10</t>
        </is>
      </c>
    </row>
    <row r="2681">
      <c r="B2681" t="inlineStr">
        <is>
          <t>Middle (Junior High) Schools</t>
        </is>
      </c>
      <c r="C2681" t="inlineStr">
        <is>
          <t>366</t>
        </is>
      </c>
      <c r="D2681" t="inlineStr">
        <is>
          <t>18</t>
        </is>
      </c>
      <c r="E2681" t="inlineStr">
        <is>
          <t>10</t>
        </is>
      </c>
      <c r="F2681" t="inlineStr">
        <is>
          <t>B</t>
        </is>
      </c>
      <c r="G2681" t="inlineStr">
        <is>
          <t>Good</t>
        </is>
      </c>
      <c r="H2681" t="n">
        <v>290</v>
      </c>
      <c r="I2681">
        <f>B2681&amp;"~"&amp;F2681&amp;"~"&amp;G2681</f>
        <v/>
      </c>
      <c r="J2681" t="inlineStr">
        <is>
          <t>MVS Sec.18 p.10</t>
        </is>
      </c>
    </row>
    <row r="2682">
      <c r="B2682" t="inlineStr">
        <is>
          <t>Middle (Junior High) Schools</t>
        </is>
      </c>
      <c r="C2682" t="inlineStr">
        <is>
          <t>366</t>
        </is>
      </c>
      <c r="D2682" t="inlineStr">
        <is>
          <t>18</t>
        </is>
      </c>
      <c r="E2682" t="inlineStr">
        <is>
          <t>10</t>
        </is>
      </c>
      <c r="F2682" t="inlineStr">
        <is>
          <t>B</t>
        </is>
      </c>
      <c r="G2682" t="inlineStr">
        <is>
          <t>Average</t>
        </is>
      </c>
      <c r="H2682" t="n">
        <v>230</v>
      </c>
      <c r="I2682">
        <f>B2682&amp;"~"&amp;F2682&amp;"~"&amp;G2682</f>
        <v/>
      </c>
      <c r="J2682" t="inlineStr">
        <is>
          <t>MVS Sec.18 p.10</t>
        </is>
      </c>
    </row>
    <row r="2683">
      <c r="B2683" t="inlineStr">
        <is>
          <t>Middle (Junior High) Schools</t>
        </is>
      </c>
      <c r="C2683" t="inlineStr">
        <is>
          <t>366</t>
        </is>
      </c>
      <c r="D2683" t="inlineStr">
        <is>
          <t>18</t>
        </is>
      </c>
      <c r="E2683" t="inlineStr">
        <is>
          <t>10</t>
        </is>
      </c>
      <c r="F2683" t="inlineStr">
        <is>
          <t>C</t>
        </is>
      </c>
      <c r="G2683" t="inlineStr">
        <is>
          <t>Excellent</t>
        </is>
      </c>
      <c r="H2683" t="n">
        <v>291</v>
      </c>
      <c r="I2683">
        <f>B2683&amp;"~"&amp;F2683&amp;"~"&amp;G2683</f>
        <v/>
      </c>
      <c r="J2683" t="inlineStr">
        <is>
          <t>MVS Sec.18 p.10</t>
        </is>
      </c>
    </row>
    <row r="2684">
      <c r="B2684" t="inlineStr">
        <is>
          <t>Middle (Junior High) Schools</t>
        </is>
      </c>
      <c r="C2684" t="inlineStr">
        <is>
          <t>366</t>
        </is>
      </c>
      <c r="D2684" t="inlineStr">
        <is>
          <t>18</t>
        </is>
      </c>
      <c r="E2684" t="inlineStr">
        <is>
          <t>10</t>
        </is>
      </c>
      <c r="F2684" t="inlineStr">
        <is>
          <t>C</t>
        </is>
      </c>
      <c r="G2684" t="inlineStr">
        <is>
          <t>Good</t>
        </is>
      </c>
      <c r="H2684" t="n">
        <v>232</v>
      </c>
      <c r="I2684">
        <f>B2684&amp;"~"&amp;F2684&amp;"~"&amp;G2684</f>
        <v/>
      </c>
      <c r="J2684" t="inlineStr">
        <is>
          <t>MVS Sec.18 p.10</t>
        </is>
      </c>
    </row>
    <row r="2685">
      <c r="B2685" t="inlineStr">
        <is>
          <t>Middle (Junior High) Schools</t>
        </is>
      </c>
      <c r="C2685" t="inlineStr">
        <is>
          <t>366</t>
        </is>
      </c>
      <c r="D2685" t="inlineStr">
        <is>
          <t>18</t>
        </is>
      </c>
      <c r="E2685" t="inlineStr">
        <is>
          <t>10</t>
        </is>
      </c>
      <c r="F2685" t="inlineStr">
        <is>
          <t>C</t>
        </is>
      </c>
      <c r="G2685" t="inlineStr">
        <is>
          <t>Average</t>
        </is>
      </c>
      <c r="H2685" t="n">
        <v>190</v>
      </c>
      <c r="I2685">
        <f>B2685&amp;"~"&amp;F2685&amp;"~"&amp;G2685</f>
        <v/>
      </c>
      <c r="J2685" t="inlineStr">
        <is>
          <t>MVS Sec.18 p.10</t>
        </is>
      </c>
    </row>
    <row r="2686">
      <c r="B2686" t="inlineStr">
        <is>
          <t>Middle (Junior High) Schools</t>
        </is>
      </c>
      <c r="C2686" t="inlineStr">
        <is>
          <t>366</t>
        </is>
      </c>
      <c r="D2686" t="inlineStr">
        <is>
          <t>18</t>
        </is>
      </c>
      <c r="E2686" t="inlineStr">
        <is>
          <t>10</t>
        </is>
      </c>
      <c r="F2686" t="inlineStr">
        <is>
          <t>C</t>
        </is>
      </c>
      <c r="G2686" t="inlineStr">
        <is>
          <t>Low Cost</t>
        </is>
      </c>
      <c r="H2686" t="n">
        <v>154</v>
      </c>
      <c r="I2686">
        <f>B2686&amp;"~"&amp;F2686&amp;"~"&amp;G2686</f>
        <v/>
      </c>
      <c r="J2686" t="inlineStr">
        <is>
          <t>MVS Sec.18 p.10</t>
        </is>
      </c>
    </row>
    <row r="2687">
      <c r="B2687" t="inlineStr">
        <is>
          <t>Middle (Junior High) Schools</t>
        </is>
      </c>
      <c r="C2687" t="inlineStr">
        <is>
          <t>366</t>
        </is>
      </c>
      <c r="D2687" t="inlineStr">
        <is>
          <t>18</t>
        </is>
      </c>
      <c r="E2687" t="inlineStr">
        <is>
          <t>10</t>
        </is>
      </c>
      <c r="F2687" t="inlineStr">
        <is>
          <t>D</t>
        </is>
      </c>
      <c r="G2687" t="inlineStr">
        <is>
          <t>Excellent</t>
        </is>
      </c>
      <c r="H2687" t="n">
        <v>285</v>
      </c>
      <c r="I2687">
        <f>B2687&amp;"~"&amp;F2687&amp;"~"&amp;G2687</f>
        <v/>
      </c>
      <c r="J2687" t="inlineStr">
        <is>
          <t>MVS Sec.18 p.10</t>
        </is>
      </c>
    </row>
    <row r="2688">
      <c r="B2688" t="inlineStr">
        <is>
          <t>Middle (Junior High) Schools</t>
        </is>
      </c>
      <c r="C2688" t="inlineStr">
        <is>
          <t>366</t>
        </is>
      </c>
      <c r="D2688" t="inlineStr">
        <is>
          <t>18</t>
        </is>
      </c>
      <c r="E2688" t="inlineStr">
        <is>
          <t>10</t>
        </is>
      </c>
      <c r="F2688" t="inlineStr">
        <is>
          <t>D</t>
        </is>
      </c>
      <c r="G2688" t="inlineStr">
        <is>
          <t>Good</t>
        </is>
      </c>
      <c r="H2688" t="n">
        <v>226</v>
      </c>
      <c r="I2688">
        <f>B2688&amp;"~"&amp;F2688&amp;"~"&amp;G2688</f>
        <v/>
      </c>
      <c r="J2688" t="inlineStr">
        <is>
          <t>MVS Sec.18 p.10</t>
        </is>
      </c>
    </row>
    <row r="2689">
      <c r="B2689" t="inlineStr">
        <is>
          <t>Middle (Junior High) Schools</t>
        </is>
      </c>
      <c r="C2689" t="inlineStr">
        <is>
          <t>366</t>
        </is>
      </c>
      <c r="D2689" t="inlineStr">
        <is>
          <t>18</t>
        </is>
      </c>
      <c r="E2689" t="inlineStr">
        <is>
          <t>10</t>
        </is>
      </c>
      <c r="F2689" t="inlineStr">
        <is>
          <t>D</t>
        </is>
      </c>
      <c r="G2689" t="inlineStr">
        <is>
          <t>Average</t>
        </is>
      </c>
      <c r="H2689" t="n">
        <v>184</v>
      </c>
      <c r="I2689">
        <f>B2689&amp;"~"&amp;F2689&amp;"~"&amp;G2689</f>
        <v/>
      </c>
      <c r="J2689" t="inlineStr">
        <is>
          <t>MVS Sec.18 p.10</t>
        </is>
      </c>
    </row>
    <row r="2690">
      <c r="B2690" t="inlineStr">
        <is>
          <t>Middle (Junior High) Schools</t>
        </is>
      </c>
      <c r="C2690" t="inlineStr">
        <is>
          <t>366</t>
        </is>
      </c>
      <c r="D2690" t="inlineStr">
        <is>
          <t>18</t>
        </is>
      </c>
      <c r="E2690" t="inlineStr">
        <is>
          <t>10</t>
        </is>
      </c>
      <c r="F2690" t="inlineStr">
        <is>
          <t>D</t>
        </is>
      </c>
      <c r="G2690" t="inlineStr">
        <is>
          <t>Low Cost</t>
        </is>
      </c>
      <c r="H2690" t="n">
        <v>149</v>
      </c>
      <c r="I2690">
        <f>B2690&amp;"~"&amp;F2690&amp;"~"&amp;G2690</f>
        <v/>
      </c>
      <c r="J2690" t="inlineStr">
        <is>
          <t>MVS Sec.18 p.10</t>
        </is>
      </c>
    </row>
    <row r="2691">
      <c r="B2691" t="inlineStr">
        <is>
          <t>Middle (Junior High) Schools</t>
        </is>
      </c>
      <c r="C2691" t="inlineStr">
        <is>
          <t>366</t>
        </is>
      </c>
      <c r="D2691" t="inlineStr">
        <is>
          <t>18</t>
        </is>
      </c>
      <c r="E2691" t="inlineStr">
        <is>
          <t>10</t>
        </is>
      </c>
      <c r="F2691" t="inlineStr">
        <is>
          <t>DPOLE</t>
        </is>
      </c>
      <c r="G2691" t="inlineStr">
        <is>
          <t>Average</t>
        </is>
      </c>
      <c r="H2691" t="n">
        <v>178</v>
      </c>
      <c r="I2691">
        <f>B2691&amp;"~"&amp;F2691&amp;"~"&amp;G2691</f>
        <v/>
      </c>
      <c r="J2691" t="inlineStr">
        <is>
          <t>MVS Sec.18 p.10</t>
        </is>
      </c>
    </row>
    <row r="2692">
      <c r="B2692" t="inlineStr">
        <is>
          <t>Middle (Junior High) Schools</t>
        </is>
      </c>
      <c r="C2692" t="inlineStr">
        <is>
          <t>366</t>
        </is>
      </c>
      <c r="D2692" t="inlineStr">
        <is>
          <t>18</t>
        </is>
      </c>
      <c r="E2692" t="inlineStr">
        <is>
          <t>10</t>
        </is>
      </c>
      <c r="F2692" t="inlineStr">
        <is>
          <t>DPOLE</t>
        </is>
      </c>
      <c r="G2692" t="inlineStr">
        <is>
          <t>Low Cost</t>
        </is>
      </c>
      <c r="H2692" t="n">
        <v>143</v>
      </c>
      <c r="I2692">
        <f>B2692&amp;"~"&amp;F2692&amp;"~"&amp;G2692</f>
        <v/>
      </c>
      <c r="J2692" t="inlineStr">
        <is>
          <t>MVS Sec.18 p.10</t>
        </is>
      </c>
    </row>
    <row r="2693">
      <c r="B2693" t="inlineStr">
        <is>
          <t>Middle (Junior High) Schools</t>
        </is>
      </c>
      <c r="C2693" t="inlineStr">
        <is>
          <t>366</t>
        </is>
      </c>
      <c r="D2693" t="inlineStr">
        <is>
          <t>18</t>
        </is>
      </c>
      <c r="E2693" t="inlineStr">
        <is>
          <t>10</t>
        </is>
      </c>
      <c r="F2693" t="inlineStr">
        <is>
          <t>S</t>
        </is>
      </c>
      <c r="G2693" t="inlineStr">
        <is>
          <t>Good</t>
        </is>
      </c>
      <c r="H2693" t="n">
        <v>223</v>
      </c>
      <c r="I2693">
        <f>B2693&amp;"~"&amp;F2693&amp;"~"&amp;G2693</f>
        <v/>
      </c>
      <c r="J2693" t="inlineStr">
        <is>
          <t>MVS Sec.18 p.10</t>
        </is>
      </c>
    </row>
    <row r="2694">
      <c r="B2694" t="inlineStr">
        <is>
          <t>Middle (Junior High) Schools</t>
        </is>
      </c>
      <c r="C2694" t="inlineStr">
        <is>
          <t>366</t>
        </is>
      </c>
      <c r="D2694" t="inlineStr">
        <is>
          <t>18</t>
        </is>
      </c>
      <c r="E2694" t="inlineStr">
        <is>
          <t>10</t>
        </is>
      </c>
      <c r="F2694" t="inlineStr">
        <is>
          <t>S</t>
        </is>
      </c>
      <c r="G2694" t="inlineStr">
        <is>
          <t>Average</t>
        </is>
      </c>
      <c r="H2694" t="n">
        <v>180</v>
      </c>
      <c r="I2694">
        <f>B2694&amp;"~"&amp;F2694&amp;"~"&amp;G2694</f>
        <v/>
      </c>
      <c r="J2694" t="inlineStr">
        <is>
          <t>MVS Sec.18 p.10</t>
        </is>
      </c>
    </row>
    <row r="2695">
      <c r="B2695" t="inlineStr">
        <is>
          <t>Middle (Junior High) Schools</t>
        </is>
      </c>
      <c r="C2695" t="inlineStr">
        <is>
          <t>366</t>
        </is>
      </c>
      <c r="D2695" t="inlineStr">
        <is>
          <t>18</t>
        </is>
      </c>
      <c r="E2695" t="inlineStr">
        <is>
          <t>10</t>
        </is>
      </c>
      <c r="F2695" t="inlineStr">
        <is>
          <t>S</t>
        </is>
      </c>
      <c r="G2695" t="inlineStr">
        <is>
          <t>Low Cost</t>
        </is>
      </c>
      <c r="H2695" t="n">
        <v>144</v>
      </c>
      <c r="I2695">
        <f>B2695&amp;"~"&amp;F2695&amp;"~"&amp;G2695</f>
        <v/>
      </c>
      <c r="J2695" t="inlineStr">
        <is>
          <t>MVS Sec.18 p.10</t>
        </is>
      </c>
    </row>
    <row r="2696">
      <c r="B2696" t="inlineStr">
        <is>
          <t>Elementary Schools</t>
        </is>
      </c>
      <c r="C2696" t="inlineStr">
        <is>
          <t>365</t>
        </is>
      </c>
      <c r="D2696" t="inlineStr">
        <is>
          <t>18</t>
        </is>
      </c>
      <c r="E2696" t="inlineStr">
        <is>
          <t>11</t>
        </is>
      </c>
      <c r="F2696" t="inlineStr">
        <is>
          <t>A-B</t>
        </is>
      </c>
      <c r="G2696" t="inlineStr">
        <is>
          <t>Excellent</t>
        </is>
      </c>
      <c r="H2696" t="n">
        <v>391</v>
      </c>
      <c r="I2696">
        <f>B2696&amp;"~"&amp;F2696&amp;"~"&amp;G2696</f>
        <v/>
      </c>
      <c r="J2696" t="inlineStr">
        <is>
          <t>MVS Sec.18 p.11</t>
        </is>
      </c>
    </row>
    <row r="2697">
      <c r="B2697" t="inlineStr">
        <is>
          <t>Elementary Schools</t>
        </is>
      </c>
      <c r="C2697" t="inlineStr">
        <is>
          <t>365</t>
        </is>
      </c>
      <c r="D2697" t="inlineStr">
        <is>
          <t>18</t>
        </is>
      </c>
      <c r="E2697" t="inlineStr">
        <is>
          <t>11</t>
        </is>
      </c>
      <c r="F2697" t="inlineStr">
        <is>
          <t>A-B</t>
        </is>
      </c>
      <c r="G2697" t="inlineStr">
        <is>
          <t>Good</t>
        </is>
      </c>
      <c r="H2697" t="n">
        <v>309</v>
      </c>
      <c r="I2697">
        <f>B2697&amp;"~"&amp;F2697&amp;"~"&amp;G2697</f>
        <v/>
      </c>
      <c r="J2697" t="inlineStr">
        <is>
          <t>MVS Sec.18 p.11</t>
        </is>
      </c>
    </row>
    <row r="2698">
      <c r="B2698" t="inlineStr">
        <is>
          <t>Elementary Schools</t>
        </is>
      </c>
      <c r="C2698" t="inlineStr">
        <is>
          <t>365</t>
        </is>
      </c>
      <c r="D2698" t="inlineStr">
        <is>
          <t>18</t>
        </is>
      </c>
      <c r="E2698" t="inlineStr">
        <is>
          <t>11</t>
        </is>
      </c>
      <c r="F2698" t="inlineStr">
        <is>
          <t>A-B</t>
        </is>
      </c>
      <c r="G2698" t="inlineStr">
        <is>
          <t>Average</t>
        </is>
      </c>
      <c r="H2698" t="n">
        <v>255</v>
      </c>
      <c r="I2698">
        <f>B2698&amp;"~"&amp;F2698&amp;"~"&amp;G2698</f>
        <v/>
      </c>
      <c r="J2698" t="inlineStr">
        <is>
          <t>MVS Sec.18 p.11</t>
        </is>
      </c>
    </row>
    <row r="2699">
      <c r="B2699" t="inlineStr">
        <is>
          <t>Elementary Schools</t>
        </is>
      </c>
      <c r="C2699" t="inlineStr">
        <is>
          <t>365</t>
        </is>
      </c>
      <c r="D2699" t="inlineStr">
        <is>
          <t>18</t>
        </is>
      </c>
      <c r="E2699" t="inlineStr">
        <is>
          <t>11</t>
        </is>
      </c>
      <c r="F2699" t="inlineStr">
        <is>
          <t>C</t>
        </is>
      </c>
      <c r="G2699" t="inlineStr">
        <is>
          <t>Excellent</t>
        </is>
      </c>
      <c r="H2699" t="n">
        <v>329</v>
      </c>
      <c r="I2699">
        <f>B2699&amp;"~"&amp;F2699&amp;"~"&amp;G2699</f>
        <v/>
      </c>
      <c r="J2699" t="inlineStr">
        <is>
          <t>MVS Sec.18 p.11</t>
        </is>
      </c>
    </row>
    <row r="2700">
      <c r="B2700" t="inlineStr">
        <is>
          <t>Elementary Schools</t>
        </is>
      </c>
      <c r="C2700" t="inlineStr">
        <is>
          <t>365</t>
        </is>
      </c>
      <c r="D2700" t="inlineStr">
        <is>
          <t>18</t>
        </is>
      </c>
      <c r="E2700" t="inlineStr">
        <is>
          <t>11</t>
        </is>
      </c>
      <c r="F2700" t="inlineStr">
        <is>
          <t>C</t>
        </is>
      </c>
      <c r="G2700" t="inlineStr">
        <is>
          <t>Good</t>
        </is>
      </c>
      <c r="H2700" t="n">
        <v>256</v>
      </c>
      <c r="I2700">
        <f>B2700&amp;"~"&amp;F2700&amp;"~"&amp;G2700</f>
        <v/>
      </c>
      <c r="J2700" t="inlineStr">
        <is>
          <t>MVS Sec.18 p.11</t>
        </is>
      </c>
    </row>
    <row r="2701">
      <c r="B2701" t="inlineStr">
        <is>
          <t>Elementary Schools</t>
        </is>
      </c>
      <c r="C2701" t="inlineStr">
        <is>
          <t>365</t>
        </is>
      </c>
      <c r="D2701" t="inlineStr">
        <is>
          <t>18</t>
        </is>
      </c>
      <c r="E2701" t="inlineStr">
        <is>
          <t>11</t>
        </is>
      </c>
      <c r="F2701" t="inlineStr">
        <is>
          <t>C</t>
        </is>
      </c>
      <c r="G2701" t="inlineStr">
        <is>
          <t>Average</t>
        </is>
      </c>
      <c r="H2701" t="n">
        <v>199</v>
      </c>
      <c r="I2701">
        <f>B2701&amp;"~"&amp;F2701&amp;"~"&amp;G2701</f>
        <v/>
      </c>
      <c r="J2701" t="inlineStr">
        <is>
          <t>MVS Sec.18 p.11</t>
        </is>
      </c>
    </row>
    <row r="2702">
      <c r="B2702" t="inlineStr">
        <is>
          <t>Elementary Schools</t>
        </is>
      </c>
      <c r="C2702" t="inlineStr">
        <is>
          <t>365</t>
        </is>
      </c>
      <c r="D2702" t="inlineStr">
        <is>
          <t>18</t>
        </is>
      </c>
      <c r="E2702" t="inlineStr">
        <is>
          <t>11</t>
        </is>
      </c>
      <c r="F2702" t="inlineStr">
        <is>
          <t>C</t>
        </is>
      </c>
      <c r="G2702" t="inlineStr">
        <is>
          <t>Low Cost</t>
        </is>
      </c>
      <c r="H2702" t="n">
        <v>158</v>
      </c>
      <c r="I2702">
        <f>B2702&amp;"~"&amp;F2702&amp;"~"&amp;G2702</f>
        <v/>
      </c>
      <c r="J2702" t="inlineStr">
        <is>
          <t>MVS Sec.18 p.11</t>
        </is>
      </c>
    </row>
    <row r="2703">
      <c r="B2703" t="inlineStr">
        <is>
          <t>Elementary Schools</t>
        </is>
      </c>
      <c r="C2703" t="inlineStr">
        <is>
          <t>365</t>
        </is>
      </c>
      <c r="D2703" t="inlineStr">
        <is>
          <t>18</t>
        </is>
      </c>
      <c r="E2703" t="inlineStr">
        <is>
          <t>11</t>
        </is>
      </c>
      <c r="F2703" t="inlineStr">
        <is>
          <t>D</t>
        </is>
      </c>
      <c r="G2703" t="inlineStr">
        <is>
          <t>Excellent</t>
        </is>
      </c>
      <c r="H2703" t="n">
        <v>323</v>
      </c>
      <c r="I2703">
        <f>B2703&amp;"~"&amp;F2703&amp;"~"&amp;G2703</f>
        <v/>
      </c>
      <c r="J2703" t="inlineStr">
        <is>
          <t>MVS Sec.18 p.11</t>
        </is>
      </c>
    </row>
    <row r="2704">
      <c r="B2704" t="inlineStr">
        <is>
          <t>Elementary Schools</t>
        </is>
      </c>
      <c r="C2704" t="inlineStr">
        <is>
          <t>365</t>
        </is>
      </c>
      <c r="D2704" t="inlineStr">
        <is>
          <t>18</t>
        </is>
      </c>
      <c r="E2704" t="inlineStr">
        <is>
          <t>11</t>
        </is>
      </c>
      <c r="F2704" t="inlineStr">
        <is>
          <t>D</t>
        </is>
      </c>
      <c r="G2704" t="inlineStr">
        <is>
          <t>Good</t>
        </is>
      </c>
      <c r="H2704" t="n">
        <v>250</v>
      </c>
      <c r="I2704">
        <f>B2704&amp;"~"&amp;F2704&amp;"~"&amp;G2704</f>
        <v/>
      </c>
      <c r="J2704" t="inlineStr">
        <is>
          <t>MVS Sec.18 p.11</t>
        </is>
      </c>
    </row>
    <row r="2705">
      <c r="B2705" t="inlineStr">
        <is>
          <t>Elementary Schools</t>
        </is>
      </c>
      <c r="C2705" t="inlineStr">
        <is>
          <t>365</t>
        </is>
      </c>
      <c r="D2705" t="inlineStr">
        <is>
          <t>18</t>
        </is>
      </c>
      <c r="E2705" t="inlineStr">
        <is>
          <t>11</t>
        </is>
      </c>
      <c r="F2705" t="inlineStr">
        <is>
          <t>D</t>
        </is>
      </c>
      <c r="G2705" t="inlineStr">
        <is>
          <t>Average</t>
        </is>
      </c>
      <c r="H2705" t="n">
        <v>193</v>
      </c>
      <c r="I2705">
        <f>B2705&amp;"~"&amp;F2705&amp;"~"&amp;G2705</f>
        <v/>
      </c>
      <c r="J2705" t="inlineStr">
        <is>
          <t>MVS Sec.18 p.11</t>
        </is>
      </c>
    </row>
    <row r="2706">
      <c r="B2706" t="inlineStr">
        <is>
          <t>Elementary Schools</t>
        </is>
      </c>
      <c r="C2706" t="inlineStr">
        <is>
          <t>365</t>
        </is>
      </c>
      <c r="D2706" t="inlineStr">
        <is>
          <t>18</t>
        </is>
      </c>
      <c r="E2706" t="inlineStr">
        <is>
          <t>11</t>
        </is>
      </c>
      <c r="F2706" t="inlineStr">
        <is>
          <t>D</t>
        </is>
      </c>
      <c r="G2706" t="inlineStr">
        <is>
          <t>Low Cost</t>
        </is>
      </c>
      <c r="H2706" t="n">
        <v>152</v>
      </c>
      <c r="I2706">
        <f>B2706&amp;"~"&amp;F2706&amp;"~"&amp;G2706</f>
        <v/>
      </c>
      <c r="J2706" t="inlineStr">
        <is>
          <t>MVS Sec.18 p.11</t>
        </is>
      </c>
    </row>
    <row r="2707">
      <c r="B2707" t="inlineStr">
        <is>
          <t>Elementary Schools</t>
        </is>
      </c>
      <c r="C2707" t="inlineStr">
        <is>
          <t>365</t>
        </is>
      </c>
      <c r="D2707" t="inlineStr">
        <is>
          <t>18</t>
        </is>
      </c>
      <c r="E2707" t="inlineStr">
        <is>
          <t>11</t>
        </is>
      </c>
      <c r="F2707" t="inlineStr">
        <is>
          <t>DPOLE</t>
        </is>
      </c>
      <c r="G2707" t="inlineStr">
        <is>
          <t>Average</t>
        </is>
      </c>
      <c r="H2707" t="n">
        <v>186</v>
      </c>
      <c r="I2707">
        <f>B2707&amp;"~"&amp;F2707&amp;"~"&amp;G2707</f>
        <v/>
      </c>
      <c r="J2707" t="inlineStr">
        <is>
          <t>MVS Sec.18 p.11</t>
        </is>
      </c>
    </row>
    <row r="2708">
      <c r="B2708" t="inlineStr">
        <is>
          <t>Elementary Schools</t>
        </is>
      </c>
      <c r="C2708" t="inlineStr">
        <is>
          <t>365</t>
        </is>
      </c>
      <c r="D2708" t="inlineStr">
        <is>
          <t>18</t>
        </is>
      </c>
      <c r="E2708" t="inlineStr">
        <is>
          <t>11</t>
        </is>
      </c>
      <c r="F2708" t="inlineStr">
        <is>
          <t>DPOLE</t>
        </is>
      </c>
      <c r="G2708" t="inlineStr">
        <is>
          <t>Low Cost</t>
        </is>
      </c>
      <c r="H2708" t="n">
        <v>146</v>
      </c>
      <c r="I2708">
        <f>B2708&amp;"~"&amp;F2708&amp;"~"&amp;G2708</f>
        <v/>
      </c>
      <c r="J2708" t="inlineStr">
        <is>
          <t>MVS Sec.18 p.11</t>
        </is>
      </c>
    </row>
    <row r="2709">
      <c r="B2709" t="inlineStr">
        <is>
          <t>Elementary Schools</t>
        </is>
      </c>
      <c r="C2709" t="inlineStr">
        <is>
          <t>365</t>
        </is>
      </c>
      <c r="D2709" t="inlineStr">
        <is>
          <t>18</t>
        </is>
      </c>
      <c r="E2709" t="inlineStr">
        <is>
          <t>11</t>
        </is>
      </c>
      <c r="F2709" t="inlineStr">
        <is>
          <t>S</t>
        </is>
      </c>
      <c r="G2709" t="inlineStr">
        <is>
          <t>Good</t>
        </is>
      </c>
      <c r="H2709" t="n">
        <v>246</v>
      </c>
      <c r="I2709">
        <f>B2709&amp;"~"&amp;F2709&amp;"~"&amp;G2709</f>
        <v/>
      </c>
      <c r="J2709" t="inlineStr">
        <is>
          <t>MVS Sec.18 p.11</t>
        </is>
      </c>
    </row>
    <row r="2710">
      <c r="B2710" t="inlineStr">
        <is>
          <t>Elementary Schools</t>
        </is>
      </c>
      <c r="C2710" t="inlineStr">
        <is>
          <t>365</t>
        </is>
      </c>
      <c r="D2710" t="inlineStr">
        <is>
          <t>18</t>
        </is>
      </c>
      <c r="E2710" t="inlineStr">
        <is>
          <t>11</t>
        </is>
      </c>
      <c r="F2710" t="inlineStr">
        <is>
          <t>S</t>
        </is>
      </c>
      <c r="G2710" t="inlineStr">
        <is>
          <t>Average</t>
        </is>
      </c>
      <c r="H2710" t="n">
        <v>187</v>
      </c>
      <c r="I2710">
        <f>B2710&amp;"~"&amp;F2710&amp;"~"&amp;G2710</f>
        <v/>
      </c>
      <c r="J2710" t="inlineStr">
        <is>
          <t>MVS Sec.18 p.11</t>
        </is>
      </c>
    </row>
    <row r="2711">
      <c r="B2711" t="inlineStr">
        <is>
          <t>Elementary Schools</t>
        </is>
      </c>
      <c r="C2711" t="inlineStr">
        <is>
          <t>365</t>
        </is>
      </c>
      <c r="D2711" t="inlineStr">
        <is>
          <t>18</t>
        </is>
      </c>
      <c r="E2711" t="inlineStr">
        <is>
          <t>11</t>
        </is>
      </c>
      <c r="F2711" t="inlineStr">
        <is>
          <t>S</t>
        </is>
      </c>
      <c r="G2711" t="inlineStr">
        <is>
          <t>Low Cost</t>
        </is>
      </c>
      <c r="H2711" t="n">
        <v>147</v>
      </c>
      <c r="I2711">
        <f>B2711&amp;"~"&amp;F2711&amp;"~"&amp;G2711</f>
        <v/>
      </c>
      <c r="J2711" t="inlineStr">
        <is>
          <t>MVS Sec.18 p.11</t>
        </is>
      </c>
    </row>
    <row r="2712">
      <c r="B2712" t="inlineStr">
        <is>
          <t>Vocational Schools</t>
        </is>
      </c>
      <c r="C2712" t="inlineStr">
        <is>
          <t>487</t>
        </is>
      </c>
      <c r="D2712" t="inlineStr">
        <is>
          <t>18</t>
        </is>
      </c>
      <c r="E2712" t="inlineStr">
        <is>
          <t>12</t>
        </is>
      </c>
      <c r="F2712" t="inlineStr">
        <is>
          <t>A</t>
        </is>
      </c>
      <c r="G2712" t="inlineStr">
        <is>
          <t>Good</t>
        </is>
      </c>
      <c r="H2712" t="n">
        <v>320</v>
      </c>
      <c r="I2712">
        <f>B2712&amp;"~"&amp;F2712&amp;"~"&amp;G2712</f>
        <v/>
      </c>
      <c r="J2712" t="inlineStr">
        <is>
          <t>MVS Sec.18 p.12</t>
        </is>
      </c>
    </row>
    <row r="2713">
      <c r="B2713" t="inlineStr">
        <is>
          <t>Vocational Schools</t>
        </is>
      </c>
      <c r="C2713" t="inlineStr">
        <is>
          <t>487</t>
        </is>
      </c>
      <c r="D2713" t="inlineStr">
        <is>
          <t>18</t>
        </is>
      </c>
      <c r="E2713" t="inlineStr">
        <is>
          <t>12</t>
        </is>
      </c>
      <c r="F2713" t="inlineStr">
        <is>
          <t>A</t>
        </is>
      </c>
      <c r="G2713" t="inlineStr">
        <is>
          <t>Average</t>
        </is>
      </c>
      <c r="H2713" t="n">
        <v>242</v>
      </c>
      <c r="I2713">
        <f>B2713&amp;"~"&amp;F2713&amp;"~"&amp;G2713</f>
        <v/>
      </c>
      <c r="J2713" t="inlineStr">
        <is>
          <t>MVS Sec.18 p.12</t>
        </is>
      </c>
    </row>
    <row r="2714">
      <c r="B2714" t="inlineStr">
        <is>
          <t>Vocational Schools</t>
        </is>
      </c>
      <c r="C2714" t="inlineStr">
        <is>
          <t>487</t>
        </is>
      </c>
      <c r="D2714" t="inlineStr">
        <is>
          <t>18</t>
        </is>
      </c>
      <c r="E2714" t="inlineStr">
        <is>
          <t>12</t>
        </is>
      </c>
      <c r="F2714" t="inlineStr">
        <is>
          <t>B</t>
        </is>
      </c>
      <c r="G2714" t="inlineStr">
        <is>
          <t>Good</t>
        </is>
      </c>
      <c r="H2714" t="n">
        <v>293</v>
      </c>
      <c r="I2714">
        <f>B2714&amp;"~"&amp;F2714&amp;"~"&amp;G2714</f>
        <v/>
      </c>
      <c r="J2714" t="inlineStr">
        <is>
          <t>MVS Sec.18 p.12</t>
        </is>
      </c>
    </row>
    <row r="2715">
      <c r="B2715" t="inlineStr">
        <is>
          <t>Vocational Schools</t>
        </is>
      </c>
      <c r="C2715" t="inlineStr">
        <is>
          <t>487</t>
        </is>
      </c>
      <c r="D2715" t="inlineStr">
        <is>
          <t>18</t>
        </is>
      </c>
      <c r="E2715" t="inlineStr">
        <is>
          <t>12</t>
        </is>
      </c>
      <c r="F2715" t="inlineStr">
        <is>
          <t>B</t>
        </is>
      </c>
      <c r="G2715" t="inlineStr">
        <is>
          <t>Average</t>
        </is>
      </c>
      <c r="H2715" t="n">
        <v>222</v>
      </c>
      <c r="I2715">
        <f>B2715&amp;"~"&amp;F2715&amp;"~"&amp;G2715</f>
        <v/>
      </c>
      <c r="J2715" t="inlineStr">
        <is>
          <t>MVS Sec.18 p.12</t>
        </is>
      </c>
    </row>
    <row r="2716">
      <c r="B2716" t="inlineStr">
        <is>
          <t>Vocational Schools</t>
        </is>
      </c>
      <c r="C2716" t="inlineStr">
        <is>
          <t>487</t>
        </is>
      </c>
      <c r="D2716" t="inlineStr">
        <is>
          <t>18</t>
        </is>
      </c>
      <c r="E2716" t="inlineStr">
        <is>
          <t>12</t>
        </is>
      </c>
      <c r="F2716" t="inlineStr">
        <is>
          <t>C</t>
        </is>
      </c>
      <c r="G2716" t="inlineStr">
        <is>
          <t>Excellent</t>
        </is>
      </c>
      <c r="H2716" t="n">
        <v>304</v>
      </c>
      <c r="I2716">
        <f>B2716&amp;"~"&amp;F2716&amp;"~"&amp;G2716</f>
        <v/>
      </c>
      <c r="J2716" t="inlineStr">
        <is>
          <t>MVS Sec.18 p.12</t>
        </is>
      </c>
    </row>
    <row r="2717">
      <c r="B2717" t="inlineStr">
        <is>
          <t>Vocational Schools</t>
        </is>
      </c>
      <c r="C2717" t="inlineStr">
        <is>
          <t>487</t>
        </is>
      </c>
      <c r="D2717" t="inlineStr">
        <is>
          <t>18</t>
        </is>
      </c>
      <c r="E2717" t="inlineStr">
        <is>
          <t>12</t>
        </is>
      </c>
      <c r="F2717" t="inlineStr">
        <is>
          <t>C</t>
        </is>
      </c>
      <c r="G2717" t="inlineStr">
        <is>
          <t>Good</t>
        </is>
      </c>
      <c r="H2717" t="n">
        <v>228</v>
      </c>
      <c r="I2717">
        <f>B2717&amp;"~"&amp;F2717&amp;"~"&amp;G2717</f>
        <v/>
      </c>
      <c r="J2717" t="inlineStr">
        <is>
          <t>MVS Sec.18 p.12</t>
        </is>
      </c>
    </row>
    <row r="2718">
      <c r="B2718" t="inlineStr">
        <is>
          <t>Vocational Schools</t>
        </is>
      </c>
      <c r="C2718" t="inlineStr">
        <is>
          <t>487</t>
        </is>
      </c>
      <c r="D2718" t="inlineStr">
        <is>
          <t>18</t>
        </is>
      </c>
      <c r="E2718" t="inlineStr">
        <is>
          <t>12</t>
        </is>
      </c>
      <c r="F2718" t="inlineStr">
        <is>
          <t>C</t>
        </is>
      </c>
      <c r="G2718" t="inlineStr">
        <is>
          <t>Average</t>
        </is>
      </c>
      <c r="H2718" t="n">
        <v>170</v>
      </c>
      <c r="I2718">
        <f>B2718&amp;"~"&amp;F2718&amp;"~"&amp;G2718</f>
        <v/>
      </c>
      <c r="J2718" t="inlineStr">
        <is>
          <t>MVS Sec.18 p.12</t>
        </is>
      </c>
    </row>
    <row r="2719">
      <c r="B2719" t="inlineStr">
        <is>
          <t>Vocational Schools</t>
        </is>
      </c>
      <c r="C2719" t="inlineStr">
        <is>
          <t>487</t>
        </is>
      </c>
      <c r="D2719" t="inlineStr">
        <is>
          <t>18</t>
        </is>
      </c>
      <c r="E2719" t="inlineStr">
        <is>
          <t>12</t>
        </is>
      </c>
      <c r="F2719" t="inlineStr">
        <is>
          <t>C</t>
        </is>
      </c>
      <c r="G2719" t="inlineStr">
        <is>
          <t>Low Cost</t>
        </is>
      </c>
      <c r="H2719" t="n">
        <v>131</v>
      </c>
      <c r="I2719">
        <f>B2719&amp;"~"&amp;F2719&amp;"~"&amp;G2719</f>
        <v/>
      </c>
      <c r="J2719" t="inlineStr">
        <is>
          <t>MVS Sec.18 p.12</t>
        </is>
      </c>
    </row>
    <row r="2720">
      <c r="B2720" t="inlineStr">
        <is>
          <t>Vocational Schools</t>
        </is>
      </c>
      <c r="C2720" t="inlineStr">
        <is>
          <t>487</t>
        </is>
      </c>
      <c r="D2720" t="inlineStr">
        <is>
          <t>18</t>
        </is>
      </c>
      <c r="E2720" t="inlineStr">
        <is>
          <t>12</t>
        </is>
      </c>
      <c r="F2720" t="inlineStr">
        <is>
          <t>D</t>
        </is>
      </c>
      <c r="G2720" t="inlineStr">
        <is>
          <t>Excellent</t>
        </is>
      </c>
      <c r="H2720" t="n">
        <v>300</v>
      </c>
      <c r="I2720">
        <f>B2720&amp;"~"&amp;F2720&amp;"~"&amp;G2720</f>
        <v/>
      </c>
      <c r="J2720" t="inlineStr">
        <is>
          <t>MVS Sec.18 p.12</t>
        </is>
      </c>
    </row>
    <row r="2721">
      <c r="B2721" t="inlineStr">
        <is>
          <t>Vocational Schools</t>
        </is>
      </c>
      <c r="C2721" t="inlineStr">
        <is>
          <t>487</t>
        </is>
      </c>
      <c r="D2721" t="inlineStr">
        <is>
          <t>18</t>
        </is>
      </c>
      <c r="E2721" t="inlineStr">
        <is>
          <t>12</t>
        </is>
      </c>
      <c r="F2721" t="inlineStr">
        <is>
          <t>D</t>
        </is>
      </c>
      <c r="G2721" t="inlineStr">
        <is>
          <t>Good</t>
        </is>
      </c>
      <c r="H2721" t="n">
        <v>223</v>
      </c>
      <c r="I2721">
        <f>B2721&amp;"~"&amp;F2721&amp;"~"&amp;G2721</f>
        <v/>
      </c>
      <c r="J2721" t="inlineStr">
        <is>
          <t>MVS Sec.18 p.12</t>
        </is>
      </c>
    </row>
    <row r="2722">
      <c r="B2722" t="inlineStr">
        <is>
          <t>Vocational Schools</t>
        </is>
      </c>
      <c r="C2722" t="inlineStr">
        <is>
          <t>487</t>
        </is>
      </c>
      <c r="D2722" t="inlineStr">
        <is>
          <t>18</t>
        </is>
      </c>
      <c r="E2722" t="inlineStr">
        <is>
          <t>12</t>
        </is>
      </c>
      <c r="F2722" t="inlineStr">
        <is>
          <t>D</t>
        </is>
      </c>
      <c r="G2722" t="inlineStr">
        <is>
          <t>Average</t>
        </is>
      </c>
      <c r="H2722" t="n">
        <v>165</v>
      </c>
      <c r="I2722">
        <f>B2722&amp;"~"&amp;F2722&amp;"~"&amp;G2722</f>
        <v/>
      </c>
      <c r="J2722" t="inlineStr">
        <is>
          <t>MVS Sec.18 p.12</t>
        </is>
      </c>
    </row>
    <row r="2723">
      <c r="B2723" t="inlineStr">
        <is>
          <t>Vocational Schools</t>
        </is>
      </c>
      <c r="C2723" t="inlineStr">
        <is>
          <t>487</t>
        </is>
      </c>
      <c r="D2723" t="inlineStr">
        <is>
          <t>18</t>
        </is>
      </c>
      <c r="E2723" t="inlineStr">
        <is>
          <t>12</t>
        </is>
      </c>
      <c r="F2723" t="inlineStr">
        <is>
          <t>D</t>
        </is>
      </c>
      <c r="G2723" t="inlineStr">
        <is>
          <t>Low Cost</t>
        </is>
      </c>
      <c r="H2723" t="n">
        <v>126</v>
      </c>
      <c r="I2723">
        <f>B2723&amp;"~"&amp;F2723&amp;"~"&amp;G2723</f>
        <v/>
      </c>
      <c r="J2723" t="inlineStr">
        <is>
          <t>MVS Sec.18 p.12</t>
        </is>
      </c>
    </row>
    <row r="2724">
      <c r="B2724" t="inlineStr">
        <is>
          <t>Vocational Schools</t>
        </is>
      </c>
      <c r="C2724" t="inlineStr">
        <is>
          <t>487</t>
        </is>
      </c>
      <c r="D2724" t="inlineStr">
        <is>
          <t>18</t>
        </is>
      </c>
      <c r="E2724" t="inlineStr">
        <is>
          <t>12</t>
        </is>
      </c>
      <c r="F2724" t="inlineStr">
        <is>
          <t>DPOLE</t>
        </is>
      </c>
      <c r="G2724" t="inlineStr">
        <is>
          <t>Good</t>
        </is>
      </c>
      <c r="H2724" t="n">
        <v>214</v>
      </c>
      <c r="I2724">
        <f>B2724&amp;"~"&amp;F2724&amp;"~"&amp;G2724</f>
        <v/>
      </c>
      <c r="J2724" t="inlineStr">
        <is>
          <t>MVS Sec.18 p.12</t>
        </is>
      </c>
    </row>
    <row r="2725">
      <c r="B2725" t="inlineStr">
        <is>
          <t>Vocational Schools</t>
        </is>
      </c>
      <c r="C2725" t="inlineStr">
        <is>
          <t>487</t>
        </is>
      </c>
      <c r="D2725" t="inlineStr">
        <is>
          <t>18</t>
        </is>
      </c>
      <c r="E2725" t="inlineStr">
        <is>
          <t>12</t>
        </is>
      </c>
      <c r="F2725" t="inlineStr">
        <is>
          <t>DPOLE</t>
        </is>
      </c>
      <c r="G2725" t="inlineStr">
        <is>
          <t>Average</t>
        </is>
      </c>
      <c r="H2725" t="n">
        <v>157</v>
      </c>
      <c r="I2725">
        <f>B2725&amp;"~"&amp;F2725&amp;"~"&amp;G2725</f>
        <v/>
      </c>
      <c r="J2725" t="inlineStr">
        <is>
          <t>MVS Sec.18 p.12</t>
        </is>
      </c>
    </row>
    <row r="2726">
      <c r="B2726" t="inlineStr">
        <is>
          <t>Vocational Schools</t>
        </is>
      </c>
      <c r="C2726" t="inlineStr">
        <is>
          <t>487</t>
        </is>
      </c>
      <c r="D2726" t="inlineStr">
        <is>
          <t>18</t>
        </is>
      </c>
      <c r="E2726" t="inlineStr">
        <is>
          <t>12</t>
        </is>
      </c>
      <c r="F2726" t="inlineStr">
        <is>
          <t>DPOLE</t>
        </is>
      </c>
      <c r="G2726" t="inlineStr">
        <is>
          <t>Low Cost</t>
        </is>
      </c>
      <c r="H2726" t="n">
        <v>119</v>
      </c>
      <c r="I2726">
        <f>B2726&amp;"~"&amp;F2726&amp;"~"&amp;G2726</f>
        <v/>
      </c>
      <c r="J2726" t="inlineStr">
        <is>
          <t>MVS Sec.18 p.12</t>
        </is>
      </c>
    </row>
    <row r="2727">
      <c r="B2727" t="inlineStr">
        <is>
          <t>Vocational Schools</t>
        </is>
      </c>
      <c r="C2727" t="inlineStr">
        <is>
          <t>487</t>
        </is>
      </c>
      <c r="D2727" t="inlineStr">
        <is>
          <t>18</t>
        </is>
      </c>
      <c r="E2727" t="inlineStr">
        <is>
          <t>12</t>
        </is>
      </c>
      <c r="F2727" t="inlineStr">
        <is>
          <t>S</t>
        </is>
      </c>
      <c r="G2727" t="inlineStr">
        <is>
          <t>Good</t>
        </is>
      </c>
      <c r="H2727" t="n">
        <v>217</v>
      </c>
      <c r="I2727">
        <f>B2727&amp;"~"&amp;F2727&amp;"~"&amp;G2727</f>
        <v/>
      </c>
      <c r="J2727" t="inlineStr">
        <is>
          <t>MVS Sec.18 p.12</t>
        </is>
      </c>
    </row>
    <row r="2728">
      <c r="B2728" t="inlineStr">
        <is>
          <t>Vocational Schools</t>
        </is>
      </c>
      <c r="C2728" t="inlineStr">
        <is>
          <t>487</t>
        </is>
      </c>
      <c r="D2728" t="inlineStr">
        <is>
          <t>18</t>
        </is>
      </c>
      <c r="E2728" t="inlineStr">
        <is>
          <t>12</t>
        </is>
      </c>
      <c r="F2728" t="inlineStr">
        <is>
          <t>S</t>
        </is>
      </c>
      <c r="G2728" t="inlineStr">
        <is>
          <t>Average</t>
        </is>
      </c>
      <c r="H2728" t="n">
        <v>159</v>
      </c>
      <c r="I2728">
        <f>B2728&amp;"~"&amp;F2728&amp;"~"&amp;G2728</f>
        <v/>
      </c>
      <c r="J2728" t="inlineStr">
        <is>
          <t>MVS Sec.18 p.12</t>
        </is>
      </c>
    </row>
    <row r="2729">
      <c r="B2729" t="inlineStr">
        <is>
          <t>Vocational Schools</t>
        </is>
      </c>
      <c r="C2729" t="inlineStr">
        <is>
          <t>487</t>
        </is>
      </c>
      <c r="D2729" t="inlineStr">
        <is>
          <t>18</t>
        </is>
      </c>
      <c r="E2729" t="inlineStr">
        <is>
          <t>12</t>
        </is>
      </c>
      <c r="F2729" t="inlineStr">
        <is>
          <t>S</t>
        </is>
      </c>
      <c r="G2729" t="inlineStr">
        <is>
          <t>Low Cost</t>
        </is>
      </c>
      <c r="H2729" t="n">
        <v>121</v>
      </c>
      <c r="I2729">
        <f>B2729&amp;"~"&amp;F2729&amp;"~"&amp;G2729</f>
        <v/>
      </c>
      <c r="J2729" t="inlineStr">
        <is>
          <t>MVS Sec.18 p.12</t>
        </is>
      </c>
    </row>
    <row r="2730">
      <c r="B2730" t="inlineStr">
        <is>
          <t>Alternative (High) Schools</t>
        </is>
      </c>
      <c r="C2730" t="inlineStr">
        <is>
          <t>156</t>
        </is>
      </c>
      <c r="D2730" t="inlineStr">
        <is>
          <t>18</t>
        </is>
      </c>
      <c r="E2730" t="inlineStr">
        <is>
          <t>13</t>
        </is>
      </c>
      <c r="F2730" t="inlineStr">
        <is>
          <t>A-B</t>
        </is>
      </c>
      <c r="G2730" t="inlineStr">
        <is>
          <t>Average</t>
        </is>
      </c>
      <c r="H2730" t="n">
        <v>255</v>
      </c>
      <c r="I2730">
        <f>B2730&amp;"~"&amp;F2730&amp;"~"&amp;G2730</f>
        <v/>
      </c>
      <c r="J2730" t="inlineStr">
        <is>
          <t>MVS Sec.18 p.13</t>
        </is>
      </c>
    </row>
    <row r="2731">
      <c r="B2731" t="inlineStr">
        <is>
          <t>Alternative (High) Schools</t>
        </is>
      </c>
      <c r="C2731" t="inlineStr">
        <is>
          <t>156</t>
        </is>
      </c>
      <c r="D2731" t="inlineStr">
        <is>
          <t>18</t>
        </is>
      </c>
      <c r="E2731" t="inlineStr">
        <is>
          <t>13</t>
        </is>
      </c>
      <c r="F2731" t="inlineStr">
        <is>
          <t>C</t>
        </is>
      </c>
      <c r="G2731" t="inlineStr">
        <is>
          <t>Excellent</t>
        </is>
      </c>
      <c r="H2731" t="n">
        <v>313</v>
      </c>
      <c r="I2731">
        <f>B2731&amp;"~"&amp;F2731&amp;"~"&amp;G2731</f>
        <v/>
      </c>
      <c r="J2731" t="inlineStr">
        <is>
          <t>MVS Sec.18 p.13</t>
        </is>
      </c>
    </row>
    <row r="2732">
      <c r="B2732" t="inlineStr">
        <is>
          <t>Alternative (High) Schools</t>
        </is>
      </c>
      <c r="C2732" t="inlineStr">
        <is>
          <t>156</t>
        </is>
      </c>
      <c r="D2732" t="inlineStr">
        <is>
          <t>18</t>
        </is>
      </c>
      <c r="E2732" t="inlineStr">
        <is>
          <t>13</t>
        </is>
      </c>
      <c r="F2732" t="inlineStr">
        <is>
          <t>C</t>
        </is>
      </c>
      <c r="G2732" t="inlineStr">
        <is>
          <t>Good</t>
        </is>
      </c>
      <c r="H2732" t="n">
        <v>248</v>
      </c>
      <c r="I2732">
        <f>B2732&amp;"~"&amp;F2732&amp;"~"&amp;G2732</f>
        <v/>
      </c>
      <c r="J2732" t="inlineStr">
        <is>
          <t>MVS Sec.18 p.13</t>
        </is>
      </c>
    </row>
    <row r="2733">
      <c r="B2733" t="inlineStr">
        <is>
          <t>Alternative (High) Schools</t>
        </is>
      </c>
      <c r="C2733" t="inlineStr">
        <is>
          <t>156</t>
        </is>
      </c>
      <c r="D2733" t="inlineStr">
        <is>
          <t>18</t>
        </is>
      </c>
      <c r="E2733" t="inlineStr">
        <is>
          <t>13</t>
        </is>
      </c>
      <c r="F2733" t="inlineStr">
        <is>
          <t>C</t>
        </is>
      </c>
      <c r="G2733" t="inlineStr">
        <is>
          <t>Average</t>
        </is>
      </c>
      <c r="H2733" t="n">
        <v>195</v>
      </c>
      <c r="I2733">
        <f>B2733&amp;"~"&amp;F2733&amp;"~"&amp;G2733</f>
        <v/>
      </c>
      <c r="J2733" t="inlineStr">
        <is>
          <t>MVS Sec.18 p.13</t>
        </is>
      </c>
    </row>
    <row r="2734">
      <c r="B2734" t="inlineStr">
        <is>
          <t>Alternative (High) Schools</t>
        </is>
      </c>
      <c r="C2734" t="inlineStr">
        <is>
          <t>156</t>
        </is>
      </c>
      <c r="D2734" t="inlineStr">
        <is>
          <t>18</t>
        </is>
      </c>
      <c r="E2734" t="inlineStr">
        <is>
          <t>13</t>
        </is>
      </c>
      <c r="F2734" t="inlineStr">
        <is>
          <t>D</t>
        </is>
      </c>
      <c r="G2734" t="inlineStr">
        <is>
          <t>Excellent</t>
        </is>
      </c>
      <c r="H2734" t="n">
        <v>308</v>
      </c>
      <c r="I2734">
        <f>B2734&amp;"~"&amp;F2734&amp;"~"&amp;G2734</f>
        <v/>
      </c>
      <c r="J2734" t="inlineStr">
        <is>
          <t>MVS Sec.18 p.13</t>
        </is>
      </c>
    </row>
    <row r="2735">
      <c r="B2735" t="inlineStr">
        <is>
          <t>Alternative (High) Schools</t>
        </is>
      </c>
      <c r="C2735" t="inlineStr">
        <is>
          <t>156</t>
        </is>
      </c>
      <c r="D2735" t="inlineStr">
        <is>
          <t>18</t>
        </is>
      </c>
      <c r="E2735" t="inlineStr">
        <is>
          <t>13</t>
        </is>
      </c>
      <c r="F2735" t="inlineStr">
        <is>
          <t>D</t>
        </is>
      </c>
      <c r="G2735" t="inlineStr">
        <is>
          <t>Good</t>
        </is>
      </c>
      <c r="H2735" t="n">
        <v>242</v>
      </c>
      <c r="I2735">
        <f>B2735&amp;"~"&amp;F2735&amp;"~"&amp;G2735</f>
        <v/>
      </c>
      <c r="J2735" t="inlineStr">
        <is>
          <t>MVS Sec.18 p.13</t>
        </is>
      </c>
    </row>
    <row r="2736">
      <c r="B2736" t="inlineStr">
        <is>
          <t>Alternative (High) Schools</t>
        </is>
      </c>
      <c r="C2736" t="inlineStr">
        <is>
          <t>156</t>
        </is>
      </c>
      <c r="D2736" t="inlineStr">
        <is>
          <t>18</t>
        </is>
      </c>
      <c r="E2736" t="inlineStr">
        <is>
          <t>13</t>
        </is>
      </c>
      <c r="F2736" t="inlineStr">
        <is>
          <t>D</t>
        </is>
      </c>
      <c r="G2736" t="inlineStr">
        <is>
          <t>Average</t>
        </is>
      </c>
      <c r="H2736" t="n">
        <v>189</v>
      </c>
      <c r="I2736">
        <f>B2736&amp;"~"&amp;F2736&amp;"~"&amp;G2736</f>
        <v/>
      </c>
      <c r="J2736" t="inlineStr">
        <is>
          <t>MVS Sec.18 p.13</t>
        </is>
      </c>
    </row>
    <row r="2737">
      <c r="B2737" t="inlineStr">
        <is>
          <t>Alternative (High) Schools</t>
        </is>
      </c>
      <c r="C2737" t="inlineStr">
        <is>
          <t>156</t>
        </is>
      </c>
      <c r="D2737" t="inlineStr">
        <is>
          <t>18</t>
        </is>
      </c>
      <c r="E2737" t="inlineStr">
        <is>
          <t>13</t>
        </is>
      </c>
      <c r="F2737" t="inlineStr">
        <is>
          <t>DPOLE</t>
        </is>
      </c>
      <c r="G2737" t="inlineStr">
        <is>
          <t>Average</t>
        </is>
      </c>
      <c r="H2737" t="n">
        <v>183</v>
      </c>
      <c r="I2737">
        <f>B2737&amp;"~"&amp;F2737&amp;"~"&amp;G2737</f>
        <v/>
      </c>
      <c r="J2737" t="inlineStr">
        <is>
          <t>MVS Sec.18 p.13</t>
        </is>
      </c>
    </row>
    <row r="2738">
      <c r="B2738" t="inlineStr">
        <is>
          <t>Alternative (High) Schools</t>
        </is>
      </c>
      <c r="C2738" t="inlineStr">
        <is>
          <t>156</t>
        </is>
      </c>
      <c r="D2738" t="inlineStr">
        <is>
          <t>18</t>
        </is>
      </c>
      <c r="E2738" t="inlineStr">
        <is>
          <t>13</t>
        </is>
      </c>
      <c r="F2738" t="inlineStr">
        <is>
          <t>S</t>
        </is>
      </c>
      <c r="G2738" t="inlineStr">
        <is>
          <t>Good</t>
        </is>
      </c>
      <c r="H2738" t="n">
        <v>238</v>
      </c>
      <c r="I2738">
        <f>B2738&amp;"~"&amp;F2738&amp;"~"&amp;G2738</f>
        <v/>
      </c>
      <c r="J2738" t="inlineStr">
        <is>
          <t>MVS Sec.18 p.13</t>
        </is>
      </c>
    </row>
    <row r="2739">
      <c r="B2739" t="inlineStr">
        <is>
          <t>Alternative (High) Schools</t>
        </is>
      </c>
      <c r="C2739" t="inlineStr">
        <is>
          <t>156</t>
        </is>
      </c>
      <c r="D2739" t="inlineStr">
        <is>
          <t>18</t>
        </is>
      </c>
      <c r="E2739" t="inlineStr">
        <is>
          <t>13</t>
        </is>
      </c>
      <c r="F2739" t="inlineStr">
        <is>
          <t>S</t>
        </is>
      </c>
      <c r="G2739" t="inlineStr">
        <is>
          <t>Average</t>
        </is>
      </c>
      <c r="H2739" t="n">
        <v>184</v>
      </c>
      <c r="I2739">
        <f>B2739&amp;"~"&amp;F2739&amp;"~"&amp;G2739</f>
        <v/>
      </c>
      <c r="J2739" t="inlineStr">
        <is>
          <t>MVS Sec.18 p.13</t>
        </is>
      </c>
    </row>
    <row r="2740">
      <c r="B2740" t="inlineStr">
        <is>
          <t>Day Care Centers</t>
        </is>
      </c>
      <c r="C2740" t="inlineStr">
        <is>
          <t>426</t>
        </is>
      </c>
      <c r="D2740" t="inlineStr">
        <is>
          <t>18</t>
        </is>
      </c>
      <c r="E2740" t="inlineStr">
        <is>
          <t>13</t>
        </is>
      </c>
      <c r="F2740" t="inlineStr">
        <is>
          <t>A-B</t>
        </is>
      </c>
      <c r="G2740" t="inlineStr">
        <is>
          <t>Average</t>
        </is>
      </c>
      <c r="H2740" t="n">
        <v>229</v>
      </c>
      <c r="I2740">
        <f>B2740&amp;"~"&amp;F2740&amp;"~"&amp;G2740</f>
        <v/>
      </c>
      <c r="J2740" t="inlineStr">
        <is>
          <t>MVS Sec.18 p.13</t>
        </is>
      </c>
    </row>
    <row r="2741">
      <c r="B2741" t="inlineStr">
        <is>
          <t>Day Care Centers</t>
        </is>
      </c>
      <c r="C2741" t="inlineStr">
        <is>
          <t>426</t>
        </is>
      </c>
      <c r="D2741" t="inlineStr">
        <is>
          <t>18</t>
        </is>
      </c>
      <c r="E2741" t="inlineStr">
        <is>
          <t>13</t>
        </is>
      </c>
      <c r="F2741" t="inlineStr">
        <is>
          <t>C</t>
        </is>
      </c>
      <c r="G2741" t="inlineStr">
        <is>
          <t>Excellent</t>
        </is>
      </c>
      <c r="H2741" t="n">
        <v>294</v>
      </c>
      <c r="I2741">
        <f>B2741&amp;"~"&amp;F2741&amp;"~"&amp;G2741</f>
        <v/>
      </c>
      <c r="J2741" t="inlineStr">
        <is>
          <t>MVS Sec.18 p.13</t>
        </is>
      </c>
    </row>
    <row r="2742">
      <c r="B2742" t="inlineStr">
        <is>
          <t>Day Care Centers</t>
        </is>
      </c>
      <c r="C2742" t="inlineStr">
        <is>
          <t>426</t>
        </is>
      </c>
      <c r="D2742" t="inlineStr">
        <is>
          <t>18</t>
        </is>
      </c>
      <c r="E2742" t="inlineStr">
        <is>
          <t>13</t>
        </is>
      </c>
      <c r="F2742" t="inlineStr">
        <is>
          <t>C</t>
        </is>
      </c>
      <c r="G2742" t="inlineStr">
        <is>
          <t>Good</t>
        </is>
      </c>
      <c r="H2742" t="n">
        <v>225</v>
      </c>
      <c r="I2742">
        <f>B2742&amp;"~"&amp;F2742&amp;"~"&amp;G2742</f>
        <v/>
      </c>
      <c r="J2742" t="inlineStr">
        <is>
          <t>MVS Sec.18 p.13</t>
        </is>
      </c>
    </row>
    <row r="2743">
      <c r="B2743" t="inlineStr">
        <is>
          <t>Day Care Centers</t>
        </is>
      </c>
      <c r="C2743" t="inlineStr">
        <is>
          <t>426</t>
        </is>
      </c>
      <c r="D2743" t="inlineStr">
        <is>
          <t>18</t>
        </is>
      </c>
      <c r="E2743" t="inlineStr">
        <is>
          <t>13</t>
        </is>
      </c>
      <c r="F2743" t="inlineStr">
        <is>
          <t>C</t>
        </is>
      </c>
      <c r="G2743" t="inlineStr">
        <is>
          <t>Average</t>
        </is>
      </c>
      <c r="H2743" t="n">
        <v>173</v>
      </c>
      <c r="I2743">
        <f>B2743&amp;"~"&amp;F2743&amp;"~"&amp;G2743</f>
        <v/>
      </c>
      <c r="J2743" t="inlineStr">
        <is>
          <t>MVS Sec.18 p.13</t>
        </is>
      </c>
    </row>
    <row r="2744">
      <c r="B2744" t="inlineStr">
        <is>
          <t>Day Care Centers</t>
        </is>
      </c>
      <c r="C2744" t="inlineStr">
        <is>
          <t>426</t>
        </is>
      </c>
      <c r="D2744" t="inlineStr">
        <is>
          <t>18</t>
        </is>
      </c>
      <c r="E2744" t="inlineStr">
        <is>
          <t>13</t>
        </is>
      </c>
      <c r="F2744" t="inlineStr">
        <is>
          <t>C</t>
        </is>
      </c>
      <c r="G2744" t="inlineStr">
        <is>
          <t>Low Cost</t>
        </is>
      </c>
      <c r="H2744" t="n">
        <v>128</v>
      </c>
      <c r="I2744">
        <f>B2744&amp;"~"&amp;F2744&amp;"~"&amp;G2744</f>
        <v/>
      </c>
      <c r="J2744" t="inlineStr">
        <is>
          <t>MVS Sec.18 p.13</t>
        </is>
      </c>
    </row>
    <row r="2745">
      <c r="B2745" t="inlineStr">
        <is>
          <t>Day Care Centers</t>
        </is>
      </c>
      <c r="C2745" t="inlineStr">
        <is>
          <t>426</t>
        </is>
      </c>
      <c r="D2745" t="inlineStr">
        <is>
          <t>18</t>
        </is>
      </c>
      <c r="E2745" t="inlineStr">
        <is>
          <t>13</t>
        </is>
      </c>
      <c r="F2745" t="inlineStr">
        <is>
          <t>D</t>
        </is>
      </c>
      <c r="G2745" t="inlineStr">
        <is>
          <t>Excellent</t>
        </is>
      </c>
      <c r="H2745" t="n">
        <v>290</v>
      </c>
      <c r="I2745">
        <f>B2745&amp;"~"&amp;F2745&amp;"~"&amp;G2745</f>
        <v/>
      </c>
      <c r="J2745" t="inlineStr">
        <is>
          <t>MVS Sec.18 p.13</t>
        </is>
      </c>
    </row>
    <row r="2746">
      <c r="B2746" t="inlineStr">
        <is>
          <t>Day Care Centers</t>
        </is>
      </c>
      <c r="C2746" t="inlineStr">
        <is>
          <t>426</t>
        </is>
      </c>
      <c r="D2746" t="inlineStr">
        <is>
          <t>18</t>
        </is>
      </c>
      <c r="E2746" t="inlineStr">
        <is>
          <t>13</t>
        </is>
      </c>
      <c r="F2746" t="inlineStr">
        <is>
          <t>D</t>
        </is>
      </c>
      <c r="G2746" t="inlineStr">
        <is>
          <t>Good</t>
        </is>
      </c>
      <c r="H2746" t="n">
        <v>220</v>
      </c>
      <c r="I2746">
        <f>B2746&amp;"~"&amp;F2746&amp;"~"&amp;G2746</f>
        <v/>
      </c>
      <c r="J2746" t="inlineStr">
        <is>
          <t>MVS Sec.18 p.13</t>
        </is>
      </c>
    </row>
    <row r="2747">
      <c r="B2747" t="inlineStr">
        <is>
          <t>Day Care Centers</t>
        </is>
      </c>
      <c r="C2747" t="inlineStr">
        <is>
          <t>426</t>
        </is>
      </c>
      <c r="D2747" t="inlineStr">
        <is>
          <t>18</t>
        </is>
      </c>
      <c r="E2747" t="inlineStr">
        <is>
          <t>13</t>
        </is>
      </c>
      <c r="F2747" t="inlineStr">
        <is>
          <t>D</t>
        </is>
      </c>
      <c r="G2747" t="inlineStr">
        <is>
          <t>Average</t>
        </is>
      </c>
      <c r="H2747" t="n">
        <v>168</v>
      </c>
      <c r="I2747">
        <f>B2747&amp;"~"&amp;F2747&amp;"~"&amp;G2747</f>
        <v/>
      </c>
      <c r="J2747" t="inlineStr">
        <is>
          <t>MVS Sec.18 p.13</t>
        </is>
      </c>
    </row>
    <row r="2748">
      <c r="B2748" t="inlineStr">
        <is>
          <t>Day Care Centers</t>
        </is>
      </c>
      <c r="C2748" t="inlineStr">
        <is>
          <t>426</t>
        </is>
      </c>
      <c r="D2748" t="inlineStr">
        <is>
          <t>18</t>
        </is>
      </c>
      <c r="E2748" t="inlineStr">
        <is>
          <t>13</t>
        </is>
      </c>
      <c r="F2748" t="inlineStr">
        <is>
          <t>D</t>
        </is>
      </c>
      <c r="G2748" t="inlineStr">
        <is>
          <t>Low Cost</t>
        </is>
      </c>
      <c r="H2748" t="n">
        <v>122</v>
      </c>
      <c r="I2748">
        <f>B2748&amp;"~"&amp;F2748&amp;"~"&amp;G2748</f>
        <v/>
      </c>
      <c r="J2748" t="inlineStr">
        <is>
          <t>MVS Sec.18 p.13</t>
        </is>
      </c>
    </row>
    <row r="2749">
      <c r="B2749" t="inlineStr">
        <is>
          <t>Day Care Centers</t>
        </is>
      </c>
      <c r="C2749" t="inlineStr">
        <is>
          <t>426</t>
        </is>
      </c>
      <c r="D2749" t="inlineStr">
        <is>
          <t>18</t>
        </is>
      </c>
      <c r="E2749" t="inlineStr">
        <is>
          <t>13</t>
        </is>
      </c>
      <c r="F2749" t="inlineStr">
        <is>
          <t>DPOLE</t>
        </is>
      </c>
      <c r="G2749" t="inlineStr">
        <is>
          <t>Average</t>
        </is>
      </c>
      <c r="H2749" t="n">
        <v>160</v>
      </c>
      <c r="I2749">
        <f>B2749&amp;"~"&amp;F2749&amp;"~"&amp;G2749</f>
        <v/>
      </c>
      <c r="J2749" t="inlineStr">
        <is>
          <t>MVS Sec.18 p.13</t>
        </is>
      </c>
    </row>
    <row r="2750">
      <c r="B2750" t="inlineStr">
        <is>
          <t>Day Care Centers</t>
        </is>
      </c>
      <c r="C2750" t="inlineStr">
        <is>
          <t>426</t>
        </is>
      </c>
      <c r="D2750" t="inlineStr">
        <is>
          <t>18</t>
        </is>
      </c>
      <c r="E2750" t="inlineStr">
        <is>
          <t>13</t>
        </is>
      </c>
      <c r="F2750" t="inlineStr">
        <is>
          <t>DPOLE</t>
        </is>
      </c>
      <c r="G2750" t="inlineStr">
        <is>
          <t>Low Cost</t>
        </is>
      </c>
      <c r="H2750" t="n">
        <v>116</v>
      </c>
      <c r="I2750">
        <f>B2750&amp;"~"&amp;F2750&amp;"~"&amp;G2750</f>
        <v/>
      </c>
      <c r="J2750" t="inlineStr">
        <is>
          <t>MVS Sec.18 p.13</t>
        </is>
      </c>
    </row>
    <row r="2751">
      <c r="B2751" t="inlineStr">
        <is>
          <t>Day Care Centers</t>
        </is>
      </c>
      <c r="C2751" t="inlineStr">
        <is>
          <t>426</t>
        </is>
      </c>
      <c r="D2751" t="inlineStr">
        <is>
          <t>18</t>
        </is>
      </c>
      <c r="E2751" t="inlineStr">
        <is>
          <t>13</t>
        </is>
      </c>
      <c r="F2751" t="inlineStr">
        <is>
          <t>S</t>
        </is>
      </c>
      <c r="G2751" t="inlineStr">
        <is>
          <t>Average</t>
        </is>
      </c>
      <c r="H2751" t="n">
        <v>162</v>
      </c>
      <c r="I2751">
        <f>B2751&amp;"~"&amp;F2751&amp;"~"&amp;G2751</f>
        <v/>
      </c>
      <c r="J2751" t="inlineStr">
        <is>
          <t>MVS Sec.18 p.13</t>
        </is>
      </c>
    </row>
    <row r="2752">
      <c r="B2752" t="inlineStr">
        <is>
          <t>Day Care Centers</t>
        </is>
      </c>
      <c r="C2752" t="inlineStr">
        <is>
          <t>426</t>
        </is>
      </c>
      <c r="D2752" t="inlineStr">
        <is>
          <t>18</t>
        </is>
      </c>
      <c r="E2752" t="inlineStr">
        <is>
          <t>13</t>
        </is>
      </c>
      <c r="F2752" t="inlineStr">
        <is>
          <t>S</t>
        </is>
      </c>
      <c r="G2752" t="inlineStr">
        <is>
          <t>Low Cost</t>
        </is>
      </c>
      <c r="H2752" t="n">
        <v>118</v>
      </c>
      <c r="I2752">
        <f>B2752&amp;"~"&amp;F2752&amp;"~"&amp;G2752</f>
        <v/>
      </c>
      <c r="J2752" t="inlineStr">
        <is>
          <t>MVS Sec.18 p.13</t>
        </is>
      </c>
    </row>
    <row r="2753">
      <c r="B2753" t="inlineStr">
        <is>
          <t>Classrooms</t>
        </is>
      </c>
      <c r="C2753" t="inlineStr">
        <is>
          <t>356</t>
        </is>
      </c>
      <c r="D2753" t="inlineStr">
        <is>
          <t>18</t>
        </is>
      </c>
      <c r="E2753" t="inlineStr">
        <is>
          <t>14</t>
        </is>
      </c>
      <c r="F2753" t="inlineStr">
        <is>
          <t>A-B</t>
        </is>
      </c>
      <c r="G2753" t="inlineStr">
        <is>
          <t>Excellent</t>
        </is>
      </c>
      <c r="H2753" t="n">
        <v>357</v>
      </c>
      <c r="I2753">
        <f>B2753&amp;"~"&amp;F2753&amp;"~"&amp;G2753</f>
        <v/>
      </c>
      <c r="J2753" t="inlineStr">
        <is>
          <t>MVS Sec.18 p.14</t>
        </is>
      </c>
    </row>
    <row r="2754">
      <c r="B2754" t="inlineStr">
        <is>
          <t>Classrooms</t>
        </is>
      </c>
      <c r="C2754" t="inlineStr">
        <is>
          <t>356</t>
        </is>
      </c>
      <c r="D2754" t="inlineStr">
        <is>
          <t>18</t>
        </is>
      </c>
      <c r="E2754" t="inlineStr">
        <is>
          <t>14</t>
        </is>
      </c>
      <c r="F2754" t="inlineStr">
        <is>
          <t>A-B</t>
        </is>
      </c>
      <c r="G2754" t="inlineStr">
        <is>
          <t>Good</t>
        </is>
      </c>
      <c r="H2754" t="n">
        <v>291</v>
      </c>
      <c r="I2754">
        <f>B2754&amp;"~"&amp;F2754&amp;"~"&amp;G2754</f>
        <v/>
      </c>
      <c r="J2754" t="inlineStr">
        <is>
          <t>MVS Sec.18 p.14</t>
        </is>
      </c>
    </row>
    <row r="2755">
      <c r="B2755" t="inlineStr">
        <is>
          <t>Classrooms</t>
        </is>
      </c>
      <c r="C2755" t="inlineStr">
        <is>
          <t>356</t>
        </is>
      </c>
      <c r="D2755" t="inlineStr">
        <is>
          <t>18</t>
        </is>
      </c>
      <c r="E2755" t="inlineStr">
        <is>
          <t>14</t>
        </is>
      </c>
      <c r="F2755" t="inlineStr">
        <is>
          <t>A-B</t>
        </is>
      </c>
      <c r="G2755" t="inlineStr">
        <is>
          <t>Average</t>
        </is>
      </c>
      <c r="H2755" t="n">
        <v>224</v>
      </c>
      <c r="I2755">
        <f>B2755&amp;"~"&amp;F2755&amp;"~"&amp;G2755</f>
        <v/>
      </c>
      <c r="J2755" t="inlineStr">
        <is>
          <t>MVS Sec.18 p.14</t>
        </is>
      </c>
    </row>
    <row r="2756">
      <c r="B2756" t="inlineStr">
        <is>
          <t>Classrooms</t>
        </is>
      </c>
      <c r="C2756" t="inlineStr">
        <is>
          <t>356</t>
        </is>
      </c>
      <c r="D2756" t="inlineStr">
        <is>
          <t>18</t>
        </is>
      </c>
      <c r="E2756" t="inlineStr">
        <is>
          <t>14</t>
        </is>
      </c>
      <c r="F2756" t="inlineStr">
        <is>
          <t>A-B</t>
        </is>
      </c>
      <c r="G2756" t="inlineStr">
        <is>
          <t>Low Cost</t>
        </is>
      </c>
      <c r="H2756" t="n">
        <v>172</v>
      </c>
      <c r="I2756">
        <f>B2756&amp;"~"&amp;F2756&amp;"~"&amp;G2756</f>
        <v/>
      </c>
      <c r="J2756" t="inlineStr">
        <is>
          <t>MVS Sec.18 p.14</t>
        </is>
      </c>
    </row>
    <row r="2757">
      <c r="B2757" t="inlineStr">
        <is>
          <t>Classrooms</t>
        </is>
      </c>
      <c r="C2757" t="inlineStr">
        <is>
          <t>356</t>
        </is>
      </c>
      <c r="D2757" t="inlineStr">
        <is>
          <t>18</t>
        </is>
      </c>
      <c r="E2757" t="inlineStr">
        <is>
          <t>14</t>
        </is>
      </c>
      <c r="F2757" t="inlineStr">
        <is>
          <t>C</t>
        </is>
      </c>
      <c r="G2757" t="inlineStr">
        <is>
          <t>Excellent</t>
        </is>
      </c>
      <c r="H2757" t="n">
        <v>288</v>
      </c>
      <c r="I2757">
        <f>B2757&amp;"~"&amp;F2757&amp;"~"&amp;G2757</f>
        <v/>
      </c>
      <c r="J2757" t="inlineStr">
        <is>
          <t>MVS Sec.18 p.14</t>
        </is>
      </c>
    </row>
    <row r="2758">
      <c r="B2758" t="inlineStr">
        <is>
          <t>Classrooms</t>
        </is>
      </c>
      <c r="C2758" t="inlineStr">
        <is>
          <t>356</t>
        </is>
      </c>
      <c r="D2758" t="inlineStr">
        <is>
          <t>18</t>
        </is>
      </c>
      <c r="E2758" t="inlineStr">
        <is>
          <t>14</t>
        </is>
      </c>
      <c r="F2758" t="inlineStr">
        <is>
          <t>C</t>
        </is>
      </c>
      <c r="G2758" t="inlineStr">
        <is>
          <t>Good</t>
        </is>
      </c>
      <c r="H2758" t="n">
        <v>223</v>
      </c>
      <c r="I2758">
        <f>B2758&amp;"~"&amp;F2758&amp;"~"&amp;G2758</f>
        <v/>
      </c>
      <c r="J2758" t="inlineStr">
        <is>
          <t>MVS Sec.18 p.14</t>
        </is>
      </c>
    </row>
    <row r="2759">
      <c r="B2759" t="inlineStr">
        <is>
          <t>Classrooms</t>
        </is>
      </c>
      <c r="C2759" t="inlineStr">
        <is>
          <t>356</t>
        </is>
      </c>
      <c r="D2759" t="inlineStr">
        <is>
          <t>18</t>
        </is>
      </c>
      <c r="E2759" t="inlineStr">
        <is>
          <t>14</t>
        </is>
      </c>
      <c r="F2759" t="inlineStr">
        <is>
          <t>C</t>
        </is>
      </c>
      <c r="G2759" t="inlineStr">
        <is>
          <t>Average</t>
        </is>
      </c>
      <c r="H2759" t="n">
        <v>171</v>
      </c>
      <c r="I2759">
        <f>B2759&amp;"~"&amp;F2759&amp;"~"&amp;G2759</f>
        <v/>
      </c>
      <c r="J2759" t="inlineStr">
        <is>
          <t>MVS Sec.18 p.14</t>
        </is>
      </c>
    </row>
    <row r="2760">
      <c r="B2760" t="inlineStr">
        <is>
          <t>Classrooms</t>
        </is>
      </c>
      <c r="C2760" t="inlineStr">
        <is>
          <t>356</t>
        </is>
      </c>
      <c r="D2760" t="inlineStr">
        <is>
          <t>18</t>
        </is>
      </c>
      <c r="E2760" t="inlineStr">
        <is>
          <t>14</t>
        </is>
      </c>
      <c r="F2760" t="inlineStr">
        <is>
          <t>C</t>
        </is>
      </c>
      <c r="G2760" t="inlineStr">
        <is>
          <t>Low Cost</t>
        </is>
      </c>
      <c r="H2760" t="n">
        <v>136</v>
      </c>
      <c r="I2760">
        <f>B2760&amp;"~"&amp;F2760&amp;"~"&amp;G2760</f>
        <v/>
      </c>
      <c r="J2760" t="inlineStr">
        <is>
          <t>MVS Sec.18 p.14</t>
        </is>
      </c>
    </row>
    <row r="2761">
      <c r="B2761" t="inlineStr">
        <is>
          <t>Classrooms</t>
        </is>
      </c>
      <c r="C2761" t="inlineStr">
        <is>
          <t>356</t>
        </is>
      </c>
      <c r="D2761" t="inlineStr">
        <is>
          <t>18</t>
        </is>
      </c>
      <c r="E2761" t="inlineStr">
        <is>
          <t>14</t>
        </is>
      </c>
      <c r="F2761" t="inlineStr">
        <is>
          <t>C</t>
        </is>
      </c>
      <c r="G2761" t="inlineStr">
        <is>
          <t>Cheap</t>
        </is>
      </c>
      <c r="H2761" t="n">
        <v>98</v>
      </c>
      <c r="I2761">
        <f>B2761&amp;"~"&amp;F2761&amp;"~"&amp;G2761</f>
        <v/>
      </c>
      <c r="J2761" t="inlineStr">
        <is>
          <t>MVS Sec.18 p.14</t>
        </is>
      </c>
    </row>
    <row r="2762">
      <c r="B2762" t="inlineStr">
        <is>
          <t>Classrooms</t>
        </is>
      </c>
      <c r="C2762" t="inlineStr">
        <is>
          <t>356</t>
        </is>
      </c>
      <c r="D2762" t="inlineStr">
        <is>
          <t>18</t>
        </is>
      </c>
      <c r="E2762" t="inlineStr">
        <is>
          <t>14</t>
        </is>
      </c>
      <c r="F2762" t="inlineStr">
        <is>
          <t>D</t>
        </is>
      </c>
      <c r="G2762" t="inlineStr">
        <is>
          <t>Excellent</t>
        </is>
      </c>
      <c r="H2762" t="n">
        <v>283</v>
      </c>
      <c r="I2762">
        <f>B2762&amp;"~"&amp;F2762&amp;"~"&amp;G2762</f>
        <v/>
      </c>
      <c r="J2762" t="inlineStr">
        <is>
          <t>MVS Sec.18 p.14</t>
        </is>
      </c>
    </row>
    <row r="2763">
      <c r="B2763" t="inlineStr">
        <is>
          <t>Classrooms</t>
        </is>
      </c>
      <c r="C2763" t="inlineStr">
        <is>
          <t>356</t>
        </is>
      </c>
      <c r="D2763" t="inlineStr">
        <is>
          <t>18</t>
        </is>
      </c>
      <c r="E2763" t="inlineStr">
        <is>
          <t>14</t>
        </is>
      </c>
      <c r="F2763" t="inlineStr">
        <is>
          <t>D</t>
        </is>
      </c>
      <c r="G2763" t="inlineStr">
        <is>
          <t>Good</t>
        </is>
      </c>
      <c r="H2763" t="n">
        <v>217</v>
      </c>
      <c r="I2763">
        <f>B2763&amp;"~"&amp;F2763&amp;"~"&amp;G2763</f>
        <v/>
      </c>
      <c r="J2763" t="inlineStr">
        <is>
          <t>MVS Sec.18 p.14</t>
        </is>
      </c>
    </row>
    <row r="2764">
      <c r="B2764" t="inlineStr">
        <is>
          <t>Classrooms</t>
        </is>
      </c>
      <c r="C2764" t="inlineStr">
        <is>
          <t>356</t>
        </is>
      </c>
      <c r="D2764" t="inlineStr">
        <is>
          <t>18</t>
        </is>
      </c>
      <c r="E2764" t="inlineStr">
        <is>
          <t>14</t>
        </is>
      </c>
      <c r="F2764" t="inlineStr">
        <is>
          <t>D</t>
        </is>
      </c>
      <c r="G2764" t="inlineStr">
        <is>
          <t>Average</t>
        </is>
      </c>
      <c r="H2764" t="n">
        <v>166</v>
      </c>
      <c r="I2764">
        <f>B2764&amp;"~"&amp;F2764&amp;"~"&amp;G2764</f>
        <v/>
      </c>
      <c r="J2764" t="inlineStr">
        <is>
          <t>MVS Sec.18 p.14</t>
        </is>
      </c>
    </row>
    <row r="2765">
      <c r="B2765" t="inlineStr">
        <is>
          <t>Classrooms</t>
        </is>
      </c>
      <c r="C2765" t="inlineStr">
        <is>
          <t>356</t>
        </is>
      </c>
      <c r="D2765" t="inlineStr">
        <is>
          <t>18</t>
        </is>
      </c>
      <c r="E2765" t="inlineStr">
        <is>
          <t>14</t>
        </is>
      </c>
      <c r="F2765" t="inlineStr">
        <is>
          <t>D</t>
        </is>
      </c>
      <c r="G2765" t="inlineStr">
        <is>
          <t>Low Cost</t>
        </is>
      </c>
      <c r="H2765" t="n">
        <v>130</v>
      </c>
      <c r="I2765">
        <f>B2765&amp;"~"&amp;F2765&amp;"~"&amp;G2765</f>
        <v/>
      </c>
      <c r="J2765" t="inlineStr">
        <is>
          <t>MVS Sec.18 p.14</t>
        </is>
      </c>
    </row>
    <row r="2766">
      <c r="B2766" t="inlineStr">
        <is>
          <t>Classrooms</t>
        </is>
      </c>
      <c r="C2766" t="inlineStr">
        <is>
          <t>356</t>
        </is>
      </c>
      <c r="D2766" t="inlineStr">
        <is>
          <t>18</t>
        </is>
      </c>
      <c r="E2766" t="inlineStr">
        <is>
          <t>14</t>
        </is>
      </c>
      <c r="F2766" t="inlineStr">
        <is>
          <t>D</t>
        </is>
      </c>
      <c r="G2766" t="inlineStr">
        <is>
          <t>Cheap</t>
        </is>
      </c>
      <c r="H2766" t="n">
        <v>93</v>
      </c>
      <c r="I2766">
        <f>B2766&amp;"~"&amp;F2766&amp;"~"&amp;G2766</f>
        <v/>
      </c>
      <c r="J2766" t="inlineStr">
        <is>
          <t>MVS Sec.18 p.14</t>
        </is>
      </c>
    </row>
    <row r="2767">
      <c r="B2767" t="inlineStr">
        <is>
          <t>Classrooms</t>
        </is>
      </c>
      <c r="C2767" t="inlineStr">
        <is>
          <t>356</t>
        </is>
      </c>
      <c r="D2767" t="inlineStr">
        <is>
          <t>18</t>
        </is>
      </c>
      <c r="E2767" t="inlineStr">
        <is>
          <t>14</t>
        </is>
      </c>
      <c r="F2767" t="inlineStr">
        <is>
          <t>DPOLE</t>
        </is>
      </c>
      <c r="G2767" t="inlineStr">
        <is>
          <t>Good</t>
        </is>
      </c>
      <c r="H2767" t="n">
        <v>210</v>
      </c>
      <c r="I2767">
        <f>B2767&amp;"~"&amp;F2767&amp;"~"&amp;G2767</f>
        <v/>
      </c>
      <c r="J2767" t="inlineStr">
        <is>
          <t>MVS Sec.18 p.14</t>
        </is>
      </c>
    </row>
    <row r="2768">
      <c r="B2768" t="inlineStr">
        <is>
          <t>Classrooms</t>
        </is>
      </c>
      <c r="C2768" t="inlineStr">
        <is>
          <t>356</t>
        </is>
      </c>
      <c r="D2768" t="inlineStr">
        <is>
          <t>18</t>
        </is>
      </c>
      <c r="E2768" t="inlineStr">
        <is>
          <t>14</t>
        </is>
      </c>
      <c r="F2768" t="inlineStr">
        <is>
          <t>DPOLE</t>
        </is>
      </c>
      <c r="G2768" t="inlineStr">
        <is>
          <t>Average</t>
        </is>
      </c>
      <c r="H2768" t="n">
        <v>159</v>
      </c>
      <c r="I2768">
        <f>B2768&amp;"~"&amp;F2768&amp;"~"&amp;G2768</f>
        <v/>
      </c>
      <c r="J2768" t="inlineStr">
        <is>
          <t>MVS Sec.18 p.14</t>
        </is>
      </c>
    </row>
    <row r="2769">
      <c r="B2769" t="inlineStr">
        <is>
          <t>Classrooms</t>
        </is>
      </c>
      <c r="C2769" t="inlineStr">
        <is>
          <t>356</t>
        </is>
      </c>
      <c r="D2769" t="inlineStr">
        <is>
          <t>18</t>
        </is>
      </c>
      <c r="E2769" t="inlineStr">
        <is>
          <t>14</t>
        </is>
      </c>
      <c r="F2769" t="inlineStr">
        <is>
          <t>DPOLE</t>
        </is>
      </c>
      <c r="G2769" t="inlineStr">
        <is>
          <t>Low Cost</t>
        </is>
      </c>
      <c r="H2769" t="n">
        <v>124</v>
      </c>
      <c r="I2769">
        <f>B2769&amp;"~"&amp;F2769&amp;"~"&amp;G2769</f>
        <v/>
      </c>
      <c r="J2769" t="inlineStr">
        <is>
          <t>MVS Sec.18 p.14</t>
        </is>
      </c>
    </row>
    <row r="2770">
      <c r="B2770" t="inlineStr">
        <is>
          <t>Classrooms</t>
        </is>
      </c>
      <c r="C2770" t="inlineStr">
        <is>
          <t>356</t>
        </is>
      </c>
      <c r="D2770" t="inlineStr">
        <is>
          <t>18</t>
        </is>
      </c>
      <c r="E2770" t="inlineStr">
        <is>
          <t>14</t>
        </is>
      </c>
      <c r="F2770" t="inlineStr">
        <is>
          <t>DPOLE</t>
        </is>
      </c>
      <c r="G2770" t="inlineStr">
        <is>
          <t>Cheap</t>
        </is>
      </c>
      <c r="H2770" t="n">
        <v>87.5</v>
      </c>
      <c r="I2770">
        <f>B2770&amp;"~"&amp;F2770&amp;"~"&amp;G2770</f>
        <v/>
      </c>
      <c r="J2770" t="inlineStr">
        <is>
          <t>MVS Sec.18 p.14</t>
        </is>
      </c>
    </row>
    <row r="2771">
      <c r="B2771" t="inlineStr">
        <is>
          <t>Classrooms</t>
        </is>
      </c>
      <c r="C2771" t="inlineStr">
        <is>
          <t>356</t>
        </is>
      </c>
      <c r="D2771" t="inlineStr">
        <is>
          <t>18</t>
        </is>
      </c>
      <c r="E2771" t="inlineStr">
        <is>
          <t>14</t>
        </is>
      </c>
      <c r="F2771" t="inlineStr">
        <is>
          <t>S</t>
        </is>
      </c>
      <c r="G2771" t="inlineStr">
        <is>
          <t>Good</t>
        </is>
      </c>
      <c r="H2771" t="n">
        <v>212</v>
      </c>
      <c r="I2771">
        <f>B2771&amp;"~"&amp;F2771&amp;"~"&amp;G2771</f>
        <v/>
      </c>
      <c r="J2771" t="inlineStr">
        <is>
          <t>MVS Sec.18 p.14</t>
        </is>
      </c>
    </row>
    <row r="2772">
      <c r="B2772" t="inlineStr">
        <is>
          <t>Classrooms</t>
        </is>
      </c>
      <c r="C2772" t="inlineStr">
        <is>
          <t>356</t>
        </is>
      </c>
      <c r="D2772" t="inlineStr">
        <is>
          <t>18</t>
        </is>
      </c>
      <c r="E2772" t="inlineStr">
        <is>
          <t>14</t>
        </is>
      </c>
      <c r="F2772" t="inlineStr">
        <is>
          <t>S</t>
        </is>
      </c>
      <c r="G2772" t="inlineStr">
        <is>
          <t>Average</t>
        </is>
      </c>
      <c r="H2772" t="n">
        <v>160</v>
      </c>
      <c r="I2772">
        <f>B2772&amp;"~"&amp;F2772&amp;"~"&amp;G2772</f>
        <v/>
      </c>
      <c r="J2772" t="inlineStr">
        <is>
          <t>MVS Sec.18 p.14</t>
        </is>
      </c>
    </row>
    <row r="2773">
      <c r="B2773" t="inlineStr">
        <is>
          <t>Classrooms</t>
        </is>
      </c>
      <c r="C2773" t="inlineStr">
        <is>
          <t>356</t>
        </is>
      </c>
      <c r="D2773" t="inlineStr">
        <is>
          <t>18</t>
        </is>
      </c>
      <c r="E2773" t="inlineStr">
        <is>
          <t>14</t>
        </is>
      </c>
      <c r="F2773" t="inlineStr">
        <is>
          <t>S</t>
        </is>
      </c>
      <c r="G2773" t="inlineStr">
        <is>
          <t>Low Cost</t>
        </is>
      </c>
      <c r="H2773" t="n">
        <v>125</v>
      </c>
      <c r="I2773">
        <f>B2773&amp;"~"&amp;F2773&amp;"~"&amp;G2773</f>
        <v/>
      </c>
      <c r="J2773" t="inlineStr">
        <is>
          <t>MVS Sec.18 p.14</t>
        </is>
      </c>
    </row>
    <row r="2774">
      <c r="B2774" t="inlineStr">
        <is>
          <t>Classrooms</t>
        </is>
      </c>
      <c r="C2774" t="inlineStr">
        <is>
          <t>356</t>
        </is>
      </c>
      <c r="D2774" t="inlineStr">
        <is>
          <t>18</t>
        </is>
      </c>
      <c r="E2774" t="inlineStr">
        <is>
          <t>14</t>
        </is>
      </c>
      <c r="F2774" t="inlineStr">
        <is>
          <t>S</t>
        </is>
      </c>
      <c r="G2774" t="inlineStr">
        <is>
          <t>Cheap</t>
        </is>
      </c>
      <c r="H2774" t="n">
        <v>88</v>
      </c>
      <c r="I2774">
        <f>B2774&amp;"~"&amp;F2774&amp;"~"&amp;G2774</f>
        <v/>
      </c>
      <c r="J2774" t="inlineStr">
        <is>
          <t>MVS Sec.18 p.14</t>
        </is>
      </c>
    </row>
    <row r="2775">
      <c r="B2775" t="inlineStr">
        <is>
          <t>Special Education Classrooms</t>
        </is>
      </c>
      <c r="C2775" t="inlineStr">
        <is>
          <t>158</t>
        </is>
      </c>
      <c r="D2775" t="inlineStr">
        <is>
          <t>18</t>
        </is>
      </c>
      <c r="E2775" t="inlineStr">
        <is>
          <t>15</t>
        </is>
      </c>
      <c r="F2775" t="inlineStr">
        <is>
          <t>A-B</t>
        </is>
      </c>
      <c r="G2775" t="inlineStr">
        <is>
          <t>Good</t>
        </is>
      </c>
      <c r="H2775" t="n">
        <v>324</v>
      </c>
      <c r="I2775">
        <f>B2775&amp;"~"&amp;F2775&amp;"~"&amp;G2775</f>
        <v/>
      </c>
      <c r="J2775" t="inlineStr">
        <is>
          <t>MVS Sec.18 p.15</t>
        </is>
      </c>
    </row>
    <row r="2776">
      <c r="B2776" t="inlineStr">
        <is>
          <t>Special Education Classrooms</t>
        </is>
      </c>
      <c r="C2776" t="inlineStr">
        <is>
          <t>158</t>
        </is>
      </c>
      <c r="D2776" t="inlineStr">
        <is>
          <t>18</t>
        </is>
      </c>
      <c r="E2776" t="inlineStr">
        <is>
          <t>15</t>
        </is>
      </c>
      <c r="F2776" t="inlineStr">
        <is>
          <t>A-B</t>
        </is>
      </c>
      <c r="G2776" t="inlineStr">
        <is>
          <t>Average</t>
        </is>
      </c>
      <c r="H2776" t="n">
        <v>242</v>
      </c>
      <c r="I2776">
        <f>B2776&amp;"~"&amp;F2776&amp;"~"&amp;G2776</f>
        <v/>
      </c>
      <c r="J2776" t="inlineStr">
        <is>
          <t>MVS Sec.18 p.15</t>
        </is>
      </c>
    </row>
    <row r="2777">
      <c r="B2777" t="inlineStr">
        <is>
          <t>Special Education Classrooms</t>
        </is>
      </c>
      <c r="C2777" t="inlineStr">
        <is>
          <t>158</t>
        </is>
      </c>
      <c r="D2777" t="inlineStr">
        <is>
          <t>18</t>
        </is>
      </c>
      <c r="E2777" t="inlineStr">
        <is>
          <t>15</t>
        </is>
      </c>
      <c r="F2777" t="inlineStr">
        <is>
          <t>C</t>
        </is>
      </c>
      <c r="G2777" t="inlineStr">
        <is>
          <t>Excellent</t>
        </is>
      </c>
      <c r="H2777" t="n">
        <v>321</v>
      </c>
      <c r="I2777">
        <f>B2777&amp;"~"&amp;F2777&amp;"~"&amp;G2777</f>
        <v/>
      </c>
      <c r="J2777" t="inlineStr">
        <is>
          <t>MVS Sec.18 p.15</t>
        </is>
      </c>
    </row>
    <row r="2778">
      <c r="B2778" t="inlineStr">
        <is>
          <t>Special Education Classrooms</t>
        </is>
      </c>
      <c r="C2778" t="inlineStr">
        <is>
          <t>158</t>
        </is>
      </c>
      <c r="D2778" t="inlineStr">
        <is>
          <t>18</t>
        </is>
      </c>
      <c r="E2778" t="inlineStr">
        <is>
          <t>15</t>
        </is>
      </c>
      <c r="F2778" t="inlineStr">
        <is>
          <t>C</t>
        </is>
      </c>
      <c r="G2778" t="inlineStr">
        <is>
          <t>Good</t>
        </is>
      </c>
      <c r="H2778" t="n">
        <v>242</v>
      </c>
      <c r="I2778">
        <f>B2778&amp;"~"&amp;F2778&amp;"~"&amp;G2778</f>
        <v/>
      </c>
      <c r="J2778" t="inlineStr">
        <is>
          <t>MVS Sec.18 p.15</t>
        </is>
      </c>
    </row>
    <row r="2779">
      <c r="B2779" t="inlineStr">
        <is>
          <t>Special Education Classrooms</t>
        </is>
      </c>
      <c r="C2779" t="inlineStr">
        <is>
          <t>158</t>
        </is>
      </c>
      <c r="D2779" t="inlineStr">
        <is>
          <t>18</t>
        </is>
      </c>
      <c r="E2779" t="inlineStr">
        <is>
          <t>15</t>
        </is>
      </c>
      <c r="F2779" t="inlineStr">
        <is>
          <t>C</t>
        </is>
      </c>
      <c r="G2779" t="inlineStr">
        <is>
          <t>Average</t>
        </is>
      </c>
      <c r="H2779" t="n">
        <v>181</v>
      </c>
      <c r="I2779">
        <f>B2779&amp;"~"&amp;F2779&amp;"~"&amp;G2779</f>
        <v/>
      </c>
      <c r="J2779" t="inlineStr">
        <is>
          <t>MVS Sec.18 p.15</t>
        </is>
      </c>
    </row>
    <row r="2780">
      <c r="B2780" t="inlineStr">
        <is>
          <t>Special Education Classrooms</t>
        </is>
      </c>
      <c r="C2780" t="inlineStr">
        <is>
          <t>158</t>
        </is>
      </c>
      <c r="D2780" t="inlineStr">
        <is>
          <t>18</t>
        </is>
      </c>
      <c r="E2780" t="inlineStr">
        <is>
          <t>15</t>
        </is>
      </c>
      <c r="F2780" t="inlineStr">
        <is>
          <t>D</t>
        </is>
      </c>
      <c r="G2780" t="inlineStr">
        <is>
          <t>Excellent</t>
        </is>
      </c>
      <c r="H2780" t="n">
        <v>317</v>
      </c>
      <c r="I2780">
        <f>B2780&amp;"~"&amp;F2780&amp;"~"&amp;G2780</f>
        <v/>
      </c>
      <c r="J2780" t="inlineStr">
        <is>
          <t>MVS Sec.18 p.15</t>
        </is>
      </c>
    </row>
    <row r="2781">
      <c r="B2781" t="inlineStr">
        <is>
          <t>Special Education Classrooms</t>
        </is>
      </c>
      <c r="C2781" t="inlineStr">
        <is>
          <t>158</t>
        </is>
      </c>
      <c r="D2781" t="inlineStr">
        <is>
          <t>18</t>
        </is>
      </c>
      <c r="E2781" t="inlineStr">
        <is>
          <t>15</t>
        </is>
      </c>
      <c r="F2781" t="inlineStr">
        <is>
          <t>D</t>
        </is>
      </c>
      <c r="G2781" t="inlineStr">
        <is>
          <t>Good</t>
        </is>
      </c>
      <c r="H2781" t="n">
        <v>237</v>
      </c>
      <c r="I2781">
        <f>B2781&amp;"~"&amp;F2781&amp;"~"&amp;G2781</f>
        <v/>
      </c>
      <c r="J2781" t="inlineStr">
        <is>
          <t>MVS Sec.18 p.15</t>
        </is>
      </c>
    </row>
    <row r="2782">
      <c r="B2782" t="inlineStr">
        <is>
          <t>Special Education Classrooms</t>
        </is>
      </c>
      <c r="C2782" t="inlineStr">
        <is>
          <t>158</t>
        </is>
      </c>
      <c r="D2782" t="inlineStr">
        <is>
          <t>18</t>
        </is>
      </c>
      <c r="E2782" t="inlineStr">
        <is>
          <t>15</t>
        </is>
      </c>
      <c r="F2782" t="inlineStr">
        <is>
          <t>D</t>
        </is>
      </c>
      <c r="G2782" t="inlineStr">
        <is>
          <t>Average</t>
        </is>
      </c>
      <c r="H2782" t="n">
        <v>176</v>
      </c>
      <c r="I2782">
        <f>B2782&amp;"~"&amp;F2782&amp;"~"&amp;G2782</f>
        <v/>
      </c>
      <c r="J2782" t="inlineStr">
        <is>
          <t>MVS Sec.18 p.15</t>
        </is>
      </c>
    </row>
    <row r="2783">
      <c r="B2783" t="inlineStr">
        <is>
          <t>Special Education Classrooms</t>
        </is>
      </c>
      <c r="C2783" t="inlineStr">
        <is>
          <t>158</t>
        </is>
      </c>
      <c r="D2783" t="inlineStr">
        <is>
          <t>18</t>
        </is>
      </c>
      <c r="E2783" t="inlineStr">
        <is>
          <t>15</t>
        </is>
      </c>
      <c r="F2783" t="inlineStr">
        <is>
          <t>DPOLE</t>
        </is>
      </c>
      <c r="G2783" t="inlineStr">
        <is>
          <t>Good</t>
        </is>
      </c>
      <c r="H2783" t="n">
        <v>230</v>
      </c>
      <c r="I2783">
        <f>B2783&amp;"~"&amp;F2783&amp;"~"&amp;G2783</f>
        <v/>
      </c>
      <c r="J2783" t="inlineStr">
        <is>
          <t>MVS Sec.18 p.15</t>
        </is>
      </c>
    </row>
    <row r="2784">
      <c r="B2784" t="inlineStr">
        <is>
          <t>Special Education Classrooms</t>
        </is>
      </c>
      <c r="C2784" t="inlineStr">
        <is>
          <t>158</t>
        </is>
      </c>
      <c r="D2784" t="inlineStr">
        <is>
          <t>18</t>
        </is>
      </c>
      <c r="E2784" t="inlineStr">
        <is>
          <t>15</t>
        </is>
      </c>
      <c r="F2784" t="inlineStr">
        <is>
          <t>DPOLE</t>
        </is>
      </c>
      <c r="G2784" t="inlineStr">
        <is>
          <t>Average</t>
        </is>
      </c>
      <c r="H2784" t="n">
        <v>169</v>
      </c>
      <c r="I2784">
        <f>B2784&amp;"~"&amp;F2784&amp;"~"&amp;G2784</f>
        <v/>
      </c>
      <c r="J2784" t="inlineStr">
        <is>
          <t>MVS Sec.18 p.15</t>
        </is>
      </c>
    </row>
    <row r="2785">
      <c r="B2785" t="inlineStr">
        <is>
          <t>Special Education Classrooms</t>
        </is>
      </c>
      <c r="C2785" t="inlineStr">
        <is>
          <t>158</t>
        </is>
      </c>
      <c r="D2785" t="inlineStr">
        <is>
          <t>18</t>
        </is>
      </c>
      <c r="E2785" t="inlineStr">
        <is>
          <t>15</t>
        </is>
      </c>
      <c r="F2785" t="inlineStr">
        <is>
          <t>S</t>
        </is>
      </c>
      <c r="G2785" t="inlineStr">
        <is>
          <t>Good</t>
        </is>
      </c>
      <c r="H2785" t="n">
        <v>232</v>
      </c>
      <c r="I2785">
        <f>B2785&amp;"~"&amp;F2785&amp;"~"&amp;G2785</f>
        <v/>
      </c>
      <c r="J2785" t="inlineStr">
        <is>
          <t>MVS Sec.18 p.15</t>
        </is>
      </c>
    </row>
    <row r="2786">
      <c r="B2786" t="inlineStr">
        <is>
          <t>Special Education Classrooms</t>
        </is>
      </c>
      <c r="C2786" t="inlineStr">
        <is>
          <t>158</t>
        </is>
      </c>
      <c r="D2786" t="inlineStr">
        <is>
          <t>18</t>
        </is>
      </c>
      <c r="E2786" t="inlineStr">
        <is>
          <t>15</t>
        </is>
      </c>
      <c r="F2786" t="inlineStr">
        <is>
          <t>S</t>
        </is>
      </c>
      <c r="G2786" t="inlineStr">
        <is>
          <t>Average</t>
        </is>
      </c>
      <c r="H2786" t="n">
        <v>171</v>
      </c>
      <c r="I2786">
        <f>B2786&amp;"~"&amp;F2786&amp;"~"&amp;G2786</f>
        <v/>
      </c>
      <c r="J2786" t="inlineStr">
        <is>
          <t>MVS Sec.18 p.15</t>
        </is>
      </c>
    </row>
    <row r="2787">
      <c r="B2787" t="inlineStr">
        <is>
          <t>Relocatable Classrooms</t>
        </is>
      </c>
      <c r="C2787" t="inlineStr">
        <is>
          <t>598</t>
        </is>
      </c>
      <c r="D2787" t="inlineStr">
        <is>
          <t>18</t>
        </is>
      </c>
      <c r="E2787" t="inlineStr">
        <is>
          <t>15</t>
        </is>
      </c>
      <c r="F2787" t="inlineStr">
        <is>
          <t>D</t>
        </is>
      </c>
      <c r="G2787" t="inlineStr">
        <is>
          <t>Excellent</t>
        </is>
      </c>
      <c r="H2787" t="n">
        <v>198</v>
      </c>
      <c r="I2787">
        <f>B2787&amp;"~"&amp;F2787&amp;"~"&amp;G2787</f>
        <v/>
      </c>
      <c r="J2787" t="inlineStr">
        <is>
          <t>MVS Sec.18 p.15</t>
        </is>
      </c>
    </row>
    <row r="2788">
      <c r="B2788" t="inlineStr">
        <is>
          <t>Relocatable Classrooms</t>
        </is>
      </c>
      <c r="C2788" t="inlineStr">
        <is>
          <t>598</t>
        </is>
      </c>
      <c r="D2788" t="inlineStr">
        <is>
          <t>18</t>
        </is>
      </c>
      <c r="E2788" t="inlineStr">
        <is>
          <t>15</t>
        </is>
      </c>
      <c r="F2788" t="inlineStr">
        <is>
          <t>D</t>
        </is>
      </c>
      <c r="G2788" t="inlineStr">
        <is>
          <t>Good</t>
        </is>
      </c>
      <c r="H2788" t="n">
        <v>158</v>
      </c>
      <c r="I2788">
        <f>B2788&amp;"~"&amp;F2788&amp;"~"&amp;G2788</f>
        <v/>
      </c>
      <c r="J2788" t="inlineStr">
        <is>
          <t>MVS Sec.18 p.15</t>
        </is>
      </c>
    </row>
    <row r="2789">
      <c r="B2789" t="inlineStr">
        <is>
          <t>Relocatable Classrooms</t>
        </is>
      </c>
      <c r="C2789" t="inlineStr">
        <is>
          <t>598</t>
        </is>
      </c>
      <c r="D2789" t="inlineStr">
        <is>
          <t>18</t>
        </is>
      </c>
      <c r="E2789" t="inlineStr">
        <is>
          <t>15</t>
        </is>
      </c>
      <c r="F2789" t="inlineStr">
        <is>
          <t>D</t>
        </is>
      </c>
      <c r="G2789" t="inlineStr">
        <is>
          <t>Average</t>
        </is>
      </c>
      <c r="H2789" t="n">
        <v>131</v>
      </c>
      <c r="I2789">
        <f>B2789&amp;"~"&amp;F2789&amp;"~"&amp;G2789</f>
        <v/>
      </c>
      <c r="J2789" t="inlineStr">
        <is>
          <t>MVS Sec.18 p.15</t>
        </is>
      </c>
    </row>
    <row r="2790">
      <c r="B2790" t="inlineStr">
        <is>
          <t>Relocatable Classrooms</t>
        </is>
      </c>
      <c r="C2790" t="inlineStr">
        <is>
          <t>598</t>
        </is>
      </c>
      <c r="D2790" t="inlineStr">
        <is>
          <t>18</t>
        </is>
      </c>
      <c r="E2790" t="inlineStr">
        <is>
          <t>15</t>
        </is>
      </c>
      <c r="F2790" t="inlineStr">
        <is>
          <t>D</t>
        </is>
      </c>
      <c r="G2790" t="inlineStr">
        <is>
          <t>Low Cost</t>
        </is>
      </c>
      <c r="H2790" t="n">
        <v>109</v>
      </c>
      <c r="I2790">
        <f>B2790&amp;"~"&amp;F2790&amp;"~"&amp;G2790</f>
        <v/>
      </c>
      <c r="J2790" t="inlineStr">
        <is>
          <t>MVS Sec.18 p.15</t>
        </is>
      </c>
    </row>
    <row r="2791">
      <c r="B2791" t="inlineStr">
        <is>
          <t>Relocatable Classrooms</t>
        </is>
      </c>
      <c r="C2791" t="inlineStr">
        <is>
          <t>598</t>
        </is>
      </c>
      <c r="D2791" t="inlineStr">
        <is>
          <t>18</t>
        </is>
      </c>
      <c r="E2791" t="inlineStr">
        <is>
          <t>15</t>
        </is>
      </c>
      <c r="F2791" t="inlineStr">
        <is>
          <t>D</t>
        </is>
      </c>
      <c r="G2791" t="inlineStr">
        <is>
          <t>Cheap</t>
        </is>
      </c>
      <c r="H2791" t="n">
        <v>82</v>
      </c>
      <c r="I2791">
        <f>B2791&amp;"~"&amp;F2791&amp;"~"&amp;G2791</f>
        <v/>
      </c>
      <c r="J2791" t="inlineStr">
        <is>
          <t>MVS Sec.18 p.15</t>
        </is>
      </c>
    </row>
    <row r="2792">
      <c r="B2792" t="inlineStr">
        <is>
          <t>Manual Arts (Shop) Buildings</t>
        </is>
      </c>
      <c r="C2792" t="inlineStr">
        <is>
          <t>361</t>
        </is>
      </c>
      <c r="D2792" t="inlineStr">
        <is>
          <t>18</t>
        </is>
      </c>
      <c r="E2792" t="inlineStr">
        <is>
          <t>16</t>
        </is>
      </c>
      <c r="F2792" t="inlineStr">
        <is>
          <t>A-B</t>
        </is>
      </c>
      <c r="G2792" t="inlineStr">
        <is>
          <t>Average</t>
        </is>
      </c>
      <c r="H2792" t="n">
        <v>204</v>
      </c>
      <c r="I2792">
        <f>B2792&amp;"~"&amp;F2792&amp;"~"&amp;G2792</f>
        <v/>
      </c>
      <c r="J2792" t="inlineStr">
        <is>
          <t>MVS Sec.18 p.16</t>
        </is>
      </c>
    </row>
    <row r="2793">
      <c r="B2793" t="inlineStr">
        <is>
          <t>Manual Arts (Shop) Buildings</t>
        </is>
      </c>
      <c r="C2793" t="inlineStr">
        <is>
          <t>361</t>
        </is>
      </c>
      <c r="D2793" t="inlineStr">
        <is>
          <t>18</t>
        </is>
      </c>
      <c r="E2793" t="inlineStr">
        <is>
          <t>16</t>
        </is>
      </c>
      <c r="F2793" t="inlineStr">
        <is>
          <t>A-B</t>
        </is>
      </c>
      <c r="G2793" t="inlineStr">
        <is>
          <t>Low Cost</t>
        </is>
      </c>
      <c r="H2793" t="n">
        <v>153</v>
      </c>
      <c r="I2793">
        <f>B2793&amp;"~"&amp;F2793&amp;"~"&amp;G2793</f>
        <v/>
      </c>
      <c r="J2793" t="inlineStr">
        <is>
          <t>MVS Sec.18 p.16</t>
        </is>
      </c>
    </row>
    <row r="2794">
      <c r="B2794" t="inlineStr">
        <is>
          <t>Manual Arts (Shop) Buildings</t>
        </is>
      </c>
      <c r="C2794" t="inlineStr">
        <is>
          <t>361</t>
        </is>
      </c>
      <c r="D2794" t="inlineStr">
        <is>
          <t>18</t>
        </is>
      </c>
      <c r="E2794" t="inlineStr">
        <is>
          <t>16</t>
        </is>
      </c>
      <c r="F2794" t="inlineStr">
        <is>
          <t>C</t>
        </is>
      </c>
      <c r="G2794" t="inlineStr">
        <is>
          <t>Good</t>
        </is>
      </c>
      <c r="H2794" t="n">
        <v>207</v>
      </c>
      <c r="I2794">
        <f>B2794&amp;"~"&amp;F2794&amp;"~"&amp;G2794</f>
        <v/>
      </c>
      <c r="J2794" t="inlineStr">
        <is>
          <t>MVS Sec.18 p.16</t>
        </is>
      </c>
    </row>
    <row r="2795">
      <c r="B2795" t="inlineStr">
        <is>
          <t>Manual Arts (Shop) Buildings</t>
        </is>
      </c>
      <c r="C2795" t="inlineStr">
        <is>
          <t>361</t>
        </is>
      </c>
      <c r="D2795" t="inlineStr">
        <is>
          <t>18</t>
        </is>
      </c>
      <c r="E2795" t="inlineStr">
        <is>
          <t>16</t>
        </is>
      </c>
      <c r="F2795" t="inlineStr">
        <is>
          <t>C</t>
        </is>
      </c>
      <c r="G2795" t="inlineStr">
        <is>
          <t>Average</t>
        </is>
      </c>
      <c r="H2795" t="n">
        <v>155</v>
      </c>
      <c r="I2795">
        <f>B2795&amp;"~"&amp;F2795&amp;"~"&amp;G2795</f>
        <v/>
      </c>
      <c r="J2795" t="inlineStr">
        <is>
          <t>MVS Sec.18 p.16</t>
        </is>
      </c>
    </row>
    <row r="2796">
      <c r="B2796" t="inlineStr">
        <is>
          <t>Manual Arts (Shop) Buildings</t>
        </is>
      </c>
      <c r="C2796" t="inlineStr">
        <is>
          <t>361</t>
        </is>
      </c>
      <c r="D2796" t="inlineStr">
        <is>
          <t>18</t>
        </is>
      </c>
      <c r="E2796" t="inlineStr">
        <is>
          <t>16</t>
        </is>
      </c>
      <c r="F2796" t="inlineStr">
        <is>
          <t>C</t>
        </is>
      </c>
      <c r="G2796" t="inlineStr">
        <is>
          <t>Low Cost</t>
        </is>
      </c>
      <c r="H2796" t="n">
        <v>110</v>
      </c>
      <c r="I2796">
        <f>B2796&amp;"~"&amp;F2796&amp;"~"&amp;G2796</f>
        <v/>
      </c>
      <c r="J2796" t="inlineStr">
        <is>
          <t>MVS Sec.18 p.16</t>
        </is>
      </c>
    </row>
    <row r="2797">
      <c r="B2797" t="inlineStr">
        <is>
          <t>Manual Arts (Shop) Buildings</t>
        </is>
      </c>
      <c r="C2797" t="inlineStr">
        <is>
          <t>361</t>
        </is>
      </c>
      <c r="D2797" t="inlineStr">
        <is>
          <t>18</t>
        </is>
      </c>
      <c r="E2797" t="inlineStr">
        <is>
          <t>16</t>
        </is>
      </c>
      <c r="F2797" t="inlineStr">
        <is>
          <t>D</t>
        </is>
      </c>
      <c r="G2797" t="inlineStr">
        <is>
          <t>Good</t>
        </is>
      </c>
      <c r="H2797" t="n">
        <v>200</v>
      </c>
      <c r="I2797">
        <f>B2797&amp;"~"&amp;F2797&amp;"~"&amp;G2797</f>
        <v/>
      </c>
      <c r="J2797" t="inlineStr">
        <is>
          <t>MVS Sec.18 p.16</t>
        </is>
      </c>
    </row>
    <row r="2798">
      <c r="B2798" t="inlineStr">
        <is>
          <t>Manual Arts (Shop) Buildings</t>
        </is>
      </c>
      <c r="C2798" t="inlineStr">
        <is>
          <t>361</t>
        </is>
      </c>
      <c r="D2798" t="inlineStr">
        <is>
          <t>18</t>
        </is>
      </c>
      <c r="E2798" t="inlineStr">
        <is>
          <t>16</t>
        </is>
      </c>
      <c r="F2798" t="inlineStr">
        <is>
          <t>D</t>
        </is>
      </c>
      <c r="G2798" t="inlineStr">
        <is>
          <t>Average</t>
        </is>
      </c>
      <c r="H2798" t="n">
        <v>149</v>
      </c>
      <c r="I2798">
        <f>B2798&amp;"~"&amp;F2798&amp;"~"&amp;G2798</f>
        <v/>
      </c>
      <c r="J2798" t="inlineStr">
        <is>
          <t>MVS Sec.18 p.16</t>
        </is>
      </c>
    </row>
    <row r="2799">
      <c r="B2799" t="inlineStr">
        <is>
          <t>Manual Arts (Shop) Buildings</t>
        </is>
      </c>
      <c r="C2799" t="inlineStr">
        <is>
          <t>361</t>
        </is>
      </c>
      <c r="D2799" t="inlineStr">
        <is>
          <t>18</t>
        </is>
      </c>
      <c r="E2799" t="inlineStr">
        <is>
          <t>16</t>
        </is>
      </c>
      <c r="F2799" t="inlineStr">
        <is>
          <t>D</t>
        </is>
      </c>
      <c r="G2799" t="inlineStr">
        <is>
          <t>Low Cost</t>
        </is>
      </c>
      <c r="H2799" t="n">
        <v>104</v>
      </c>
      <c r="I2799">
        <f>B2799&amp;"~"&amp;F2799&amp;"~"&amp;G2799</f>
        <v/>
      </c>
      <c r="J2799" t="inlineStr">
        <is>
          <t>MVS Sec.18 p.16</t>
        </is>
      </c>
    </row>
    <row r="2800">
      <c r="B2800" t="inlineStr">
        <is>
          <t>Manual Arts (Shop) Buildings</t>
        </is>
      </c>
      <c r="C2800" t="inlineStr">
        <is>
          <t>361</t>
        </is>
      </c>
      <c r="D2800" t="inlineStr">
        <is>
          <t>18</t>
        </is>
      </c>
      <c r="E2800" t="inlineStr">
        <is>
          <t>16</t>
        </is>
      </c>
      <c r="F2800" t="inlineStr">
        <is>
          <t>DPOLE</t>
        </is>
      </c>
      <c r="G2800" t="inlineStr">
        <is>
          <t>Average</t>
        </is>
      </c>
      <c r="H2800" t="n">
        <v>129</v>
      </c>
      <c r="I2800">
        <f>B2800&amp;"~"&amp;F2800&amp;"~"&amp;G2800</f>
        <v/>
      </c>
      <c r="J2800" t="inlineStr">
        <is>
          <t>MVS Sec.18 p.16</t>
        </is>
      </c>
    </row>
    <row r="2801">
      <c r="B2801" t="inlineStr">
        <is>
          <t>Manual Arts (Shop) Buildings</t>
        </is>
      </c>
      <c r="C2801" t="inlineStr">
        <is>
          <t>361</t>
        </is>
      </c>
      <c r="D2801" t="inlineStr">
        <is>
          <t>18</t>
        </is>
      </c>
      <c r="E2801" t="inlineStr">
        <is>
          <t>16</t>
        </is>
      </c>
      <c r="F2801" t="inlineStr">
        <is>
          <t>DPOLE</t>
        </is>
      </c>
      <c r="G2801" t="inlineStr">
        <is>
          <t>Low Cost</t>
        </is>
      </c>
      <c r="H2801" t="n">
        <v>89</v>
      </c>
      <c r="I2801">
        <f>B2801&amp;"~"&amp;F2801&amp;"~"&amp;G2801</f>
        <v/>
      </c>
      <c r="J2801" t="inlineStr">
        <is>
          <t>MVS Sec.18 p.16</t>
        </is>
      </c>
    </row>
    <row r="2802">
      <c r="B2802" t="inlineStr">
        <is>
          <t>Manual Arts (Shop) Buildings</t>
        </is>
      </c>
      <c r="C2802" t="inlineStr">
        <is>
          <t>361</t>
        </is>
      </c>
      <c r="D2802" t="inlineStr">
        <is>
          <t>18</t>
        </is>
      </c>
      <c r="E2802" t="inlineStr">
        <is>
          <t>16</t>
        </is>
      </c>
      <c r="F2802" t="inlineStr">
        <is>
          <t>S</t>
        </is>
      </c>
      <c r="G2802" t="inlineStr">
        <is>
          <t>Average</t>
        </is>
      </c>
      <c r="H2802" t="n">
        <v>131</v>
      </c>
      <c r="I2802">
        <f>B2802&amp;"~"&amp;F2802&amp;"~"&amp;G2802</f>
        <v/>
      </c>
      <c r="J2802" t="inlineStr">
        <is>
          <t>MVS Sec.18 p.16</t>
        </is>
      </c>
    </row>
    <row r="2803">
      <c r="B2803" t="inlineStr">
        <is>
          <t>Manual Arts (Shop) Buildings</t>
        </is>
      </c>
      <c r="C2803" t="inlineStr">
        <is>
          <t>361</t>
        </is>
      </c>
      <c r="D2803" t="inlineStr">
        <is>
          <t>18</t>
        </is>
      </c>
      <c r="E2803" t="inlineStr">
        <is>
          <t>16</t>
        </is>
      </c>
      <c r="F2803" t="inlineStr">
        <is>
          <t>S</t>
        </is>
      </c>
      <c r="G2803" t="inlineStr">
        <is>
          <t>Low Cost</t>
        </is>
      </c>
      <c r="H2803" t="n">
        <v>90.5</v>
      </c>
      <c r="I2803">
        <f>B2803&amp;"~"&amp;F2803&amp;"~"&amp;G2803</f>
        <v/>
      </c>
      <c r="J2803" t="inlineStr">
        <is>
          <t>MVS Sec.18 p.16</t>
        </is>
      </c>
    </row>
    <row r="2804">
      <c r="B2804" t="inlineStr">
        <is>
          <t>Lecture Classrooms</t>
        </is>
      </c>
      <c r="C2804" t="inlineStr">
        <is>
          <t>359</t>
        </is>
      </c>
      <c r="D2804" t="inlineStr">
        <is>
          <t>18</t>
        </is>
      </c>
      <c r="E2804" t="inlineStr">
        <is>
          <t>16</t>
        </is>
      </c>
      <c r="F2804" t="inlineStr">
        <is>
          <t>A-B</t>
        </is>
      </c>
      <c r="G2804" t="inlineStr">
        <is>
          <t>Average</t>
        </is>
      </c>
      <c r="H2804" t="n">
        <v>247</v>
      </c>
      <c r="I2804">
        <f>B2804&amp;"~"&amp;F2804&amp;"~"&amp;G2804</f>
        <v/>
      </c>
      <c r="J2804" t="inlineStr">
        <is>
          <t>MVS Sec.18 p.16</t>
        </is>
      </c>
    </row>
    <row r="2805">
      <c r="B2805" t="inlineStr">
        <is>
          <t>Lecture Classrooms</t>
        </is>
      </c>
      <c r="C2805" t="inlineStr">
        <is>
          <t>359</t>
        </is>
      </c>
      <c r="D2805" t="inlineStr">
        <is>
          <t>18</t>
        </is>
      </c>
      <c r="E2805" t="inlineStr">
        <is>
          <t>16</t>
        </is>
      </c>
      <c r="F2805" t="inlineStr">
        <is>
          <t>C</t>
        </is>
      </c>
      <c r="G2805" t="inlineStr">
        <is>
          <t>Good</t>
        </is>
      </c>
      <c r="H2805" t="n">
        <v>262</v>
      </c>
      <c r="I2805">
        <f>B2805&amp;"~"&amp;F2805&amp;"~"&amp;G2805</f>
        <v/>
      </c>
      <c r="J2805" t="inlineStr">
        <is>
          <t>MVS Sec.18 p.16</t>
        </is>
      </c>
    </row>
    <row r="2806">
      <c r="B2806" t="inlineStr">
        <is>
          <t>Lecture Classrooms</t>
        </is>
      </c>
      <c r="C2806" t="inlineStr">
        <is>
          <t>359</t>
        </is>
      </c>
      <c r="D2806" t="inlineStr">
        <is>
          <t>18</t>
        </is>
      </c>
      <c r="E2806" t="inlineStr">
        <is>
          <t>16</t>
        </is>
      </c>
      <c r="F2806" t="inlineStr">
        <is>
          <t>C</t>
        </is>
      </c>
      <c r="G2806" t="inlineStr">
        <is>
          <t>Average</t>
        </is>
      </c>
      <c r="H2806" t="n">
        <v>188</v>
      </c>
      <c r="I2806">
        <f>B2806&amp;"~"&amp;F2806&amp;"~"&amp;G2806</f>
        <v/>
      </c>
      <c r="J2806" t="inlineStr">
        <is>
          <t>MVS Sec.18 p.16</t>
        </is>
      </c>
    </row>
    <row r="2807">
      <c r="B2807" t="inlineStr">
        <is>
          <t>Lecture Classrooms</t>
        </is>
      </c>
      <c r="C2807" t="inlineStr">
        <is>
          <t>359</t>
        </is>
      </c>
      <c r="D2807" t="inlineStr">
        <is>
          <t>18</t>
        </is>
      </c>
      <c r="E2807" t="inlineStr">
        <is>
          <t>16</t>
        </is>
      </c>
      <c r="F2807" t="inlineStr">
        <is>
          <t>D</t>
        </is>
      </c>
      <c r="G2807" t="inlineStr">
        <is>
          <t>Good</t>
        </is>
      </c>
      <c r="H2807" t="n">
        <v>233</v>
      </c>
      <c r="I2807">
        <f>B2807&amp;"~"&amp;F2807&amp;"~"&amp;G2807</f>
        <v/>
      </c>
      <c r="J2807" t="inlineStr">
        <is>
          <t>MVS Sec.18 p.16</t>
        </is>
      </c>
    </row>
    <row r="2808">
      <c r="B2808" t="inlineStr">
        <is>
          <t>Lecture Classrooms</t>
        </is>
      </c>
      <c r="C2808" t="inlineStr">
        <is>
          <t>359</t>
        </is>
      </c>
      <c r="D2808" t="inlineStr">
        <is>
          <t>18</t>
        </is>
      </c>
      <c r="E2808" t="inlineStr">
        <is>
          <t>16</t>
        </is>
      </c>
      <c r="F2808" t="inlineStr">
        <is>
          <t>D</t>
        </is>
      </c>
      <c r="G2808" t="inlineStr">
        <is>
          <t>Average</t>
        </is>
      </c>
      <c r="H2808" t="n">
        <v>173</v>
      </c>
      <c r="I2808">
        <f>B2808&amp;"~"&amp;F2808&amp;"~"&amp;G2808</f>
        <v/>
      </c>
      <c r="J2808" t="inlineStr">
        <is>
          <t>MVS Sec.18 p.16</t>
        </is>
      </c>
    </row>
    <row r="2809">
      <c r="B2809" t="inlineStr">
        <is>
          <t>Lecture Classrooms</t>
        </is>
      </c>
      <c r="C2809" t="inlineStr">
        <is>
          <t>359</t>
        </is>
      </c>
      <c r="D2809" t="inlineStr">
        <is>
          <t>18</t>
        </is>
      </c>
      <c r="E2809" t="inlineStr">
        <is>
          <t>16</t>
        </is>
      </c>
      <c r="F2809" t="inlineStr">
        <is>
          <t>S</t>
        </is>
      </c>
      <c r="G2809" t="inlineStr">
        <is>
          <t>Average</t>
        </is>
      </c>
      <c r="H2809" t="n">
        <v>168</v>
      </c>
      <c r="I2809">
        <f>B2809&amp;"~"&amp;F2809&amp;"~"&amp;G2809</f>
        <v/>
      </c>
      <c r="J2809" t="inlineStr">
        <is>
          <t>MVS Sec.18 p.16</t>
        </is>
      </c>
    </row>
    <row r="2810">
      <c r="B2810" t="inlineStr">
        <is>
          <t>Multipurpose Buildings</t>
        </is>
      </c>
      <c r="C2810" t="inlineStr">
        <is>
          <t>362</t>
        </is>
      </c>
      <c r="D2810" t="inlineStr">
        <is>
          <t>18</t>
        </is>
      </c>
      <c r="E2810" t="inlineStr">
        <is>
          <t>17</t>
        </is>
      </c>
      <c r="F2810" t="inlineStr">
        <is>
          <t>A-B</t>
        </is>
      </c>
      <c r="G2810" t="inlineStr">
        <is>
          <t>Good</t>
        </is>
      </c>
      <c r="H2810" t="n">
        <v>316</v>
      </c>
      <c r="I2810">
        <f>B2810&amp;"~"&amp;F2810&amp;"~"&amp;G2810</f>
        <v/>
      </c>
      <c r="J2810" t="inlineStr">
        <is>
          <t>MVS Sec.18 p.17</t>
        </is>
      </c>
    </row>
    <row r="2811">
      <c r="B2811" t="inlineStr">
        <is>
          <t>Multipurpose Buildings</t>
        </is>
      </c>
      <c r="C2811" t="inlineStr">
        <is>
          <t>362</t>
        </is>
      </c>
      <c r="D2811" t="inlineStr">
        <is>
          <t>18</t>
        </is>
      </c>
      <c r="E2811" t="inlineStr">
        <is>
          <t>17</t>
        </is>
      </c>
      <c r="F2811" t="inlineStr">
        <is>
          <t>A-B</t>
        </is>
      </c>
      <c r="G2811" t="inlineStr">
        <is>
          <t>Average</t>
        </is>
      </c>
      <c r="H2811" t="n">
        <v>237</v>
      </c>
      <c r="I2811">
        <f>B2811&amp;"~"&amp;F2811&amp;"~"&amp;G2811</f>
        <v/>
      </c>
      <c r="J2811" t="inlineStr">
        <is>
          <t>MVS Sec.18 p.17</t>
        </is>
      </c>
    </row>
    <row r="2812">
      <c r="B2812" t="inlineStr">
        <is>
          <t>Multipurpose Buildings</t>
        </is>
      </c>
      <c r="C2812" t="inlineStr">
        <is>
          <t>362</t>
        </is>
      </c>
      <c r="D2812" t="inlineStr">
        <is>
          <t>18</t>
        </is>
      </c>
      <c r="E2812" t="inlineStr">
        <is>
          <t>17</t>
        </is>
      </c>
      <c r="F2812" t="inlineStr">
        <is>
          <t>C</t>
        </is>
      </c>
      <c r="G2812" t="inlineStr">
        <is>
          <t>Excellent</t>
        </is>
      </c>
      <c r="H2812" t="n">
        <v>317</v>
      </c>
      <c r="I2812">
        <f>B2812&amp;"~"&amp;F2812&amp;"~"&amp;G2812</f>
        <v/>
      </c>
      <c r="J2812" t="inlineStr">
        <is>
          <t>MVS Sec.18 p.17</t>
        </is>
      </c>
    </row>
    <row r="2813">
      <c r="B2813" t="inlineStr">
        <is>
          <t>Multipurpose Buildings</t>
        </is>
      </c>
      <c r="C2813" t="inlineStr">
        <is>
          <t>362</t>
        </is>
      </c>
      <c r="D2813" t="inlineStr">
        <is>
          <t>18</t>
        </is>
      </c>
      <c r="E2813" t="inlineStr">
        <is>
          <t>17</t>
        </is>
      </c>
      <c r="F2813" t="inlineStr">
        <is>
          <t>C</t>
        </is>
      </c>
      <c r="G2813" t="inlineStr">
        <is>
          <t>Good</t>
        </is>
      </c>
      <c r="H2813" t="n">
        <v>233</v>
      </c>
      <c r="I2813">
        <f>B2813&amp;"~"&amp;F2813&amp;"~"&amp;G2813</f>
        <v/>
      </c>
      <c r="J2813" t="inlineStr">
        <is>
          <t>MVS Sec.18 p.17</t>
        </is>
      </c>
    </row>
    <row r="2814">
      <c r="B2814" t="inlineStr">
        <is>
          <t>Multipurpose Buildings</t>
        </is>
      </c>
      <c r="C2814" t="inlineStr">
        <is>
          <t>362</t>
        </is>
      </c>
      <c r="D2814" t="inlineStr">
        <is>
          <t>18</t>
        </is>
      </c>
      <c r="E2814" t="inlineStr">
        <is>
          <t>17</t>
        </is>
      </c>
      <c r="F2814" t="inlineStr">
        <is>
          <t>C</t>
        </is>
      </c>
      <c r="G2814" t="inlineStr">
        <is>
          <t>Average</t>
        </is>
      </c>
      <c r="H2814" t="n">
        <v>175</v>
      </c>
      <c r="I2814">
        <f>B2814&amp;"~"&amp;F2814&amp;"~"&amp;G2814</f>
        <v/>
      </c>
      <c r="J2814" t="inlineStr">
        <is>
          <t>MVS Sec.18 p.17</t>
        </is>
      </c>
    </row>
    <row r="2815">
      <c r="B2815" t="inlineStr">
        <is>
          <t>Multipurpose Buildings</t>
        </is>
      </c>
      <c r="C2815" t="inlineStr">
        <is>
          <t>362</t>
        </is>
      </c>
      <c r="D2815" t="inlineStr">
        <is>
          <t>18</t>
        </is>
      </c>
      <c r="E2815" t="inlineStr">
        <is>
          <t>17</t>
        </is>
      </c>
      <c r="F2815" t="inlineStr">
        <is>
          <t>C</t>
        </is>
      </c>
      <c r="G2815" t="inlineStr">
        <is>
          <t>Low Cost</t>
        </is>
      </c>
      <c r="H2815" t="n">
        <v>126</v>
      </c>
      <c r="I2815">
        <f>B2815&amp;"~"&amp;F2815&amp;"~"&amp;G2815</f>
        <v/>
      </c>
      <c r="J2815" t="inlineStr">
        <is>
          <t>MVS Sec.18 p.17</t>
        </is>
      </c>
    </row>
    <row r="2816">
      <c r="B2816" t="inlineStr">
        <is>
          <t>Multipurpose Buildings</t>
        </is>
      </c>
      <c r="C2816" t="inlineStr">
        <is>
          <t>362</t>
        </is>
      </c>
      <c r="D2816" t="inlineStr">
        <is>
          <t>18</t>
        </is>
      </c>
      <c r="E2816" t="inlineStr">
        <is>
          <t>17</t>
        </is>
      </c>
      <c r="F2816" t="inlineStr">
        <is>
          <t>D</t>
        </is>
      </c>
      <c r="G2816" t="inlineStr">
        <is>
          <t>Good</t>
        </is>
      </c>
      <c r="H2816" t="n">
        <v>228</v>
      </c>
      <c r="I2816">
        <f>B2816&amp;"~"&amp;F2816&amp;"~"&amp;G2816</f>
        <v/>
      </c>
      <c r="J2816" t="inlineStr">
        <is>
          <t>MVS Sec.18 p.17</t>
        </is>
      </c>
    </row>
    <row r="2817">
      <c r="B2817" t="inlineStr">
        <is>
          <t>Multipurpose Buildings</t>
        </is>
      </c>
      <c r="C2817" t="inlineStr">
        <is>
          <t>362</t>
        </is>
      </c>
      <c r="D2817" t="inlineStr">
        <is>
          <t>18</t>
        </is>
      </c>
      <c r="E2817" t="inlineStr">
        <is>
          <t>17</t>
        </is>
      </c>
      <c r="F2817" t="inlineStr">
        <is>
          <t>D</t>
        </is>
      </c>
      <c r="G2817" t="inlineStr">
        <is>
          <t>Average</t>
        </is>
      </c>
      <c r="H2817" t="n">
        <v>170</v>
      </c>
      <c r="I2817">
        <f>B2817&amp;"~"&amp;F2817&amp;"~"&amp;G2817</f>
        <v/>
      </c>
      <c r="J2817" t="inlineStr">
        <is>
          <t>MVS Sec.18 p.17</t>
        </is>
      </c>
    </row>
    <row r="2818">
      <c r="B2818" t="inlineStr">
        <is>
          <t>Multipurpose Buildings</t>
        </is>
      </c>
      <c r="C2818" t="inlineStr">
        <is>
          <t>362</t>
        </is>
      </c>
      <c r="D2818" t="inlineStr">
        <is>
          <t>18</t>
        </is>
      </c>
      <c r="E2818" t="inlineStr">
        <is>
          <t>17</t>
        </is>
      </c>
      <c r="F2818" t="inlineStr">
        <is>
          <t>D</t>
        </is>
      </c>
      <c r="G2818" t="inlineStr">
        <is>
          <t>Low Cost</t>
        </is>
      </c>
      <c r="H2818" t="n">
        <v>121</v>
      </c>
      <c r="I2818">
        <f>B2818&amp;"~"&amp;F2818&amp;"~"&amp;G2818</f>
        <v/>
      </c>
      <c r="J2818" t="inlineStr">
        <is>
          <t>MVS Sec.18 p.17</t>
        </is>
      </c>
    </row>
    <row r="2819">
      <c r="B2819" t="inlineStr">
        <is>
          <t>Multipurpose Buildings</t>
        </is>
      </c>
      <c r="C2819" t="inlineStr">
        <is>
          <t>362</t>
        </is>
      </c>
      <c r="D2819" t="inlineStr">
        <is>
          <t>18</t>
        </is>
      </c>
      <c r="E2819" t="inlineStr">
        <is>
          <t>17</t>
        </is>
      </c>
      <c r="F2819" t="inlineStr">
        <is>
          <t>DPOLE</t>
        </is>
      </c>
      <c r="G2819" t="inlineStr">
        <is>
          <t>Average</t>
        </is>
      </c>
      <c r="H2819" t="n">
        <v>163</v>
      </c>
      <c r="I2819">
        <f>B2819&amp;"~"&amp;F2819&amp;"~"&amp;G2819</f>
        <v/>
      </c>
      <c r="J2819" t="inlineStr">
        <is>
          <t>MVS Sec.18 p.17</t>
        </is>
      </c>
    </row>
    <row r="2820">
      <c r="B2820" t="inlineStr">
        <is>
          <t>Multipurpose Buildings</t>
        </is>
      </c>
      <c r="C2820" t="inlineStr">
        <is>
          <t>362</t>
        </is>
      </c>
      <c r="D2820" t="inlineStr">
        <is>
          <t>18</t>
        </is>
      </c>
      <c r="E2820" t="inlineStr">
        <is>
          <t>17</t>
        </is>
      </c>
      <c r="F2820" t="inlineStr">
        <is>
          <t>DPOLE</t>
        </is>
      </c>
      <c r="G2820" t="inlineStr">
        <is>
          <t>Low Cost</t>
        </is>
      </c>
      <c r="H2820" t="n">
        <v>115</v>
      </c>
      <c r="I2820">
        <f>B2820&amp;"~"&amp;F2820&amp;"~"&amp;G2820</f>
        <v/>
      </c>
      <c r="J2820" t="inlineStr">
        <is>
          <t>MVS Sec.18 p.17</t>
        </is>
      </c>
    </row>
    <row r="2821">
      <c r="B2821" t="inlineStr">
        <is>
          <t>Multipurpose Buildings</t>
        </is>
      </c>
      <c r="C2821" t="inlineStr">
        <is>
          <t>362</t>
        </is>
      </c>
      <c r="D2821" t="inlineStr">
        <is>
          <t>18</t>
        </is>
      </c>
      <c r="E2821" t="inlineStr">
        <is>
          <t>17</t>
        </is>
      </c>
      <c r="F2821" t="inlineStr">
        <is>
          <t>S</t>
        </is>
      </c>
      <c r="G2821" t="inlineStr">
        <is>
          <t>Average</t>
        </is>
      </c>
      <c r="H2821" t="n">
        <v>164</v>
      </c>
      <c r="I2821">
        <f>B2821&amp;"~"&amp;F2821&amp;"~"&amp;G2821</f>
        <v/>
      </c>
      <c r="J2821" t="inlineStr">
        <is>
          <t>MVS Sec.18 p.17</t>
        </is>
      </c>
    </row>
    <row r="2822">
      <c r="B2822" t="inlineStr">
        <is>
          <t>Multipurpose Buildings</t>
        </is>
      </c>
      <c r="C2822" t="inlineStr">
        <is>
          <t>362</t>
        </is>
      </c>
      <c r="D2822" t="inlineStr">
        <is>
          <t>18</t>
        </is>
      </c>
      <c r="E2822" t="inlineStr">
        <is>
          <t>17</t>
        </is>
      </c>
      <c r="F2822" t="inlineStr">
        <is>
          <t>S</t>
        </is>
      </c>
      <c r="G2822" t="inlineStr">
        <is>
          <t>Low Cost</t>
        </is>
      </c>
      <c r="H2822" t="n">
        <v>116</v>
      </c>
      <c r="I2822">
        <f>B2822&amp;"~"&amp;F2822&amp;"~"&amp;G2822</f>
        <v/>
      </c>
      <c r="J2822" t="inlineStr">
        <is>
          <t>MVS Sec.18 p.17</t>
        </is>
      </c>
    </row>
    <row r="2823">
      <c r="B2823" t="inlineStr">
        <is>
          <t>Laboratory Classrooms</t>
        </is>
      </c>
      <c r="C2823" t="inlineStr">
        <is>
          <t>364</t>
        </is>
      </c>
      <c r="D2823" t="inlineStr">
        <is>
          <t>18</t>
        </is>
      </c>
      <c r="E2823" t="inlineStr">
        <is>
          <t>17</t>
        </is>
      </c>
      <c r="F2823" t="inlineStr">
        <is>
          <t>A-B</t>
        </is>
      </c>
      <c r="G2823" t="inlineStr">
        <is>
          <t>Good</t>
        </is>
      </c>
      <c r="H2823" t="n">
        <v>328</v>
      </c>
      <c r="I2823">
        <f>B2823&amp;"~"&amp;F2823&amp;"~"&amp;G2823</f>
        <v/>
      </c>
      <c r="J2823" t="inlineStr">
        <is>
          <t>MVS Sec.18 p.17</t>
        </is>
      </c>
    </row>
    <row r="2824">
      <c r="B2824" t="inlineStr">
        <is>
          <t>Laboratory Classrooms</t>
        </is>
      </c>
      <c r="C2824" t="inlineStr">
        <is>
          <t>364</t>
        </is>
      </c>
      <c r="D2824" t="inlineStr">
        <is>
          <t>18</t>
        </is>
      </c>
      <c r="E2824" t="inlineStr">
        <is>
          <t>17</t>
        </is>
      </c>
      <c r="F2824" t="inlineStr">
        <is>
          <t>A-B</t>
        </is>
      </c>
      <c r="G2824" t="inlineStr">
        <is>
          <t>Average</t>
        </is>
      </c>
      <c r="H2824" t="n">
        <v>246</v>
      </c>
      <c r="I2824">
        <f>B2824&amp;"~"&amp;F2824&amp;"~"&amp;G2824</f>
        <v/>
      </c>
      <c r="J2824" t="inlineStr">
        <is>
          <t>MVS Sec.18 p.17</t>
        </is>
      </c>
    </row>
    <row r="2825">
      <c r="B2825" t="inlineStr">
        <is>
          <t>Laboratory Classrooms</t>
        </is>
      </c>
      <c r="C2825" t="inlineStr">
        <is>
          <t>364</t>
        </is>
      </c>
      <c r="D2825" t="inlineStr">
        <is>
          <t>18</t>
        </is>
      </c>
      <c r="E2825" t="inlineStr">
        <is>
          <t>17</t>
        </is>
      </c>
      <c r="F2825" t="inlineStr">
        <is>
          <t>C</t>
        </is>
      </c>
      <c r="G2825" t="inlineStr">
        <is>
          <t>Excellent</t>
        </is>
      </c>
      <c r="H2825" t="n">
        <v>312</v>
      </c>
      <c r="I2825">
        <f>B2825&amp;"~"&amp;F2825&amp;"~"&amp;G2825</f>
        <v/>
      </c>
      <c r="J2825" t="inlineStr">
        <is>
          <t>MVS Sec.18 p.17</t>
        </is>
      </c>
    </row>
    <row r="2826">
      <c r="B2826" t="inlineStr">
        <is>
          <t>Laboratory Classrooms</t>
        </is>
      </c>
      <c r="C2826" t="inlineStr">
        <is>
          <t>364</t>
        </is>
      </c>
      <c r="D2826" t="inlineStr">
        <is>
          <t>18</t>
        </is>
      </c>
      <c r="E2826" t="inlineStr">
        <is>
          <t>17</t>
        </is>
      </c>
      <c r="F2826" t="inlineStr">
        <is>
          <t>C</t>
        </is>
      </c>
      <c r="G2826" t="inlineStr">
        <is>
          <t>Good</t>
        </is>
      </c>
      <c r="H2826" t="n">
        <v>246</v>
      </c>
      <c r="I2826">
        <f>B2826&amp;"~"&amp;F2826&amp;"~"&amp;G2826</f>
        <v/>
      </c>
      <c r="J2826" t="inlineStr">
        <is>
          <t>MVS Sec.18 p.17</t>
        </is>
      </c>
    </row>
    <row r="2827">
      <c r="B2827" t="inlineStr">
        <is>
          <t>Laboratory Classrooms</t>
        </is>
      </c>
      <c r="C2827" t="inlineStr">
        <is>
          <t>364</t>
        </is>
      </c>
      <c r="D2827" t="inlineStr">
        <is>
          <t>18</t>
        </is>
      </c>
      <c r="E2827" t="inlineStr">
        <is>
          <t>17</t>
        </is>
      </c>
      <c r="F2827" t="inlineStr">
        <is>
          <t>C</t>
        </is>
      </c>
      <c r="G2827" t="inlineStr">
        <is>
          <t>Average</t>
        </is>
      </c>
      <c r="H2827" t="n">
        <v>184</v>
      </c>
      <c r="I2827">
        <f>B2827&amp;"~"&amp;F2827&amp;"~"&amp;G2827</f>
        <v/>
      </c>
      <c r="J2827" t="inlineStr">
        <is>
          <t>MVS Sec.18 p.17</t>
        </is>
      </c>
    </row>
    <row r="2828">
      <c r="B2828" t="inlineStr">
        <is>
          <t>Laboratory Classrooms</t>
        </is>
      </c>
      <c r="C2828" t="inlineStr">
        <is>
          <t>364</t>
        </is>
      </c>
      <c r="D2828" t="inlineStr">
        <is>
          <t>18</t>
        </is>
      </c>
      <c r="E2828" t="inlineStr">
        <is>
          <t>17</t>
        </is>
      </c>
      <c r="F2828" t="inlineStr">
        <is>
          <t>D</t>
        </is>
      </c>
      <c r="G2828" t="inlineStr">
        <is>
          <t>Excellent</t>
        </is>
      </c>
      <c r="H2828" t="n">
        <v>308</v>
      </c>
      <c r="I2828">
        <f>B2828&amp;"~"&amp;F2828&amp;"~"&amp;G2828</f>
        <v/>
      </c>
      <c r="J2828" t="inlineStr">
        <is>
          <t>MVS Sec.18 p.17</t>
        </is>
      </c>
    </row>
    <row r="2829">
      <c r="B2829" t="inlineStr">
        <is>
          <t>Laboratory Classrooms</t>
        </is>
      </c>
      <c r="C2829" t="inlineStr">
        <is>
          <t>364</t>
        </is>
      </c>
      <c r="D2829" t="inlineStr">
        <is>
          <t>18</t>
        </is>
      </c>
      <c r="E2829" t="inlineStr">
        <is>
          <t>17</t>
        </is>
      </c>
      <c r="F2829" t="inlineStr">
        <is>
          <t>D</t>
        </is>
      </c>
      <c r="G2829" t="inlineStr">
        <is>
          <t>Good</t>
        </is>
      </c>
      <c r="H2829" t="n">
        <v>240</v>
      </c>
      <c r="I2829">
        <f>B2829&amp;"~"&amp;F2829&amp;"~"&amp;G2829</f>
        <v/>
      </c>
      <c r="J2829" t="inlineStr">
        <is>
          <t>MVS Sec.18 p.17</t>
        </is>
      </c>
    </row>
    <row r="2830">
      <c r="B2830" t="inlineStr">
        <is>
          <t>Laboratory Classrooms</t>
        </is>
      </c>
      <c r="C2830" t="inlineStr">
        <is>
          <t>364</t>
        </is>
      </c>
      <c r="D2830" t="inlineStr">
        <is>
          <t>18</t>
        </is>
      </c>
      <c r="E2830" t="inlineStr">
        <is>
          <t>17</t>
        </is>
      </c>
      <c r="F2830" t="inlineStr">
        <is>
          <t>D</t>
        </is>
      </c>
      <c r="G2830" t="inlineStr">
        <is>
          <t>Average</t>
        </is>
      </c>
      <c r="H2830" t="n">
        <v>178</v>
      </c>
      <c r="I2830">
        <f>B2830&amp;"~"&amp;F2830&amp;"~"&amp;G2830</f>
        <v/>
      </c>
      <c r="J2830" t="inlineStr">
        <is>
          <t>MVS Sec.18 p.17</t>
        </is>
      </c>
    </row>
    <row r="2831">
      <c r="B2831" t="inlineStr">
        <is>
          <t>Laboratory Classrooms</t>
        </is>
      </c>
      <c r="C2831" t="inlineStr">
        <is>
          <t>364</t>
        </is>
      </c>
      <c r="D2831" t="inlineStr">
        <is>
          <t>18</t>
        </is>
      </c>
      <c r="E2831" t="inlineStr">
        <is>
          <t>17</t>
        </is>
      </c>
      <c r="F2831" t="inlineStr">
        <is>
          <t>DPOLE</t>
        </is>
      </c>
      <c r="G2831" t="inlineStr">
        <is>
          <t>Average</t>
        </is>
      </c>
      <c r="H2831" t="n">
        <v>172</v>
      </c>
      <c r="I2831">
        <f>B2831&amp;"~"&amp;F2831&amp;"~"&amp;G2831</f>
        <v/>
      </c>
      <c r="J2831" t="inlineStr">
        <is>
          <t>MVS Sec.18 p.17</t>
        </is>
      </c>
    </row>
    <row r="2832">
      <c r="B2832" t="inlineStr">
        <is>
          <t>Laboratory Classrooms</t>
        </is>
      </c>
      <c r="C2832" t="inlineStr">
        <is>
          <t>364</t>
        </is>
      </c>
      <c r="D2832" t="inlineStr">
        <is>
          <t>18</t>
        </is>
      </c>
      <c r="E2832" t="inlineStr">
        <is>
          <t>17</t>
        </is>
      </c>
      <c r="F2832" t="inlineStr">
        <is>
          <t>S</t>
        </is>
      </c>
      <c r="G2832" t="inlineStr">
        <is>
          <t>Good</t>
        </is>
      </c>
      <c r="H2832" t="n">
        <v>235</v>
      </c>
      <c r="I2832">
        <f>B2832&amp;"~"&amp;F2832&amp;"~"&amp;G2832</f>
        <v/>
      </c>
      <c r="J2832" t="inlineStr">
        <is>
          <t>MVS Sec.18 p.17</t>
        </is>
      </c>
    </row>
    <row r="2833">
      <c r="B2833" t="inlineStr">
        <is>
          <t>Laboratory Classrooms</t>
        </is>
      </c>
      <c r="C2833" t="inlineStr">
        <is>
          <t>364</t>
        </is>
      </c>
      <c r="D2833" t="inlineStr">
        <is>
          <t>18</t>
        </is>
      </c>
      <c r="E2833" t="inlineStr">
        <is>
          <t>17</t>
        </is>
      </c>
      <c r="F2833" t="inlineStr">
        <is>
          <t>S</t>
        </is>
      </c>
      <c r="G2833" t="inlineStr">
        <is>
          <t>Average</t>
        </is>
      </c>
      <c r="H2833" t="n">
        <v>173</v>
      </c>
      <c r="I2833">
        <f>B2833&amp;"~"&amp;F2833&amp;"~"&amp;G2833</f>
        <v/>
      </c>
      <c r="J2833" t="inlineStr">
        <is>
          <t>MVS Sec.18 p.17</t>
        </is>
      </c>
    </row>
    <row r="2834">
      <c r="B2834" t="inlineStr">
        <is>
          <t>Elementary and Secondary Media Centers (Libraries)</t>
        </is>
      </c>
      <c r="C2834" t="inlineStr">
        <is>
          <t>360</t>
        </is>
      </c>
      <c r="D2834" t="inlineStr">
        <is>
          <t>18</t>
        </is>
      </c>
      <c r="E2834" t="inlineStr">
        <is>
          <t>18</t>
        </is>
      </c>
      <c r="F2834" t="inlineStr">
        <is>
          <t>A-B</t>
        </is>
      </c>
      <c r="G2834" t="inlineStr">
        <is>
          <t>Good</t>
        </is>
      </c>
      <c r="H2834" t="n">
        <v>322</v>
      </c>
      <c r="I2834">
        <f>B2834&amp;"~"&amp;F2834&amp;"~"&amp;G2834</f>
        <v/>
      </c>
      <c r="J2834" t="inlineStr">
        <is>
          <t>MVS Sec.18 p.18</t>
        </is>
      </c>
    </row>
    <row r="2835">
      <c r="B2835" t="inlineStr">
        <is>
          <t>Elementary and Secondary Media Centers (Libraries)</t>
        </is>
      </c>
      <c r="C2835" t="inlineStr">
        <is>
          <t>360</t>
        </is>
      </c>
      <c r="D2835" t="inlineStr">
        <is>
          <t>18</t>
        </is>
      </c>
      <c r="E2835" t="inlineStr">
        <is>
          <t>18</t>
        </is>
      </c>
      <c r="F2835" t="inlineStr">
        <is>
          <t>A-B</t>
        </is>
      </c>
      <c r="G2835" t="inlineStr">
        <is>
          <t>Average</t>
        </is>
      </c>
      <c r="H2835" t="n">
        <v>240</v>
      </c>
      <c r="I2835">
        <f>B2835&amp;"~"&amp;F2835&amp;"~"&amp;G2835</f>
        <v/>
      </c>
      <c r="J2835" t="inlineStr">
        <is>
          <t>MVS Sec.18 p.18</t>
        </is>
      </c>
    </row>
    <row r="2836">
      <c r="B2836" t="inlineStr">
        <is>
          <t>Elementary and Secondary Media Centers (Libraries)</t>
        </is>
      </c>
      <c r="C2836" t="inlineStr">
        <is>
          <t>360</t>
        </is>
      </c>
      <c r="D2836" t="inlineStr">
        <is>
          <t>18</t>
        </is>
      </c>
      <c r="E2836" t="inlineStr">
        <is>
          <t>18</t>
        </is>
      </c>
      <c r="F2836" t="inlineStr">
        <is>
          <t>A-B</t>
        </is>
      </c>
      <c r="G2836" t="inlineStr">
        <is>
          <t>Low Cost</t>
        </is>
      </c>
      <c r="H2836" t="n">
        <v>184</v>
      </c>
      <c r="I2836">
        <f>B2836&amp;"~"&amp;F2836&amp;"~"&amp;G2836</f>
        <v/>
      </c>
      <c r="J2836" t="inlineStr">
        <is>
          <t>MVS Sec.18 p.18</t>
        </is>
      </c>
    </row>
    <row r="2837">
      <c r="B2837" t="inlineStr">
        <is>
          <t>Elementary and Secondary Media Centers (Libraries)</t>
        </is>
      </c>
      <c r="C2837" t="inlineStr">
        <is>
          <t>360</t>
        </is>
      </c>
      <c r="D2837" t="inlineStr">
        <is>
          <t>18</t>
        </is>
      </c>
      <c r="E2837" t="inlineStr">
        <is>
          <t>18</t>
        </is>
      </c>
      <c r="F2837" t="inlineStr">
        <is>
          <t>C</t>
        </is>
      </c>
      <c r="G2837" t="inlineStr">
        <is>
          <t>Excellent</t>
        </is>
      </c>
      <c r="H2837" t="n">
        <v>315</v>
      </c>
      <c r="I2837">
        <f>B2837&amp;"~"&amp;F2837&amp;"~"&amp;G2837</f>
        <v/>
      </c>
      <c r="J2837" t="inlineStr">
        <is>
          <t>MVS Sec.18 p.18</t>
        </is>
      </c>
    </row>
    <row r="2838">
      <c r="B2838" t="inlineStr">
        <is>
          <t>Elementary and Secondary Media Centers (Libraries)</t>
        </is>
      </c>
      <c r="C2838" t="inlineStr">
        <is>
          <t>360</t>
        </is>
      </c>
      <c r="D2838" t="inlineStr">
        <is>
          <t>18</t>
        </is>
      </c>
      <c r="E2838" t="inlineStr">
        <is>
          <t>18</t>
        </is>
      </c>
      <c r="F2838" t="inlineStr">
        <is>
          <t>C</t>
        </is>
      </c>
      <c r="G2838" t="inlineStr">
        <is>
          <t>Good</t>
        </is>
      </c>
      <c r="H2838" t="n">
        <v>241</v>
      </c>
      <c r="I2838">
        <f>B2838&amp;"~"&amp;F2838&amp;"~"&amp;G2838</f>
        <v/>
      </c>
      <c r="J2838" t="inlineStr">
        <is>
          <t>MVS Sec.18 p.18</t>
        </is>
      </c>
    </row>
    <row r="2839">
      <c r="B2839" t="inlineStr">
        <is>
          <t>Elementary and Secondary Media Centers (Libraries)</t>
        </is>
      </c>
      <c r="C2839" t="inlineStr">
        <is>
          <t>360</t>
        </is>
      </c>
      <c r="D2839" t="inlineStr">
        <is>
          <t>18</t>
        </is>
      </c>
      <c r="E2839" t="inlineStr">
        <is>
          <t>18</t>
        </is>
      </c>
      <c r="F2839" t="inlineStr">
        <is>
          <t>C</t>
        </is>
      </c>
      <c r="G2839" t="inlineStr">
        <is>
          <t>Average</t>
        </is>
      </c>
      <c r="H2839" t="n">
        <v>182</v>
      </c>
      <c r="I2839">
        <f>B2839&amp;"~"&amp;F2839&amp;"~"&amp;G2839</f>
        <v/>
      </c>
      <c r="J2839" t="inlineStr">
        <is>
          <t>MVS Sec.18 p.18</t>
        </is>
      </c>
    </row>
    <row r="2840">
      <c r="B2840" t="inlineStr">
        <is>
          <t>Elementary and Secondary Media Centers (Libraries)</t>
        </is>
      </c>
      <c r="C2840" t="inlineStr">
        <is>
          <t>360</t>
        </is>
      </c>
      <c r="D2840" t="inlineStr">
        <is>
          <t>18</t>
        </is>
      </c>
      <c r="E2840" t="inlineStr">
        <is>
          <t>18</t>
        </is>
      </c>
      <c r="F2840" t="inlineStr">
        <is>
          <t>C</t>
        </is>
      </c>
      <c r="G2840" t="inlineStr">
        <is>
          <t>Low Cost</t>
        </is>
      </c>
      <c r="H2840" t="n">
        <v>138</v>
      </c>
      <c r="I2840">
        <f>B2840&amp;"~"&amp;F2840&amp;"~"&amp;G2840</f>
        <v/>
      </c>
      <c r="J2840" t="inlineStr">
        <is>
          <t>MVS Sec.18 p.18</t>
        </is>
      </c>
    </row>
    <row r="2841">
      <c r="B2841" t="inlineStr">
        <is>
          <t>Elementary and Secondary Media Centers (Libraries)</t>
        </is>
      </c>
      <c r="C2841" t="inlineStr">
        <is>
          <t>360</t>
        </is>
      </c>
      <c r="D2841" t="inlineStr">
        <is>
          <t>18</t>
        </is>
      </c>
      <c r="E2841" t="inlineStr">
        <is>
          <t>18</t>
        </is>
      </c>
      <c r="F2841" t="inlineStr">
        <is>
          <t>D</t>
        </is>
      </c>
      <c r="G2841" t="inlineStr">
        <is>
          <t>Excellent</t>
        </is>
      </c>
      <c r="H2841" t="n">
        <v>313</v>
      </c>
      <c r="I2841">
        <f>B2841&amp;"~"&amp;F2841&amp;"~"&amp;G2841</f>
        <v/>
      </c>
      <c r="J2841" t="inlineStr">
        <is>
          <t>MVS Sec.18 p.18</t>
        </is>
      </c>
    </row>
    <row r="2842">
      <c r="B2842" t="inlineStr">
        <is>
          <t>Elementary and Secondary Media Centers (Libraries)</t>
        </is>
      </c>
      <c r="C2842" t="inlineStr">
        <is>
          <t>360</t>
        </is>
      </c>
      <c r="D2842" t="inlineStr">
        <is>
          <t>18</t>
        </is>
      </c>
      <c r="E2842" t="inlineStr">
        <is>
          <t>18</t>
        </is>
      </c>
      <c r="F2842" t="inlineStr">
        <is>
          <t>D</t>
        </is>
      </c>
      <c r="G2842" t="inlineStr">
        <is>
          <t>Good</t>
        </is>
      </c>
      <c r="H2842" t="n">
        <v>236</v>
      </c>
      <c r="I2842">
        <f>B2842&amp;"~"&amp;F2842&amp;"~"&amp;G2842</f>
        <v/>
      </c>
      <c r="J2842" t="inlineStr">
        <is>
          <t>MVS Sec.18 p.18</t>
        </is>
      </c>
    </row>
    <row r="2843">
      <c r="B2843" t="inlineStr">
        <is>
          <t>Elementary and Secondary Media Centers (Libraries)</t>
        </is>
      </c>
      <c r="C2843" t="inlineStr">
        <is>
          <t>360</t>
        </is>
      </c>
      <c r="D2843" t="inlineStr">
        <is>
          <t>18</t>
        </is>
      </c>
      <c r="E2843" t="inlineStr">
        <is>
          <t>18</t>
        </is>
      </c>
      <c r="F2843" t="inlineStr">
        <is>
          <t>D</t>
        </is>
      </c>
      <c r="G2843" t="inlineStr">
        <is>
          <t>Average</t>
        </is>
      </c>
      <c r="H2843" t="n">
        <v>176</v>
      </c>
      <c r="I2843">
        <f>B2843&amp;"~"&amp;F2843&amp;"~"&amp;G2843</f>
        <v/>
      </c>
      <c r="J2843" t="inlineStr">
        <is>
          <t>MVS Sec.18 p.18</t>
        </is>
      </c>
    </row>
    <row r="2844">
      <c r="B2844" t="inlineStr">
        <is>
          <t>Elementary and Secondary Media Centers (Libraries)</t>
        </is>
      </c>
      <c r="C2844" t="inlineStr">
        <is>
          <t>360</t>
        </is>
      </c>
      <c r="D2844" t="inlineStr">
        <is>
          <t>18</t>
        </is>
      </c>
      <c r="E2844" t="inlineStr">
        <is>
          <t>18</t>
        </is>
      </c>
      <c r="F2844" t="inlineStr">
        <is>
          <t>D</t>
        </is>
      </c>
      <c r="G2844" t="inlineStr">
        <is>
          <t>Low Cost</t>
        </is>
      </c>
      <c r="H2844" t="n">
        <v>133</v>
      </c>
      <c r="I2844">
        <f>B2844&amp;"~"&amp;F2844&amp;"~"&amp;G2844</f>
        <v/>
      </c>
      <c r="J2844" t="inlineStr">
        <is>
          <t>MVS Sec.18 p.18</t>
        </is>
      </c>
    </row>
    <row r="2845">
      <c r="B2845" t="inlineStr">
        <is>
          <t>Elementary and Secondary Media Centers (Libraries)</t>
        </is>
      </c>
      <c r="C2845" t="inlineStr">
        <is>
          <t>360</t>
        </is>
      </c>
      <c r="D2845" t="inlineStr">
        <is>
          <t>18</t>
        </is>
      </c>
      <c r="E2845" t="inlineStr">
        <is>
          <t>18</t>
        </is>
      </c>
      <c r="F2845" t="inlineStr">
        <is>
          <t>DPOLE</t>
        </is>
      </c>
      <c r="G2845" t="inlineStr">
        <is>
          <t>Average</t>
        </is>
      </c>
      <c r="H2845" t="n">
        <v>169</v>
      </c>
      <c r="I2845">
        <f>B2845&amp;"~"&amp;F2845&amp;"~"&amp;G2845</f>
        <v/>
      </c>
      <c r="J2845" t="inlineStr">
        <is>
          <t>MVS Sec.18 p.18</t>
        </is>
      </c>
    </row>
    <row r="2846">
      <c r="B2846" t="inlineStr">
        <is>
          <t>Elementary and Secondary Media Centers (Libraries)</t>
        </is>
      </c>
      <c r="C2846" t="inlineStr">
        <is>
          <t>360</t>
        </is>
      </c>
      <c r="D2846" t="inlineStr">
        <is>
          <t>18</t>
        </is>
      </c>
      <c r="E2846" t="inlineStr">
        <is>
          <t>18</t>
        </is>
      </c>
      <c r="F2846" t="inlineStr">
        <is>
          <t>DPOLE</t>
        </is>
      </c>
      <c r="G2846" t="inlineStr">
        <is>
          <t>Low Cost</t>
        </is>
      </c>
      <c r="H2846" t="n">
        <v>127</v>
      </c>
      <c r="I2846">
        <f>B2846&amp;"~"&amp;F2846&amp;"~"&amp;G2846</f>
        <v/>
      </c>
      <c r="J2846" t="inlineStr">
        <is>
          <t>MVS Sec.18 p.18</t>
        </is>
      </c>
    </row>
    <row r="2847">
      <c r="B2847" t="inlineStr">
        <is>
          <t>Elementary and Secondary Media Centers (Libraries)</t>
        </is>
      </c>
      <c r="C2847" t="inlineStr">
        <is>
          <t>360</t>
        </is>
      </c>
      <c r="D2847" t="inlineStr">
        <is>
          <t>18</t>
        </is>
      </c>
      <c r="E2847" t="inlineStr">
        <is>
          <t>18</t>
        </is>
      </c>
      <c r="F2847" t="inlineStr">
        <is>
          <t>S</t>
        </is>
      </c>
      <c r="G2847" t="inlineStr">
        <is>
          <t>Good</t>
        </is>
      </c>
      <c r="H2847" t="n">
        <v>231</v>
      </c>
      <c r="I2847">
        <f>B2847&amp;"~"&amp;F2847&amp;"~"&amp;G2847</f>
        <v/>
      </c>
      <c r="J2847" t="inlineStr">
        <is>
          <t>MVS Sec.18 p.18</t>
        </is>
      </c>
    </row>
    <row r="2848">
      <c r="B2848" t="inlineStr">
        <is>
          <t>Elementary and Secondary Media Centers (Libraries)</t>
        </is>
      </c>
      <c r="C2848" t="inlineStr">
        <is>
          <t>360</t>
        </is>
      </c>
      <c r="D2848" t="inlineStr">
        <is>
          <t>18</t>
        </is>
      </c>
      <c r="E2848" t="inlineStr">
        <is>
          <t>18</t>
        </is>
      </c>
      <c r="F2848" t="inlineStr">
        <is>
          <t>S</t>
        </is>
      </c>
      <c r="G2848" t="inlineStr">
        <is>
          <t>Average</t>
        </is>
      </c>
      <c r="H2848" t="n">
        <v>171</v>
      </c>
      <c r="I2848">
        <f>B2848&amp;"~"&amp;F2848&amp;"~"&amp;G2848</f>
        <v/>
      </c>
      <c r="J2848" t="inlineStr">
        <is>
          <t>MVS Sec.18 p.18</t>
        </is>
      </c>
    </row>
    <row r="2849">
      <c r="B2849" t="inlineStr">
        <is>
          <t>Elementary and Secondary Media Centers (Libraries)</t>
        </is>
      </c>
      <c r="C2849" t="inlineStr">
        <is>
          <t>360</t>
        </is>
      </c>
      <c r="D2849" t="inlineStr">
        <is>
          <t>18</t>
        </is>
      </c>
      <c r="E2849" t="inlineStr">
        <is>
          <t>18</t>
        </is>
      </c>
      <c r="F2849" t="inlineStr">
        <is>
          <t>S</t>
        </is>
      </c>
      <c r="G2849" t="inlineStr">
        <is>
          <t>Low Cost</t>
        </is>
      </c>
      <c r="H2849" t="n">
        <v>128</v>
      </c>
      <c r="I2849">
        <f>B2849&amp;"~"&amp;F2849&amp;"~"&amp;G2849</f>
        <v/>
      </c>
      <c r="J2849" t="inlineStr">
        <is>
          <t>MVS Sec.18 p.18</t>
        </is>
      </c>
    </row>
    <row r="2850">
      <c r="B2850" t="inlineStr">
        <is>
          <t>Academic (College) Libraries</t>
        </is>
      </c>
      <c r="C2850" t="inlineStr">
        <is>
          <t>372</t>
        </is>
      </c>
      <c r="D2850" t="inlineStr">
        <is>
          <t>18</t>
        </is>
      </c>
      <c r="E2850" t="inlineStr">
        <is>
          <t>19</t>
        </is>
      </c>
      <c r="F2850" t="inlineStr">
        <is>
          <t>A-B</t>
        </is>
      </c>
      <c r="G2850" t="inlineStr">
        <is>
          <t>Excellent</t>
        </is>
      </c>
      <c r="H2850" t="n">
        <v>456</v>
      </c>
      <c r="I2850">
        <f>B2850&amp;"~"&amp;F2850&amp;"~"&amp;G2850</f>
        <v/>
      </c>
      <c r="J2850" t="inlineStr">
        <is>
          <t>MVS Sec.18 p.19</t>
        </is>
      </c>
    </row>
    <row r="2851">
      <c r="B2851" t="inlineStr">
        <is>
          <t>Academic (College) Libraries</t>
        </is>
      </c>
      <c r="C2851" t="inlineStr">
        <is>
          <t>372</t>
        </is>
      </c>
      <c r="D2851" t="inlineStr">
        <is>
          <t>18</t>
        </is>
      </c>
      <c r="E2851" t="inlineStr">
        <is>
          <t>19</t>
        </is>
      </c>
      <c r="F2851" t="inlineStr">
        <is>
          <t>A-B</t>
        </is>
      </c>
      <c r="G2851" t="inlineStr">
        <is>
          <t>Good</t>
        </is>
      </c>
      <c r="H2851" t="n">
        <v>354</v>
      </c>
      <c r="I2851">
        <f>B2851&amp;"~"&amp;F2851&amp;"~"&amp;G2851</f>
        <v/>
      </c>
      <c r="J2851" t="inlineStr">
        <is>
          <t>MVS Sec.18 p.19</t>
        </is>
      </c>
    </row>
    <row r="2852">
      <c r="B2852" t="inlineStr">
        <is>
          <t>Academic (College) Libraries</t>
        </is>
      </c>
      <c r="C2852" t="inlineStr">
        <is>
          <t>372</t>
        </is>
      </c>
      <c r="D2852" t="inlineStr">
        <is>
          <t>18</t>
        </is>
      </c>
      <c r="E2852" t="inlineStr">
        <is>
          <t>19</t>
        </is>
      </c>
      <c r="F2852" t="inlineStr">
        <is>
          <t>A-B</t>
        </is>
      </c>
      <c r="G2852" t="inlineStr">
        <is>
          <t>Average</t>
        </is>
      </c>
      <c r="H2852" t="n">
        <v>262</v>
      </c>
      <c r="I2852">
        <f>B2852&amp;"~"&amp;F2852&amp;"~"&amp;G2852</f>
        <v/>
      </c>
      <c r="J2852" t="inlineStr">
        <is>
          <t>MVS Sec.18 p.19</t>
        </is>
      </c>
    </row>
    <row r="2853">
      <c r="B2853" t="inlineStr">
        <is>
          <t>Academic (College) Libraries</t>
        </is>
      </c>
      <c r="C2853" t="inlineStr">
        <is>
          <t>372</t>
        </is>
      </c>
      <c r="D2853" t="inlineStr">
        <is>
          <t>18</t>
        </is>
      </c>
      <c r="E2853" t="inlineStr">
        <is>
          <t>19</t>
        </is>
      </c>
      <c r="F2853" t="inlineStr">
        <is>
          <t>A-B</t>
        </is>
      </c>
      <c r="G2853" t="inlineStr">
        <is>
          <t>Low Cost</t>
        </is>
      </c>
      <c r="H2853" t="n">
        <v>202</v>
      </c>
      <c r="I2853">
        <f>B2853&amp;"~"&amp;F2853&amp;"~"&amp;G2853</f>
        <v/>
      </c>
      <c r="J2853" t="inlineStr">
        <is>
          <t>MVS Sec.18 p.19</t>
        </is>
      </c>
    </row>
    <row r="2854">
      <c r="B2854" t="inlineStr">
        <is>
          <t>Academic (College) Libraries</t>
        </is>
      </c>
      <c r="C2854" t="inlineStr">
        <is>
          <t>372</t>
        </is>
      </c>
      <c r="D2854" t="inlineStr">
        <is>
          <t>18</t>
        </is>
      </c>
      <c r="E2854" t="inlineStr">
        <is>
          <t>19</t>
        </is>
      </c>
      <c r="F2854" t="inlineStr">
        <is>
          <t>C</t>
        </is>
      </c>
      <c r="G2854" t="inlineStr">
        <is>
          <t>Excellent</t>
        </is>
      </c>
      <c r="H2854" t="n">
        <v>354</v>
      </c>
      <c r="I2854">
        <f>B2854&amp;"~"&amp;F2854&amp;"~"&amp;G2854</f>
        <v/>
      </c>
      <c r="J2854" t="inlineStr">
        <is>
          <t>MVS Sec.18 p.19</t>
        </is>
      </c>
    </row>
    <row r="2855">
      <c r="B2855" t="inlineStr">
        <is>
          <t>Academic (College) Libraries</t>
        </is>
      </c>
      <c r="C2855" t="inlineStr">
        <is>
          <t>372</t>
        </is>
      </c>
      <c r="D2855" t="inlineStr">
        <is>
          <t>18</t>
        </is>
      </c>
      <c r="E2855" t="inlineStr">
        <is>
          <t>19</t>
        </is>
      </c>
      <c r="F2855" t="inlineStr">
        <is>
          <t>C</t>
        </is>
      </c>
      <c r="G2855" t="inlineStr">
        <is>
          <t>Good</t>
        </is>
      </c>
      <c r="H2855" t="n">
        <v>261</v>
      </c>
      <c r="I2855">
        <f>B2855&amp;"~"&amp;F2855&amp;"~"&amp;G2855</f>
        <v/>
      </c>
      <c r="J2855" t="inlineStr">
        <is>
          <t>MVS Sec.18 p.19</t>
        </is>
      </c>
    </row>
    <row r="2856">
      <c r="B2856" t="inlineStr">
        <is>
          <t>Academic (College) Libraries</t>
        </is>
      </c>
      <c r="C2856" t="inlineStr">
        <is>
          <t>372</t>
        </is>
      </c>
      <c r="D2856" t="inlineStr">
        <is>
          <t>18</t>
        </is>
      </c>
      <c r="E2856" t="inlineStr">
        <is>
          <t>19</t>
        </is>
      </c>
      <c r="F2856" t="inlineStr">
        <is>
          <t>C</t>
        </is>
      </c>
      <c r="G2856" t="inlineStr">
        <is>
          <t>Average</t>
        </is>
      </c>
      <c r="H2856" t="n">
        <v>197</v>
      </c>
      <c r="I2856">
        <f>B2856&amp;"~"&amp;F2856&amp;"~"&amp;G2856</f>
        <v/>
      </c>
      <c r="J2856" t="inlineStr">
        <is>
          <t>MVS Sec.18 p.19</t>
        </is>
      </c>
    </row>
    <row r="2857">
      <c r="B2857" t="inlineStr">
        <is>
          <t>Academic (College) Libraries</t>
        </is>
      </c>
      <c r="C2857" t="inlineStr">
        <is>
          <t>372</t>
        </is>
      </c>
      <c r="D2857" t="inlineStr">
        <is>
          <t>18</t>
        </is>
      </c>
      <c r="E2857" t="inlineStr">
        <is>
          <t>19</t>
        </is>
      </c>
      <c r="F2857" t="inlineStr">
        <is>
          <t>C</t>
        </is>
      </c>
      <c r="G2857" t="inlineStr">
        <is>
          <t>Low Cost</t>
        </is>
      </c>
      <c r="H2857" t="n">
        <v>147</v>
      </c>
      <c r="I2857">
        <f>B2857&amp;"~"&amp;F2857&amp;"~"&amp;G2857</f>
        <v/>
      </c>
      <c r="J2857" t="inlineStr">
        <is>
          <t>MVS Sec.18 p.19</t>
        </is>
      </c>
    </row>
    <row r="2858">
      <c r="B2858" t="inlineStr">
        <is>
          <t>Academic (College) Libraries</t>
        </is>
      </c>
      <c r="C2858" t="inlineStr">
        <is>
          <t>372</t>
        </is>
      </c>
      <c r="D2858" t="inlineStr">
        <is>
          <t>18</t>
        </is>
      </c>
      <c r="E2858" t="inlineStr">
        <is>
          <t>19</t>
        </is>
      </c>
      <c r="F2858" t="inlineStr">
        <is>
          <t>D</t>
        </is>
      </c>
      <c r="G2858" t="inlineStr">
        <is>
          <t>Excellent</t>
        </is>
      </c>
      <c r="H2858" t="n">
        <v>349</v>
      </c>
      <c r="I2858">
        <f>B2858&amp;"~"&amp;F2858&amp;"~"&amp;G2858</f>
        <v/>
      </c>
      <c r="J2858" t="inlineStr">
        <is>
          <t>MVS Sec.18 p.19</t>
        </is>
      </c>
    </row>
    <row r="2859">
      <c r="B2859" t="inlineStr">
        <is>
          <t>Academic (College) Libraries</t>
        </is>
      </c>
      <c r="C2859" t="inlineStr">
        <is>
          <t>372</t>
        </is>
      </c>
      <c r="D2859" t="inlineStr">
        <is>
          <t>18</t>
        </is>
      </c>
      <c r="E2859" t="inlineStr">
        <is>
          <t>19</t>
        </is>
      </c>
      <c r="F2859" t="inlineStr">
        <is>
          <t>D</t>
        </is>
      </c>
      <c r="G2859" t="inlineStr">
        <is>
          <t>Good</t>
        </is>
      </c>
      <c r="H2859" t="n">
        <v>256</v>
      </c>
      <c r="I2859">
        <f>B2859&amp;"~"&amp;F2859&amp;"~"&amp;G2859</f>
        <v/>
      </c>
      <c r="J2859" t="inlineStr">
        <is>
          <t>MVS Sec.18 p.19</t>
        </is>
      </c>
    </row>
    <row r="2860">
      <c r="B2860" t="inlineStr">
        <is>
          <t>Academic (College) Libraries</t>
        </is>
      </c>
      <c r="C2860" t="inlineStr">
        <is>
          <t>372</t>
        </is>
      </c>
      <c r="D2860" t="inlineStr">
        <is>
          <t>18</t>
        </is>
      </c>
      <c r="E2860" t="inlineStr">
        <is>
          <t>19</t>
        </is>
      </c>
      <c r="F2860" t="inlineStr">
        <is>
          <t>D</t>
        </is>
      </c>
      <c r="G2860" t="inlineStr">
        <is>
          <t>Average</t>
        </is>
      </c>
      <c r="H2860" t="n">
        <v>191</v>
      </c>
      <c r="I2860">
        <f>B2860&amp;"~"&amp;F2860&amp;"~"&amp;G2860</f>
        <v/>
      </c>
      <c r="J2860" t="inlineStr">
        <is>
          <t>MVS Sec.18 p.19</t>
        </is>
      </c>
    </row>
    <row r="2861">
      <c r="B2861" t="inlineStr">
        <is>
          <t>Academic (College) Libraries</t>
        </is>
      </c>
      <c r="C2861" t="inlineStr">
        <is>
          <t>372</t>
        </is>
      </c>
      <c r="D2861" t="inlineStr">
        <is>
          <t>18</t>
        </is>
      </c>
      <c r="E2861" t="inlineStr">
        <is>
          <t>19</t>
        </is>
      </c>
      <c r="F2861" t="inlineStr">
        <is>
          <t>D</t>
        </is>
      </c>
      <c r="G2861" t="inlineStr">
        <is>
          <t>Low Cost</t>
        </is>
      </c>
      <c r="H2861" t="n">
        <v>142</v>
      </c>
      <c r="I2861">
        <f>B2861&amp;"~"&amp;F2861&amp;"~"&amp;G2861</f>
        <v/>
      </c>
      <c r="J2861" t="inlineStr">
        <is>
          <t>MVS Sec.18 p.19</t>
        </is>
      </c>
    </row>
    <row r="2862">
      <c r="B2862" t="inlineStr">
        <is>
          <t>Academic (College) Libraries</t>
        </is>
      </c>
      <c r="C2862" t="inlineStr">
        <is>
          <t>372</t>
        </is>
      </c>
      <c r="D2862" t="inlineStr">
        <is>
          <t>18</t>
        </is>
      </c>
      <c r="E2862" t="inlineStr">
        <is>
          <t>19</t>
        </is>
      </c>
      <c r="F2862" t="inlineStr">
        <is>
          <t>S</t>
        </is>
      </c>
      <c r="G2862" t="inlineStr">
        <is>
          <t>Good</t>
        </is>
      </c>
      <c r="H2862" t="n">
        <v>248</v>
      </c>
      <c r="I2862">
        <f>B2862&amp;"~"&amp;F2862&amp;"~"&amp;G2862</f>
        <v/>
      </c>
      <c r="J2862" t="inlineStr">
        <is>
          <t>MVS Sec.18 p.19</t>
        </is>
      </c>
    </row>
    <row r="2863">
      <c r="B2863" t="inlineStr">
        <is>
          <t>Academic (College) Libraries</t>
        </is>
      </c>
      <c r="C2863" t="inlineStr">
        <is>
          <t>372</t>
        </is>
      </c>
      <c r="D2863" t="inlineStr">
        <is>
          <t>18</t>
        </is>
      </c>
      <c r="E2863" t="inlineStr">
        <is>
          <t>19</t>
        </is>
      </c>
      <c r="F2863" t="inlineStr">
        <is>
          <t>S</t>
        </is>
      </c>
      <c r="G2863" t="inlineStr">
        <is>
          <t>Average</t>
        </is>
      </c>
      <c r="H2863" t="n">
        <v>184</v>
      </c>
      <c r="I2863">
        <f>B2863&amp;"~"&amp;F2863&amp;"~"&amp;G2863</f>
        <v/>
      </c>
      <c r="J2863" t="inlineStr">
        <is>
          <t>MVS Sec.18 p.19</t>
        </is>
      </c>
    </row>
    <row r="2864">
      <c r="B2864" t="inlineStr">
        <is>
          <t>Academic (College) Libraries</t>
        </is>
      </c>
      <c r="C2864" t="inlineStr">
        <is>
          <t>372</t>
        </is>
      </c>
      <c r="D2864" t="inlineStr">
        <is>
          <t>18</t>
        </is>
      </c>
      <c r="E2864" t="inlineStr">
        <is>
          <t>19</t>
        </is>
      </c>
      <c r="F2864" t="inlineStr">
        <is>
          <t>S</t>
        </is>
      </c>
      <c r="G2864" t="inlineStr">
        <is>
          <t>Low Cost</t>
        </is>
      </c>
      <c r="H2864" t="n">
        <v>136</v>
      </c>
      <c r="I2864">
        <f>B2864&amp;"~"&amp;F2864&amp;"~"&amp;G2864</f>
        <v/>
      </c>
      <c r="J2864" t="inlineStr">
        <is>
          <t>MVS Sec.18 p.19</t>
        </is>
      </c>
    </row>
    <row r="2865">
      <c r="B2865" t="inlineStr">
        <is>
          <t>Fine Arts Buildings</t>
        </is>
      </c>
      <c r="C2865" t="inlineStr">
        <is>
          <t>355</t>
        </is>
      </c>
      <c r="D2865" t="inlineStr">
        <is>
          <t>18</t>
        </is>
      </c>
      <c r="E2865" t="inlineStr">
        <is>
          <t>20</t>
        </is>
      </c>
      <c r="F2865" t="inlineStr">
        <is>
          <t>A-B</t>
        </is>
      </c>
      <c r="G2865" t="inlineStr">
        <is>
          <t>Good</t>
        </is>
      </c>
      <c r="H2865" t="n">
        <v>340</v>
      </c>
      <c r="I2865">
        <f>B2865&amp;"~"&amp;F2865&amp;"~"&amp;G2865</f>
        <v/>
      </c>
      <c r="J2865" t="inlineStr">
        <is>
          <t>MVS Sec.18 p.20</t>
        </is>
      </c>
    </row>
    <row r="2866">
      <c r="B2866" t="inlineStr">
        <is>
          <t>Fine Arts Buildings</t>
        </is>
      </c>
      <c r="C2866" t="inlineStr">
        <is>
          <t>355</t>
        </is>
      </c>
      <c r="D2866" t="inlineStr">
        <is>
          <t>18</t>
        </is>
      </c>
      <c r="E2866" t="inlineStr">
        <is>
          <t>20</t>
        </is>
      </c>
      <c r="F2866" t="inlineStr">
        <is>
          <t>A-B</t>
        </is>
      </c>
      <c r="G2866" t="inlineStr">
        <is>
          <t>Average</t>
        </is>
      </c>
      <c r="H2866" t="n">
        <v>250</v>
      </c>
      <c r="I2866">
        <f>B2866&amp;"~"&amp;F2866&amp;"~"&amp;G2866</f>
        <v/>
      </c>
      <c r="J2866" t="inlineStr">
        <is>
          <t>MVS Sec.18 p.20</t>
        </is>
      </c>
    </row>
    <row r="2867">
      <c r="B2867" t="inlineStr">
        <is>
          <t>Fine Arts Buildings</t>
        </is>
      </c>
      <c r="C2867" t="inlineStr">
        <is>
          <t>355</t>
        </is>
      </c>
      <c r="D2867" t="inlineStr">
        <is>
          <t>18</t>
        </is>
      </c>
      <c r="E2867" t="inlineStr">
        <is>
          <t>20</t>
        </is>
      </c>
      <c r="F2867" t="inlineStr">
        <is>
          <t>C</t>
        </is>
      </c>
      <c r="G2867" t="inlineStr">
        <is>
          <t>Excellent</t>
        </is>
      </c>
      <c r="H2867" t="n">
        <v>342</v>
      </c>
      <c r="I2867">
        <f>B2867&amp;"~"&amp;F2867&amp;"~"&amp;G2867</f>
        <v/>
      </c>
      <c r="J2867" t="inlineStr">
        <is>
          <t>MVS Sec.18 p.20</t>
        </is>
      </c>
    </row>
    <row r="2868">
      <c r="B2868" t="inlineStr">
        <is>
          <t>Fine Arts Buildings</t>
        </is>
      </c>
      <c r="C2868" t="inlineStr">
        <is>
          <t>355</t>
        </is>
      </c>
      <c r="D2868" t="inlineStr">
        <is>
          <t>18</t>
        </is>
      </c>
      <c r="E2868" t="inlineStr">
        <is>
          <t>20</t>
        </is>
      </c>
      <c r="F2868" t="inlineStr">
        <is>
          <t>C</t>
        </is>
      </c>
      <c r="G2868" t="inlineStr">
        <is>
          <t>Good</t>
        </is>
      </c>
      <c r="H2868" t="n">
        <v>252</v>
      </c>
      <c r="I2868">
        <f>B2868&amp;"~"&amp;F2868&amp;"~"&amp;G2868</f>
        <v/>
      </c>
      <c r="J2868" t="inlineStr">
        <is>
          <t>MVS Sec.18 p.20</t>
        </is>
      </c>
    </row>
    <row r="2869">
      <c r="B2869" t="inlineStr">
        <is>
          <t>Fine Arts Buildings</t>
        </is>
      </c>
      <c r="C2869" t="inlineStr">
        <is>
          <t>355</t>
        </is>
      </c>
      <c r="D2869" t="inlineStr">
        <is>
          <t>18</t>
        </is>
      </c>
      <c r="E2869" t="inlineStr">
        <is>
          <t>20</t>
        </is>
      </c>
      <c r="F2869" t="inlineStr">
        <is>
          <t>C</t>
        </is>
      </c>
      <c r="G2869" t="inlineStr">
        <is>
          <t>Average</t>
        </is>
      </c>
      <c r="H2869" t="n">
        <v>191</v>
      </c>
      <c r="I2869">
        <f>B2869&amp;"~"&amp;F2869&amp;"~"&amp;G2869</f>
        <v/>
      </c>
      <c r="J2869" t="inlineStr">
        <is>
          <t>MVS Sec.18 p.20</t>
        </is>
      </c>
    </row>
    <row r="2870">
      <c r="B2870" t="inlineStr">
        <is>
          <t>Fine Arts Buildings</t>
        </is>
      </c>
      <c r="C2870" t="inlineStr">
        <is>
          <t>355</t>
        </is>
      </c>
      <c r="D2870" t="inlineStr">
        <is>
          <t>18</t>
        </is>
      </c>
      <c r="E2870" t="inlineStr">
        <is>
          <t>20</t>
        </is>
      </c>
      <c r="F2870" t="inlineStr">
        <is>
          <t>C</t>
        </is>
      </c>
      <c r="G2870" t="inlineStr">
        <is>
          <t>Low Cost</t>
        </is>
      </c>
      <c r="H2870" t="n">
        <v>143</v>
      </c>
      <c r="I2870">
        <f>B2870&amp;"~"&amp;F2870&amp;"~"&amp;G2870</f>
        <v/>
      </c>
      <c r="J2870" t="inlineStr">
        <is>
          <t>MVS Sec.18 p.20</t>
        </is>
      </c>
    </row>
    <row r="2871">
      <c r="B2871" t="inlineStr">
        <is>
          <t>Fine Arts Buildings</t>
        </is>
      </c>
      <c r="C2871" t="inlineStr">
        <is>
          <t>355</t>
        </is>
      </c>
      <c r="D2871" t="inlineStr">
        <is>
          <t>18</t>
        </is>
      </c>
      <c r="E2871" t="inlineStr">
        <is>
          <t>20</t>
        </is>
      </c>
      <c r="F2871" t="inlineStr">
        <is>
          <t>D</t>
        </is>
      </c>
      <c r="G2871" t="inlineStr">
        <is>
          <t>Good</t>
        </is>
      </c>
      <c r="H2871" t="n">
        <v>247</v>
      </c>
      <c r="I2871">
        <f>B2871&amp;"~"&amp;F2871&amp;"~"&amp;G2871</f>
        <v/>
      </c>
      <c r="J2871" t="inlineStr">
        <is>
          <t>MVS Sec.18 p.20</t>
        </is>
      </c>
    </row>
    <row r="2872">
      <c r="B2872" t="inlineStr">
        <is>
          <t>Fine Arts Buildings</t>
        </is>
      </c>
      <c r="C2872" t="inlineStr">
        <is>
          <t>355</t>
        </is>
      </c>
      <c r="D2872" t="inlineStr">
        <is>
          <t>18</t>
        </is>
      </c>
      <c r="E2872" t="inlineStr">
        <is>
          <t>20</t>
        </is>
      </c>
      <c r="F2872" t="inlineStr">
        <is>
          <t>D</t>
        </is>
      </c>
      <c r="G2872" t="inlineStr">
        <is>
          <t>Average</t>
        </is>
      </c>
      <c r="H2872" t="n">
        <v>185</v>
      </c>
      <c r="I2872">
        <f>B2872&amp;"~"&amp;F2872&amp;"~"&amp;G2872</f>
        <v/>
      </c>
      <c r="J2872" t="inlineStr">
        <is>
          <t>MVS Sec.18 p.20</t>
        </is>
      </c>
    </row>
    <row r="2873">
      <c r="B2873" t="inlineStr">
        <is>
          <t>Fine Arts Buildings</t>
        </is>
      </c>
      <c r="C2873" t="inlineStr">
        <is>
          <t>355</t>
        </is>
      </c>
      <c r="D2873" t="inlineStr">
        <is>
          <t>18</t>
        </is>
      </c>
      <c r="E2873" t="inlineStr">
        <is>
          <t>20</t>
        </is>
      </c>
      <c r="F2873" t="inlineStr">
        <is>
          <t>D</t>
        </is>
      </c>
      <c r="G2873" t="inlineStr">
        <is>
          <t>Low Cost</t>
        </is>
      </c>
      <c r="H2873" t="n">
        <v>137</v>
      </c>
      <c r="I2873">
        <f>B2873&amp;"~"&amp;F2873&amp;"~"&amp;G2873</f>
        <v/>
      </c>
      <c r="J2873" t="inlineStr">
        <is>
          <t>MVS Sec.18 p.20</t>
        </is>
      </c>
    </row>
    <row r="2874">
      <c r="B2874" t="inlineStr">
        <is>
          <t>Fine Arts Buildings</t>
        </is>
      </c>
      <c r="C2874" t="inlineStr">
        <is>
          <t>355</t>
        </is>
      </c>
      <c r="D2874" t="inlineStr">
        <is>
          <t>18</t>
        </is>
      </c>
      <c r="E2874" t="inlineStr">
        <is>
          <t>20</t>
        </is>
      </c>
      <c r="F2874" t="inlineStr">
        <is>
          <t>DPOLE</t>
        </is>
      </c>
      <c r="G2874" t="inlineStr">
        <is>
          <t>Average</t>
        </is>
      </c>
      <c r="H2874" t="n">
        <v>178</v>
      </c>
      <c r="I2874">
        <f>B2874&amp;"~"&amp;F2874&amp;"~"&amp;G2874</f>
        <v/>
      </c>
      <c r="J2874" t="inlineStr">
        <is>
          <t>MVS Sec.18 p.20</t>
        </is>
      </c>
    </row>
    <row r="2875">
      <c r="B2875" t="inlineStr">
        <is>
          <t>Fine Arts Buildings</t>
        </is>
      </c>
      <c r="C2875" t="inlineStr">
        <is>
          <t>355</t>
        </is>
      </c>
      <c r="D2875" t="inlineStr">
        <is>
          <t>18</t>
        </is>
      </c>
      <c r="E2875" t="inlineStr">
        <is>
          <t>20</t>
        </is>
      </c>
      <c r="F2875" t="inlineStr">
        <is>
          <t>DPOLE</t>
        </is>
      </c>
      <c r="G2875" t="inlineStr">
        <is>
          <t>Low Cost</t>
        </is>
      </c>
      <c r="H2875" t="n">
        <v>131</v>
      </c>
      <c r="I2875">
        <f>B2875&amp;"~"&amp;F2875&amp;"~"&amp;G2875</f>
        <v/>
      </c>
      <c r="J2875" t="inlineStr">
        <is>
          <t>MVS Sec.18 p.20</t>
        </is>
      </c>
    </row>
    <row r="2876">
      <c r="B2876" t="inlineStr">
        <is>
          <t>Fine Arts Buildings</t>
        </is>
      </c>
      <c r="C2876" t="inlineStr">
        <is>
          <t>355</t>
        </is>
      </c>
      <c r="D2876" t="inlineStr">
        <is>
          <t>18</t>
        </is>
      </c>
      <c r="E2876" t="inlineStr">
        <is>
          <t>20</t>
        </is>
      </c>
      <c r="F2876" t="inlineStr">
        <is>
          <t>S</t>
        </is>
      </c>
      <c r="G2876" t="inlineStr">
        <is>
          <t>Good</t>
        </is>
      </c>
      <c r="H2876" t="n">
        <v>243</v>
      </c>
      <c r="I2876">
        <f>B2876&amp;"~"&amp;F2876&amp;"~"&amp;G2876</f>
        <v/>
      </c>
      <c r="J2876" t="inlineStr">
        <is>
          <t>MVS Sec.18 p.20</t>
        </is>
      </c>
    </row>
    <row r="2877">
      <c r="B2877" t="inlineStr">
        <is>
          <t>Fine Arts Buildings</t>
        </is>
      </c>
      <c r="C2877" t="inlineStr">
        <is>
          <t>355</t>
        </is>
      </c>
      <c r="D2877" t="inlineStr">
        <is>
          <t>18</t>
        </is>
      </c>
      <c r="E2877" t="inlineStr">
        <is>
          <t>20</t>
        </is>
      </c>
      <c r="F2877" t="inlineStr">
        <is>
          <t>S</t>
        </is>
      </c>
      <c r="G2877" t="inlineStr">
        <is>
          <t>Average</t>
        </is>
      </c>
      <c r="H2877" t="n">
        <v>181</v>
      </c>
      <c r="I2877">
        <f>B2877&amp;"~"&amp;F2877&amp;"~"&amp;G2877</f>
        <v/>
      </c>
      <c r="J2877" t="inlineStr">
        <is>
          <t>MVS Sec.18 p.20</t>
        </is>
      </c>
    </row>
    <row r="2878">
      <c r="B2878" t="inlineStr">
        <is>
          <t>Fine Arts Buildings</t>
        </is>
      </c>
      <c r="C2878" t="inlineStr">
        <is>
          <t>355</t>
        </is>
      </c>
      <c r="D2878" t="inlineStr">
        <is>
          <t>18</t>
        </is>
      </c>
      <c r="E2878" t="inlineStr">
        <is>
          <t>20</t>
        </is>
      </c>
      <c r="F2878" t="inlineStr">
        <is>
          <t>S</t>
        </is>
      </c>
      <c r="G2878" t="inlineStr">
        <is>
          <t>Low Cost</t>
        </is>
      </c>
      <c r="H2878" t="n">
        <v>133</v>
      </c>
      <c r="I2878">
        <f>B2878&amp;"~"&amp;F2878&amp;"~"&amp;G2878</f>
        <v/>
      </c>
      <c r="J2878" t="inlineStr">
        <is>
          <t>MVS Sec.18 p.20</t>
        </is>
      </c>
    </row>
    <row r="2879">
      <c r="B2879" t="inlineStr">
        <is>
          <t>Book Stores</t>
        </is>
      </c>
      <c r="C2879" t="inlineStr">
        <is>
          <t>488</t>
        </is>
      </c>
      <c r="D2879" t="inlineStr">
        <is>
          <t>18</t>
        </is>
      </c>
      <c r="E2879" t="inlineStr">
        <is>
          <t>20</t>
        </is>
      </c>
      <c r="F2879" t="inlineStr">
        <is>
          <t>A-B</t>
        </is>
      </c>
      <c r="G2879" t="inlineStr">
        <is>
          <t>Average</t>
        </is>
      </c>
      <c r="H2879" t="n">
        <v>168</v>
      </c>
      <c r="I2879">
        <f>B2879&amp;"~"&amp;F2879&amp;"~"&amp;G2879</f>
        <v/>
      </c>
      <c r="J2879" t="inlineStr">
        <is>
          <t>MVS Sec.18 p.20</t>
        </is>
      </c>
    </row>
    <row r="2880">
      <c r="B2880" t="inlineStr">
        <is>
          <t>Book Stores</t>
        </is>
      </c>
      <c r="C2880" t="inlineStr">
        <is>
          <t>488</t>
        </is>
      </c>
      <c r="D2880" t="inlineStr">
        <is>
          <t>18</t>
        </is>
      </c>
      <c r="E2880" t="inlineStr">
        <is>
          <t>20</t>
        </is>
      </c>
      <c r="F2880" t="inlineStr">
        <is>
          <t>A-B</t>
        </is>
      </c>
      <c r="G2880" t="inlineStr">
        <is>
          <t>Low Cost</t>
        </is>
      </c>
      <c r="H2880" t="n">
        <v>130</v>
      </c>
      <c r="I2880">
        <f>B2880&amp;"~"&amp;F2880&amp;"~"&amp;G2880</f>
        <v/>
      </c>
      <c r="J2880" t="inlineStr">
        <is>
          <t>MVS Sec.18 p.20</t>
        </is>
      </c>
    </row>
    <row r="2881">
      <c r="B2881" t="inlineStr">
        <is>
          <t>Book Stores</t>
        </is>
      </c>
      <c r="C2881" t="inlineStr">
        <is>
          <t>488</t>
        </is>
      </c>
      <c r="D2881" t="inlineStr">
        <is>
          <t>18</t>
        </is>
      </c>
      <c r="E2881" t="inlineStr">
        <is>
          <t>20</t>
        </is>
      </c>
      <c r="F2881" t="inlineStr">
        <is>
          <t>C</t>
        </is>
      </c>
      <c r="G2881" t="inlineStr">
        <is>
          <t>Good</t>
        </is>
      </c>
      <c r="H2881" t="n">
        <v>172</v>
      </c>
      <c r="I2881">
        <f>B2881&amp;"~"&amp;F2881&amp;"~"&amp;G2881</f>
        <v/>
      </c>
      <c r="J2881" t="inlineStr">
        <is>
          <t>MVS Sec.18 p.20</t>
        </is>
      </c>
    </row>
    <row r="2882">
      <c r="B2882" t="inlineStr">
        <is>
          <t>Book Stores</t>
        </is>
      </c>
      <c r="C2882" t="inlineStr">
        <is>
          <t>488</t>
        </is>
      </c>
      <c r="D2882" t="inlineStr">
        <is>
          <t>18</t>
        </is>
      </c>
      <c r="E2882" t="inlineStr">
        <is>
          <t>20</t>
        </is>
      </c>
      <c r="F2882" t="inlineStr">
        <is>
          <t>C</t>
        </is>
      </c>
      <c r="G2882" t="inlineStr">
        <is>
          <t>Average</t>
        </is>
      </c>
      <c r="H2882" t="n">
        <v>132</v>
      </c>
      <c r="I2882">
        <f>B2882&amp;"~"&amp;F2882&amp;"~"&amp;G2882</f>
        <v/>
      </c>
      <c r="J2882" t="inlineStr">
        <is>
          <t>MVS Sec.18 p.20</t>
        </is>
      </c>
    </row>
    <row r="2883">
      <c r="B2883" t="inlineStr">
        <is>
          <t>Book Stores</t>
        </is>
      </c>
      <c r="C2883" t="inlineStr">
        <is>
          <t>488</t>
        </is>
      </c>
      <c r="D2883" t="inlineStr">
        <is>
          <t>18</t>
        </is>
      </c>
      <c r="E2883" t="inlineStr">
        <is>
          <t>20</t>
        </is>
      </c>
      <c r="F2883" t="inlineStr">
        <is>
          <t>C</t>
        </is>
      </c>
      <c r="G2883" t="inlineStr">
        <is>
          <t>Low Cost</t>
        </is>
      </c>
      <c r="H2883" t="n">
        <v>102</v>
      </c>
      <c r="I2883">
        <f>B2883&amp;"~"&amp;F2883&amp;"~"&amp;G2883</f>
        <v/>
      </c>
      <c r="J2883" t="inlineStr">
        <is>
          <t>MVS Sec.18 p.20</t>
        </is>
      </c>
    </row>
    <row r="2884">
      <c r="B2884" t="inlineStr">
        <is>
          <t>Book Stores</t>
        </is>
      </c>
      <c r="C2884" t="inlineStr">
        <is>
          <t>488</t>
        </is>
      </c>
      <c r="D2884" t="inlineStr">
        <is>
          <t>18</t>
        </is>
      </c>
      <c r="E2884" t="inlineStr">
        <is>
          <t>20</t>
        </is>
      </c>
      <c r="F2884" t="inlineStr">
        <is>
          <t>D</t>
        </is>
      </c>
      <c r="G2884" t="inlineStr">
        <is>
          <t>Good</t>
        </is>
      </c>
      <c r="H2884" t="n">
        <v>168</v>
      </c>
      <c r="I2884">
        <f>B2884&amp;"~"&amp;F2884&amp;"~"&amp;G2884</f>
        <v/>
      </c>
      <c r="J2884" t="inlineStr">
        <is>
          <t>MVS Sec.18 p.20</t>
        </is>
      </c>
    </row>
    <row r="2885">
      <c r="B2885" t="inlineStr">
        <is>
          <t>Book Stores</t>
        </is>
      </c>
      <c r="C2885" t="inlineStr">
        <is>
          <t>488</t>
        </is>
      </c>
      <c r="D2885" t="inlineStr">
        <is>
          <t>18</t>
        </is>
      </c>
      <c r="E2885" t="inlineStr">
        <is>
          <t>20</t>
        </is>
      </c>
      <c r="F2885" t="inlineStr">
        <is>
          <t>D</t>
        </is>
      </c>
      <c r="G2885" t="inlineStr">
        <is>
          <t>Average</t>
        </is>
      </c>
      <c r="H2885" t="n">
        <v>127</v>
      </c>
      <c r="I2885">
        <f>B2885&amp;"~"&amp;F2885&amp;"~"&amp;G2885</f>
        <v/>
      </c>
      <c r="J2885" t="inlineStr">
        <is>
          <t>MVS Sec.18 p.20</t>
        </is>
      </c>
    </row>
    <row r="2886">
      <c r="B2886" t="inlineStr">
        <is>
          <t>Book Stores</t>
        </is>
      </c>
      <c r="C2886" t="inlineStr">
        <is>
          <t>488</t>
        </is>
      </c>
      <c r="D2886" t="inlineStr">
        <is>
          <t>18</t>
        </is>
      </c>
      <c r="E2886" t="inlineStr">
        <is>
          <t>20</t>
        </is>
      </c>
      <c r="F2886" t="inlineStr">
        <is>
          <t>D</t>
        </is>
      </c>
      <c r="G2886" t="inlineStr">
        <is>
          <t>Low Cost</t>
        </is>
      </c>
      <c r="H2886" t="n">
        <v>97</v>
      </c>
      <c r="I2886">
        <f>B2886&amp;"~"&amp;F2886&amp;"~"&amp;G2886</f>
        <v/>
      </c>
      <c r="J2886" t="inlineStr">
        <is>
          <t>MVS Sec.18 p.20</t>
        </is>
      </c>
    </row>
    <row r="2887">
      <c r="B2887" t="inlineStr">
        <is>
          <t>Book Stores</t>
        </is>
      </c>
      <c r="C2887" t="inlineStr">
        <is>
          <t>488</t>
        </is>
      </c>
      <c r="D2887" t="inlineStr">
        <is>
          <t>18</t>
        </is>
      </c>
      <c r="E2887" t="inlineStr">
        <is>
          <t>20</t>
        </is>
      </c>
      <c r="F2887" t="inlineStr">
        <is>
          <t>DPOLE</t>
        </is>
      </c>
      <c r="G2887" t="inlineStr">
        <is>
          <t>Low Cost</t>
        </is>
      </c>
      <c r="H2887" t="n">
        <v>89</v>
      </c>
      <c r="I2887">
        <f>B2887&amp;"~"&amp;F2887&amp;"~"&amp;G2887</f>
        <v/>
      </c>
      <c r="J2887" t="inlineStr">
        <is>
          <t>MVS Sec.18 p.20</t>
        </is>
      </c>
    </row>
    <row r="2888">
      <c r="B2888" t="inlineStr">
        <is>
          <t>Book Stores</t>
        </is>
      </c>
      <c r="C2888" t="inlineStr">
        <is>
          <t>488</t>
        </is>
      </c>
      <c r="D2888" t="inlineStr">
        <is>
          <t>18</t>
        </is>
      </c>
      <c r="E2888" t="inlineStr">
        <is>
          <t>20</t>
        </is>
      </c>
      <c r="F2888" t="inlineStr">
        <is>
          <t>S</t>
        </is>
      </c>
      <c r="G2888" t="inlineStr">
        <is>
          <t>Low Cost</t>
        </is>
      </c>
      <c r="H2888" t="n">
        <v>90.5</v>
      </c>
      <c r="I2888">
        <f>B2888&amp;"~"&amp;F2888&amp;"~"&amp;G2888</f>
        <v/>
      </c>
      <c r="J2888" t="inlineStr">
        <is>
          <t>MVS Sec.18 p.20</t>
        </is>
      </c>
    </row>
    <row r="2889">
      <c r="B2889" t="inlineStr">
        <is>
          <t>Restroom Buildings</t>
        </is>
      </c>
      <c r="C2889" t="inlineStr">
        <is>
          <t>432</t>
        </is>
      </c>
      <c r="D2889" t="inlineStr">
        <is>
          <t>18</t>
        </is>
      </c>
      <c r="E2889" t="inlineStr">
        <is>
          <t>21</t>
        </is>
      </c>
      <c r="F2889" t="inlineStr">
        <is>
          <t>A-B</t>
        </is>
      </c>
      <c r="G2889" t="inlineStr">
        <is>
          <t>Average</t>
        </is>
      </c>
      <c r="H2889" t="n">
        <v>270</v>
      </c>
      <c r="I2889">
        <f>B2889&amp;"~"&amp;F2889&amp;"~"&amp;G2889</f>
        <v/>
      </c>
      <c r="J2889" t="inlineStr">
        <is>
          <t>MVS Sec.18 p.21</t>
        </is>
      </c>
    </row>
    <row r="2890">
      <c r="B2890" t="inlineStr">
        <is>
          <t>Restroom Buildings</t>
        </is>
      </c>
      <c r="C2890" t="inlineStr">
        <is>
          <t>432</t>
        </is>
      </c>
      <c r="D2890" t="inlineStr">
        <is>
          <t>18</t>
        </is>
      </c>
      <c r="E2890" t="inlineStr">
        <is>
          <t>21</t>
        </is>
      </c>
      <c r="F2890" t="inlineStr">
        <is>
          <t>C</t>
        </is>
      </c>
      <c r="G2890" t="inlineStr">
        <is>
          <t>Excellent</t>
        </is>
      </c>
      <c r="H2890" t="n">
        <v>392</v>
      </c>
      <c r="I2890">
        <f>B2890&amp;"~"&amp;F2890&amp;"~"&amp;G2890</f>
        <v/>
      </c>
      <c r="J2890" t="inlineStr">
        <is>
          <t>MVS Sec.18 p.21</t>
        </is>
      </c>
    </row>
    <row r="2891">
      <c r="B2891" t="inlineStr">
        <is>
          <t>Restroom Buildings</t>
        </is>
      </c>
      <c r="C2891" t="inlineStr">
        <is>
          <t>432</t>
        </is>
      </c>
      <c r="D2891" t="inlineStr">
        <is>
          <t>18</t>
        </is>
      </c>
      <c r="E2891" t="inlineStr">
        <is>
          <t>21</t>
        </is>
      </c>
      <c r="F2891" t="inlineStr">
        <is>
          <t>C</t>
        </is>
      </c>
      <c r="G2891" t="inlineStr">
        <is>
          <t>Good</t>
        </is>
      </c>
      <c r="H2891" t="n">
        <v>286</v>
      </c>
      <c r="I2891">
        <f>B2891&amp;"~"&amp;F2891&amp;"~"&amp;G2891</f>
        <v/>
      </c>
      <c r="J2891" t="inlineStr">
        <is>
          <t>MVS Sec.18 p.21</t>
        </is>
      </c>
    </row>
    <row r="2892">
      <c r="B2892" t="inlineStr">
        <is>
          <t>Restroom Buildings</t>
        </is>
      </c>
      <c r="C2892" t="inlineStr">
        <is>
          <t>432</t>
        </is>
      </c>
      <c r="D2892" t="inlineStr">
        <is>
          <t>18</t>
        </is>
      </c>
      <c r="E2892" t="inlineStr">
        <is>
          <t>21</t>
        </is>
      </c>
      <c r="F2892" t="inlineStr">
        <is>
          <t>C</t>
        </is>
      </c>
      <c r="G2892" t="inlineStr">
        <is>
          <t>Average</t>
        </is>
      </c>
      <c r="H2892" t="n">
        <v>209</v>
      </c>
      <c r="I2892">
        <f>B2892&amp;"~"&amp;F2892&amp;"~"&amp;G2892</f>
        <v/>
      </c>
      <c r="J2892" t="inlineStr">
        <is>
          <t>MVS Sec.18 p.21</t>
        </is>
      </c>
    </row>
    <row r="2893">
      <c r="B2893" t="inlineStr">
        <is>
          <t>Restroom Buildings</t>
        </is>
      </c>
      <c r="C2893" t="inlineStr">
        <is>
          <t>432</t>
        </is>
      </c>
      <c r="D2893" t="inlineStr">
        <is>
          <t>18</t>
        </is>
      </c>
      <c r="E2893" t="inlineStr">
        <is>
          <t>21</t>
        </is>
      </c>
      <c r="F2893" t="inlineStr">
        <is>
          <t>C</t>
        </is>
      </c>
      <c r="G2893" t="inlineStr">
        <is>
          <t>Low Cost</t>
        </is>
      </c>
      <c r="H2893" t="n">
        <v>153</v>
      </c>
      <c r="I2893">
        <f>B2893&amp;"~"&amp;F2893&amp;"~"&amp;G2893</f>
        <v/>
      </c>
      <c r="J2893" t="inlineStr">
        <is>
          <t>MVS Sec.18 p.21</t>
        </is>
      </c>
    </row>
    <row r="2894">
      <c r="B2894" t="inlineStr">
        <is>
          <t>Restroom Buildings</t>
        </is>
      </c>
      <c r="C2894" t="inlineStr">
        <is>
          <t>432</t>
        </is>
      </c>
      <c r="D2894" t="inlineStr">
        <is>
          <t>18</t>
        </is>
      </c>
      <c r="E2894" t="inlineStr">
        <is>
          <t>21</t>
        </is>
      </c>
      <c r="F2894" t="inlineStr">
        <is>
          <t>C</t>
        </is>
      </c>
      <c r="G2894" t="inlineStr">
        <is>
          <t>Cheap</t>
        </is>
      </c>
      <c r="H2894" t="n">
        <v>109</v>
      </c>
      <c r="I2894">
        <f>B2894&amp;"~"&amp;F2894&amp;"~"&amp;G2894</f>
        <v/>
      </c>
      <c r="J2894" t="inlineStr">
        <is>
          <t>MVS Sec.18 p.21</t>
        </is>
      </c>
    </row>
    <row r="2895">
      <c r="B2895" t="inlineStr">
        <is>
          <t>Restroom Buildings</t>
        </is>
      </c>
      <c r="C2895" t="inlineStr">
        <is>
          <t>432</t>
        </is>
      </c>
      <c r="D2895" t="inlineStr">
        <is>
          <t>18</t>
        </is>
      </c>
      <c r="E2895" t="inlineStr">
        <is>
          <t>21</t>
        </is>
      </c>
      <c r="F2895" t="inlineStr">
        <is>
          <t>D</t>
        </is>
      </c>
      <c r="G2895" t="inlineStr">
        <is>
          <t>Excellent</t>
        </is>
      </c>
      <c r="H2895" t="n">
        <v>364</v>
      </c>
      <c r="I2895">
        <f>B2895&amp;"~"&amp;F2895&amp;"~"&amp;G2895</f>
        <v/>
      </c>
      <c r="J2895" t="inlineStr">
        <is>
          <t>MVS Sec.18 p.21</t>
        </is>
      </c>
    </row>
    <row r="2896">
      <c r="B2896" t="inlineStr">
        <is>
          <t>Restroom Buildings</t>
        </is>
      </c>
      <c r="C2896" t="inlineStr">
        <is>
          <t>432</t>
        </is>
      </c>
      <c r="D2896" t="inlineStr">
        <is>
          <t>18</t>
        </is>
      </c>
      <c r="E2896" t="inlineStr">
        <is>
          <t>21</t>
        </is>
      </c>
      <c r="F2896" t="inlineStr">
        <is>
          <t>D</t>
        </is>
      </c>
      <c r="G2896" t="inlineStr">
        <is>
          <t>Good</t>
        </is>
      </c>
      <c r="H2896" t="n">
        <v>269</v>
      </c>
      <c r="I2896">
        <f>B2896&amp;"~"&amp;F2896&amp;"~"&amp;G2896</f>
        <v/>
      </c>
      <c r="J2896" t="inlineStr">
        <is>
          <t>MVS Sec.18 p.21</t>
        </is>
      </c>
    </row>
    <row r="2897">
      <c r="B2897" t="inlineStr">
        <is>
          <t>Restroom Buildings</t>
        </is>
      </c>
      <c r="C2897" t="inlineStr">
        <is>
          <t>432</t>
        </is>
      </c>
      <c r="D2897" t="inlineStr">
        <is>
          <t>18</t>
        </is>
      </c>
      <c r="E2897" t="inlineStr">
        <is>
          <t>21</t>
        </is>
      </c>
      <c r="F2897" t="inlineStr">
        <is>
          <t>D</t>
        </is>
      </c>
      <c r="G2897" t="inlineStr">
        <is>
          <t>Average</t>
        </is>
      </c>
      <c r="H2897" t="n">
        <v>198</v>
      </c>
      <c r="I2897">
        <f>B2897&amp;"~"&amp;F2897&amp;"~"&amp;G2897</f>
        <v/>
      </c>
      <c r="J2897" t="inlineStr">
        <is>
          <t>MVS Sec.18 p.21</t>
        </is>
      </c>
    </row>
    <row r="2898">
      <c r="B2898" t="inlineStr">
        <is>
          <t>Restroom Buildings</t>
        </is>
      </c>
      <c r="C2898" t="inlineStr">
        <is>
          <t>432</t>
        </is>
      </c>
      <c r="D2898" t="inlineStr">
        <is>
          <t>18</t>
        </is>
      </c>
      <c r="E2898" t="inlineStr">
        <is>
          <t>21</t>
        </is>
      </c>
      <c r="F2898" t="inlineStr">
        <is>
          <t>D</t>
        </is>
      </c>
      <c r="G2898" t="inlineStr">
        <is>
          <t>Low Cost</t>
        </is>
      </c>
      <c r="H2898" t="n">
        <v>146</v>
      </c>
      <c r="I2898">
        <f>B2898&amp;"~"&amp;F2898&amp;"~"&amp;G2898</f>
        <v/>
      </c>
      <c r="J2898" t="inlineStr">
        <is>
          <t>MVS Sec.18 p.21</t>
        </is>
      </c>
    </row>
    <row r="2899">
      <c r="B2899" t="inlineStr">
        <is>
          <t>Restroom Buildings</t>
        </is>
      </c>
      <c r="C2899" t="inlineStr">
        <is>
          <t>432</t>
        </is>
      </c>
      <c r="D2899" t="inlineStr">
        <is>
          <t>18</t>
        </is>
      </c>
      <c r="E2899" t="inlineStr">
        <is>
          <t>21</t>
        </is>
      </c>
      <c r="F2899" t="inlineStr">
        <is>
          <t>D</t>
        </is>
      </c>
      <c r="G2899" t="inlineStr">
        <is>
          <t>Cheap</t>
        </is>
      </c>
      <c r="H2899" t="n">
        <v>105</v>
      </c>
      <c r="I2899">
        <f>B2899&amp;"~"&amp;F2899&amp;"~"&amp;G2899</f>
        <v/>
      </c>
      <c r="J2899" t="inlineStr">
        <is>
          <t>MVS Sec.18 p.21</t>
        </is>
      </c>
    </row>
    <row r="2900">
      <c r="B2900" t="inlineStr">
        <is>
          <t>Restroom Buildings</t>
        </is>
      </c>
      <c r="C2900" t="inlineStr">
        <is>
          <t>432</t>
        </is>
      </c>
      <c r="D2900" t="inlineStr">
        <is>
          <t>18</t>
        </is>
      </c>
      <c r="E2900" t="inlineStr">
        <is>
          <t>21</t>
        </is>
      </c>
      <c r="F2900" t="inlineStr">
        <is>
          <t>DPOLE</t>
        </is>
      </c>
      <c r="G2900" t="inlineStr">
        <is>
          <t>Low Cost</t>
        </is>
      </c>
      <c r="H2900" t="n">
        <v>139</v>
      </c>
      <c r="I2900">
        <f>B2900&amp;"~"&amp;F2900&amp;"~"&amp;G2900</f>
        <v/>
      </c>
      <c r="J2900" t="inlineStr">
        <is>
          <t>MVS Sec.18 p.21</t>
        </is>
      </c>
    </row>
    <row r="2901">
      <c r="B2901" t="inlineStr">
        <is>
          <t>Restroom Buildings</t>
        </is>
      </c>
      <c r="C2901" t="inlineStr">
        <is>
          <t>432</t>
        </is>
      </c>
      <c r="D2901" t="inlineStr">
        <is>
          <t>18</t>
        </is>
      </c>
      <c r="E2901" t="inlineStr">
        <is>
          <t>21</t>
        </is>
      </c>
      <c r="F2901" t="inlineStr">
        <is>
          <t>DPOLE</t>
        </is>
      </c>
      <c r="G2901" t="inlineStr">
        <is>
          <t>Cheap</t>
        </is>
      </c>
      <c r="H2901" t="n">
        <v>107</v>
      </c>
      <c r="I2901">
        <f>B2901&amp;"~"&amp;F2901&amp;"~"&amp;G2901</f>
        <v/>
      </c>
      <c r="J2901" t="inlineStr">
        <is>
          <t>MVS Sec.18 p.21</t>
        </is>
      </c>
    </row>
    <row r="2902">
      <c r="B2902" t="inlineStr">
        <is>
          <t>Restroom Buildings</t>
        </is>
      </c>
      <c r="C2902" t="inlineStr">
        <is>
          <t>432</t>
        </is>
      </c>
      <c r="D2902" t="inlineStr">
        <is>
          <t>18</t>
        </is>
      </c>
      <c r="E2902" t="inlineStr">
        <is>
          <t>21</t>
        </is>
      </c>
      <c r="F2902" t="inlineStr">
        <is>
          <t>S</t>
        </is>
      </c>
      <c r="G2902" t="inlineStr">
        <is>
          <t>Low Cost</t>
        </is>
      </c>
      <c r="H2902" t="n">
        <v>139</v>
      </c>
      <c r="I2902">
        <f>B2902&amp;"~"&amp;F2902&amp;"~"&amp;G2902</f>
        <v/>
      </c>
      <c r="J2902" t="inlineStr">
        <is>
          <t>MVS Sec.18 p.21</t>
        </is>
      </c>
    </row>
    <row r="2903">
      <c r="B2903" t="inlineStr">
        <is>
          <t>Restroom Buildings</t>
        </is>
      </c>
      <c r="C2903" t="inlineStr">
        <is>
          <t>432</t>
        </is>
      </c>
      <c r="D2903" t="inlineStr">
        <is>
          <t>18</t>
        </is>
      </c>
      <c r="E2903" t="inlineStr">
        <is>
          <t>21</t>
        </is>
      </c>
      <c r="F2903" t="inlineStr">
        <is>
          <t>S</t>
        </is>
      </c>
      <c r="G2903" t="inlineStr">
        <is>
          <t>Cheap</t>
        </is>
      </c>
      <c r="H2903" t="n">
        <v>106</v>
      </c>
      <c r="I2903">
        <f>B2903&amp;"~"&amp;F2903&amp;"~"&amp;G2903</f>
        <v/>
      </c>
      <c r="J2903" t="inlineStr">
        <is>
          <t>MVS Sec.18 p.21</t>
        </is>
      </c>
    </row>
    <row r="2904">
      <c r="B2904" t="inlineStr">
        <is>
          <t>Maintenance (Storage) Buildings</t>
        </is>
      </c>
      <c r="C2904" t="inlineStr">
        <is>
          <t>157</t>
        </is>
      </c>
      <c r="D2904" t="inlineStr">
        <is>
          <t>18</t>
        </is>
      </c>
      <c r="E2904" t="inlineStr">
        <is>
          <t>21</t>
        </is>
      </c>
      <c r="F2904" t="inlineStr">
        <is>
          <t>C</t>
        </is>
      </c>
      <c r="G2904" t="inlineStr">
        <is>
          <t>Good</t>
        </is>
      </c>
      <c r="H2904" t="n">
        <v>109</v>
      </c>
      <c r="I2904">
        <f>B2904&amp;"~"&amp;F2904&amp;"~"&amp;G2904</f>
        <v/>
      </c>
      <c r="J2904" t="inlineStr">
        <is>
          <t>MVS Sec.18 p.21</t>
        </is>
      </c>
    </row>
    <row r="2905">
      <c r="B2905" t="inlineStr">
        <is>
          <t>Maintenance (Storage) Buildings</t>
        </is>
      </c>
      <c r="C2905" t="inlineStr">
        <is>
          <t>157</t>
        </is>
      </c>
      <c r="D2905" t="inlineStr">
        <is>
          <t>18</t>
        </is>
      </c>
      <c r="E2905" t="inlineStr">
        <is>
          <t>21</t>
        </is>
      </c>
      <c r="F2905" t="inlineStr">
        <is>
          <t>C</t>
        </is>
      </c>
      <c r="G2905" t="inlineStr">
        <is>
          <t>Average</t>
        </is>
      </c>
      <c r="H2905" t="n">
        <v>75.5</v>
      </c>
      <c r="I2905">
        <f>B2905&amp;"~"&amp;F2905&amp;"~"&amp;G2905</f>
        <v/>
      </c>
      <c r="J2905" t="inlineStr">
        <is>
          <t>MVS Sec.18 p.21</t>
        </is>
      </c>
    </row>
    <row r="2906">
      <c r="B2906" t="inlineStr">
        <is>
          <t>Maintenance (Storage) Buildings</t>
        </is>
      </c>
      <c r="C2906" t="inlineStr">
        <is>
          <t>157</t>
        </is>
      </c>
      <c r="D2906" t="inlineStr">
        <is>
          <t>18</t>
        </is>
      </c>
      <c r="E2906" t="inlineStr">
        <is>
          <t>21</t>
        </is>
      </c>
      <c r="F2906" t="inlineStr">
        <is>
          <t>D</t>
        </is>
      </c>
      <c r="G2906" t="inlineStr">
        <is>
          <t>Good</t>
        </is>
      </c>
      <c r="H2906" t="n">
        <v>100</v>
      </c>
      <c r="I2906">
        <f>B2906&amp;"~"&amp;F2906&amp;"~"&amp;G2906</f>
        <v/>
      </c>
      <c r="J2906" t="inlineStr">
        <is>
          <t>MVS Sec.18 p.21</t>
        </is>
      </c>
    </row>
    <row r="2907">
      <c r="B2907" t="inlineStr">
        <is>
          <t>Maintenance (Storage) Buildings</t>
        </is>
      </c>
      <c r="C2907" t="inlineStr">
        <is>
          <t>157</t>
        </is>
      </c>
      <c r="D2907" t="inlineStr">
        <is>
          <t>18</t>
        </is>
      </c>
      <c r="E2907" t="inlineStr">
        <is>
          <t>21</t>
        </is>
      </c>
      <c r="F2907" t="inlineStr">
        <is>
          <t>D</t>
        </is>
      </c>
      <c r="G2907" t="inlineStr">
        <is>
          <t>Average</t>
        </is>
      </c>
      <c r="H2907" t="n">
        <v>66</v>
      </c>
      <c r="I2907">
        <f>B2907&amp;"~"&amp;F2907&amp;"~"&amp;G2907</f>
        <v/>
      </c>
      <c r="J2907" t="inlineStr">
        <is>
          <t>MVS Sec.18 p.21</t>
        </is>
      </c>
    </row>
    <row r="2908">
      <c r="B2908" t="inlineStr">
        <is>
          <t>Maintenance (Storage) Buildings</t>
        </is>
      </c>
      <c r="C2908" t="inlineStr">
        <is>
          <t>157</t>
        </is>
      </c>
      <c r="D2908" t="inlineStr">
        <is>
          <t>18</t>
        </is>
      </c>
      <c r="E2908" t="inlineStr">
        <is>
          <t>21</t>
        </is>
      </c>
      <c r="F2908" t="inlineStr">
        <is>
          <t>DPOLE</t>
        </is>
      </c>
      <c r="G2908" t="inlineStr">
        <is>
          <t>Good</t>
        </is>
      </c>
      <c r="H2908" t="n">
        <v>89</v>
      </c>
      <c r="I2908">
        <f>B2908&amp;"~"&amp;F2908&amp;"~"&amp;G2908</f>
        <v/>
      </c>
      <c r="J2908" t="inlineStr">
        <is>
          <t>MVS Sec.18 p.21</t>
        </is>
      </c>
    </row>
    <row r="2909">
      <c r="B2909" t="inlineStr">
        <is>
          <t>Maintenance (Storage) Buildings</t>
        </is>
      </c>
      <c r="C2909" t="inlineStr">
        <is>
          <t>157</t>
        </is>
      </c>
      <c r="D2909" t="inlineStr">
        <is>
          <t>18</t>
        </is>
      </c>
      <c r="E2909" t="inlineStr">
        <is>
          <t>21</t>
        </is>
      </c>
      <c r="F2909" t="inlineStr">
        <is>
          <t>DPOLE</t>
        </is>
      </c>
      <c r="G2909" t="inlineStr">
        <is>
          <t>Average</t>
        </is>
      </c>
      <c r="H2909" t="n">
        <v>57.5</v>
      </c>
      <c r="I2909">
        <f>B2909&amp;"~"&amp;F2909&amp;"~"&amp;G2909</f>
        <v/>
      </c>
      <c r="J2909" t="inlineStr">
        <is>
          <t>MVS Sec.18 p.21</t>
        </is>
      </c>
    </row>
    <row r="2910">
      <c r="B2910" t="inlineStr">
        <is>
          <t>Maintenance (Storage) Buildings</t>
        </is>
      </c>
      <c r="C2910" t="inlineStr">
        <is>
          <t>157</t>
        </is>
      </c>
      <c r="D2910" t="inlineStr">
        <is>
          <t>18</t>
        </is>
      </c>
      <c r="E2910" t="inlineStr">
        <is>
          <t>21</t>
        </is>
      </c>
      <c r="F2910" t="inlineStr">
        <is>
          <t>S</t>
        </is>
      </c>
      <c r="G2910" t="inlineStr">
        <is>
          <t>Good</t>
        </is>
      </c>
      <c r="H2910" t="n">
        <v>93</v>
      </c>
      <c r="I2910">
        <f>B2910&amp;"~"&amp;F2910&amp;"~"&amp;G2910</f>
        <v/>
      </c>
      <c r="J2910" t="inlineStr">
        <is>
          <t>MVS Sec.18 p.21</t>
        </is>
      </c>
    </row>
    <row r="2911">
      <c r="B2911" t="inlineStr">
        <is>
          <t>Maintenance (Storage) Buildings</t>
        </is>
      </c>
      <c r="C2911" t="inlineStr">
        <is>
          <t>157</t>
        </is>
      </c>
      <c r="D2911" t="inlineStr">
        <is>
          <t>18</t>
        </is>
      </c>
      <c r="E2911" t="inlineStr">
        <is>
          <t>21</t>
        </is>
      </c>
      <c r="F2911" t="inlineStr">
        <is>
          <t>S</t>
        </is>
      </c>
      <c r="G2911" t="inlineStr">
        <is>
          <t>Average</t>
        </is>
      </c>
      <c r="H2911" t="n">
        <v>61.5</v>
      </c>
      <c r="I2911">
        <f>B2911&amp;"~"&amp;F2911&amp;"~"&amp;G2911</f>
        <v/>
      </c>
      <c r="J2911" t="inlineStr">
        <is>
          <t>MVS Sec.18 p.21</t>
        </is>
      </c>
    </row>
    <row r="2912">
      <c r="B2912" t="inlineStr">
        <is>
          <t>Natatoriums</t>
        </is>
      </c>
      <c r="C2912" t="inlineStr">
        <is>
          <t>485</t>
        </is>
      </c>
      <c r="D2912" t="inlineStr">
        <is>
          <t>18</t>
        </is>
      </c>
      <c r="E2912" t="inlineStr">
        <is>
          <t>22</t>
        </is>
      </c>
      <c r="F2912" t="inlineStr">
        <is>
          <t>A-B</t>
        </is>
      </c>
      <c r="G2912" t="inlineStr">
        <is>
          <t>Good</t>
        </is>
      </c>
      <c r="H2912" t="n">
        <v>319</v>
      </c>
      <c r="I2912">
        <f>B2912&amp;"~"&amp;F2912&amp;"~"&amp;G2912</f>
        <v/>
      </c>
      <c r="J2912" t="inlineStr">
        <is>
          <t>MVS Sec.18 p.22</t>
        </is>
      </c>
    </row>
    <row r="2913">
      <c r="B2913" t="inlineStr">
        <is>
          <t>Natatoriums</t>
        </is>
      </c>
      <c r="C2913" t="inlineStr">
        <is>
          <t>485</t>
        </is>
      </c>
      <c r="D2913" t="inlineStr">
        <is>
          <t>18</t>
        </is>
      </c>
      <c r="E2913" t="inlineStr">
        <is>
          <t>22</t>
        </is>
      </c>
      <c r="F2913" t="inlineStr">
        <is>
          <t>A-B</t>
        </is>
      </c>
      <c r="G2913" t="inlineStr">
        <is>
          <t>Average</t>
        </is>
      </c>
      <c r="H2913" t="n">
        <v>234</v>
      </c>
      <c r="I2913">
        <f>B2913&amp;"~"&amp;F2913&amp;"~"&amp;G2913</f>
        <v/>
      </c>
      <c r="J2913" t="inlineStr">
        <is>
          <t>MVS Sec.18 p.22</t>
        </is>
      </c>
    </row>
    <row r="2914">
      <c r="B2914" t="inlineStr">
        <is>
          <t>Natatoriums</t>
        </is>
      </c>
      <c r="C2914" t="inlineStr">
        <is>
          <t>485</t>
        </is>
      </c>
      <c r="D2914" t="inlineStr">
        <is>
          <t>18</t>
        </is>
      </c>
      <c r="E2914" t="inlineStr">
        <is>
          <t>22</t>
        </is>
      </c>
      <c r="F2914" t="inlineStr">
        <is>
          <t>C</t>
        </is>
      </c>
      <c r="G2914" t="inlineStr">
        <is>
          <t>Good</t>
        </is>
      </c>
      <c r="H2914" t="n">
        <v>236</v>
      </c>
      <c r="I2914">
        <f>B2914&amp;"~"&amp;F2914&amp;"~"&amp;G2914</f>
        <v/>
      </c>
      <c r="J2914" t="inlineStr">
        <is>
          <t>MVS Sec.18 p.22</t>
        </is>
      </c>
    </row>
    <row r="2915">
      <c r="B2915" t="inlineStr">
        <is>
          <t>Natatoriums</t>
        </is>
      </c>
      <c r="C2915" t="inlineStr">
        <is>
          <t>485</t>
        </is>
      </c>
      <c r="D2915" t="inlineStr">
        <is>
          <t>18</t>
        </is>
      </c>
      <c r="E2915" t="inlineStr">
        <is>
          <t>22</t>
        </is>
      </c>
      <c r="F2915" t="inlineStr">
        <is>
          <t>C</t>
        </is>
      </c>
      <c r="G2915" t="inlineStr">
        <is>
          <t>Average</t>
        </is>
      </c>
      <c r="H2915" t="n">
        <v>170</v>
      </c>
      <c r="I2915">
        <f>B2915&amp;"~"&amp;F2915&amp;"~"&amp;G2915</f>
        <v/>
      </c>
      <c r="J2915" t="inlineStr">
        <is>
          <t>MVS Sec.18 p.22</t>
        </is>
      </c>
    </row>
    <row r="2916">
      <c r="B2916" t="inlineStr">
        <is>
          <t>Natatoriums</t>
        </is>
      </c>
      <c r="C2916" t="inlineStr">
        <is>
          <t>485</t>
        </is>
      </c>
      <c r="D2916" t="inlineStr">
        <is>
          <t>18</t>
        </is>
      </c>
      <c r="E2916" t="inlineStr">
        <is>
          <t>22</t>
        </is>
      </c>
      <c r="F2916" t="inlineStr">
        <is>
          <t>C</t>
        </is>
      </c>
      <c r="G2916" t="inlineStr">
        <is>
          <t>Low Cost</t>
        </is>
      </c>
      <c r="H2916" t="n">
        <v>124</v>
      </c>
      <c r="I2916">
        <f>B2916&amp;"~"&amp;F2916&amp;"~"&amp;G2916</f>
        <v/>
      </c>
      <c r="J2916" t="inlineStr">
        <is>
          <t>MVS Sec.18 p.22</t>
        </is>
      </c>
    </row>
    <row r="2917">
      <c r="B2917" t="inlineStr">
        <is>
          <t>Natatoriums</t>
        </is>
      </c>
      <c r="C2917" t="inlineStr">
        <is>
          <t>485</t>
        </is>
      </c>
      <c r="D2917" t="inlineStr">
        <is>
          <t>18</t>
        </is>
      </c>
      <c r="E2917" t="inlineStr">
        <is>
          <t>22</t>
        </is>
      </c>
      <c r="F2917" t="inlineStr">
        <is>
          <t>D</t>
        </is>
      </c>
      <c r="G2917" t="inlineStr">
        <is>
          <t>Good</t>
        </is>
      </c>
      <c r="H2917" t="n">
        <v>231</v>
      </c>
      <c r="I2917">
        <f>B2917&amp;"~"&amp;F2917&amp;"~"&amp;G2917</f>
        <v/>
      </c>
      <c r="J2917" t="inlineStr">
        <is>
          <t>MVS Sec.18 p.22</t>
        </is>
      </c>
    </row>
    <row r="2918">
      <c r="B2918" t="inlineStr">
        <is>
          <t>Natatoriums</t>
        </is>
      </c>
      <c r="C2918" t="inlineStr">
        <is>
          <t>485</t>
        </is>
      </c>
      <c r="D2918" t="inlineStr">
        <is>
          <t>18</t>
        </is>
      </c>
      <c r="E2918" t="inlineStr">
        <is>
          <t>22</t>
        </is>
      </c>
      <c r="F2918" t="inlineStr">
        <is>
          <t>D</t>
        </is>
      </c>
      <c r="G2918" t="inlineStr">
        <is>
          <t>Average</t>
        </is>
      </c>
      <c r="H2918" t="n">
        <v>165</v>
      </c>
      <c r="I2918">
        <f>B2918&amp;"~"&amp;F2918&amp;"~"&amp;G2918</f>
        <v/>
      </c>
      <c r="J2918" t="inlineStr">
        <is>
          <t>MVS Sec.18 p.22</t>
        </is>
      </c>
    </row>
    <row r="2919">
      <c r="B2919" t="inlineStr">
        <is>
          <t>Natatoriums</t>
        </is>
      </c>
      <c r="C2919" t="inlineStr">
        <is>
          <t>485</t>
        </is>
      </c>
      <c r="D2919" t="inlineStr">
        <is>
          <t>18</t>
        </is>
      </c>
      <c r="E2919" t="inlineStr">
        <is>
          <t>22</t>
        </is>
      </c>
      <c r="F2919" t="inlineStr">
        <is>
          <t>D</t>
        </is>
      </c>
      <c r="G2919" t="inlineStr">
        <is>
          <t>Low Cost</t>
        </is>
      </c>
      <c r="H2919" t="n">
        <v>119</v>
      </c>
      <c r="I2919">
        <f>B2919&amp;"~"&amp;F2919&amp;"~"&amp;G2919</f>
        <v/>
      </c>
      <c r="J2919" t="inlineStr">
        <is>
          <t>MVS Sec.18 p.22</t>
        </is>
      </c>
    </row>
    <row r="2920">
      <c r="B2920" t="inlineStr">
        <is>
          <t>Natatoriums</t>
        </is>
      </c>
      <c r="C2920" t="inlineStr">
        <is>
          <t>485</t>
        </is>
      </c>
      <c r="D2920" t="inlineStr">
        <is>
          <t>18</t>
        </is>
      </c>
      <c r="E2920" t="inlineStr">
        <is>
          <t>22</t>
        </is>
      </c>
      <c r="F2920" t="inlineStr">
        <is>
          <t>DPOLE</t>
        </is>
      </c>
      <c r="G2920" t="inlineStr">
        <is>
          <t>Low Cost</t>
        </is>
      </c>
      <c r="H2920" t="n">
        <v>112</v>
      </c>
      <c r="I2920">
        <f>B2920&amp;"~"&amp;F2920&amp;"~"&amp;G2920</f>
        <v/>
      </c>
      <c r="J2920" t="inlineStr">
        <is>
          <t>MVS Sec.18 p.22</t>
        </is>
      </c>
    </row>
    <row r="2921">
      <c r="B2921" t="inlineStr">
        <is>
          <t>Natatoriums</t>
        </is>
      </c>
      <c r="C2921" t="inlineStr">
        <is>
          <t>485</t>
        </is>
      </c>
      <c r="D2921" t="inlineStr">
        <is>
          <t>18</t>
        </is>
      </c>
      <c r="E2921" t="inlineStr">
        <is>
          <t>22</t>
        </is>
      </c>
      <c r="F2921" t="inlineStr">
        <is>
          <t>S</t>
        </is>
      </c>
      <c r="G2921" t="inlineStr">
        <is>
          <t>Average</t>
        </is>
      </c>
      <c r="H2921" t="n">
        <v>159</v>
      </c>
      <c r="I2921">
        <f>B2921&amp;"~"&amp;F2921&amp;"~"&amp;G2921</f>
        <v/>
      </c>
      <c r="J2921" t="inlineStr">
        <is>
          <t>MVS Sec.18 p.22</t>
        </is>
      </c>
    </row>
    <row r="2922">
      <c r="B2922" t="inlineStr">
        <is>
          <t>Natatoriums</t>
        </is>
      </c>
      <c r="C2922" t="inlineStr">
        <is>
          <t>485</t>
        </is>
      </c>
      <c r="D2922" t="inlineStr">
        <is>
          <t>18</t>
        </is>
      </c>
      <c r="E2922" t="inlineStr">
        <is>
          <t>22</t>
        </is>
      </c>
      <c r="F2922" t="inlineStr">
        <is>
          <t>S</t>
        </is>
      </c>
      <c r="G2922" t="inlineStr">
        <is>
          <t>Low Cost</t>
        </is>
      </c>
      <c r="H2922" t="n">
        <v>114</v>
      </c>
      <c r="I2922">
        <f>B2922&amp;"~"&amp;F2922&amp;"~"&amp;G2922</f>
        <v/>
      </c>
      <c r="J2922" t="inlineStr">
        <is>
          <t>MVS Sec.18 p.22</t>
        </is>
      </c>
    </row>
    <row r="2923">
      <c r="B2923" t="inlineStr">
        <is>
          <t>Shower Room Buildings</t>
        </is>
      </c>
      <c r="C2923" t="inlineStr">
        <is>
          <t>403</t>
        </is>
      </c>
      <c r="D2923" t="inlineStr">
        <is>
          <t>18</t>
        </is>
      </c>
      <c r="E2923" t="inlineStr">
        <is>
          <t>22</t>
        </is>
      </c>
      <c r="F2923" t="inlineStr">
        <is>
          <t>A-B</t>
        </is>
      </c>
      <c r="G2923" t="inlineStr">
        <is>
          <t>Average</t>
        </is>
      </c>
      <c r="H2923" t="n">
        <v>248</v>
      </c>
      <c r="I2923">
        <f>B2923&amp;"~"&amp;F2923&amp;"~"&amp;G2923</f>
        <v/>
      </c>
      <c r="J2923" t="inlineStr">
        <is>
          <t>MVS Sec.18 p.22</t>
        </is>
      </c>
    </row>
    <row r="2924">
      <c r="B2924" t="inlineStr">
        <is>
          <t>Shower Room Buildings</t>
        </is>
      </c>
      <c r="C2924" t="inlineStr">
        <is>
          <t>403</t>
        </is>
      </c>
      <c r="D2924" t="inlineStr">
        <is>
          <t>18</t>
        </is>
      </c>
      <c r="E2924" t="inlineStr">
        <is>
          <t>22</t>
        </is>
      </c>
      <c r="F2924" t="inlineStr">
        <is>
          <t>C</t>
        </is>
      </c>
      <c r="G2924" t="inlineStr">
        <is>
          <t>Excellent</t>
        </is>
      </c>
      <c r="H2924" t="n">
        <v>330</v>
      </c>
      <c r="I2924">
        <f>B2924&amp;"~"&amp;F2924&amp;"~"&amp;G2924</f>
        <v/>
      </c>
      <c r="J2924" t="inlineStr">
        <is>
          <t>MVS Sec.18 p.22</t>
        </is>
      </c>
    </row>
    <row r="2925">
      <c r="B2925" t="inlineStr">
        <is>
          <t>Shower Room Buildings</t>
        </is>
      </c>
      <c r="C2925" t="inlineStr">
        <is>
          <t>403</t>
        </is>
      </c>
      <c r="D2925" t="inlineStr">
        <is>
          <t>18</t>
        </is>
      </c>
      <c r="E2925" t="inlineStr">
        <is>
          <t>22</t>
        </is>
      </c>
      <c r="F2925" t="inlineStr">
        <is>
          <t>C</t>
        </is>
      </c>
      <c r="G2925" t="inlineStr">
        <is>
          <t>Good</t>
        </is>
      </c>
      <c r="H2925" t="n">
        <v>248</v>
      </c>
      <c r="I2925">
        <f>B2925&amp;"~"&amp;F2925&amp;"~"&amp;G2925</f>
        <v/>
      </c>
      <c r="J2925" t="inlineStr">
        <is>
          <t>MVS Sec.18 p.22</t>
        </is>
      </c>
    </row>
    <row r="2926">
      <c r="B2926" t="inlineStr">
        <is>
          <t>Shower Room Buildings</t>
        </is>
      </c>
      <c r="C2926" t="inlineStr">
        <is>
          <t>403</t>
        </is>
      </c>
      <c r="D2926" t="inlineStr">
        <is>
          <t>18</t>
        </is>
      </c>
      <c r="E2926" t="inlineStr">
        <is>
          <t>22</t>
        </is>
      </c>
      <c r="F2926" t="inlineStr">
        <is>
          <t>C</t>
        </is>
      </c>
      <c r="G2926" t="inlineStr">
        <is>
          <t>Average</t>
        </is>
      </c>
      <c r="H2926" t="n">
        <v>191</v>
      </c>
      <c r="I2926">
        <f>B2926&amp;"~"&amp;F2926&amp;"~"&amp;G2926</f>
        <v/>
      </c>
      <c r="J2926" t="inlineStr">
        <is>
          <t>MVS Sec.18 p.22</t>
        </is>
      </c>
    </row>
    <row r="2927">
      <c r="B2927" t="inlineStr">
        <is>
          <t>Shower Room Buildings</t>
        </is>
      </c>
      <c r="C2927" t="inlineStr">
        <is>
          <t>403</t>
        </is>
      </c>
      <c r="D2927" t="inlineStr">
        <is>
          <t>18</t>
        </is>
      </c>
      <c r="E2927" t="inlineStr">
        <is>
          <t>22</t>
        </is>
      </c>
      <c r="F2927" t="inlineStr">
        <is>
          <t>C</t>
        </is>
      </c>
      <c r="G2927" t="inlineStr">
        <is>
          <t>Low Cost</t>
        </is>
      </c>
      <c r="H2927" t="n">
        <v>147</v>
      </c>
      <c r="I2927">
        <f>B2927&amp;"~"&amp;F2927&amp;"~"&amp;G2927</f>
        <v/>
      </c>
      <c r="J2927" t="inlineStr">
        <is>
          <t>MVS Sec.18 p.22</t>
        </is>
      </c>
    </row>
    <row r="2928">
      <c r="B2928" t="inlineStr">
        <is>
          <t>Shower Room Buildings</t>
        </is>
      </c>
      <c r="C2928" t="inlineStr">
        <is>
          <t>403</t>
        </is>
      </c>
      <c r="D2928" t="inlineStr">
        <is>
          <t>18</t>
        </is>
      </c>
      <c r="E2928" t="inlineStr">
        <is>
          <t>22</t>
        </is>
      </c>
      <c r="F2928" t="inlineStr">
        <is>
          <t>C</t>
        </is>
      </c>
      <c r="G2928" t="inlineStr">
        <is>
          <t>Cheap</t>
        </is>
      </c>
      <c r="H2928" t="n">
        <v>105</v>
      </c>
      <c r="I2928">
        <f>B2928&amp;"~"&amp;F2928&amp;"~"&amp;G2928</f>
        <v/>
      </c>
      <c r="J2928" t="inlineStr">
        <is>
          <t>MVS Sec.18 p.22</t>
        </is>
      </c>
    </row>
    <row r="2929">
      <c r="B2929" t="inlineStr">
        <is>
          <t>Shower Room Buildings</t>
        </is>
      </c>
      <c r="C2929" t="inlineStr">
        <is>
          <t>403</t>
        </is>
      </c>
      <c r="D2929" t="inlineStr">
        <is>
          <t>18</t>
        </is>
      </c>
      <c r="E2929" t="inlineStr">
        <is>
          <t>22</t>
        </is>
      </c>
      <c r="F2929" t="inlineStr">
        <is>
          <t>D</t>
        </is>
      </c>
      <c r="G2929" t="inlineStr">
        <is>
          <t>Good</t>
        </is>
      </c>
      <c r="H2929" t="n">
        <v>242</v>
      </c>
      <c r="I2929">
        <f>B2929&amp;"~"&amp;F2929&amp;"~"&amp;G2929</f>
        <v/>
      </c>
      <c r="J2929" t="inlineStr">
        <is>
          <t>MVS Sec.18 p.22</t>
        </is>
      </c>
    </row>
    <row r="2930">
      <c r="B2930" t="inlineStr">
        <is>
          <t>Shower Room Buildings</t>
        </is>
      </c>
      <c r="C2930" t="inlineStr">
        <is>
          <t>403</t>
        </is>
      </c>
      <c r="D2930" t="inlineStr">
        <is>
          <t>18</t>
        </is>
      </c>
      <c r="E2930" t="inlineStr">
        <is>
          <t>22</t>
        </is>
      </c>
      <c r="F2930" t="inlineStr">
        <is>
          <t>D</t>
        </is>
      </c>
      <c r="G2930" t="inlineStr">
        <is>
          <t>Average</t>
        </is>
      </c>
      <c r="H2930" t="n">
        <v>184</v>
      </c>
      <c r="I2930">
        <f>B2930&amp;"~"&amp;F2930&amp;"~"&amp;G2930</f>
        <v/>
      </c>
      <c r="J2930" t="inlineStr">
        <is>
          <t>MVS Sec.18 p.22</t>
        </is>
      </c>
    </row>
    <row r="2931">
      <c r="B2931" t="inlineStr">
        <is>
          <t>Shower Room Buildings</t>
        </is>
      </c>
      <c r="C2931" t="inlineStr">
        <is>
          <t>403</t>
        </is>
      </c>
      <c r="D2931" t="inlineStr">
        <is>
          <t>18</t>
        </is>
      </c>
      <c r="E2931" t="inlineStr">
        <is>
          <t>22</t>
        </is>
      </c>
      <c r="F2931" t="inlineStr">
        <is>
          <t>D</t>
        </is>
      </c>
      <c r="G2931" t="inlineStr">
        <is>
          <t>Low Cost</t>
        </is>
      </c>
      <c r="H2931" t="n">
        <v>141</v>
      </c>
      <c r="I2931">
        <f>B2931&amp;"~"&amp;F2931&amp;"~"&amp;G2931</f>
        <v/>
      </c>
      <c r="J2931" t="inlineStr">
        <is>
          <t>MVS Sec.18 p.22</t>
        </is>
      </c>
    </row>
    <row r="2932">
      <c r="B2932" t="inlineStr">
        <is>
          <t>Shower Room Buildings</t>
        </is>
      </c>
      <c r="C2932" t="inlineStr">
        <is>
          <t>403</t>
        </is>
      </c>
      <c r="D2932" t="inlineStr">
        <is>
          <t>18</t>
        </is>
      </c>
      <c r="E2932" t="inlineStr">
        <is>
          <t>22</t>
        </is>
      </c>
      <c r="F2932" t="inlineStr">
        <is>
          <t>D</t>
        </is>
      </c>
      <c r="G2932" t="inlineStr">
        <is>
          <t>Cheap</t>
        </is>
      </c>
      <c r="H2932" t="n">
        <v>96</v>
      </c>
      <c r="I2932">
        <f>B2932&amp;"~"&amp;F2932&amp;"~"&amp;G2932</f>
        <v/>
      </c>
      <c r="J2932" t="inlineStr">
        <is>
          <t>MVS Sec.18 p.22</t>
        </is>
      </c>
    </row>
    <row r="2933">
      <c r="B2933" t="inlineStr">
        <is>
          <t>Shower Room Buildings</t>
        </is>
      </c>
      <c r="C2933" t="inlineStr">
        <is>
          <t>403</t>
        </is>
      </c>
      <c r="D2933" t="inlineStr">
        <is>
          <t>18</t>
        </is>
      </c>
      <c r="E2933" t="inlineStr">
        <is>
          <t>22</t>
        </is>
      </c>
      <c r="F2933" t="inlineStr">
        <is>
          <t>DPOLE</t>
        </is>
      </c>
      <c r="G2933" t="inlineStr">
        <is>
          <t>Average</t>
        </is>
      </c>
      <c r="H2933" t="n">
        <v>170</v>
      </c>
      <c r="I2933">
        <f>B2933&amp;"~"&amp;F2933&amp;"~"&amp;G2933</f>
        <v/>
      </c>
      <c r="J2933" t="inlineStr">
        <is>
          <t>MVS Sec.18 p.22</t>
        </is>
      </c>
    </row>
    <row r="2934">
      <c r="B2934" t="inlineStr">
        <is>
          <t>Shower Room Buildings</t>
        </is>
      </c>
      <c r="C2934" t="inlineStr">
        <is>
          <t>403</t>
        </is>
      </c>
      <c r="D2934" t="inlineStr">
        <is>
          <t>18</t>
        </is>
      </c>
      <c r="E2934" t="inlineStr">
        <is>
          <t>22</t>
        </is>
      </c>
      <c r="F2934" t="inlineStr">
        <is>
          <t>DPOLE</t>
        </is>
      </c>
      <c r="G2934" t="inlineStr">
        <is>
          <t>Low Cost</t>
        </is>
      </c>
      <c r="H2934" t="n">
        <v>133</v>
      </c>
      <c r="I2934">
        <f>B2934&amp;"~"&amp;F2934&amp;"~"&amp;G2934</f>
        <v/>
      </c>
      <c r="J2934" t="inlineStr">
        <is>
          <t>MVS Sec.18 p.22</t>
        </is>
      </c>
    </row>
    <row r="2935">
      <c r="B2935" t="inlineStr">
        <is>
          <t>Shower Room Buildings</t>
        </is>
      </c>
      <c r="C2935" t="inlineStr">
        <is>
          <t>403</t>
        </is>
      </c>
      <c r="D2935" t="inlineStr">
        <is>
          <t>18</t>
        </is>
      </c>
      <c r="E2935" t="inlineStr">
        <is>
          <t>22</t>
        </is>
      </c>
      <c r="F2935" t="inlineStr">
        <is>
          <t>S</t>
        </is>
      </c>
      <c r="G2935" t="inlineStr">
        <is>
          <t>Average</t>
        </is>
      </c>
      <c r="H2935" t="n">
        <v>171</v>
      </c>
      <c r="I2935">
        <f>B2935&amp;"~"&amp;F2935&amp;"~"&amp;G2935</f>
        <v/>
      </c>
      <c r="J2935" t="inlineStr">
        <is>
          <t>MVS Sec.18 p.22</t>
        </is>
      </c>
    </row>
    <row r="2936">
      <c r="B2936" t="inlineStr">
        <is>
          <t>Shower Room Buildings</t>
        </is>
      </c>
      <c r="C2936" t="inlineStr">
        <is>
          <t>403</t>
        </is>
      </c>
      <c r="D2936" t="inlineStr">
        <is>
          <t>18</t>
        </is>
      </c>
      <c r="E2936" t="inlineStr">
        <is>
          <t>22</t>
        </is>
      </c>
      <c r="F2936" t="inlineStr">
        <is>
          <t>S</t>
        </is>
      </c>
      <c r="G2936" t="inlineStr">
        <is>
          <t>Low Cost</t>
        </is>
      </c>
      <c r="H2936" t="n">
        <v>134</v>
      </c>
      <c r="I2936">
        <f>B2936&amp;"~"&amp;F2936&amp;"~"&amp;G2936</f>
        <v/>
      </c>
      <c r="J2936" t="inlineStr">
        <is>
          <t>MVS Sec.18 p.22</t>
        </is>
      </c>
    </row>
    <row r="2937">
      <c r="B2937" t="inlineStr">
        <is>
          <t>Fieldhouses</t>
        </is>
      </c>
      <c r="C2937" t="inlineStr">
        <is>
          <t>486</t>
        </is>
      </c>
      <c r="D2937" t="inlineStr">
        <is>
          <t>18</t>
        </is>
      </c>
      <c r="E2937" t="inlineStr">
        <is>
          <t>23</t>
        </is>
      </c>
      <c r="F2937" t="inlineStr">
        <is>
          <t>A-B</t>
        </is>
      </c>
      <c r="G2937" t="inlineStr">
        <is>
          <t>Good</t>
        </is>
      </c>
      <c r="H2937" t="n">
        <v>332</v>
      </c>
      <c r="I2937">
        <f>B2937&amp;"~"&amp;F2937&amp;"~"&amp;G2937</f>
        <v/>
      </c>
      <c r="J2937" t="inlineStr">
        <is>
          <t>MVS Sec.18 p.23</t>
        </is>
      </c>
    </row>
    <row r="2938">
      <c r="B2938" t="inlineStr">
        <is>
          <t>Fieldhouses</t>
        </is>
      </c>
      <c r="C2938" t="inlineStr">
        <is>
          <t>486</t>
        </is>
      </c>
      <c r="D2938" t="inlineStr">
        <is>
          <t>18</t>
        </is>
      </c>
      <c r="E2938" t="inlineStr">
        <is>
          <t>23</t>
        </is>
      </c>
      <c r="F2938" t="inlineStr">
        <is>
          <t>A-B</t>
        </is>
      </c>
      <c r="G2938" t="inlineStr">
        <is>
          <t>Average</t>
        </is>
      </c>
      <c r="H2938" t="n">
        <v>218</v>
      </c>
      <c r="I2938">
        <f>B2938&amp;"~"&amp;F2938&amp;"~"&amp;G2938</f>
        <v/>
      </c>
      <c r="J2938" t="inlineStr">
        <is>
          <t>MVS Sec.18 p.23</t>
        </is>
      </c>
    </row>
    <row r="2939">
      <c r="B2939" t="inlineStr">
        <is>
          <t>Fieldhouses</t>
        </is>
      </c>
      <c r="C2939" t="inlineStr">
        <is>
          <t>486</t>
        </is>
      </c>
      <c r="D2939" t="inlineStr">
        <is>
          <t>18</t>
        </is>
      </c>
      <c r="E2939" t="inlineStr">
        <is>
          <t>23</t>
        </is>
      </c>
      <c r="F2939" t="inlineStr">
        <is>
          <t>C</t>
        </is>
      </c>
      <c r="G2939" t="inlineStr">
        <is>
          <t>Excellent</t>
        </is>
      </c>
      <c r="H2939" t="n">
        <v>327</v>
      </c>
      <c r="I2939">
        <f>B2939&amp;"~"&amp;F2939&amp;"~"&amp;G2939</f>
        <v/>
      </c>
      <c r="J2939" t="inlineStr">
        <is>
          <t>MVS Sec.18 p.23</t>
        </is>
      </c>
    </row>
    <row r="2940">
      <c r="B2940" t="inlineStr">
        <is>
          <t>Fieldhouses</t>
        </is>
      </c>
      <c r="C2940" t="inlineStr">
        <is>
          <t>486</t>
        </is>
      </c>
      <c r="D2940" t="inlineStr">
        <is>
          <t>18</t>
        </is>
      </c>
      <c r="E2940" t="inlineStr">
        <is>
          <t>23</t>
        </is>
      </c>
      <c r="F2940" t="inlineStr">
        <is>
          <t>C</t>
        </is>
      </c>
      <c r="G2940" t="inlineStr">
        <is>
          <t>Good</t>
        </is>
      </c>
      <c r="H2940" t="n">
        <v>214</v>
      </c>
      <c r="I2940">
        <f>B2940&amp;"~"&amp;F2940&amp;"~"&amp;G2940</f>
        <v/>
      </c>
      <c r="J2940" t="inlineStr">
        <is>
          <t>MVS Sec.18 p.23</t>
        </is>
      </c>
    </row>
    <row r="2941">
      <c r="B2941" t="inlineStr">
        <is>
          <t>Fieldhouses</t>
        </is>
      </c>
      <c r="C2941" t="inlineStr">
        <is>
          <t>486</t>
        </is>
      </c>
      <c r="D2941" t="inlineStr">
        <is>
          <t>18</t>
        </is>
      </c>
      <c r="E2941" t="inlineStr">
        <is>
          <t>23</t>
        </is>
      </c>
      <c r="F2941" t="inlineStr">
        <is>
          <t>C</t>
        </is>
      </c>
      <c r="G2941" t="inlineStr">
        <is>
          <t>Average</t>
        </is>
      </c>
      <c r="H2941" t="n">
        <v>139</v>
      </c>
      <c r="I2941">
        <f>B2941&amp;"~"&amp;F2941&amp;"~"&amp;G2941</f>
        <v/>
      </c>
      <c r="J2941" t="inlineStr">
        <is>
          <t>MVS Sec.18 p.23</t>
        </is>
      </c>
    </row>
    <row r="2942">
      <c r="B2942" t="inlineStr">
        <is>
          <t>Fieldhouses</t>
        </is>
      </c>
      <c r="C2942" t="inlineStr">
        <is>
          <t>486</t>
        </is>
      </c>
      <c r="D2942" t="inlineStr">
        <is>
          <t>18</t>
        </is>
      </c>
      <c r="E2942" t="inlineStr">
        <is>
          <t>23</t>
        </is>
      </c>
      <c r="F2942" t="inlineStr">
        <is>
          <t>C</t>
        </is>
      </c>
      <c r="G2942" t="inlineStr">
        <is>
          <t>Low Cost</t>
        </is>
      </c>
      <c r="H2942" t="n">
        <v>82.5</v>
      </c>
      <c r="I2942">
        <f>B2942&amp;"~"&amp;F2942&amp;"~"&amp;G2942</f>
        <v/>
      </c>
      <c r="J2942" t="inlineStr">
        <is>
          <t>MVS Sec.18 p.23</t>
        </is>
      </c>
    </row>
    <row r="2943">
      <c r="B2943" t="inlineStr">
        <is>
          <t>Fieldhouses</t>
        </is>
      </c>
      <c r="C2943" t="inlineStr">
        <is>
          <t>486</t>
        </is>
      </c>
      <c r="D2943" t="inlineStr">
        <is>
          <t>18</t>
        </is>
      </c>
      <c r="E2943" t="inlineStr">
        <is>
          <t>23</t>
        </is>
      </c>
      <c r="F2943" t="inlineStr">
        <is>
          <t>D</t>
        </is>
      </c>
      <c r="G2943" t="inlineStr">
        <is>
          <t>Excellent</t>
        </is>
      </c>
      <c r="H2943" t="n">
        <v>323</v>
      </c>
      <c r="I2943">
        <f>B2943&amp;"~"&amp;F2943&amp;"~"&amp;G2943</f>
        <v/>
      </c>
      <c r="J2943" t="inlineStr">
        <is>
          <t>MVS Sec.18 p.23</t>
        </is>
      </c>
    </row>
    <row r="2944">
      <c r="B2944" t="inlineStr">
        <is>
          <t>Fieldhouses</t>
        </is>
      </c>
      <c r="C2944" t="inlineStr">
        <is>
          <t>486</t>
        </is>
      </c>
      <c r="D2944" t="inlineStr">
        <is>
          <t>18</t>
        </is>
      </c>
      <c r="E2944" t="inlineStr">
        <is>
          <t>23</t>
        </is>
      </c>
      <c r="F2944" t="inlineStr">
        <is>
          <t>D</t>
        </is>
      </c>
      <c r="G2944" t="inlineStr">
        <is>
          <t>Good</t>
        </is>
      </c>
      <c r="H2944" t="n">
        <v>208</v>
      </c>
      <c r="I2944">
        <f>B2944&amp;"~"&amp;F2944&amp;"~"&amp;G2944</f>
        <v/>
      </c>
      <c r="J2944" t="inlineStr">
        <is>
          <t>MVS Sec.18 p.23</t>
        </is>
      </c>
    </row>
    <row r="2945">
      <c r="B2945" t="inlineStr">
        <is>
          <t>Fieldhouses</t>
        </is>
      </c>
      <c r="C2945" t="inlineStr">
        <is>
          <t>486</t>
        </is>
      </c>
      <c r="D2945" t="inlineStr">
        <is>
          <t>18</t>
        </is>
      </c>
      <c r="E2945" t="inlineStr">
        <is>
          <t>23</t>
        </is>
      </c>
      <c r="F2945" t="inlineStr">
        <is>
          <t>D</t>
        </is>
      </c>
      <c r="G2945" t="inlineStr">
        <is>
          <t>Average</t>
        </is>
      </c>
      <c r="H2945" t="n">
        <v>133</v>
      </c>
      <c r="I2945">
        <f>B2945&amp;"~"&amp;F2945&amp;"~"&amp;G2945</f>
        <v/>
      </c>
      <c r="J2945" t="inlineStr">
        <is>
          <t>MVS Sec.18 p.23</t>
        </is>
      </c>
    </row>
    <row r="2946">
      <c r="B2946" t="inlineStr">
        <is>
          <t>Fieldhouses</t>
        </is>
      </c>
      <c r="C2946" t="inlineStr">
        <is>
          <t>486</t>
        </is>
      </c>
      <c r="D2946" t="inlineStr">
        <is>
          <t>18</t>
        </is>
      </c>
      <c r="E2946" t="inlineStr">
        <is>
          <t>23</t>
        </is>
      </c>
      <c r="F2946" t="inlineStr">
        <is>
          <t>D</t>
        </is>
      </c>
      <c r="G2946" t="inlineStr">
        <is>
          <t>Low Cost</t>
        </is>
      </c>
      <c r="H2946" t="n">
        <v>77</v>
      </c>
      <c r="I2946">
        <f>B2946&amp;"~"&amp;F2946&amp;"~"&amp;G2946</f>
        <v/>
      </c>
      <c r="J2946" t="inlineStr">
        <is>
          <t>MVS Sec.18 p.23</t>
        </is>
      </c>
    </row>
    <row r="2947">
      <c r="B2947" t="inlineStr">
        <is>
          <t>Fieldhouses</t>
        </is>
      </c>
      <c r="C2947" t="inlineStr">
        <is>
          <t>486</t>
        </is>
      </c>
      <c r="D2947" t="inlineStr">
        <is>
          <t>18</t>
        </is>
      </c>
      <c r="E2947" t="inlineStr">
        <is>
          <t>23</t>
        </is>
      </c>
      <c r="F2947" t="inlineStr">
        <is>
          <t>DPOLE</t>
        </is>
      </c>
      <c r="G2947" t="inlineStr">
        <is>
          <t>Average</t>
        </is>
      </c>
      <c r="H2947" t="n">
        <v>124</v>
      </c>
      <c r="I2947">
        <f>B2947&amp;"~"&amp;F2947&amp;"~"&amp;G2947</f>
        <v/>
      </c>
      <c r="J2947" t="inlineStr">
        <is>
          <t>MVS Sec.18 p.23</t>
        </is>
      </c>
    </row>
    <row r="2948">
      <c r="B2948" t="inlineStr">
        <is>
          <t>Fieldhouses</t>
        </is>
      </c>
      <c r="C2948" t="inlineStr">
        <is>
          <t>486</t>
        </is>
      </c>
      <c r="D2948" t="inlineStr">
        <is>
          <t>18</t>
        </is>
      </c>
      <c r="E2948" t="inlineStr">
        <is>
          <t>23</t>
        </is>
      </c>
      <c r="F2948" t="inlineStr">
        <is>
          <t>DPOLE</t>
        </is>
      </c>
      <c r="G2948" t="inlineStr">
        <is>
          <t>Low Cost</t>
        </is>
      </c>
      <c r="H2948" t="n">
        <v>71</v>
      </c>
      <c r="I2948">
        <f>B2948&amp;"~"&amp;F2948&amp;"~"&amp;G2948</f>
        <v/>
      </c>
      <c r="J2948" t="inlineStr">
        <is>
          <t>MVS Sec.18 p.23</t>
        </is>
      </c>
    </row>
    <row r="2949">
      <c r="B2949" t="inlineStr">
        <is>
          <t>Fieldhouses</t>
        </is>
      </c>
      <c r="C2949" t="inlineStr">
        <is>
          <t>486</t>
        </is>
      </c>
      <c r="D2949" t="inlineStr">
        <is>
          <t>18</t>
        </is>
      </c>
      <c r="E2949" t="inlineStr">
        <is>
          <t>23</t>
        </is>
      </c>
      <c r="F2949" t="inlineStr">
        <is>
          <t>DPOLE</t>
        </is>
      </c>
      <c r="G2949" t="inlineStr">
        <is>
          <t>Cheap</t>
        </is>
      </c>
      <c r="H2949" t="n">
        <v>55.5</v>
      </c>
      <c r="I2949">
        <f>B2949&amp;"~"&amp;F2949&amp;"~"&amp;G2949</f>
        <v/>
      </c>
      <c r="J2949" t="inlineStr">
        <is>
          <t>MVS Sec.18 p.23</t>
        </is>
      </c>
    </row>
    <row r="2950">
      <c r="B2950" t="inlineStr">
        <is>
          <t>Fieldhouses</t>
        </is>
      </c>
      <c r="C2950" t="inlineStr">
        <is>
          <t>486</t>
        </is>
      </c>
      <c r="D2950" t="inlineStr">
        <is>
          <t>18</t>
        </is>
      </c>
      <c r="E2950" t="inlineStr">
        <is>
          <t>23</t>
        </is>
      </c>
      <c r="F2950" t="inlineStr">
        <is>
          <t>S</t>
        </is>
      </c>
      <c r="G2950" t="inlineStr">
        <is>
          <t>Good</t>
        </is>
      </c>
      <c r="H2950" t="n">
        <v>202</v>
      </c>
      <c r="I2950">
        <f>B2950&amp;"~"&amp;F2950&amp;"~"&amp;G2950</f>
        <v/>
      </c>
      <c r="J2950" t="inlineStr">
        <is>
          <t>MVS Sec.18 p.23</t>
        </is>
      </c>
    </row>
    <row r="2951">
      <c r="B2951" t="inlineStr">
        <is>
          <t>Fieldhouses</t>
        </is>
      </c>
      <c r="C2951" t="inlineStr">
        <is>
          <t>486</t>
        </is>
      </c>
      <c r="D2951" t="inlineStr">
        <is>
          <t>18</t>
        </is>
      </c>
      <c r="E2951" t="inlineStr">
        <is>
          <t>23</t>
        </is>
      </c>
      <c r="F2951" t="inlineStr">
        <is>
          <t>S</t>
        </is>
      </c>
      <c r="G2951" t="inlineStr">
        <is>
          <t>Average</t>
        </is>
      </c>
      <c r="H2951" t="n">
        <v>127</v>
      </c>
      <c r="I2951">
        <f>B2951&amp;"~"&amp;F2951&amp;"~"&amp;G2951</f>
        <v/>
      </c>
      <c r="J2951" t="inlineStr">
        <is>
          <t>MVS Sec.18 p.23</t>
        </is>
      </c>
    </row>
    <row r="2952">
      <c r="B2952" t="inlineStr">
        <is>
          <t>Fieldhouses</t>
        </is>
      </c>
      <c r="C2952" t="inlineStr">
        <is>
          <t>486</t>
        </is>
      </c>
      <c r="D2952" t="inlineStr">
        <is>
          <t>18</t>
        </is>
      </c>
      <c r="E2952" t="inlineStr">
        <is>
          <t>23</t>
        </is>
      </c>
      <c r="F2952" t="inlineStr">
        <is>
          <t>S</t>
        </is>
      </c>
      <c r="G2952" t="inlineStr">
        <is>
          <t>Low Cost</t>
        </is>
      </c>
      <c r="H2952" t="n">
        <v>72.5</v>
      </c>
      <c r="I2952">
        <f>B2952&amp;"~"&amp;F2952&amp;"~"&amp;G2952</f>
        <v/>
      </c>
      <c r="J2952" t="inlineStr">
        <is>
          <t>MVS Sec.18 p.23</t>
        </is>
      </c>
    </row>
    <row r="2953">
      <c r="B2953" t="inlineStr">
        <is>
          <t>Fieldhouses</t>
        </is>
      </c>
      <c r="C2953" t="inlineStr">
        <is>
          <t>486</t>
        </is>
      </c>
      <c r="D2953" t="inlineStr">
        <is>
          <t>18</t>
        </is>
      </c>
      <c r="E2953" t="inlineStr">
        <is>
          <t>23</t>
        </is>
      </c>
      <c r="F2953" t="inlineStr">
        <is>
          <t>S</t>
        </is>
      </c>
      <c r="G2953" t="inlineStr">
        <is>
          <t>Cheap</t>
        </is>
      </c>
      <c r="H2953" t="n">
        <v>57</v>
      </c>
      <c r="I2953">
        <f>B2953&amp;"~"&amp;F2953&amp;"~"&amp;G2953</f>
        <v/>
      </c>
      <c r="J2953" t="inlineStr">
        <is>
          <t>MVS Sec.18 p.23</t>
        </is>
      </c>
    </row>
    <row r="2954">
      <c r="B2954" t="inlineStr">
        <is>
          <t>Physical Education Buildings</t>
        </is>
      </c>
      <c r="C2954" t="inlineStr">
        <is>
          <t>375</t>
        </is>
      </c>
      <c r="D2954" t="inlineStr">
        <is>
          <t>18</t>
        </is>
      </c>
      <c r="E2954" t="inlineStr">
        <is>
          <t>24</t>
        </is>
      </c>
      <c r="F2954" t="inlineStr">
        <is>
          <t>A-B</t>
        </is>
      </c>
      <c r="G2954" t="inlineStr">
        <is>
          <t>Good</t>
        </is>
      </c>
      <c r="H2954" t="n">
        <v>316</v>
      </c>
      <c r="I2954">
        <f>B2954&amp;"~"&amp;F2954&amp;"~"&amp;G2954</f>
        <v/>
      </c>
      <c r="J2954" t="inlineStr">
        <is>
          <t>MVS Sec.18 p.24</t>
        </is>
      </c>
    </row>
    <row r="2955">
      <c r="B2955" t="inlineStr">
        <is>
          <t>Physical Education Buildings</t>
        </is>
      </c>
      <c r="C2955" t="inlineStr">
        <is>
          <t>375</t>
        </is>
      </c>
      <c r="D2955" t="inlineStr">
        <is>
          <t>18</t>
        </is>
      </c>
      <c r="E2955" t="inlineStr">
        <is>
          <t>24</t>
        </is>
      </c>
      <c r="F2955" t="inlineStr">
        <is>
          <t>A-B</t>
        </is>
      </c>
      <c r="G2955" t="inlineStr">
        <is>
          <t>Average</t>
        </is>
      </c>
      <c r="H2955" t="n">
        <v>230</v>
      </c>
      <c r="I2955">
        <f>B2955&amp;"~"&amp;F2955&amp;"~"&amp;G2955</f>
        <v/>
      </c>
      <c r="J2955" t="inlineStr">
        <is>
          <t>MVS Sec.18 p.24</t>
        </is>
      </c>
    </row>
    <row r="2956">
      <c r="B2956" t="inlineStr">
        <is>
          <t>Physical Education Buildings</t>
        </is>
      </c>
      <c r="C2956" t="inlineStr">
        <is>
          <t>375</t>
        </is>
      </c>
      <c r="D2956" t="inlineStr">
        <is>
          <t>18</t>
        </is>
      </c>
      <c r="E2956" t="inlineStr">
        <is>
          <t>24</t>
        </is>
      </c>
      <c r="F2956" t="inlineStr">
        <is>
          <t>C</t>
        </is>
      </c>
      <c r="G2956" t="inlineStr">
        <is>
          <t>Excellent</t>
        </is>
      </c>
      <c r="H2956" t="n">
        <v>313</v>
      </c>
      <c r="I2956">
        <f>B2956&amp;"~"&amp;F2956&amp;"~"&amp;G2956</f>
        <v/>
      </c>
      <c r="J2956" t="inlineStr">
        <is>
          <t>MVS Sec.18 p.24</t>
        </is>
      </c>
    </row>
    <row r="2957">
      <c r="B2957" t="inlineStr">
        <is>
          <t>Physical Education Buildings</t>
        </is>
      </c>
      <c r="C2957" t="inlineStr">
        <is>
          <t>375</t>
        </is>
      </c>
      <c r="D2957" t="inlineStr">
        <is>
          <t>18</t>
        </is>
      </c>
      <c r="E2957" t="inlineStr">
        <is>
          <t>24</t>
        </is>
      </c>
      <c r="F2957" t="inlineStr">
        <is>
          <t>C</t>
        </is>
      </c>
      <c r="G2957" t="inlineStr">
        <is>
          <t>Good</t>
        </is>
      </c>
      <c r="H2957" t="n">
        <v>229</v>
      </c>
      <c r="I2957">
        <f>B2957&amp;"~"&amp;F2957&amp;"~"&amp;G2957</f>
        <v/>
      </c>
      <c r="J2957" t="inlineStr">
        <is>
          <t>MVS Sec.18 p.24</t>
        </is>
      </c>
    </row>
    <row r="2958">
      <c r="B2958" t="inlineStr">
        <is>
          <t>Physical Education Buildings</t>
        </is>
      </c>
      <c r="C2958" t="inlineStr">
        <is>
          <t>375</t>
        </is>
      </c>
      <c r="D2958" t="inlineStr">
        <is>
          <t>18</t>
        </is>
      </c>
      <c r="E2958" t="inlineStr">
        <is>
          <t>24</t>
        </is>
      </c>
      <c r="F2958" t="inlineStr">
        <is>
          <t>C</t>
        </is>
      </c>
      <c r="G2958" t="inlineStr">
        <is>
          <t>Average</t>
        </is>
      </c>
      <c r="H2958" t="n">
        <v>167</v>
      </c>
      <c r="I2958">
        <f>B2958&amp;"~"&amp;F2958&amp;"~"&amp;G2958</f>
        <v/>
      </c>
      <c r="J2958" t="inlineStr">
        <is>
          <t>MVS Sec.18 p.24</t>
        </is>
      </c>
    </row>
    <row r="2959">
      <c r="B2959" t="inlineStr">
        <is>
          <t>Physical Education Buildings</t>
        </is>
      </c>
      <c r="C2959" t="inlineStr">
        <is>
          <t>375</t>
        </is>
      </c>
      <c r="D2959" t="inlineStr">
        <is>
          <t>18</t>
        </is>
      </c>
      <c r="E2959" t="inlineStr">
        <is>
          <t>24</t>
        </is>
      </c>
      <c r="F2959" t="inlineStr">
        <is>
          <t>C</t>
        </is>
      </c>
      <c r="G2959" t="inlineStr">
        <is>
          <t>Low Cost</t>
        </is>
      </c>
      <c r="H2959" t="n">
        <v>113</v>
      </c>
      <c r="I2959">
        <f>B2959&amp;"~"&amp;F2959&amp;"~"&amp;G2959</f>
        <v/>
      </c>
      <c r="J2959" t="inlineStr">
        <is>
          <t>MVS Sec.18 p.24</t>
        </is>
      </c>
    </row>
    <row r="2960">
      <c r="B2960" t="inlineStr">
        <is>
          <t>Physical Education Buildings</t>
        </is>
      </c>
      <c r="C2960" t="inlineStr">
        <is>
          <t>375</t>
        </is>
      </c>
      <c r="D2960" t="inlineStr">
        <is>
          <t>18</t>
        </is>
      </c>
      <c r="E2960" t="inlineStr">
        <is>
          <t>24</t>
        </is>
      </c>
      <c r="F2960" t="inlineStr">
        <is>
          <t>D</t>
        </is>
      </c>
      <c r="G2960" t="inlineStr">
        <is>
          <t>Excellent</t>
        </is>
      </c>
      <c r="H2960" t="n">
        <v>308</v>
      </c>
      <c r="I2960">
        <f>B2960&amp;"~"&amp;F2960&amp;"~"&amp;G2960</f>
        <v/>
      </c>
      <c r="J2960" t="inlineStr">
        <is>
          <t>MVS Sec.18 p.24</t>
        </is>
      </c>
    </row>
    <row r="2961">
      <c r="B2961" t="inlineStr">
        <is>
          <t>Physical Education Buildings</t>
        </is>
      </c>
      <c r="C2961" t="inlineStr">
        <is>
          <t>375</t>
        </is>
      </c>
      <c r="D2961" t="inlineStr">
        <is>
          <t>18</t>
        </is>
      </c>
      <c r="E2961" t="inlineStr">
        <is>
          <t>24</t>
        </is>
      </c>
      <c r="F2961" t="inlineStr">
        <is>
          <t>D</t>
        </is>
      </c>
      <c r="G2961" t="inlineStr">
        <is>
          <t>Good</t>
        </is>
      </c>
      <c r="H2961" t="n">
        <v>224</v>
      </c>
      <c r="I2961">
        <f>B2961&amp;"~"&amp;F2961&amp;"~"&amp;G2961</f>
        <v/>
      </c>
      <c r="J2961" t="inlineStr">
        <is>
          <t>MVS Sec.18 p.24</t>
        </is>
      </c>
    </row>
    <row r="2962">
      <c r="B2962" t="inlineStr">
        <is>
          <t>Physical Education Buildings</t>
        </is>
      </c>
      <c r="C2962" t="inlineStr">
        <is>
          <t>375</t>
        </is>
      </c>
      <c r="D2962" t="inlineStr">
        <is>
          <t>18</t>
        </is>
      </c>
      <c r="E2962" t="inlineStr">
        <is>
          <t>24</t>
        </is>
      </c>
      <c r="F2962" t="inlineStr">
        <is>
          <t>D</t>
        </is>
      </c>
      <c r="G2962" t="inlineStr">
        <is>
          <t>Average</t>
        </is>
      </c>
      <c r="H2962" t="n">
        <v>161</v>
      </c>
      <c r="I2962">
        <f>B2962&amp;"~"&amp;F2962&amp;"~"&amp;G2962</f>
        <v/>
      </c>
      <c r="J2962" t="inlineStr">
        <is>
          <t>MVS Sec.18 p.24</t>
        </is>
      </c>
    </row>
    <row r="2963">
      <c r="B2963" t="inlineStr">
        <is>
          <t>Physical Education Buildings</t>
        </is>
      </c>
      <c r="C2963" t="inlineStr">
        <is>
          <t>375</t>
        </is>
      </c>
      <c r="D2963" t="inlineStr">
        <is>
          <t>18</t>
        </is>
      </c>
      <c r="E2963" t="inlineStr">
        <is>
          <t>24</t>
        </is>
      </c>
      <c r="F2963" t="inlineStr">
        <is>
          <t>D</t>
        </is>
      </c>
      <c r="G2963" t="inlineStr">
        <is>
          <t>Low Cost</t>
        </is>
      </c>
      <c r="H2963" t="n">
        <v>108</v>
      </c>
      <c r="I2963">
        <f>B2963&amp;"~"&amp;F2963&amp;"~"&amp;G2963</f>
        <v/>
      </c>
      <c r="J2963" t="inlineStr">
        <is>
          <t>MVS Sec.18 p.24</t>
        </is>
      </c>
    </row>
    <row r="2964">
      <c r="B2964" t="inlineStr">
        <is>
          <t>Physical Education Buildings</t>
        </is>
      </c>
      <c r="C2964" t="inlineStr">
        <is>
          <t>375</t>
        </is>
      </c>
      <c r="D2964" t="inlineStr">
        <is>
          <t>18</t>
        </is>
      </c>
      <c r="E2964" t="inlineStr">
        <is>
          <t>24</t>
        </is>
      </c>
      <c r="F2964" t="inlineStr">
        <is>
          <t>DPOLE</t>
        </is>
      </c>
      <c r="G2964" t="inlineStr">
        <is>
          <t>Average</t>
        </is>
      </c>
      <c r="H2964" t="n">
        <v>153</v>
      </c>
      <c r="I2964">
        <f>B2964&amp;"~"&amp;F2964&amp;"~"&amp;G2964</f>
        <v/>
      </c>
      <c r="J2964" t="inlineStr">
        <is>
          <t>MVS Sec.18 p.24</t>
        </is>
      </c>
    </row>
    <row r="2965">
      <c r="B2965" t="inlineStr">
        <is>
          <t>Physical Education Buildings</t>
        </is>
      </c>
      <c r="C2965" t="inlineStr">
        <is>
          <t>375</t>
        </is>
      </c>
      <c r="D2965" t="inlineStr">
        <is>
          <t>18</t>
        </is>
      </c>
      <c r="E2965" t="inlineStr">
        <is>
          <t>24</t>
        </is>
      </c>
      <c r="F2965" t="inlineStr">
        <is>
          <t>DPOLE</t>
        </is>
      </c>
      <c r="G2965" t="inlineStr">
        <is>
          <t>Low Cost</t>
        </is>
      </c>
      <c r="H2965" t="n">
        <v>103</v>
      </c>
      <c r="I2965">
        <f>B2965&amp;"~"&amp;F2965&amp;"~"&amp;G2965</f>
        <v/>
      </c>
      <c r="J2965" t="inlineStr">
        <is>
          <t>MVS Sec.18 p.24</t>
        </is>
      </c>
    </row>
    <row r="2966">
      <c r="B2966" t="inlineStr">
        <is>
          <t>Physical Education Buildings</t>
        </is>
      </c>
      <c r="C2966" t="inlineStr">
        <is>
          <t>375</t>
        </is>
      </c>
      <c r="D2966" t="inlineStr">
        <is>
          <t>18</t>
        </is>
      </c>
      <c r="E2966" t="inlineStr">
        <is>
          <t>24</t>
        </is>
      </c>
      <c r="F2966" t="inlineStr">
        <is>
          <t>S</t>
        </is>
      </c>
      <c r="G2966" t="inlineStr">
        <is>
          <t>Good</t>
        </is>
      </c>
      <c r="H2966" t="n">
        <v>218</v>
      </c>
      <c r="I2966">
        <f>B2966&amp;"~"&amp;F2966&amp;"~"&amp;G2966</f>
        <v/>
      </c>
      <c r="J2966" t="inlineStr">
        <is>
          <t>MVS Sec.18 p.24</t>
        </is>
      </c>
    </row>
    <row r="2967">
      <c r="B2967" t="inlineStr">
        <is>
          <t>Physical Education Buildings</t>
        </is>
      </c>
      <c r="C2967" t="inlineStr">
        <is>
          <t>375</t>
        </is>
      </c>
      <c r="D2967" t="inlineStr">
        <is>
          <t>18</t>
        </is>
      </c>
      <c r="E2967" t="inlineStr">
        <is>
          <t>24</t>
        </is>
      </c>
      <c r="F2967" t="inlineStr">
        <is>
          <t>S</t>
        </is>
      </c>
      <c r="G2967" t="inlineStr">
        <is>
          <t>Average</t>
        </is>
      </c>
      <c r="H2967" t="n">
        <v>156</v>
      </c>
      <c r="I2967">
        <f>B2967&amp;"~"&amp;F2967&amp;"~"&amp;G2967</f>
        <v/>
      </c>
      <c r="J2967" t="inlineStr">
        <is>
          <t>MVS Sec.18 p.24</t>
        </is>
      </c>
    </row>
    <row r="2968">
      <c r="B2968" t="inlineStr">
        <is>
          <t>Physical Education Buildings</t>
        </is>
      </c>
      <c r="C2968" t="inlineStr">
        <is>
          <t>375</t>
        </is>
      </c>
      <c r="D2968" t="inlineStr">
        <is>
          <t>18</t>
        </is>
      </c>
      <c r="E2968" t="inlineStr">
        <is>
          <t>24</t>
        </is>
      </c>
      <c r="F2968" t="inlineStr">
        <is>
          <t>S</t>
        </is>
      </c>
      <c r="G2968" t="inlineStr">
        <is>
          <t>Low Cost</t>
        </is>
      </c>
      <c r="H2968" t="n">
        <v>104</v>
      </c>
      <c r="I2968">
        <f>B2968&amp;"~"&amp;F2968&amp;"~"&amp;G2968</f>
        <v/>
      </c>
      <c r="J2968" t="inlineStr">
        <is>
          <t>MVS Sec.18 p.24</t>
        </is>
      </c>
    </row>
    <row r="2969">
      <c r="B2969" t="inlineStr">
        <is>
          <t>Gymnasiums</t>
        </is>
      </c>
      <c r="C2969" t="inlineStr">
        <is>
          <t>358</t>
        </is>
      </c>
      <c r="D2969" t="inlineStr">
        <is>
          <t>18</t>
        </is>
      </c>
      <c r="E2969" t="inlineStr">
        <is>
          <t>25</t>
        </is>
      </c>
      <c r="F2969" t="inlineStr">
        <is>
          <t>A-B</t>
        </is>
      </c>
      <c r="G2969" t="inlineStr">
        <is>
          <t>Good</t>
        </is>
      </c>
      <c r="H2969" t="n">
        <v>290</v>
      </c>
      <c r="I2969">
        <f>B2969&amp;"~"&amp;F2969&amp;"~"&amp;G2969</f>
        <v/>
      </c>
      <c r="J2969" t="inlineStr">
        <is>
          <t>MVS Sec.18 p.25</t>
        </is>
      </c>
    </row>
    <row r="2970">
      <c r="B2970" t="inlineStr">
        <is>
          <t>Gymnasiums</t>
        </is>
      </c>
      <c r="C2970" t="inlineStr">
        <is>
          <t>358</t>
        </is>
      </c>
      <c r="D2970" t="inlineStr">
        <is>
          <t>18</t>
        </is>
      </c>
      <c r="E2970" t="inlineStr">
        <is>
          <t>25</t>
        </is>
      </c>
      <c r="F2970" t="inlineStr">
        <is>
          <t>A-B</t>
        </is>
      </c>
      <c r="G2970" t="inlineStr">
        <is>
          <t>Average</t>
        </is>
      </c>
      <c r="H2970" t="n">
        <v>213</v>
      </c>
      <c r="I2970">
        <f>B2970&amp;"~"&amp;F2970&amp;"~"&amp;G2970</f>
        <v/>
      </c>
      <c r="J2970" t="inlineStr">
        <is>
          <t>MVS Sec.18 p.25</t>
        </is>
      </c>
    </row>
    <row r="2971">
      <c r="B2971" t="inlineStr">
        <is>
          <t>Gymnasiums</t>
        </is>
      </c>
      <c r="C2971" t="inlineStr">
        <is>
          <t>358</t>
        </is>
      </c>
      <c r="D2971" t="inlineStr">
        <is>
          <t>18</t>
        </is>
      </c>
      <c r="E2971" t="inlineStr">
        <is>
          <t>25</t>
        </is>
      </c>
      <c r="F2971" t="inlineStr">
        <is>
          <t>C</t>
        </is>
      </c>
      <c r="G2971" t="inlineStr">
        <is>
          <t>Excellent</t>
        </is>
      </c>
      <c r="H2971" t="n">
        <v>288</v>
      </c>
      <c r="I2971">
        <f>B2971&amp;"~"&amp;F2971&amp;"~"&amp;G2971</f>
        <v/>
      </c>
      <c r="J2971" t="inlineStr">
        <is>
          <t>MVS Sec.18 p.25</t>
        </is>
      </c>
    </row>
    <row r="2972">
      <c r="B2972" t="inlineStr">
        <is>
          <t>Gymnasiums</t>
        </is>
      </c>
      <c r="C2972" t="inlineStr">
        <is>
          <t>358</t>
        </is>
      </c>
      <c r="D2972" t="inlineStr">
        <is>
          <t>18</t>
        </is>
      </c>
      <c r="E2972" t="inlineStr">
        <is>
          <t>25</t>
        </is>
      </c>
      <c r="F2972" t="inlineStr">
        <is>
          <t>C</t>
        </is>
      </c>
      <c r="G2972" t="inlineStr">
        <is>
          <t>Good</t>
        </is>
      </c>
      <c r="H2972" t="n">
        <v>212</v>
      </c>
      <c r="I2972">
        <f>B2972&amp;"~"&amp;F2972&amp;"~"&amp;G2972</f>
        <v/>
      </c>
      <c r="J2972" t="inlineStr">
        <is>
          <t>MVS Sec.18 p.25</t>
        </is>
      </c>
    </row>
    <row r="2973">
      <c r="B2973" t="inlineStr">
        <is>
          <t>Gymnasiums</t>
        </is>
      </c>
      <c r="C2973" t="inlineStr">
        <is>
          <t>358</t>
        </is>
      </c>
      <c r="D2973" t="inlineStr">
        <is>
          <t>18</t>
        </is>
      </c>
      <c r="E2973" t="inlineStr">
        <is>
          <t>25</t>
        </is>
      </c>
      <c r="F2973" t="inlineStr">
        <is>
          <t>C</t>
        </is>
      </c>
      <c r="G2973" t="inlineStr">
        <is>
          <t>Average</t>
        </is>
      </c>
      <c r="H2973" t="n">
        <v>152</v>
      </c>
      <c r="I2973">
        <f>B2973&amp;"~"&amp;F2973&amp;"~"&amp;G2973</f>
        <v/>
      </c>
      <c r="J2973" t="inlineStr">
        <is>
          <t>MVS Sec.18 p.25</t>
        </is>
      </c>
    </row>
    <row r="2974">
      <c r="B2974" t="inlineStr">
        <is>
          <t>Gymnasiums</t>
        </is>
      </c>
      <c r="C2974" t="inlineStr">
        <is>
          <t>358</t>
        </is>
      </c>
      <c r="D2974" t="inlineStr">
        <is>
          <t>18</t>
        </is>
      </c>
      <c r="E2974" t="inlineStr">
        <is>
          <t>25</t>
        </is>
      </c>
      <c r="F2974" t="inlineStr">
        <is>
          <t>C</t>
        </is>
      </c>
      <c r="G2974" t="inlineStr">
        <is>
          <t>Low Cost</t>
        </is>
      </c>
      <c r="H2974" t="n">
        <v>101</v>
      </c>
      <c r="I2974">
        <f>B2974&amp;"~"&amp;F2974&amp;"~"&amp;G2974</f>
        <v/>
      </c>
      <c r="J2974" t="inlineStr">
        <is>
          <t>MVS Sec.18 p.25</t>
        </is>
      </c>
    </row>
    <row r="2975">
      <c r="B2975" t="inlineStr">
        <is>
          <t>Gymnasiums</t>
        </is>
      </c>
      <c r="C2975" t="inlineStr">
        <is>
          <t>358</t>
        </is>
      </c>
      <c r="D2975" t="inlineStr">
        <is>
          <t>18</t>
        </is>
      </c>
      <c r="E2975" t="inlineStr">
        <is>
          <t>25</t>
        </is>
      </c>
      <c r="F2975" t="inlineStr">
        <is>
          <t>D</t>
        </is>
      </c>
      <c r="G2975" t="inlineStr">
        <is>
          <t>Excellent</t>
        </is>
      </c>
      <c r="H2975" t="n">
        <v>281</v>
      </c>
      <c r="I2975">
        <f>B2975&amp;"~"&amp;F2975&amp;"~"&amp;G2975</f>
        <v/>
      </c>
      <c r="J2975" t="inlineStr">
        <is>
          <t>MVS Sec.18 p.25</t>
        </is>
      </c>
    </row>
    <row r="2976">
      <c r="B2976" t="inlineStr">
        <is>
          <t>Gymnasiums</t>
        </is>
      </c>
      <c r="C2976" t="inlineStr">
        <is>
          <t>358</t>
        </is>
      </c>
      <c r="D2976" t="inlineStr">
        <is>
          <t>18</t>
        </is>
      </c>
      <c r="E2976" t="inlineStr">
        <is>
          <t>25</t>
        </is>
      </c>
      <c r="F2976" t="inlineStr">
        <is>
          <t>D</t>
        </is>
      </c>
      <c r="G2976" t="inlineStr">
        <is>
          <t>Good</t>
        </is>
      </c>
      <c r="H2976" t="n">
        <v>205</v>
      </c>
      <c r="I2976">
        <f>B2976&amp;"~"&amp;F2976&amp;"~"&amp;G2976</f>
        <v/>
      </c>
      <c r="J2976" t="inlineStr">
        <is>
          <t>MVS Sec.18 p.25</t>
        </is>
      </c>
    </row>
    <row r="2977">
      <c r="B2977" t="inlineStr">
        <is>
          <t>Gymnasiums</t>
        </is>
      </c>
      <c r="C2977" t="inlineStr">
        <is>
          <t>358</t>
        </is>
      </c>
      <c r="D2977" t="inlineStr">
        <is>
          <t>18</t>
        </is>
      </c>
      <c r="E2977" t="inlineStr">
        <is>
          <t>25</t>
        </is>
      </c>
      <c r="F2977" t="inlineStr">
        <is>
          <t>D</t>
        </is>
      </c>
      <c r="G2977" t="inlineStr">
        <is>
          <t>Average</t>
        </is>
      </c>
      <c r="H2977" t="n">
        <v>146</v>
      </c>
      <c r="I2977">
        <f>B2977&amp;"~"&amp;F2977&amp;"~"&amp;G2977</f>
        <v/>
      </c>
      <c r="J2977" t="inlineStr">
        <is>
          <t>MVS Sec.18 p.25</t>
        </is>
      </c>
    </row>
    <row r="2978">
      <c r="B2978" t="inlineStr">
        <is>
          <t>Gymnasiums</t>
        </is>
      </c>
      <c r="C2978" t="inlineStr">
        <is>
          <t>358</t>
        </is>
      </c>
      <c r="D2978" t="inlineStr">
        <is>
          <t>18</t>
        </is>
      </c>
      <c r="E2978" t="inlineStr">
        <is>
          <t>25</t>
        </is>
      </c>
      <c r="F2978" t="inlineStr">
        <is>
          <t>D</t>
        </is>
      </c>
      <c r="G2978" t="inlineStr">
        <is>
          <t>Low Cost</t>
        </is>
      </c>
      <c r="H2978" t="n">
        <v>96</v>
      </c>
      <c r="I2978">
        <f>B2978&amp;"~"&amp;F2978&amp;"~"&amp;G2978</f>
        <v/>
      </c>
      <c r="J2978" t="inlineStr">
        <is>
          <t>MVS Sec.18 p.25</t>
        </is>
      </c>
    </row>
    <row r="2979">
      <c r="B2979" t="inlineStr">
        <is>
          <t>Gymnasiums</t>
        </is>
      </c>
      <c r="C2979" t="inlineStr">
        <is>
          <t>358</t>
        </is>
      </c>
      <c r="D2979" t="inlineStr">
        <is>
          <t>18</t>
        </is>
      </c>
      <c r="E2979" t="inlineStr">
        <is>
          <t>25</t>
        </is>
      </c>
      <c r="F2979" t="inlineStr">
        <is>
          <t>DPOLE</t>
        </is>
      </c>
      <c r="G2979" t="inlineStr">
        <is>
          <t>Average</t>
        </is>
      </c>
      <c r="H2979" t="n">
        <v>137</v>
      </c>
      <c r="I2979">
        <f>B2979&amp;"~"&amp;F2979&amp;"~"&amp;G2979</f>
        <v/>
      </c>
      <c r="J2979" t="inlineStr">
        <is>
          <t>MVS Sec.18 p.25</t>
        </is>
      </c>
    </row>
    <row r="2980">
      <c r="B2980" t="inlineStr">
        <is>
          <t>Gymnasiums</t>
        </is>
      </c>
      <c r="C2980" t="inlineStr">
        <is>
          <t>358</t>
        </is>
      </c>
      <c r="D2980" t="inlineStr">
        <is>
          <t>18</t>
        </is>
      </c>
      <c r="E2980" t="inlineStr">
        <is>
          <t>25</t>
        </is>
      </c>
      <c r="F2980" t="inlineStr">
        <is>
          <t>DPOLE</t>
        </is>
      </c>
      <c r="G2980" t="inlineStr">
        <is>
          <t>Low Cost</t>
        </is>
      </c>
      <c r="H2980" t="n">
        <v>90</v>
      </c>
      <c r="I2980">
        <f>B2980&amp;"~"&amp;F2980&amp;"~"&amp;G2980</f>
        <v/>
      </c>
      <c r="J2980" t="inlineStr">
        <is>
          <t>MVS Sec.18 p.25</t>
        </is>
      </c>
    </row>
    <row r="2981">
      <c r="B2981" t="inlineStr">
        <is>
          <t>Gymnasiums</t>
        </is>
      </c>
      <c r="C2981" t="inlineStr">
        <is>
          <t>358</t>
        </is>
      </c>
      <c r="D2981" t="inlineStr">
        <is>
          <t>18</t>
        </is>
      </c>
      <c r="E2981" t="inlineStr">
        <is>
          <t>25</t>
        </is>
      </c>
      <c r="F2981" t="inlineStr">
        <is>
          <t>DPOLE</t>
        </is>
      </c>
      <c r="G2981" t="inlineStr">
        <is>
          <t>Cheap</t>
        </is>
      </c>
      <c r="H2981" t="n">
        <v>75.5</v>
      </c>
      <c r="I2981">
        <f>B2981&amp;"~"&amp;F2981&amp;"~"&amp;G2981</f>
        <v/>
      </c>
      <c r="J2981" t="inlineStr">
        <is>
          <t>MVS Sec.18 p.25</t>
        </is>
      </c>
    </row>
    <row r="2982">
      <c r="B2982" t="inlineStr">
        <is>
          <t>Gymnasiums</t>
        </is>
      </c>
      <c r="C2982" t="inlineStr">
        <is>
          <t>358</t>
        </is>
      </c>
      <c r="D2982" t="inlineStr">
        <is>
          <t>18</t>
        </is>
      </c>
      <c r="E2982" t="inlineStr">
        <is>
          <t>25</t>
        </is>
      </c>
      <c r="F2982" t="inlineStr">
        <is>
          <t>S</t>
        </is>
      </c>
      <c r="G2982" t="inlineStr">
        <is>
          <t>Good</t>
        </is>
      </c>
      <c r="H2982" t="n">
        <v>202</v>
      </c>
      <c r="I2982">
        <f>B2982&amp;"~"&amp;F2982&amp;"~"&amp;G2982</f>
        <v/>
      </c>
      <c r="J2982" t="inlineStr">
        <is>
          <t>MVS Sec.18 p.25</t>
        </is>
      </c>
    </row>
    <row r="2983">
      <c r="B2983" t="inlineStr">
        <is>
          <t>Gymnasiums</t>
        </is>
      </c>
      <c r="C2983" t="inlineStr">
        <is>
          <t>358</t>
        </is>
      </c>
      <c r="D2983" t="inlineStr">
        <is>
          <t>18</t>
        </is>
      </c>
      <c r="E2983" t="inlineStr">
        <is>
          <t>25</t>
        </is>
      </c>
      <c r="F2983" t="inlineStr">
        <is>
          <t>S</t>
        </is>
      </c>
      <c r="G2983" t="inlineStr">
        <is>
          <t>Average</t>
        </is>
      </c>
      <c r="H2983" t="n">
        <v>142</v>
      </c>
      <c r="I2983">
        <f>B2983&amp;"~"&amp;F2983&amp;"~"&amp;G2983</f>
        <v/>
      </c>
      <c r="J2983" t="inlineStr">
        <is>
          <t>MVS Sec.18 p.25</t>
        </is>
      </c>
    </row>
    <row r="2984">
      <c r="B2984" t="inlineStr">
        <is>
          <t>Gymnasiums</t>
        </is>
      </c>
      <c r="C2984" t="inlineStr">
        <is>
          <t>358</t>
        </is>
      </c>
      <c r="D2984" t="inlineStr">
        <is>
          <t>18</t>
        </is>
      </c>
      <c r="E2984" t="inlineStr">
        <is>
          <t>25</t>
        </is>
      </c>
      <c r="F2984" t="inlineStr">
        <is>
          <t>S</t>
        </is>
      </c>
      <c r="G2984" t="inlineStr">
        <is>
          <t>Low Cost</t>
        </is>
      </c>
      <c r="H2984" t="n">
        <v>91.5</v>
      </c>
      <c r="I2984">
        <f>B2984&amp;"~"&amp;F2984&amp;"~"&amp;G2984</f>
        <v/>
      </c>
      <c r="J2984" t="inlineStr">
        <is>
          <t>MVS Sec.18 p.25</t>
        </is>
      </c>
    </row>
    <row r="2985">
      <c r="B2985" t="inlineStr">
        <is>
          <t>Gymnasiums</t>
        </is>
      </c>
      <c r="C2985" t="inlineStr">
        <is>
          <t>358</t>
        </is>
      </c>
      <c r="D2985" t="inlineStr">
        <is>
          <t>18</t>
        </is>
      </c>
      <c r="E2985" t="inlineStr">
        <is>
          <t>25</t>
        </is>
      </c>
      <c r="F2985" t="inlineStr">
        <is>
          <t>S</t>
        </is>
      </c>
      <c r="G2985" t="inlineStr">
        <is>
          <t>Cheap</t>
        </is>
      </c>
      <c r="H2985" t="n">
        <v>76.5</v>
      </c>
      <c r="I2985">
        <f>B2985&amp;"~"&amp;F2985&amp;"~"&amp;G2985</f>
        <v/>
      </c>
      <c r="J2985" t="inlineStr">
        <is>
          <t>MVS Sec.18 p.25</t>
        </is>
      </c>
    </row>
    <row r="2986">
      <c r="B2986" t="inlineStr">
        <is>
          <t>Colleges</t>
        </is>
      </c>
      <c r="C2986" t="inlineStr">
        <is>
          <t>377</t>
        </is>
      </c>
      <c r="D2986" t="inlineStr">
        <is>
          <t>18</t>
        </is>
      </c>
      <c r="E2986" t="inlineStr">
        <is>
          <t>26</t>
        </is>
      </c>
      <c r="F2986" t="inlineStr">
        <is>
          <t>A</t>
        </is>
      </c>
      <c r="G2986" t="inlineStr">
        <is>
          <t>Excellent</t>
        </is>
      </c>
      <c r="H2986" t="n">
        <v>498</v>
      </c>
      <c r="I2986">
        <f>B2986&amp;"~"&amp;F2986&amp;"~"&amp;G2986</f>
        <v/>
      </c>
      <c r="J2986" t="inlineStr">
        <is>
          <t>MVS Sec.18 p.26</t>
        </is>
      </c>
    </row>
    <row r="2987">
      <c r="B2987" t="inlineStr">
        <is>
          <t>Colleges</t>
        </is>
      </c>
      <c r="C2987" t="inlineStr">
        <is>
          <t>377</t>
        </is>
      </c>
      <c r="D2987" t="inlineStr">
        <is>
          <t>18</t>
        </is>
      </c>
      <c r="E2987" t="inlineStr">
        <is>
          <t>26</t>
        </is>
      </c>
      <c r="F2987" t="inlineStr">
        <is>
          <t>A</t>
        </is>
      </c>
      <c r="G2987" t="inlineStr">
        <is>
          <t>Good</t>
        </is>
      </c>
      <c r="H2987" t="n">
        <v>391</v>
      </c>
      <c r="I2987">
        <f>B2987&amp;"~"&amp;F2987&amp;"~"&amp;G2987</f>
        <v/>
      </c>
      <c r="J2987" t="inlineStr">
        <is>
          <t>MVS Sec.18 p.26</t>
        </is>
      </c>
    </row>
    <row r="2988">
      <c r="B2988" t="inlineStr">
        <is>
          <t>Colleges</t>
        </is>
      </c>
      <c r="C2988" t="inlineStr">
        <is>
          <t>377</t>
        </is>
      </c>
      <c r="D2988" t="inlineStr">
        <is>
          <t>18</t>
        </is>
      </c>
      <c r="E2988" t="inlineStr">
        <is>
          <t>26</t>
        </is>
      </c>
      <c r="F2988" t="inlineStr">
        <is>
          <t>A</t>
        </is>
      </c>
      <c r="G2988" t="inlineStr">
        <is>
          <t>Average</t>
        </is>
      </c>
      <c r="H2988" t="n">
        <v>308</v>
      </c>
      <c r="I2988">
        <f>B2988&amp;"~"&amp;F2988&amp;"~"&amp;G2988</f>
        <v/>
      </c>
      <c r="J2988" t="inlineStr">
        <is>
          <t>MVS Sec.18 p.26</t>
        </is>
      </c>
    </row>
    <row r="2989">
      <c r="B2989" t="inlineStr">
        <is>
          <t>Colleges</t>
        </is>
      </c>
      <c r="C2989" t="inlineStr">
        <is>
          <t>377</t>
        </is>
      </c>
      <c r="D2989" t="inlineStr">
        <is>
          <t>18</t>
        </is>
      </c>
      <c r="E2989" t="inlineStr">
        <is>
          <t>26</t>
        </is>
      </c>
      <c r="F2989" t="inlineStr">
        <is>
          <t>A</t>
        </is>
      </c>
      <c r="G2989" t="inlineStr">
        <is>
          <t>Low Cost</t>
        </is>
      </c>
      <c r="H2989" t="n">
        <v>231</v>
      </c>
      <c r="I2989">
        <f>B2989&amp;"~"&amp;F2989&amp;"~"&amp;G2989</f>
        <v/>
      </c>
      <c r="J2989" t="inlineStr">
        <is>
          <t>MVS Sec.18 p.26</t>
        </is>
      </c>
    </row>
    <row r="2990">
      <c r="B2990" t="inlineStr">
        <is>
          <t>Colleges</t>
        </is>
      </c>
      <c r="C2990" t="inlineStr">
        <is>
          <t>377</t>
        </is>
      </c>
      <c r="D2990" t="inlineStr">
        <is>
          <t>18</t>
        </is>
      </c>
      <c r="E2990" t="inlineStr">
        <is>
          <t>26</t>
        </is>
      </c>
      <c r="F2990" t="inlineStr">
        <is>
          <t>B</t>
        </is>
      </c>
      <c r="G2990" t="inlineStr">
        <is>
          <t>Excellent</t>
        </is>
      </c>
      <c r="H2990" t="n">
        <v>453</v>
      </c>
      <c r="I2990">
        <f>B2990&amp;"~"&amp;F2990&amp;"~"&amp;G2990</f>
        <v/>
      </c>
      <c r="J2990" t="inlineStr">
        <is>
          <t>MVS Sec.18 p.26</t>
        </is>
      </c>
    </row>
    <row r="2991">
      <c r="B2991" t="inlineStr">
        <is>
          <t>Colleges</t>
        </is>
      </c>
      <c r="C2991" t="inlineStr">
        <is>
          <t>377</t>
        </is>
      </c>
      <c r="D2991" t="inlineStr">
        <is>
          <t>18</t>
        </is>
      </c>
      <c r="E2991" t="inlineStr">
        <is>
          <t>26</t>
        </is>
      </c>
      <c r="F2991" t="inlineStr">
        <is>
          <t>B</t>
        </is>
      </c>
      <c r="G2991" t="inlineStr">
        <is>
          <t>Good</t>
        </is>
      </c>
      <c r="H2991" t="n">
        <v>358</v>
      </c>
      <c r="I2991">
        <f>B2991&amp;"~"&amp;F2991&amp;"~"&amp;G2991</f>
        <v/>
      </c>
      <c r="J2991" t="inlineStr">
        <is>
          <t>MVS Sec.18 p.26</t>
        </is>
      </c>
    </row>
    <row r="2992">
      <c r="B2992" t="inlineStr">
        <is>
          <t>Colleges</t>
        </is>
      </c>
      <c r="C2992" t="inlineStr">
        <is>
          <t>377</t>
        </is>
      </c>
      <c r="D2992" t="inlineStr">
        <is>
          <t>18</t>
        </is>
      </c>
      <c r="E2992" t="inlineStr">
        <is>
          <t>26</t>
        </is>
      </c>
      <c r="F2992" t="inlineStr">
        <is>
          <t>B</t>
        </is>
      </c>
      <c r="G2992" t="inlineStr">
        <is>
          <t>Average</t>
        </is>
      </c>
      <c r="H2992" t="n">
        <v>284</v>
      </c>
      <c r="I2992">
        <f>B2992&amp;"~"&amp;F2992&amp;"~"&amp;G2992</f>
        <v/>
      </c>
      <c r="J2992" t="inlineStr">
        <is>
          <t>MVS Sec.18 p.26</t>
        </is>
      </c>
    </row>
    <row r="2993">
      <c r="B2993" t="inlineStr">
        <is>
          <t>Colleges</t>
        </is>
      </c>
      <c r="C2993" t="inlineStr">
        <is>
          <t>377</t>
        </is>
      </c>
      <c r="D2993" t="inlineStr">
        <is>
          <t>18</t>
        </is>
      </c>
      <c r="E2993" t="inlineStr">
        <is>
          <t>26</t>
        </is>
      </c>
      <c r="F2993" t="inlineStr">
        <is>
          <t>B</t>
        </is>
      </c>
      <c r="G2993" t="inlineStr">
        <is>
          <t>Low Cost</t>
        </is>
      </c>
      <c r="H2993" t="n">
        <v>214</v>
      </c>
      <c r="I2993">
        <f>B2993&amp;"~"&amp;F2993&amp;"~"&amp;G2993</f>
        <v/>
      </c>
      <c r="J2993" t="inlineStr">
        <is>
          <t>MVS Sec.18 p.26</t>
        </is>
      </c>
    </row>
    <row r="2994">
      <c r="B2994" t="inlineStr">
        <is>
          <t>Colleges</t>
        </is>
      </c>
      <c r="C2994" t="inlineStr">
        <is>
          <t>377</t>
        </is>
      </c>
      <c r="D2994" t="inlineStr">
        <is>
          <t>18</t>
        </is>
      </c>
      <c r="E2994" t="inlineStr">
        <is>
          <t>26</t>
        </is>
      </c>
      <c r="F2994" t="inlineStr">
        <is>
          <t>C</t>
        </is>
      </c>
      <c r="G2994" t="inlineStr">
        <is>
          <t>Excellent</t>
        </is>
      </c>
      <c r="H2994" t="n">
        <v>372</v>
      </c>
      <c r="I2994">
        <f>B2994&amp;"~"&amp;F2994&amp;"~"&amp;G2994</f>
        <v/>
      </c>
      <c r="J2994" t="inlineStr">
        <is>
          <t>MVS Sec.18 p.26</t>
        </is>
      </c>
    </row>
    <row r="2995">
      <c r="B2995" t="inlineStr">
        <is>
          <t>Colleges</t>
        </is>
      </c>
      <c r="C2995" t="inlineStr">
        <is>
          <t>377</t>
        </is>
      </c>
      <c r="D2995" t="inlineStr">
        <is>
          <t>18</t>
        </is>
      </c>
      <c r="E2995" t="inlineStr">
        <is>
          <t>26</t>
        </is>
      </c>
      <c r="F2995" t="inlineStr">
        <is>
          <t>C</t>
        </is>
      </c>
      <c r="G2995" t="inlineStr">
        <is>
          <t>Good</t>
        </is>
      </c>
      <c r="H2995" t="n">
        <v>293</v>
      </c>
      <c r="I2995">
        <f>B2995&amp;"~"&amp;F2995&amp;"~"&amp;G2995</f>
        <v/>
      </c>
      <c r="J2995" t="inlineStr">
        <is>
          <t>MVS Sec.18 p.26</t>
        </is>
      </c>
    </row>
    <row r="2996">
      <c r="B2996" t="inlineStr">
        <is>
          <t>Colleges</t>
        </is>
      </c>
      <c r="C2996" t="inlineStr">
        <is>
          <t>377</t>
        </is>
      </c>
      <c r="D2996" t="inlineStr">
        <is>
          <t>18</t>
        </is>
      </c>
      <c r="E2996" t="inlineStr">
        <is>
          <t>26</t>
        </is>
      </c>
      <c r="F2996" t="inlineStr">
        <is>
          <t>C</t>
        </is>
      </c>
      <c r="G2996" t="inlineStr">
        <is>
          <t>Average</t>
        </is>
      </c>
      <c r="H2996" t="n">
        <v>218</v>
      </c>
      <c r="I2996">
        <f>B2996&amp;"~"&amp;F2996&amp;"~"&amp;G2996</f>
        <v/>
      </c>
      <c r="J2996" t="inlineStr">
        <is>
          <t>MVS Sec.18 p.26</t>
        </is>
      </c>
    </row>
    <row r="2997">
      <c r="B2997" t="inlineStr">
        <is>
          <t>Colleges</t>
        </is>
      </c>
      <c r="C2997" t="inlineStr">
        <is>
          <t>377</t>
        </is>
      </c>
      <c r="D2997" t="inlineStr">
        <is>
          <t>18</t>
        </is>
      </c>
      <c r="E2997" t="inlineStr">
        <is>
          <t>26</t>
        </is>
      </c>
      <c r="F2997" t="inlineStr">
        <is>
          <t>C</t>
        </is>
      </c>
      <c r="G2997" t="inlineStr">
        <is>
          <t>Low Cost</t>
        </is>
      </c>
      <c r="H2997" t="n">
        <v>167</v>
      </c>
      <c r="I2997">
        <f>B2997&amp;"~"&amp;F2997&amp;"~"&amp;G2997</f>
        <v/>
      </c>
      <c r="J2997" t="inlineStr">
        <is>
          <t>MVS Sec.18 p.26</t>
        </is>
      </c>
    </row>
    <row r="2998">
      <c r="B2998" t="inlineStr">
        <is>
          <t>Colleges</t>
        </is>
      </c>
      <c r="C2998" t="inlineStr">
        <is>
          <t>377</t>
        </is>
      </c>
      <c r="D2998" t="inlineStr">
        <is>
          <t>18</t>
        </is>
      </c>
      <c r="E2998" t="inlineStr">
        <is>
          <t>26</t>
        </is>
      </c>
      <c r="F2998" t="inlineStr">
        <is>
          <t>D</t>
        </is>
      </c>
      <c r="G2998" t="inlineStr">
        <is>
          <t>Excellent</t>
        </is>
      </c>
      <c r="H2998" t="n">
        <v>368</v>
      </c>
      <c r="I2998">
        <f>B2998&amp;"~"&amp;F2998&amp;"~"&amp;G2998</f>
        <v/>
      </c>
      <c r="J2998" t="inlineStr">
        <is>
          <t>MVS Sec.18 p.26</t>
        </is>
      </c>
    </row>
    <row r="2999">
      <c r="B2999" t="inlineStr">
        <is>
          <t>Colleges</t>
        </is>
      </c>
      <c r="C2999" t="inlineStr">
        <is>
          <t>377</t>
        </is>
      </c>
      <c r="D2999" t="inlineStr">
        <is>
          <t>18</t>
        </is>
      </c>
      <c r="E2999" t="inlineStr">
        <is>
          <t>26</t>
        </is>
      </c>
      <c r="F2999" t="inlineStr">
        <is>
          <t>D</t>
        </is>
      </c>
      <c r="G2999" t="inlineStr">
        <is>
          <t>Good</t>
        </is>
      </c>
      <c r="H2999" t="n">
        <v>273</v>
      </c>
      <c r="I2999">
        <f>B2999&amp;"~"&amp;F2999&amp;"~"&amp;G2999</f>
        <v/>
      </c>
      <c r="J2999" t="inlineStr">
        <is>
          <t>MVS Sec.18 p.26</t>
        </is>
      </c>
    </row>
    <row r="3000">
      <c r="B3000" t="inlineStr">
        <is>
          <t>Colleges</t>
        </is>
      </c>
      <c r="C3000" t="inlineStr">
        <is>
          <t>377</t>
        </is>
      </c>
      <c r="D3000" t="inlineStr">
        <is>
          <t>18</t>
        </is>
      </c>
      <c r="E3000" t="inlineStr">
        <is>
          <t>26</t>
        </is>
      </c>
      <c r="F3000" t="inlineStr">
        <is>
          <t>D</t>
        </is>
      </c>
      <c r="G3000" t="inlineStr">
        <is>
          <t>Average</t>
        </is>
      </c>
      <c r="H3000" t="n">
        <v>207</v>
      </c>
      <c r="I3000">
        <f>B3000&amp;"~"&amp;F3000&amp;"~"&amp;G3000</f>
        <v/>
      </c>
      <c r="J3000" t="inlineStr">
        <is>
          <t>MVS Sec.18 p.26</t>
        </is>
      </c>
    </row>
    <row r="3001">
      <c r="B3001" t="inlineStr">
        <is>
          <t>Colleges</t>
        </is>
      </c>
      <c r="C3001" t="inlineStr">
        <is>
          <t>377</t>
        </is>
      </c>
      <c r="D3001" t="inlineStr">
        <is>
          <t>18</t>
        </is>
      </c>
      <c r="E3001" t="inlineStr">
        <is>
          <t>26</t>
        </is>
      </c>
      <c r="F3001" t="inlineStr">
        <is>
          <t>D</t>
        </is>
      </c>
      <c r="G3001" t="inlineStr">
        <is>
          <t>Low Cost</t>
        </is>
      </c>
      <c r="H3001" t="n">
        <v>156</v>
      </c>
      <c r="I3001">
        <f>B3001&amp;"~"&amp;F3001&amp;"~"&amp;G3001</f>
        <v/>
      </c>
      <c r="J3001" t="inlineStr">
        <is>
          <t>MVS Sec.18 p.26</t>
        </is>
      </c>
    </row>
    <row r="3002">
      <c r="B3002" t="inlineStr">
        <is>
          <t>Colleges</t>
        </is>
      </c>
      <c r="C3002" t="inlineStr">
        <is>
          <t>377</t>
        </is>
      </c>
      <c r="D3002" t="inlineStr">
        <is>
          <t>18</t>
        </is>
      </c>
      <c r="E3002" t="inlineStr">
        <is>
          <t>26</t>
        </is>
      </c>
      <c r="F3002" t="inlineStr">
        <is>
          <t>DPOLE</t>
        </is>
      </c>
      <c r="G3002" t="inlineStr">
        <is>
          <t>Average</t>
        </is>
      </c>
      <c r="H3002" t="n">
        <v>200</v>
      </c>
      <c r="I3002">
        <f>B3002&amp;"~"&amp;F3002&amp;"~"&amp;G3002</f>
        <v/>
      </c>
      <c r="J3002" t="inlineStr">
        <is>
          <t>MVS Sec.18 p.26</t>
        </is>
      </c>
    </row>
    <row r="3003">
      <c r="B3003" t="inlineStr">
        <is>
          <t>Colleges</t>
        </is>
      </c>
      <c r="C3003" t="inlineStr">
        <is>
          <t>377</t>
        </is>
      </c>
      <c r="D3003" t="inlineStr">
        <is>
          <t>18</t>
        </is>
      </c>
      <c r="E3003" t="inlineStr">
        <is>
          <t>26</t>
        </is>
      </c>
      <c r="F3003" t="inlineStr">
        <is>
          <t>DPOLE</t>
        </is>
      </c>
      <c r="G3003" t="inlineStr">
        <is>
          <t>Low Cost</t>
        </is>
      </c>
      <c r="H3003" t="n">
        <v>149</v>
      </c>
      <c r="I3003">
        <f>B3003&amp;"~"&amp;F3003&amp;"~"&amp;G3003</f>
        <v/>
      </c>
      <c r="J3003" t="inlineStr">
        <is>
          <t>MVS Sec.18 p.26</t>
        </is>
      </c>
    </row>
    <row r="3004">
      <c r="B3004" t="inlineStr">
        <is>
          <t>Colleges</t>
        </is>
      </c>
      <c r="C3004" t="inlineStr">
        <is>
          <t>377</t>
        </is>
      </c>
      <c r="D3004" t="inlineStr">
        <is>
          <t>18</t>
        </is>
      </c>
      <c r="E3004" t="inlineStr">
        <is>
          <t>26</t>
        </is>
      </c>
      <c r="F3004" t="inlineStr">
        <is>
          <t>S</t>
        </is>
      </c>
      <c r="G3004" t="inlineStr">
        <is>
          <t>Good</t>
        </is>
      </c>
      <c r="H3004" t="n">
        <v>266</v>
      </c>
      <c r="I3004">
        <f>B3004&amp;"~"&amp;F3004&amp;"~"&amp;G3004</f>
        <v/>
      </c>
      <c r="J3004" t="inlineStr">
        <is>
          <t>MVS Sec.18 p.26</t>
        </is>
      </c>
    </row>
    <row r="3005">
      <c r="B3005" t="inlineStr">
        <is>
          <t>Colleges</t>
        </is>
      </c>
      <c r="C3005" t="inlineStr">
        <is>
          <t>377</t>
        </is>
      </c>
      <c r="D3005" t="inlineStr">
        <is>
          <t>18</t>
        </is>
      </c>
      <c r="E3005" t="inlineStr">
        <is>
          <t>26</t>
        </is>
      </c>
      <c r="F3005" t="inlineStr">
        <is>
          <t>S</t>
        </is>
      </c>
      <c r="G3005" t="inlineStr">
        <is>
          <t>Average</t>
        </is>
      </c>
      <c r="H3005" t="n">
        <v>200</v>
      </c>
      <c r="I3005">
        <f>B3005&amp;"~"&amp;F3005&amp;"~"&amp;G3005</f>
        <v/>
      </c>
      <c r="J3005" t="inlineStr">
        <is>
          <t>MVS Sec.18 p.26</t>
        </is>
      </c>
    </row>
    <row r="3006">
      <c r="B3006" t="inlineStr">
        <is>
          <t>Colleges</t>
        </is>
      </c>
      <c r="C3006" t="inlineStr">
        <is>
          <t>377</t>
        </is>
      </c>
      <c r="D3006" t="inlineStr">
        <is>
          <t>18</t>
        </is>
      </c>
      <c r="E3006" t="inlineStr">
        <is>
          <t>26</t>
        </is>
      </c>
      <c r="F3006" t="inlineStr">
        <is>
          <t>S</t>
        </is>
      </c>
      <c r="G3006" t="inlineStr">
        <is>
          <t>Low Cost</t>
        </is>
      </c>
      <c r="H3006" t="n">
        <v>150</v>
      </c>
      <c r="I3006">
        <f>B3006&amp;"~"&amp;F3006&amp;"~"&amp;G3006</f>
        <v/>
      </c>
      <c r="J3006" t="inlineStr">
        <is>
          <t>MVS Sec.18 p.26</t>
        </is>
      </c>
    </row>
    <row r="3007">
      <c r="B3007" t="inlineStr">
        <is>
          <t>College Classrooms</t>
        </is>
      </c>
      <c r="C3007" t="inlineStr">
        <is>
          <t>368</t>
        </is>
      </c>
      <c r="D3007" t="inlineStr">
        <is>
          <t>18</t>
        </is>
      </c>
      <c r="E3007" t="inlineStr">
        <is>
          <t>27</t>
        </is>
      </c>
      <c r="F3007" t="inlineStr">
        <is>
          <t>A</t>
        </is>
      </c>
      <c r="G3007" t="inlineStr">
        <is>
          <t>Excellent</t>
        </is>
      </c>
      <c r="H3007" t="n">
        <v>430</v>
      </c>
      <c r="I3007">
        <f>B3007&amp;"~"&amp;F3007&amp;"~"&amp;G3007</f>
        <v/>
      </c>
      <c r="J3007" t="inlineStr">
        <is>
          <t>MVS Sec.18 p.27</t>
        </is>
      </c>
    </row>
    <row r="3008">
      <c r="B3008" t="inlineStr">
        <is>
          <t>College Classrooms</t>
        </is>
      </c>
      <c r="C3008" t="inlineStr">
        <is>
          <t>368</t>
        </is>
      </c>
      <c r="D3008" t="inlineStr">
        <is>
          <t>18</t>
        </is>
      </c>
      <c r="E3008" t="inlineStr">
        <is>
          <t>27</t>
        </is>
      </c>
      <c r="F3008" t="inlineStr">
        <is>
          <t>A</t>
        </is>
      </c>
      <c r="G3008" t="inlineStr">
        <is>
          <t>Good</t>
        </is>
      </c>
      <c r="H3008" t="n">
        <v>344</v>
      </c>
      <c r="I3008">
        <f>B3008&amp;"~"&amp;F3008&amp;"~"&amp;G3008</f>
        <v/>
      </c>
      <c r="J3008" t="inlineStr">
        <is>
          <t>MVS Sec.18 p.27</t>
        </is>
      </c>
    </row>
    <row r="3009">
      <c r="B3009" t="inlineStr">
        <is>
          <t>College Classrooms</t>
        </is>
      </c>
      <c r="C3009" t="inlineStr">
        <is>
          <t>368</t>
        </is>
      </c>
      <c r="D3009" t="inlineStr">
        <is>
          <t>18</t>
        </is>
      </c>
      <c r="E3009" t="inlineStr">
        <is>
          <t>27</t>
        </is>
      </c>
      <c r="F3009" t="inlineStr">
        <is>
          <t>A</t>
        </is>
      </c>
      <c r="G3009" t="inlineStr">
        <is>
          <t>Average</t>
        </is>
      </c>
      <c r="H3009" t="n">
        <v>277</v>
      </c>
      <c r="I3009">
        <f>B3009&amp;"~"&amp;F3009&amp;"~"&amp;G3009</f>
        <v/>
      </c>
      <c r="J3009" t="inlineStr">
        <is>
          <t>MVS Sec.18 p.27</t>
        </is>
      </c>
    </row>
    <row r="3010">
      <c r="B3010" t="inlineStr">
        <is>
          <t>College Classrooms</t>
        </is>
      </c>
      <c r="C3010" t="inlineStr">
        <is>
          <t>368</t>
        </is>
      </c>
      <c r="D3010" t="inlineStr">
        <is>
          <t>18</t>
        </is>
      </c>
      <c r="E3010" t="inlineStr">
        <is>
          <t>27</t>
        </is>
      </c>
      <c r="F3010" t="inlineStr">
        <is>
          <t>A</t>
        </is>
      </c>
      <c r="G3010" t="inlineStr">
        <is>
          <t>Low Cost</t>
        </is>
      </c>
      <c r="H3010" t="n">
        <v>210</v>
      </c>
      <c r="I3010">
        <f>B3010&amp;"~"&amp;F3010&amp;"~"&amp;G3010</f>
        <v/>
      </c>
      <c r="J3010" t="inlineStr">
        <is>
          <t>MVS Sec.18 p.27</t>
        </is>
      </c>
    </row>
    <row r="3011">
      <c r="B3011" t="inlineStr">
        <is>
          <t>College Classrooms</t>
        </is>
      </c>
      <c r="C3011" t="inlineStr">
        <is>
          <t>368</t>
        </is>
      </c>
      <c r="D3011" t="inlineStr">
        <is>
          <t>18</t>
        </is>
      </c>
      <c r="E3011" t="inlineStr">
        <is>
          <t>27</t>
        </is>
      </c>
      <c r="F3011" t="inlineStr">
        <is>
          <t>B</t>
        </is>
      </c>
      <c r="G3011" t="inlineStr">
        <is>
          <t>Excellent</t>
        </is>
      </c>
      <c r="H3011" t="n">
        <v>387</v>
      </c>
      <c r="I3011">
        <f>B3011&amp;"~"&amp;F3011&amp;"~"&amp;G3011</f>
        <v/>
      </c>
      <c r="J3011" t="inlineStr">
        <is>
          <t>MVS Sec.18 p.27</t>
        </is>
      </c>
    </row>
    <row r="3012">
      <c r="B3012" t="inlineStr">
        <is>
          <t>College Classrooms</t>
        </is>
      </c>
      <c r="C3012" t="inlineStr">
        <is>
          <t>368</t>
        </is>
      </c>
      <c r="D3012" t="inlineStr">
        <is>
          <t>18</t>
        </is>
      </c>
      <c r="E3012" t="inlineStr">
        <is>
          <t>27</t>
        </is>
      </c>
      <c r="F3012" t="inlineStr">
        <is>
          <t>B</t>
        </is>
      </c>
      <c r="G3012" t="inlineStr">
        <is>
          <t>Good</t>
        </is>
      </c>
      <c r="H3012" t="n">
        <v>314</v>
      </c>
      <c r="I3012">
        <f>B3012&amp;"~"&amp;F3012&amp;"~"&amp;G3012</f>
        <v/>
      </c>
      <c r="J3012" t="inlineStr">
        <is>
          <t>MVS Sec.18 p.27</t>
        </is>
      </c>
    </row>
    <row r="3013">
      <c r="B3013" t="inlineStr">
        <is>
          <t>College Classrooms</t>
        </is>
      </c>
      <c r="C3013" t="inlineStr">
        <is>
          <t>368</t>
        </is>
      </c>
      <c r="D3013" t="inlineStr">
        <is>
          <t>18</t>
        </is>
      </c>
      <c r="E3013" t="inlineStr">
        <is>
          <t>27</t>
        </is>
      </c>
      <c r="F3013" t="inlineStr">
        <is>
          <t>B</t>
        </is>
      </c>
      <c r="G3013" t="inlineStr">
        <is>
          <t>Average</t>
        </is>
      </c>
      <c r="H3013" t="n">
        <v>256</v>
      </c>
      <c r="I3013">
        <f>B3013&amp;"~"&amp;F3013&amp;"~"&amp;G3013</f>
        <v/>
      </c>
      <c r="J3013" t="inlineStr">
        <is>
          <t>MVS Sec.18 p.27</t>
        </is>
      </c>
    </row>
    <row r="3014">
      <c r="B3014" t="inlineStr">
        <is>
          <t>College Classrooms</t>
        </is>
      </c>
      <c r="C3014" t="inlineStr">
        <is>
          <t>368</t>
        </is>
      </c>
      <c r="D3014" t="inlineStr">
        <is>
          <t>18</t>
        </is>
      </c>
      <c r="E3014" t="inlineStr">
        <is>
          <t>27</t>
        </is>
      </c>
      <c r="F3014" t="inlineStr">
        <is>
          <t>B</t>
        </is>
      </c>
      <c r="G3014" t="inlineStr">
        <is>
          <t>Low Cost</t>
        </is>
      </c>
      <c r="H3014" t="n">
        <v>196</v>
      </c>
      <c r="I3014">
        <f>B3014&amp;"~"&amp;F3014&amp;"~"&amp;G3014</f>
        <v/>
      </c>
      <c r="J3014" t="inlineStr">
        <is>
          <t>MVS Sec.18 p.27</t>
        </is>
      </c>
    </row>
    <row r="3015">
      <c r="B3015" t="inlineStr">
        <is>
          <t>College Classrooms</t>
        </is>
      </c>
      <c r="C3015" t="inlineStr">
        <is>
          <t>368</t>
        </is>
      </c>
      <c r="D3015" t="inlineStr">
        <is>
          <t>18</t>
        </is>
      </c>
      <c r="E3015" t="inlineStr">
        <is>
          <t>27</t>
        </is>
      </c>
      <c r="F3015" t="inlineStr">
        <is>
          <t>C</t>
        </is>
      </c>
      <c r="G3015" t="inlineStr">
        <is>
          <t>Excellent</t>
        </is>
      </c>
      <c r="H3015" t="n">
        <v>324</v>
      </c>
      <c r="I3015">
        <f>B3015&amp;"~"&amp;F3015&amp;"~"&amp;G3015</f>
        <v/>
      </c>
      <c r="J3015" t="inlineStr">
        <is>
          <t>MVS Sec.18 p.27</t>
        </is>
      </c>
    </row>
    <row r="3016">
      <c r="B3016" t="inlineStr">
        <is>
          <t>College Classrooms</t>
        </is>
      </c>
      <c r="C3016" t="inlineStr">
        <is>
          <t>368</t>
        </is>
      </c>
      <c r="D3016" t="inlineStr">
        <is>
          <t>18</t>
        </is>
      </c>
      <c r="E3016" t="inlineStr">
        <is>
          <t>27</t>
        </is>
      </c>
      <c r="F3016" t="inlineStr">
        <is>
          <t>C</t>
        </is>
      </c>
      <c r="G3016" t="inlineStr">
        <is>
          <t>Good</t>
        </is>
      </c>
      <c r="H3016" t="n">
        <v>263</v>
      </c>
      <c r="I3016">
        <f>B3016&amp;"~"&amp;F3016&amp;"~"&amp;G3016</f>
        <v/>
      </c>
      <c r="J3016" t="inlineStr">
        <is>
          <t>MVS Sec.18 p.27</t>
        </is>
      </c>
    </row>
    <row r="3017">
      <c r="B3017" t="inlineStr">
        <is>
          <t>College Classrooms</t>
        </is>
      </c>
      <c r="C3017" t="inlineStr">
        <is>
          <t>368</t>
        </is>
      </c>
      <c r="D3017" t="inlineStr">
        <is>
          <t>18</t>
        </is>
      </c>
      <c r="E3017" t="inlineStr">
        <is>
          <t>27</t>
        </is>
      </c>
      <c r="F3017" t="inlineStr">
        <is>
          <t>C</t>
        </is>
      </c>
      <c r="G3017" t="inlineStr">
        <is>
          <t>Average</t>
        </is>
      </c>
      <c r="H3017" t="n">
        <v>200</v>
      </c>
      <c r="I3017">
        <f>B3017&amp;"~"&amp;F3017&amp;"~"&amp;G3017</f>
        <v/>
      </c>
      <c r="J3017" t="inlineStr">
        <is>
          <t>MVS Sec.18 p.27</t>
        </is>
      </c>
    </row>
    <row r="3018">
      <c r="B3018" t="inlineStr">
        <is>
          <t>College Classrooms</t>
        </is>
      </c>
      <c r="C3018" t="inlineStr">
        <is>
          <t>368</t>
        </is>
      </c>
      <c r="D3018" t="inlineStr">
        <is>
          <t>18</t>
        </is>
      </c>
      <c r="E3018" t="inlineStr">
        <is>
          <t>27</t>
        </is>
      </c>
      <c r="F3018" t="inlineStr">
        <is>
          <t>C</t>
        </is>
      </c>
      <c r="G3018" t="inlineStr">
        <is>
          <t>Low Cost</t>
        </is>
      </c>
      <c r="H3018" t="n">
        <v>152</v>
      </c>
      <c r="I3018">
        <f>B3018&amp;"~"&amp;F3018&amp;"~"&amp;G3018</f>
        <v/>
      </c>
      <c r="J3018" t="inlineStr">
        <is>
          <t>MVS Sec.18 p.27</t>
        </is>
      </c>
    </row>
    <row r="3019">
      <c r="B3019" t="inlineStr">
        <is>
          <t>College Classrooms</t>
        </is>
      </c>
      <c r="C3019" t="inlineStr">
        <is>
          <t>368</t>
        </is>
      </c>
      <c r="D3019" t="inlineStr">
        <is>
          <t>18</t>
        </is>
      </c>
      <c r="E3019" t="inlineStr">
        <is>
          <t>27</t>
        </is>
      </c>
      <c r="F3019" t="inlineStr">
        <is>
          <t>D</t>
        </is>
      </c>
      <c r="G3019" t="inlineStr">
        <is>
          <t>Excellent</t>
        </is>
      </c>
      <c r="H3019" t="n">
        <v>320</v>
      </c>
      <c r="I3019">
        <f>B3019&amp;"~"&amp;F3019&amp;"~"&amp;G3019</f>
        <v/>
      </c>
      <c r="J3019" t="inlineStr">
        <is>
          <t>MVS Sec.18 p.27</t>
        </is>
      </c>
    </row>
    <row r="3020">
      <c r="B3020" t="inlineStr">
        <is>
          <t>College Classrooms</t>
        </is>
      </c>
      <c r="C3020" t="inlineStr">
        <is>
          <t>368</t>
        </is>
      </c>
      <c r="D3020" t="inlineStr">
        <is>
          <t>18</t>
        </is>
      </c>
      <c r="E3020" t="inlineStr">
        <is>
          <t>27</t>
        </is>
      </c>
      <c r="F3020" t="inlineStr">
        <is>
          <t>D</t>
        </is>
      </c>
      <c r="G3020" t="inlineStr">
        <is>
          <t>Good</t>
        </is>
      </c>
      <c r="H3020" t="n">
        <v>244</v>
      </c>
      <c r="I3020">
        <f>B3020&amp;"~"&amp;F3020&amp;"~"&amp;G3020</f>
        <v/>
      </c>
      <c r="J3020" t="inlineStr">
        <is>
          <t>MVS Sec.18 p.27</t>
        </is>
      </c>
    </row>
    <row r="3021">
      <c r="B3021" t="inlineStr">
        <is>
          <t>College Classrooms</t>
        </is>
      </c>
      <c r="C3021" t="inlineStr">
        <is>
          <t>368</t>
        </is>
      </c>
      <c r="D3021" t="inlineStr">
        <is>
          <t>18</t>
        </is>
      </c>
      <c r="E3021" t="inlineStr">
        <is>
          <t>27</t>
        </is>
      </c>
      <c r="F3021" t="inlineStr">
        <is>
          <t>D</t>
        </is>
      </c>
      <c r="G3021" t="inlineStr">
        <is>
          <t>Average</t>
        </is>
      </c>
      <c r="H3021" t="n">
        <v>190</v>
      </c>
      <c r="I3021">
        <f>B3021&amp;"~"&amp;F3021&amp;"~"&amp;G3021</f>
        <v/>
      </c>
      <c r="J3021" t="inlineStr">
        <is>
          <t>MVS Sec.18 p.27</t>
        </is>
      </c>
    </row>
    <row r="3022">
      <c r="B3022" t="inlineStr">
        <is>
          <t>College Classrooms</t>
        </is>
      </c>
      <c r="C3022" t="inlineStr">
        <is>
          <t>368</t>
        </is>
      </c>
      <c r="D3022" t="inlineStr">
        <is>
          <t>18</t>
        </is>
      </c>
      <c r="E3022" t="inlineStr">
        <is>
          <t>27</t>
        </is>
      </c>
      <c r="F3022" t="inlineStr">
        <is>
          <t>D</t>
        </is>
      </c>
      <c r="G3022" t="inlineStr">
        <is>
          <t>Low Cost</t>
        </is>
      </c>
      <c r="H3022" t="n">
        <v>147</v>
      </c>
      <c r="I3022">
        <f>B3022&amp;"~"&amp;F3022&amp;"~"&amp;G3022</f>
        <v/>
      </c>
      <c r="J3022" t="inlineStr">
        <is>
          <t>MVS Sec.18 p.27</t>
        </is>
      </c>
    </row>
    <row r="3023">
      <c r="B3023" t="inlineStr">
        <is>
          <t>College Classrooms</t>
        </is>
      </c>
      <c r="C3023" t="inlineStr">
        <is>
          <t>368</t>
        </is>
      </c>
      <c r="D3023" t="inlineStr">
        <is>
          <t>18</t>
        </is>
      </c>
      <c r="E3023" t="inlineStr">
        <is>
          <t>27</t>
        </is>
      </c>
      <c r="F3023" t="inlineStr">
        <is>
          <t>DPOLE</t>
        </is>
      </c>
      <c r="G3023" t="inlineStr">
        <is>
          <t>Average</t>
        </is>
      </c>
      <c r="H3023" t="n">
        <v>183</v>
      </c>
      <c r="I3023">
        <f>B3023&amp;"~"&amp;F3023&amp;"~"&amp;G3023</f>
        <v/>
      </c>
      <c r="J3023" t="inlineStr">
        <is>
          <t>MVS Sec.18 p.27</t>
        </is>
      </c>
    </row>
    <row r="3024">
      <c r="B3024" t="inlineStr">
        <is>
          <t>College Classrooms</t>
        </is>
      </c>
      <c r="C3024" t="inlineStr">
        <is>
          <t>368</t>
        </is>
      </c>
      <c r="D3024" t="inlineStr">
        <is>
          <t>18</t>
        </is>
      </c>
      <c r="E3024" t="inlineStr">
        <is>
          <t>27</t>
        </is>
      </c>
      <c r="F3024" t="inlineStr">
        <is>
          <t>DPOLE</t>
        </is>
      </c>
      <c r="G3024" t="inlineStr">
        <is>
          <t>Low Cost</t>
        </is>
      </c>
      <c r="H3024" t="n">
        <v>140</v>
      </c>
      <c r="I3024">
        <f>B3024&amp;"~"&amp;F3024&amp;"~"&amp;G3024</f>
        <v/>
      </c>
      <c r="J3024" t="inlineStr">
        <is>
          <t>MVS Sec.18 p.27</t>
        </is>
      </c>
    </row>
    <row r="3025">
      <c r="B3025" t="inlineStr">
        <is>
          <t>College Classrooms</t>
        </is>
      </c>
      <c r="C3025" t="inlineStr">
        <is>
          <t>368</t>
        </is>
      </c>
      <c r="D3025" t="inlineStr">
        <is>
          <t>18</t>
        </is>
      </c>
      <c r="E3025" t="inlineStr">
        <is>
          <t>27</t>
        </is>
      </c>
      <c r="F3025" t="inlineStr">
        <is>
          <t>S</t>
        </is>
      </c>
      <c r="G3025" t="inlineStr">
        <is>
          <t>Good</t>
        </is>
      </c>
      <c r="H3025" t="n">
        <v>238</v>
      </c>
      <c r="I3025">
        <f>B3025&amp;"~"&amp;F3025&amp;"~"&amp;G3025</f>
        <v/>
      </c>
      <c r="J3025" t="inlineStr">
        <is>
          <t>MVS Sec.18 p.27</t>
        </is>
      </c>
    </row>
    <row r="3026">
      <c r="B3026" t="inlineStr">
        <is>
          <t>College Classrooms</t>
        </is>
      </c>
      <c r="C3026" t="inlineStr">
        <is>
          <t>368</t>
        </is>
      </c>
      <c r="D3026" t="inlineStr">
        <is>
          <t>18</t>
        </is>
      </c>
      <c r="E3026" t="inlineStr">
        <is>
          <t>27</t>
        </is>
      </c>
      <c r="F3026" t="inlineStr">
        <is>
          <t>S</t>
        </is>
      </c>
      <c r="G3026" t="inlineStr">
        <is>
          <t>Average</t>
        </is>
      </c>
      <c r="H3026" t="n">
        <v>184</v>
      </c>
      <c r="I3026">
        <f>B3026&amp;"~"&amp;F3026&amp;"~"&amp;G3026</f>
        <v/>
      </c>
      <c r="J3026" t="inlineStr">
        <is>
          <t>MVS Sec.18 p.27</t>
        </is>
      </c>
    </row>
    <row r="3027">
      <c r="B3027" t="inlineStr">
        <is>
          <t>College Classrooms</t>
        </is>
      </c>
      <c r="C3027" t="inlineStr">
        <is>
          <t>368</t>
        </is>
      </c>
      <c r="D3027" t="inlineStr">
        <is>
          <t>18</t>
        </is>
      </c>
      <c r="E3027" t="inlineStr">
        <is>
          <t>27</t>
        </is>
      </c>
      <c r="F3027" t="inlineStr">
        <is>
          <t>S</t>
        </is>
      </c>
      <c r="G3027" t="inlineStr">
        <is>
          <t>Low Cost</t>
        </is>
      </c>
      <c r="H3027" t="n">
        <v>142</v>
      </c>
      <c r="I3027">
        <f>B3027&amp;"~"&amp;F3027&amp;"~"&amp;G3027</f>
        <v/>
      </c>
      <c r="J3027" t="inlineStr">
        <is>
          <t>MVS Sec.18 p.27</t>
        </is>
      </c>
    </row>
    <row r="3028">
      <c r="B3028" t="inlineStr">
        <is>
          <t>Technical Trades Buildings</t>
        </is>
      </c>
      <c r="C3028" t="inlineStr">
        <is>
          <t>373</t>
        </is>
      </c>
      <c r="D3028" t="inlineStr">
        <is>
          <t>18</t>
        </is>
      </c>
      <c r="E3028" t="inlineStr">
        <is>
          <t>28</t>
        </is>
      </c>
      <c r="F3028" t="inlineStr">
        <is>
          <t>A-B</t>
        </is>
      </c>
      <c r="G3028" t="inlineStr">
        <is>
          <t>Good</t>
        </is>
      </c>
      <c r="H3028" t="n">
        <v>317</v>
      </c>
      <c r="I3028">
        <f>B3028&amp;"~"&amp;F3028&amp;"~"&amp;G3028</f>
        <v/>
      </c>
      <c r="J3028" t="inlineStr">
        <is>
          <t>MVS Sec.18 p.28</t>
        </is>
      </c>
    </row>
    <row r="3029">
      <c r="B3029" t="inlineStr">
        <is>
          <t>Technical Trades Buildings</t>
        </is>
      </c>
      <c r="C3029" t="inlineStr">
        <is>
          <t>373</t>
        </is>
      </c>
      <c r="D3029" t="inlineStr">
        <is>
          <t>18</t>
        </is>
      </c>
      <c r="E3029" t="inlineStr">
        <is>
          <t>28</t>
        </is>
      </c>
      <c r="F3029" t="inlineStr">
        <is>
          <t>A-B</t>
        </is>
      </c>
      <c r="G3029" t="inlineStr">
        <is>
          <t>Average</t>
        </is>
      </c>
      <c r="H3029" t="n">
        <v>234</v>
      </c>
      <c r="I3029">
        <f>B3029&amp;"~"&amp;F3029&amp;"~"&amp;G3029</f>
        <v/>
      </c>
      <c r="J3029" t="inlineStr">
        <is>
          <t>MVS Sec.18 p.28</t>
        </is>
      </c>
    </row>
    <row r="3030">
      <c r="B3030" t="inlineStr">
        <is>
          <t>Technical Trades Buildings</t>
        </is>
      </c>
      <c r="C3030" t="inlineStr">
        <is>
          <t>373</t>
        </is>
      </c>
      <c r="D3030" t="inlineStr">
        <is>
          <t>18</t>
        </is>
      </c>
      <c r="E3030" t="inlineStr">
        <is>
          <t>28</t>
        </is>
      </c>
      <c r="F3030" t="inlineStr">
        <is>
          <t>A-B</t>
        </is>
      </c>
      <c r="G3030" t="inlineStr">
        <is>
          <t>Low Cost</t>
        </is>
      </c>
      <c r="H3030" t="n">
        <v>178</v>
      </c>
      <c r="I3030">
        <f>B3030&amp;"~"&amp;F3030&amp;"~"&amp;G3030</f>
        <v/>
      </c>
      <c r="J3030" t="inlineStr">
        <is>
          <t>MVS Sec.18 p.28</t>
        </is>
      </c>
    </row>
    <row r="3031">
      <c r="B3031" t="inlineStr">
        <is>
          <t>Technical Trades Buildings</t>
        </is>
      </c>
      <c r="C3031" t="inlineStr">
        <is>
          <t>373</t>
        </is>
      </c>
      <c r="D3031" t="inlineStr">
        <is>
          <t>18</t>
        </is>
      </c>
      <c r="E3031" t="inlineStr">
        <is>
          <t>28</t>
        </is>
      </c>
      <c r="F3031" t="inlineStr">
        <is>
          <t>C</t>
        </is>
      </c>
      <c r="G3031" t="inlineStr">
        <is>
          <t>Good</t>
        </is>
      </c>
      <c r="H3031" t="n">
        <v>232</v>
      </c>
      <c r="I3031">
        <f>B3031&amp;"~"&amp;F3031&amp;"~"&amp;G3031</f>
        <v/>
      </c>
      <c r="J3031" t="inlineStr">
        <is>
          <t>MVS Sec.18 p.28</t>
        </is>
      </c>
    </row>
    <row r="3032">
      <c r="B3032" t="inlineStr">
        <is>
          <t>Technical Trades Buildings</t>
        </is>
      </c>
      <c r="C3032" t="inlineStr">
        <is>
          <t>373</t>
        </is>
      </c>
      <c r="D3032" t="inlineStr">
        <is>
          <t>18</t>
        </is>
      </c>
      <c r="E3032" t="inlineStr">
        <is>
          <t>28</t>
        </is>
      </c>
      <c r="F3032" t="inlineStr">
        <is>
          <t>C</t>
        </is>
      </c>
      <c r="G3032" t="inlineStr">
        <is>
          <t>Average</t>
        </is>
      </c>
      <c r="H3032" t="n">
        <v>171</v>
      </c>
      <c r="I3032">
        <f>B3032&amp;"~"&amp;F3032&amp;"~"&amp;G3032</f>
        <v/>
      </c>
      <c r="J3032" t="inlineStr">
        <is>
          <t>MVS Sec.18 p.28</t>
        </is>
      </c>
    </row>
    <row r="3033">
      <c r="B3033" t="inlineStr">
        <is>
          <t>Technical Trades Buildings</t>
        </is>
      </c>
      <c r="C3033" t="inlineStr">
        <is>
          <t>373</t>
        </is>
      </c>
      <c r="D3033" t="inlineStr">
        <is>
          <t>18</t>
        </is>
      </c>
      <c r="E3033" t="inlineStr">
        <is>
          <t>28</t>
        </is>
      </c>
      <c r="F3033" t="inlineStr">
        <is>
          <t>C</t>
        </is>
      </c>
      <c r="G3033" t="inlineStr">
        <is>
          <t>Low Cost</t>
        </is>
      </c>
      <c r="H3033" t="n">
        <v>133</v>
      </c>
      <c r="I3033">
        <f>B3033&amp;"~"&amp;F3033&amp;"~"&amp;G3033</f>
        <v/>
      </c>
      <c r="J3033" t="inlineStr">
        <is>
          <t>MVS Sec.18 p.28</t>
        </is>
      </c>
    </row>
    <row r="3034">
      <c r="B3034" t="inlineStr">
        <is>
          <t>Technical Trades Buildings</t>
        </is>
      </c>
      <c r="C3034" t="inlineStr">
        <is>
          <t>373</t>
        </is>
      </c>
      <c r="D3034" t="inlineStr">
        <is>
          <t>18</t>
        </is>
      </c>
      <c r="E3034" t="inlineStr">
        <is>
          <t>28</t>
        </is>
      </c>
      <c r="F3034" t="inlineStr">
        <is>
          <t>D</t>
        </is>
      </c>
      <c r="G3034" t="inlineStr">
        <is>
          <t>Good</t>
        </is>
      </c>
      <c r="H3034" t="n">
        <v>228</v>
      </c>
      <c r="I3034">
        <f>B3034&amp;"~"&amp;F3034&amp;"~"&amp;G3034</f>
        <v/>
      </c>
      <c r="J3034" t="inlineStr">
        <is>
          <t>MVS Sec.18 p.28</t>
        </is>
      </c>
    </row>
    <row r="3035">
      <c r="B3035" t="inlineStr">
        <is>
          <t>Technical Trades Buildings</t>
        </is>
      </c>
      <c r="C3035" t="inlineStr">
        <is>
          <t>373</t>
        </is>
      </c>
      <c r="D3035" t="inlineStr">
        <is>
          <t>18</t>
        </is>
      </c>
      <c r="E3035" t="inlineStr">
        <is>
          <t>28</t>
        </is>
      </c>
      <c r="F3035" t="inlineStr">
        <is>
          <t>D</t>
        </is>
      </c>
      <c r="G3035" t="inlineStr">
        <is>
          <t>Average</t>
        </is>
      </c>
      <c r="H3035" t="n">
        <v>167</v>
      </c>
      <c r="I3035">
        <f>B3035&amp;"~"&amp;F3035&amp;"~"&amp;G3035</f>
        <v/>
      </c>
      <c r="J3035" t="inlineStr">
        <is>
          <t>MVS Sec.18 p.28</t>
        </is>
      </c>
    </row>
    <row r="3036">
      <c r="B3036" t="inlineStr">
        <is>
          <t>Technical Trades Buildings</t>
        </is>
      </c>
      <c r="C3036" t="inlineStr">
        <is>
          <t>373</t>
        </is>
      </c>
      <c r="D3036" t="inlineStr">
        <is>
          <t>18</t>
        </is>
      </c>
      <c r="E3036" t="inlineStr">
        <is>
          <t>28</t>
        </is>
      </c>
      <c r="F3036" t="inlineStr">
        <is>
          <t>D</t>
        </is>
      </c>
      <c r="G3036" t="inlineStr">
        <is>
          <t>Low Cost</t>
        </is>
      </c>
      <c r="H3036" t="n">
        <v>129</v>
      </c>
      <c r="I3036">
        <f>B3036&amp;"~"&amp;F3036&amp;"~"&amp;G3036</f>
        <v/>
      </c>
      <c r="J3036" t="inlineStr">
        <is>
          <t>MVS Sec.18 p.28</t>
        </is>
      </c>
    </row>
    <row r="3037">
      <c r="B3037" t="inlineStr">
        <is>
          <t>Technical Trades Buildings</t>
        </is>
      </c>
      <c r="C3037" t="inlineStr">
        <is>
          <t>373</t>
        </is>
      </c>
      <c r="D3037" t="inlineStr">
        <is>
          <t>18</t>
        </is>
      </c>
      <c r="E3037" t="inlineStr">
        <is>
          <t>28</t>
        </is>
      </c>
      <c r="F3037" t="inlineStr">
        <is>
          <t>DPOLE</t>
        </is>
      </c>
      <c r="G3037" t="inlineStr">
        <is>
          <t>Average</t>
        </is>
      </c>
      <c r="H3037" t="n">
        <v>161</v>
      </c>
      <c r="I3037">
        <f>B3037&amp;"~"&amp;F3037&amp;"~"&amp;G3037</f>
        <v/>
      </c>
      <c r="J3037" t="inlineStr">
        <is>
          <t>MVS Sec.18 p.28</t>
        </is>
      </c>
    </row>
    <row r="3038">
      <c r="B3038" t="inlineStr">
        <is>
          <t>Technical Trades Buildings</t>
        </is>
      </c>
      <c r="C3038" t="inlineStr">
        <is>
          <t>373</t>
        </is>
      </c>
      <c r="D3038" t="inlineStr">
        <is>
          <t>18</t>
        </is>
      </c>
      <c r="E3038" t="inlineStr">
        <is>
          <t>28</t>
        </is>
      </c>
      <c r="F3038" t="inlineStr">
        <is>
          <t>DPOLE</t>
        </is>
      </c>
      <c r="G3038" t="inlineStr">
        <is>
          <t>Low Cost</t>
        </is>
      </c>
      <c r="H3038" t="n">
        <v>124</v>
      </c>
      <c r="I3038">
        <f>B3038&amp;"~"&amp;F3038&amp;"~"&amp;G3038</f>
        <v/>
      </c>
      <c r="J3038" t="inlineStr">
        <is>
          <t>MVS Sec.18 p.28</t>
        </is>
      </c>
    </row>
    <row r="3039">
      <c r="B3039" t="inlineStr">
        <is>
          <t>Technical Trades Buildings</t>
        </is>
      </c>
      <c r="C3039" t="inlineStr">
        <is>
          <t>373</t>
        </is>
      </c>
      <c r="D3039" t="inlineStr">
        <is>
          <t>18</t>
        </is>
      </c>
      <c r="E3039" t="inlineStr">
        <is>
          <t>28</t>
        </is>
      </c>
      <c r="F3039" t="inlineStr">
        <is>
          <t>S</t>
        </is>
      </c>
      <c r="G3039" t="inlineStr">
        <is>
          <t>Average</t>
        </is>
      </c>
      <c r="H3039" t="n">
        <v>162</v>
      </c>
      <c r="I3039">
        <f>B3039&amp;"~"&amp;F3039&amp;"~"&amp;G3039</f>
        <v/>
      </c>
      <c r="J3039" t="inlineStr">
        <is>
          <t>MVS Sec.18 p.28</t>
        </is>
      </c>
    </row>
    <row r="3040">
      <c r="B3040" t="inlineStr">
        <is>
          <t>Technical Trades Buildings</t>
        </is>
      </c>
      <c r="C3040" t="inlineStr">
        <is>
          <t>373</t>
        </is>
      </c>
      <c r="D3040" t="inlineStr">
        <is>
          <t>18</t>
        </is>
      </c>
      <c r="E3040" t="inlineStr">
        <is>
          <t>28</t>
        </is>
      </c>
      <c r="F3040" t="inlineStr">
        <is>
          <t>S</t>
        </is>
      </c>
      <c r="G3040" t="inlineStr">
        <is>
          <t>Low Cost</t>
        </is>
      </c>
      <c r="H3040" t="n">
        <v>125</v>
      </c>
      <c r="I3040">
        <f>B3040&amp;"~"&amp;F3040&amp;"~"&amp;G3040</f>
        <v/>
      </c>
      <c r="J3040" t="inlineStr">
        <is>
          <t>MVS Sec.18 p.28</t>
        </is>
      </c>
    </row>
    <row r="3041">
      <c r="B3041" t="inlineStr">
        <is>
          <t>Lecture Hall Buildings</t>
        </is>
      </c>
      <c r="C3041" t="inlineStr">
        <is>
          <t>371</t>
        </is>
      </c>
      <c r="D3041" t="inlineStr">
        <is>
          <t>18</t>
        </is>
      </c>
      <c r="E3041" t="inlineStr">
        <is>
          <t>28</t>
        </is>
      </c>
      <c r="F3041" t="inlineStr">
        <is>
          <t>A-B</t>
        </is>
      </c>
      <c r="G3041" t="inlineStr">
        <is>
          <t>Excellent</t>
        </is>
      </c>
      <c r="H3041" t="n">
        <v>445</v>
      </c>
      <c r="I3041">
        <f>B3041&amp;"~"&amp;F3041&amp;"~"&amp;G3041</f>
        <v/>
      </c>
      <c r="J3041" t="inlineStr">
        <is>
          <t>MVS Sec.18 p.28</t>
        </is>
      </c>
    </row>
    <row r="3042">
      <c r="B3042" t="inlineStr">
        <is>
          <t>Lecture Hall Buildings</t>
        </is>
      </c>
      <c r="C3042" t="inlineStr">
        <is>
          <t>371</t>
        </is>
      </c>
      <c r="D3042" t="inlineStr">
        <is>
          <t>18</t>
        </is>
      </c>
      <c r="E3042" t="inlineStr">
        <is>
          <t>28</t>
        </is>
      </c>
      <c r="F3042" t="inlineStr">
        <is>
          <t>A-B</t>
        </is>
      </c>
      <c r="G3042" t="inlineStr">
        <is>
          <t>Good</t>
        </is>
      </c>
      <c r="H3042" t="n">
        <v>354</v>
      </c>
      <c r="I3042">
        <f>B3042&amp;"~"&amp;F3042&amp;"~"&amp;G3042</f>
        <v/>
      </c>
      <c r="J3042" t="inlineStr">
        <is>
          <t>MVS Sec.18 p.28</t>
        </is>
      </c>
    </row>
    <row r="3043">
      <c r="B3043" t="inlineStr">
        <is>
          <t>Lecture Hall Buildings</t>
        </is>
      </c>
      <c r="C3043" t="inlineStr">
        <is>
          <t>371</t>
        </is>
      </c>
      <c r="D3043" t="inlineStr">
        <is>
          <t>18</t>
        </is>
      </c>
      <c r="E3043" t="inlineStr">
        <is>
          <t>28</t>
        </is>
      </c>
      <c r="F3043" t="inlineStr">
        <is>
          <t>A-B</t>
        </is>
      </c>
      <c r="G3043" t="inlineStr">
        <is>
          <t>Average</t>
        </is>
      </c>
      <c r="H3043" t="n">
        <v>284</v>
      </c>
      <c r="I3043">
        <f>B3043&amp;"~"&amp;F3043&amp;"~"&amp;G3043</f>
        <v/>
      </c>
      <c r="J3043" t="inlineStr">
        <is>
          <t>MVS Sec.18 p.28</t>
        </is>
      </c>
    </row>
    <row r="3044">
      <c r="B3044" t="inlineStr">
        <is>
          <t>Lecture Hall Buildings</t>
        </is>
      </c>
      <c r="C3044" t="inlineStr">
        <is>
          <t>371</t>
        </is>
      </c>
      <c r="D3044" t="inlineStr">
        <is>
          <t>18</t>
        </is>
      </c>
      <c r="E3044" t="inlineStr">
        <is>
          <t>28</t>
        </is>
      </c>
      <c r="F3044" t="inlineStr">
        <is>
          <t>C</t>
        </is>
      </c>
      <c r="G3044" t="inlineStr">
        <is>
          <t>Excellent</t>
        </is>
      </c>
      <c r="H3044" t="n">
        <v>363</v>
      </c>
      <c r="I3044">
        <f>B3044&amp;"~"&amp;F3044&amp;"~"&amp;G3044</f>
        <v/>
      </c>
      <c r="J3044" t="inlineStr">
        <is>
          <t>MVS Sec.18 p.28</t>
        </is>
      </c>
    </row>
    <row r="3045">
      <c r="B3045" t="inlineStr">
        <is>
          <t>Lecture Hall Buildings</t>
        </is>
      </c>
      <c r="C3045" t="inlineStr">
        <is>
          <t>371</t>
        </is>
      </c>
      <c r="D3045" t="inlineStr">
        <is>
          <t>18</t>
        </is>
      </c>
      <c r="E3045" t="inlineStr">
        <is>
          <t>28</t>
        </is>
      </c>
      <c r="F3045" t="inlineStr">
        <is>
          <t>C</t>
        </is>
      </c>
      <c r="G3045" t="inlineStr">
        <is>
          <t>Good</t>
        </is>
      </c>
      <c r="H3045" t="n">
        <v>285</v>
      </c>
      <c r="I3045">
        <f>B3045&amp;"~"&amp;F3045&amp;"~"&amp;G3045</f>
        <v/>
      </c>
      <c r="J3045" t="inlineStr">
        <is>
          <t>MVS Sec.18 p.28</t>
        </is>
      </c>
    </row>
    <row r="3046">
      <c r="B3046" t="inlineStr">
        <is>
          <t>Lecture Hall Buildings</t>
        </is>
      </c>
      <c r="C3046" t="inlineStr">
        <is>
          <t>371</t>
        </is>
      </c>
      <c r="D3046" t="inlineStr">
        <is>
          <t>18</t>
        </is>
      </c>
      <c r="E3046" t="inlineStr">
        <is>
          <t>28</t>
        </is>
      </c>
      <c r="F3046" t="inlineStr">
        <is>
          <t>C</t>
        </is>
      </c>
      <c r="G3046" t="inlineStr">
        <is>
          <t>Average</t>
        </is>
      </c>
      <c r="H3046" t="n">
        <v>212</v>
      </c>
      <c r="I3046">
        <f>B3046&amp;"~"&amp;F3046&amp;"~"&amp;G3046</f>
        <v/>
      </c>
      <c r="J3046" t="inlineStr">
        <is>
          <t>MVS Sec.18 p.28</t>
        </is>
      </c>
    </row>
    <row r="3047">
      <c r="B3047" t="inlineStr">
        <is>
          <t>Lecture Hall Buildings</t>
        </is>
      </c>
      <c r="C3047" t="inlineStr">
        <is>
          <t>371</t>
        </is>
      </c>
      <c r="D3047" t="inlineStr">
        <is>
          <t>18</t>
        </is>
      </c>
      <c r="E3047" t="inlineStr">
        <is>
          <t>28</t>
        </is>
      </c>
      <c r="F3047" t="inlineStr">
        <is>
          <t>D</t>
        </is>
      </c>
      <c r="G3047" t="inlineStr">
        <is>
          <t>Good</t>
        </is>
      </c>
      <c r="H3047" t="n">
        <v>274</v>
      </c>
      <c r="I3047">
        <f>B3047&amp;"~"&amp;F3047&amp;"~"&amp;G3047</f>
        <v/>
      </c>
      <c r="J3047" t="inlineStr">
        <is>
          <t>MVS Sec.18 p.28</t>
        </is>
      </c>
    </row>
    <row r="3048">
      <c r="B3048" t="inlineStr">
        <is>
          <t>Lecture Hall Buildings</t>
        </is>
      </c>
      <c r="C3048" t="inlineStr">
        <is>
          <t>371</t>
        </is>
      </c>
      <c r="D3048" t="inlineStr">
        <is>
          <t>18</t>
        </is>
      </c>
      <c r="E3048" t="inlineStr">
        <is>
          <t>28</t>
        </is>
      </c>
      <c r="F3048" t="inlineStr">
        <is>
          <t>D</t>
        </is>
      </c>
      <c r="G3048" t="inlineStr">
        <is>
          <t>Average</t>
        </is>
      </c>
      <c r="H3048" t="n">
        <v>204</v>
      </c>
      <c r="I3048">
        <f>B3048&amp;"~"&amp;F3048&amp;"~"&amp;G3048</f>
        <v/>
      </c>
      <c r="J3048" t="inlineStr">
        <is>
          <t>MVS Sec.18 p.28</t>
        </is>
      </c>
    </row>
    <row r="3049">
      <c r="B3049" t="inlineStr">
        <is>
          <t>Lecture Hall Buildings</t>
        </is>
      </c>
      <c r="C3049" t="inlineStr">
        <is>
          <t>371</t>
        </is>
      </c>
      <c r="D3049" t="inlineStr">
        <is>
          <t>18</t>
        </is>
      </c>
      <c r="E3049" t="inlineStr">
        <is>
          <t>28</t>
        </is>
      </c>
      <c r="F3049" t="inlineStr">
        <is>
          <t>S</t>
        </is>
      </c>
      <c r="G3049" t="inlineStr">
        <is>
          <t>Average</t>
        </is>
      </c>
      <c r="H3049" t="n">
        <v>196</v>
      </c>
      <c r="I3049">
        <f>B3049&amp;"~"&amp;F3049&amp;"~"&amp;G3049</f>
        <v/>
      </c>
      <c r="J3049" t="inlineStr">
        <is>
          <t>MVS Sec.18 p.28</t>
        </is>
      </c>
    </row>
    <row r="3050">
      <c r="B3050" t="inlineStr">
        <is>
          <t>Arts &amp; Crafts Buildings</t>
        </is>
      </c>
      <c r="C3050" t="inlineStr">
        <is>
          <t>367</t>
        </is>
      </c>
      <c r="D3050" t="inlineStr">
        <is>
          <t>18</t>
        </is>
      </c>
      <c r="E3050" t="inlineStr">
        <is>
          <t>29</t>
        </is>
      </c>
      <c r="F3050" t="inlineStr">
        <is>
          <t>A-B</t>
        </is>
      </c>
      <c r="G3050" t="inlineStr">
        <is>
          <t>Excellent</t>
        </is>
      </c>
      <c r="H3050" t="n">
        <v>470</v>
      </c>
      <c r="I3050">
        <f>B3050&amp;"~"&amp;F3050&amp;"~"&amp;G3050</f>
        <v/>
      </c>
      <c r="J3050" t="inlineStr">
        <is>
          <t>MVS Sec.18 p.29</t>
        </is>
      </c>
    </row>
    <row r="3051">
      <c r="B3051" t="inlineStr">
        <is>
          <t>Arts &amp; Crafts Buildings</t>
        </is>
      </c>
      <c r="C3051" t="inlineStr">
        <is>
          <t>367</t>
        </is>
      </c>
      <c r="D3051" t="inlineStr">
        <is>
          <t>18</t>
        </is>
      </c>
      <c r="E3051" t="inlineStr">
        <is>
          <t>29</t>
        </is>
      </c>
      <c r="F3051" t="inlineStr">
        <is>
          <t>A-B</t>
        </is>
      </c>
      <c r="G3051" t="inlineStr">
        <is>
          <t>Good</t>
        </is>
      </c>
      <c r="H3051" t="n">
        <v>359</v>
      </c>
      <c r="I3051">
        <f>B3051&amp;"~"&amp;F3051&amp;"~"&amp;G3051</f>
        <v/>
      </c>
      <c r="J3051" t="inlineStr">
        <is>
          <t>MVS Sec.18 p.29</t>
        </is>
      </c>
    </row>
    <row r="3052">
      <c r="B3052" t="inlineStr">
        <is>
          <t>Arts &amp; Crafts Buildings</t>
        </is>
      </c>
      <c r="C3052" t="inlineStr">
        <is>
          <t>367</t>
        </is>
      </c>
      <c r="D3052" t="inlineStr">
        <is>
          <t>18</t>
        </is>
      </c>
      <c r="E3052" t="inlineStr">
        <is>
          <t>29</t>
        </is>
      </c>
      <c r="F3052" t="inlineStr">
        <is>
          <t>A-B</t>
        </is>
      </c>
      <c r="G3052" t="inlineStr">
        <is>
          <t>Average</t>
        </is>
      </c>
      <c r="H3052" t="n">
        <v>277</v>
      </c>
      <c r="I3052">
        <f>B3052&amp;"~"&amp;F3052&amp;"~"&amp;G3052</f>
        <v/>
      </c>
      <c r="J3052" t="inlineStr">
        <is>
          <t>MVS Sec.18 p.29</t>
        </is>
      </c>
    </row>
    <row r="3053">
      <c r="B3053" t="inlineStr">
        <is>
          <t>Arts &amp; Crafts Buildings</t>
        </is>
      </c>
      <c r="C3053" t="inlineStr">
        <is>
          <t>367</t>
        </is>
      </c>
      <c r="D3053" t="inlineStr">
        <is>
          <t>18</t>
        </is>
      </c>
      <c r="E3053" t="inlineStr">
        <is>
          <t>29</t>
        </is>
      </c>
      <c r="F3053" t="inlineStr">
        <is>
          <t>A-B</t>
        </is>
      </c>
      <c r="G3053" t="inlineStr">
        <is>
          <t>Low Cost</t>
        </is>
      </c>
      <c r="H3053" t="n">
        <v>201</v>
      </c>
      <c r="I3053">
        <f>B3053&amp;"~"&amp;F3053&amp;"~"&amp;G3053</f>
        <v/>
      </c>
      <c r="J3053" t="inlineStr">
        <is>
          <t>MVS Sec.18 p.29</t>
        </is>
      </c>
    </row>
    <row r="3054">
      <c r="B3054" t="inlineStr">
        <is>
          <t>Arts &amp; Crafts Buildings</t>
        </is>
      </c>
      <c r="C3054" t="inlineStr">
        <is>
          <t>367</t>
        </is>
      </c>
      <c r="D3054" t="inlineStr">
        <is>
          <t>18</t>
        </is>
      </c>
      <c r="E3054" t="inlineStr">
        <is>
          <t>29</t>
        </is>
      </c>
      <c r="F3054" t="inlineStr">
        <is>
          <t>C</t>
        </is>
      </c>
      <c r="G3054" t="inlineStr">
        <is>
          <t>Excellent</t>
        </is>
      </c>
      <c r="H3054" t="n">
        <v>366</v>
      </c>
      <c r="I3054">
        <f>B3054&amp;"~"&amp;F3054&amp;"~"&amp;G3054</f>
        <v/>
      </c>
      <c r="J3054" t="inlineStr">
        <is>
          <t>MVS Sec.18 p.29</t>
        </is>
      </c>
    </row>
    <row r="3055">
      <c r="B3055" t="inlineStr">
        <is>
          <t>Arts &amp; Crafts Buildings</t>
        </is>
      </c>
      <c r="C3055" t="inlineStr">
        <is>
          <t>367</t>
        </is>
      </c>
      <c r="D3055" t="inlineStr">
        <is>
          <t>18</t>
        </is>
      </c>
      <c r="E3055" t="inlineStr">
        <is>
          <t>29</t>
        </is>
      </c>
      <c r="F3055" t="inlineStr">
        <is>
          <t>C</t>
        </is>
      </c>
      <c r="G3055" t="inlineStr">
        <is>
          <t>Good</t>
        </is>
      </c>
      <c r="H3055" t="n">
        <v>281</v>
      </c>
      <c r="I3055">
        <f>B3055&amp;"~"&amp;F3055&amp;"~"&amp;G3055</f>
        <v/>
      </c>
      <c r="J3055" t="inlineStr">
        <is>
          <t>MVS Sec.18 p.29</t>
        </is>
      </c>
    </row>
    <row r="3056">
      <c r="B3056" t="inlineStr">
        <is>
          <t>Arts &amp; Crafts Buildings</t>
        </is>
      </c>
      <c r="C3056" t="inlineStr">
        <is>
          <t>367</t>
        </is>
      </c>
      <c r="D3056" t="inlineStr">
        <is>
          <t>18</t>
        </is>
      </c>
      <c r="E3056" t="inlineStr">
        <is>
          <t>29</t>
        </is>
      </c>
      <c r="F3056" t="inlineStr">
        <is>
          <t>C</t>
        </is>
      </c>
      <c r="G3056" t="inlineStr">
        <is>
          <t>Average</t>
        </is>
      </c>
      <c r="H3056" t="n">
        <v>204</v>
      </c>
      <c r="I3056">
        <f>B3056&amp;"~"&amp;F3056&amp;"~"&amp;G3056</f>
        <v/>
      </c>
      <c r="J3056" t="inlineStr">
        <is>
          <t>MVS Sec.18 p.29</t>
        </is>
      </c>
    </row>
    <row r="3057">
      <c r="B3057" t="inlineStr">
        <is>
          <t>Arts &amp; Crafts Buildings</t>
        </is>
      </c>
      <c r="C3057" t="inlineStr">
        <is>
          <t>367</t>
        </is>
      </c>
      <c r="D3057" t="inlineStr">
        <is>
          <t>18</t>
        </is>
      </c>
      <c r="E3057" t="inlineStr">
        <is>
          <t>29</t>
        </is>
      </c>
      <c r="F3057" t="inlineStr">
        <is>
          <t>C</t>
        </is>
      </c>
      <c r="G3057" t="inlineStr">
        <is>
          <t>Low Cost</t>
        </is>
      </c>
      <c r="H3057" t="n">
        <v>152</v>
      </c>
      <c r="I3057">
        <f>B3057&amp;"~"&amp;F3057&amp;"~"&amp;G3057</f>
        <v/>
      </c>
      <c r="J3057" t="inlineStr">
        <is>
          <t>MVS Sec.18 p.29</t>
        </is>
      </c>
    </row>
    <row r="3058">
      <c r="B3058" t="inlineStr">
        <is>
          <t>Arts &amp; Crafts Buildings</t>
        </is>
      </c>
      <c r="C3058" t="inlineStr">
        <is>
          <t>367</t>
        </is>
      </c>
      <c r="D3058" t="inlineStr">
        <is>
          <t>18</t>
        </is>
      </c>
      <c r="E3058" t="inlineStr">
        <is>
          <t>29</t>
        </is>
      </c>
      <c r="F3058" t="inlineStr">
        <is>
          <t>D</t>
        </is>
      </c>
      <c r="G3058" t="inlineStr">
        <is>
          <t>Good</t>
        </is>
      </c>
      <c r="H3058" t="n">
        <v>276</v>
      </c>
      <c r="I3058">
        <f>B3058&amp;"~"&amp;F3058&amp;"~"&amp;G3058</f>
        <v/>
      </c>
      <c r="J3058" t="inlineStr">
        <is>
          <t>MVS Sec.18 p.29</t>
        </is>
      </c>
    </row>
    <row r="3059">
      <c r="B3059" t="inlineStr">
        <is>
          <t>Arts &amp; Crafts Buildings</t>
        </is>
      </c>
      <c r="C3059" t="inlineStr">
        <is>
          <t>367</t>
        </is>
      </c>
      <c r="D3059" t="inlineStr">
        <is>
          <t>18</t>
        </is>
      </c>
      <c r="E3059" t="inlineStr">
        <is>
          <t>29</t>
        </is>
      </c>
      <c r="F3059" t="inlineStr">
        <is>
          <t>D</t>
        </is>
      </c>
      <c r="G3059" t="inlineStr">
        <is>
          <t>Average</t>
        </is>
      </c>
      <c r="H3059" t="n">
        <v>198</v>
      </c>
      <c r="I3059">
        <f>B3059&amp;"~"&amp;F3059&amp;"~"&amp;G3059</f>
        <v/>
      </c>
      <c r="J3059" t="inlineStr">
        <is>
          <t>MVS Sec.18 p.29</t>
        </is>
      </c>
    </row>
    <row r="3060">
      <c r="B3060" t="inlineStr">
        <is>
          <t>Arts &amp; Crafts Buildings</t>
        </is>
      </c>
      <c r="C3060" t="inlineStr">
        <is>
          <t>367</t>
        </is>
      </c>
      <c r="D3060" t="inlineStr">
        <is>
          <t>18</t>
        </is>
      </c>
      <c r="E3060" t="inlineStr">
        <is>
          <t>29</t>
        </is>
      </c>
      <c r="F3060" t="inlineStr">
        <is>
          <t>D</t>
        </is>
      </c>
      <c r="G3060" t="inlineStr">
        <is>
          <t>Low Cost</t>
        </is>
      </c>
      <c r="H3060" t="n">
        <v>147</v>
      </c>
      <c r="I3060">
        <f>B3060&amp;"~"&amp;F3060&amp;"~"&amp;G3060</f>
        <v/>
      </c>
      <c r="J3060" t="inlineStr">
        <is>
          <t>MVS Sec.18 p.29</t>
        </is>
      </c>
    </row>
    <row r="3061">
      <c r="B3061" t="inlineStr">
        <is>
          <t>Arts &amp; Crafts Buildings</t>
        </is>
      </c>
      <c r="C3061" t="inlineStr">
        <is>
          <t>367</t>
        </is>
      </c>
      <c r="D3061" t="inlineStr">
        <is>
          <t>18</t>
        </is>
      </c>
      <c r="E3061" t="inlineStr">
        <is>
          <t>29</t>
        </is>
      </c>
      <c r="F3061" t="inlineStr">
        <is>
          <t>DPOLE</t>
        </is>
      </c>
      <c r="G3061" t="inlineStr">
        <is>
          <t>Average</t>
        </is>
      </c>
      <c r="H3061" t="n">
        <v>187</v>
      </c>
      <c r="I3061">
        <f>B3061&amp;"~"&amp;F3061&amp;"~"&amp;G3061</f>
        <v/>
      </c>
      <c r="J3061" t="inlineStr">
        <is>
          <t>MVS Sec.18 p.29</t>
        </is>
      </c>
    </row>
    <row r="3062">
      <c r="B3062" t="inlineStr">
        <is>
          <t>Arts &amp; Crafts Buildings</t>
        </is>
      </c>
      <c r="C3062" t="inlineStr">
        <is>
          <t>367</t>
        </is>
      </c>
      <c r="D3062" t="inlineStr">
        <is>
          <t>18</t>
        </is>
      </c>
      <c r="E3062" t="inlineStr">
        <is>
          <t>29</t>
        </is>
      </c>
      <c r="F3062" t="inlineStr">
        <is>
          <t>DPOLE</t>
        </is>
      </c>
      <c r="G3062" t="inlineStr">
        <is>
          <t>Low Cost</t>
        </is>
      </c>
      <c r="H3062" t="n">
        <v>137</v>
      </c>
      <c r="I3062">
        <f>B3062&amp;"~"&amp;F3062&amp;"~"&amp;G3062</f>
        <v/>
      </c>
      <c r="J3062" t="inlineStr">
        <is>
          <t>MVS Sec.18 p.29</t>
        </is>
      </c>
    </row>
    <row r="3063">
      <c r="B3063" t="inlineStr">
        <is>
          <t>Arts &amp; Crafts Buildings</t>
        </is>
      </c>
      <c r="C3063" t="inlineStr">
        <is>
          <t>367</t>
        </is>
      </c>
      <c r="D3063" t="inlineStr">
        <is>
          <t>18</t>
        </is>
      </c>
      <c r="E3063" t="inlineStr">
        <is>
          <t>29</t>
        </is>
      </c>
      <c r="F3063" t="inlineStr">
        <is>
          <t>S</t>
        </is>
      </c>
      <c r="G3063" t="inlineStr">
        <is>
          <t>Average</t>
        </is>
      </c>
      <c r="H3063" t="n">
        <v>191</v>
      </c>
      <c r="I3063">
        <f>B3063&amp;"~"&amp;F3063&amp;"~"&amp;G3063</f>
        <v/>
      </c>
      <c r="J3063" t="inlineStr">
        <is>
          <t>MVS Sec.18 p.29</t>
        </is>
      </c>
    </row>
    <row r="3064">
      <c r="B3064" t="inlineStr">
        <is>
          <t>Arts &amp; Crafts Buildings</t>
        </is>
      </c>
      <c r="C3064" t="inlineStr">
        <is>
          <t>367</t>
        </is>
      </c>
      <c r="D3064" t="inlineStr">
        <is>
          <t>18</t>
        </is>
      </c>
      <c r="E3064" t="inlineStr">
        <is>
          <t>29</t>
        </is>
      </c>
      <c r="F3064" t="inlineStr">
        <is>
          <t>S</t>
        </is>
      </c>
      <c r="G3064" t="inlineStr">
        <is>
          <t>Low Cost</t>
        </is>
      </c>
      <c r="H3064" t="n">
        <v>141</v>
      </c>
      <c r="I3064">
        <f>B3064&amp;"~"&amp;F3064&amp;"~"&amp;G3064</f>
        <v/>
      </c>
      <c r="J3064" t="inlineStr">
        <is>
          <t>MVS Sec.18 p.29</t>
        </is>
      </c>
    </row>
    <row r="3065">
      <c r="B3065" t="inlineStr">
        <is>
          <t>Science Buildings</t>
        </is>
      </c>
      <c r="C3065" t="inlineStr">
        <is>
          <t>376</t>
        </is>
      </c>
      <c r="D3065" t="inlineStr">
        <is>
          <t>18</t>
        </is>
      </c>
      <c r="E3065" t="inlineStr">
        <is>
          <t>30</t>
        </is>
      </c>
      <c r="F3065" t="inlineStr">
        <is>
          <t>A-B</t>
        </is>
      </c>
      <c r="G3065" t="inlineStr">
        <is>
          <t>Excellent</t>
        </is>
      </c>
      <c r="H3065" t="n">
        <v>494</v>
      </c>
      <c r="I3065">
        <f>B3065&amp;"~"&amp;F3065&amp;"~"&amp;G3065</f>
        <v/>
      </c>
      <c r="J3065" t="inlineStr">
        <is>
          <t>MVS Sec.18 p.30</t>
        </is>
      </c>
    </row>
    <row r="3066">
      <c r="B3066" t="inlineStr">
        <is>
          <t>Science Buildings</t>
        </is>
      </c>
      <c r="C3066" t="inlineStr">
        <is>
          <t>376</t>
        </is>
      </c>
      <c r="D3066" t="inlineStr">
        <is>
          <t>18</t>
        </is>
      </c>
      <c r="E3066" t="inlineStr">
        <is>
          <t>30</t>
        </is>
      </c>
      <c r="F3066" t="inlineStr">
        <is>
          <t>A-B</t>
        </is>
      </c>
      <c r="G3066" t="inlineStr">
        <is>
          <t>Good</t>
        </is>
      </c>
      <c r="H3066" t="n">
        <v>387</v>
      </c>
      <c r="I3066">
        <f>B3066&amp;"~"&amp;F3066&amp;"~"&amp;G3066</f>
        <v/>
      </c>
      <c r="J3066" t="inlineStr">
        <is>
          <t>MVS Sec.18 p.30</t>
        </is>
      </c>
    </row>
    <row r="3067">
      <c r="B3067" t="inlineStr">
        <is>
          <t>Science Buildings</t>
        </is>
      </c>
      <c r="C3067" t="inlineStr">
        <is>
          <t>376</t>
        </is>
      </c>
      <c r="D3067" t="inlineStr">
        <is>
          <t>18</t>
        </is>
      </c>
      <c r="E3067" t="inlineStr">
        <is>
          <t>30</t>
        </is>
      </c>
      <c r="F3067" t="inlineStr">
        <is>
          <t>A-B</t>
        </is>
      </c>
      <c r="G3067" t="inlineStr">
        <is>
          <t>Average</t>
        </is>
      </c>
      <c r="H3067" t="n">
        <v>304</v>
      </c>
      <c r="I3067">
        <f>B3067&amp;"~"&amp;F3067&amp;"~"&amp;G3067</f>
        <v/>
      </c>
      <c r="J3067" t="inlineStr">
        <is>
          <t>MVS Sec.18 p.30</t>
        </is>
      </c>
    </row>
    <row r="3068">
      <c r="B3068" t="inlineStr">
        <is>
          <t>Science Buildings</t>
        </is>
      </c>
      <c r="C3068" t="inlineStr">
        <is>
          <t>376</t>
        </is>
      </c>
      <c r="D3068" t="inlineStr">
        <is>
          <t>18</t>
        </is>
      </c>
      <c r="E3068" t="inlineStr">
        <is>
          <t>30</t>
        </is>
      </c>
      <c r="F3068" t="inlineStr">
        <is>
          <t>A-B</t>
        </is>
      </c>
      <c r="G3068" t="inlineStr">
        <is>
          <t>Low Cost</t>
        </is>
      </c>
      <c r="H3068" t="n">
        <v>238</v>
      </c>
      <c r="I3068">
        <f>B3068&amp;"~"&amp;F3068&amp;"~"&amp;G3068</f>
        <v/>
      </c>
      <c r="J3068" t="inlineStr">
        <is>
          <t>MVS Sec.18 p.30</t>
        </is>
      </c>
    </row>
    <row r="3069">
      <c r="B3069" t="inlineStr">
        <is>
          <t>Science Buildings</t>
        </is>
      </c>
      <c r="C3069" t="inlineStr">
        <is>
          <t>376</t>
        </is>
      </c>
      <c r="D3069" t="inlineStr">
        <is>
          <t>18</t>
        </is>
      </c>
      <c r="E3069" t="inlineStr">
        <is>
          <t>30</t>
        </is>
      </c>
      <c r="F3069" t="inlineStr">
        <is>
          <t>C</t>
        </is>
      </c>
      <c r="G3069" t="inlineStr">
        <is>
          <t>Excellent</t>
        </is>
      </c>
      <c r="H3069" t="n">
        <v>386</v>
      </c>
      <c r="I3069">
        <f>B3069&amp;"~"&amp;F3069&amp;"~"&amp;G3069</f>
        <v/>
      </c>
      <c r="J3069" t="inlineStr">
        <is>
          <t>MVS Sec.18 p.30</t>
        </is>
      </c>
    </row>
    <row r="3070">
      <c r="B3070" t="inlineStr">
        <is>
          <t>Science Buildings</t>
        </is>
      </c>
      <c r="C3070" t="inlineStr">
        <is>
          <t>376</t>
        </is>
      </c>
      <c r="D3070" t="inlineStr">
        <is>
          <t>18</t>
        </is>
      </c>
      <c r="E3070" t="inlineStr">
        <is>
          <t>30</t>
        </is>
      </c>
      <c r="F3070" t="inlineStr">
        <is>
          <t>C</t>
        </is>
      </c>
      <c r="G3070" t="inlineStr">
        <is>
          <t>Good</t>
        </is>
      </c>
      <c r="H3070" t="n">
        <v>306</v>
      </c>
      <c r="I3070">
        <f>B3070&amp;"~"&amp;F3070&amp;"~"&amp;G3070</f>
        <v/>
      </c>
      <c r="J3070" t="inlineStr">
        <is>
          <t>MVS Sec.18 p.30</t>
        </is>
      </c>
    </row>
    <row r="3071">
      <c r="B3071" t="inlineStr">
        <is>
          <t>Science Buildings</t>
        </is>
      </c>
      <c r="C3071" t="inlineStr">
        <is>
          <t>376</t>
        </is>
      </c>
      <c r="D3071" t="inlineStr">
        <is>
          <t>18</t>
        </is>
      </c>
      <c r="E3071" t="inlineStr">
        <is>
          <t>30</t>
        </is>
      </c>
      <c r="F3071" t="inlineStr">
        <is>
          <t>C</t>
        </is>
      </c>
      <c r="G3071" t="inlineStr">
        <is>
          <t>Average</t>
        </is>
      </c>
      <c r="H3071" t="n">
        <v>243</v>
      </c>
      <c r="I3071">
        <f>B3071&amp;"~"&amp;F3071&amp;"~"&amp;G3071</f>
        <v/>
      </c>
      <c r="J3071" t="inlineStr">
        <is>
          <t>MVS Sec.18 p.30</t>
        </is>
      </c>
    </row>
    <row r="3072">
      <c r="B3072" t="inlineStr">
        <is>
          <t>Science Buildings</t>
        </is>
      </c>
      <c r="C3072" t="inlineStr">
        <is>
          <t>376</t>
        </is>
      </c>
      <c r="D3072" t="inlineStr">
        <is>
          <t>18</t>
        </is>
      </c>
      <c r="E3072" t="inlineStr">
        <is>
          <t>30</t>
        </is>
      </c>
      <c r="F3072" t="inlineStr">
        <is>
          <t>C</t>
        </is>
      </c>
      <c r="G3072" t="inlineStr">
        <is>
          <t>Low Cost</t>
        </is>
      </c>
      <c r="H3072" t="n">
        <v>193</v>
      </c>
      <c r="I3072">
        <f>B3072&amp;"~"&amp;F3072&amp;"~"&amp;G3072</f>
        <v/>
      </c>
      <c r="J3072" t="inlineStr">
        <is>
          <t>MVS Sec.18 p.30</t>
        </is>
      </c>
    </row>
    <row r="3073">
      <c r="B3073" t="inlineStr">
        <is>
          <t>Science Buildings</t>
        </is>
      </c>
      <c r="C3073" t="inlineStr">
        <is>
          <t>376</t>
        </is>
      </c>
      <c r="D3073" t="inlineStr">
        <is>
          <t>18</t>
        </is>
      </c>
      <c r="E3073" t="inlineStr">
        <is>
          <t>30</t>
        </is>
      </c>
      <c r="F3073" t="inlineStr">
        <is>
          <t>D</t>
        </is>
      </c>
      <c r="G3073" t="inlineStr">
        <is>
          <t>Excellent</t>
        </is>
      </c>
      <c r="H3073" t="n">
        <v>382</v>
      </c>
      <c r="I3073">
        <f>B3073&amp;"~"&amp;F3073&amp;"~"&amp;G3073</f>
        <v/>
      </c>
      <c r="J3073" t="inlineStr">
        <is>
          <t>MVS Sec.18 p.30</t>
        </is>
      </c>
    </row>
    <row r="3074">
      <c r="B3074" t="inlineStr">
        <is>
          <t>Science Buildings</t>
        </is>
      </c>
      <c r="C3074" t="inlineStr">
        <is>
          <t>376</t>
        </is>
      </c>
      <c r="D3074" t="inlineStr">
        <is>
          <t>18</t>
        </is>
      </c>
      <c r="E3074" t="inlineStr">
        <is>
          <t>30</t>
        </is>
      </c>
      <c r="F3074" t="inlineStr">
        <is>
          <t>D</t>
        </is>
      </c>
      <c r="G3074" t="inlineStr">
        <is>
          <t>Good</t>
        </is>
      </c>
      <c r="H3074" t="n">
        <v>301</v>
      </c>
      <c r="I3074">
        <f>B3074&amp;"~"&amp;F3074&amp;"~"&amp;G3074</f>
        <v/>
      </c>
      <c r="J3074" t="inlineStr">
        <is>
          <t>MVS Sec.18 p.30</t>
        </is>
      </c>
    </row>
    <row r="3075">
      <c r="B3075" t="inlineStr">
        <is>
          <t>Science Buildings</t>
        </is>
      </c>
      <c r="C3075" t="inlineStr">
        <is>
          <t>376</t>
        </is>
      </c>
      <c r="D3075" t="inlineStr">
        <is>
          <t>18</t>
        </is>
      </c>
      <c r="E3075" t="inlineStr">
        <is>
          <t>30</t>
        </is>
      </c>
      <c r="F3075" t="inlineStr">
        <is>
          <t>D</t>
        </is>
      </c>
      <c r="G3075" t="inlineStr">
        <is>
          <t>Average</t>
        </is>
      </c>
      <c r="H3075" t="n">
        <v>237</v>
      </c>
      <c r="I3075">
        <f>B3075&amp;"~"&amp;F3075&amp;"~"&amp;G3075</f>
        <v/>
      </c>
      <c r="J3075" t="inlineStr">
        <is>
          <t>MVS Sec.18 p.30</t>
        </is>
      </c>
    </row>
    <row r="3076">
      <c r="B3076" t="inlineStr">
        <is>
          <t>Science Buildings</t>
        </is>
      </c>
      <c r="C3076" t="inlineStr">
        <is>
          <t>376</t>
        </is>
      </c>
      <c r="D3076" t="inlineStr">
        <is>
          <t>18</t>
        </is>
      </c>
      <c r="E3076" t="inlineStr">
        <is>
          <t>30</t>
        </is>
      </c>
      <c r="F3076" t="inlineStr">
        <is>
          <t>D</t>
        </is>
      </c>
      <c r="G3076" t="inlineStr">
        <is>
          <t>Low Cost</t>
        </is>
      </c>
      <c r="H3076" t="n">
        <v>188</v>
      </c>
      <c r="I3076">
        <f>B3076&amp;"~"&amp;F3076&amp;"~"&amp;G3076</f>
        <v/>
      </c>
      <c r="J3076" t="inlineStr">
        <is>
          <t>MVS Sec.18 p.30</t>
        </is>
      </c>
    </row>
    <row r="3077">
      <c r="B3077" t="inlineStr">
        <is>
          <t>Science Buildings</t>
        </is>
      </c>
      <c r="C3077" t="inlineStr">
        <is>
          <t>376</t>
        </is>
      </c>
      <c r="D3077" t="inlineStr">
        <is>
          <t>18</t>
        </is>
      </c>
      <c r="E3077" t="inlineStr">
        <is>
          <t>30</t>
        </is>
      </c>
      <c r="F3077" t="inlineStr">
        <is>
          <t>DPOLE</t>
        </is>
      </c>
      <c r="G3077" t="inlineStr">
        <is>
          <t>Average</t>
        </is>
      </c>
      <c r="H3077" t="n">
        <v>230</v>
      </c>
      <c r="I3077">
        <f>B3077&amp;"~"&amp;F3077&amp;"~"&amp;G3077</f>
        <v/>
      </c>
      <c r="J3077" t="inlineStr">
        <is>
          <t>MVS Sec.18 p.30</t>
        </is>
      </c>
    </row>
    <row r="3078">
      <c r="B3078" t="inlineStr">
        <is>
          <t>Science Buildings</t>
        </is>
      </c>
      <c r="C3078" t="inlineStr">
        <is>
          <t>376</t>
        </is>
      </c>
      <c r="D3078" t="inlineStr">
        <is>
          <t>18</t>
        </is>
      </c>
      <c r="E3078" t="inlineStr">
        <is>
          <t>30</t>
        </is>
      </c>
      <c r="F3078" t="inlineStr">
        <is>
          <t>DPOLE</t>
        </is>
      </c>
      <c r="G3078" t="inlineStr">
        <is>
          <t>Low Cost</t>
        </is>
      </c>
      <c r="H3078" t="n">
        <v>180</v>
      </c>
      <c r="I3078">
        <f>B3078&amp;"~"&amp;F3078&amp;"~"&amp;G3078</f>
        <v/>
      </c>
      <c r="J3078" t="inlineStr">
        <is>
          <t>MVS Sec.18 p.30</t>
        </is>
      </c>
    </row>
    <row r="3079">
      <c r="B3079" t="inlineStr">
        <is>
          <t>Science Buildings</t>
        </is>
      </c>
      <c r="C3079" t="inlineStr">
        <is>
          <t>376</t>
        </is>
      </c>
      <c r="D3079" t="inlineStr">
        <is>
          <t>18</t>
        </is>
      </c>
      <c r="E3079" t="inlineStr">
        <is>
          <t>30</t>
        </is>
      </c>
      <c r="F3079" t="inlineStr">
        <is>
          <t>S</t>
        </is>
      </c>
      <c r="G3079" t="inlineStr">
        <is>
          <t>Good</t>
        </is>
      </c>
      <c r="H3079" t="n">
        <v>295</v>
      </c>
      <c r="I3079">
        <f>B3079&amp;"~"&amp;F3079&amp;"~"&amp;G3079</f>
        <v/>
      </c>
      <c r="J3079" t="inlineStr">
        <is>
          <t>MVS Sec.18 p.30</t>
        </is>
      </c>
    </row>
    <row r="3080">
      <c r="B3080" t="inlineStr">
        <is>
          <t>Science Buildings</t>
        </is>
      </c>
      <c r="C3080" t="inlineStr">
        <is>
          <t>376</t>
        </is>
      </c>
      <c r="D3080" t="inlineStr">
        <is>
          <t>18</t>
        </is>
      </c>
      <c r="E3080" t="inlineStr">
        <is>
          <t>30</t>
        </is>
      </c>
      <c r="F3080" t="inlineStr">
        <is>
          <t>S</t>
        </is>
      </c>
      <c r="G3080" t="inlineStr">
        <is>
          <t>Average</t>
        </is>
      </c>
      <c r="H3080" t="n">
        <v>230</v>
      </c>
      <c r="I3080">
        <f>B3080&amp;"~"&amp;F3080&amp;"~"&amp;G3080</f>
        <v/>
      </c>
      <c r="J3080" t="inlineStr">
        <is>
          <t>MVS Sec.18 p.30</t>
        </is>
      </c>
    </row>
    <row r="3081">
      <c r="B3081" t="inlineStr">
        <is>
          <t>Science Buildings</t>
        </is>
      </c>
      <c r="C3081" t="inlineStr">
        <is>
          <t>376</t>
        </is>
      </c>
      <c r="D3081" t="inlineStr">
        <is>
          <t>18</t>
        </is>
      </c>
      <c r="E3081" t="inlineStr">
        <is>
          <t>30</t>
        </is>
      </c>
      <c r="F3081" t="inlineStr">
        <is>
          <t>S</t>
        </is>
      </c>
      <c r="G3081" t="inlineStr">
        <is>
          <t>Low Cost</t>
        </is>
      </c>
      <c r="H3081" t="n">
        <v>181</v>
      </c>
      <c r="I3081">
        <f>B3081&amp;"~"&amp;F3081&amp;"~"&amp;G3081</f>
        <v/>
      </c>
      <c r="J3081" t="inlineStr">
        <is>
          <t>MVS Sec.18 p.30</t>
        </is>
      </c>
    </row>
    <row r="3082">
      <c r="B3082" t="inlineStr">
        <is>
          <t>Commons</t>
        </is>
      </c>
      <c r="C3082" t="inlineStr">
        <is>
          <t>369</t>
        </is>
      </c>
      <c r="D3082" t="inlineStr">
        <is>
          <t>18</t>
        </is>
      </c>
      <c r="E3082" t="inlineStr">
        <is>
          <t>31</t>
        </is>
      </c>
      <c r="F3082" t="inlineStr">
        <is>
          <t>A-B</t>
        </is>
      </c>
      <c r="G3082" t="inlineStr">
        <is>
          <t>Excellent</t>
        </is>
      </c>
      <c r="H3082" t="n">
        <v>431</v>
      </c>
      <c r="I3082">
        <f>B3082&amp;"~"&amp;F3082&amp;"~"&amp;G3082</f>
        <v/>
      </c>
      <c r="J3082" t="inlineStr">
        <is>
          <t>MVS Sec.18 p.31</t>
        </is>
      </c>
    </row>
    <row r="3083">
      <c r="B3083" t="inlineStr">
        <is>
          <t>Commons</t>
        </is>
      </c>
      <c r="C3083" t="inlineStr">
        <is>
          <t>369</t>
        </is>
      </c>
      <c r="D3083" t="inlineStr">
        <is>
          <t>18</t>
        </is>
      </c>
      <c r="E3083" t="inlineStr">
        <is>
          <t>31</t>
        </is>
      </c>
      <c r="F3083" t="inlineStr">
        <is>
          <t>A-B</t>
        </is>
      </c>
      <c r="G3083" t="inlineStr">
        <is>
          <t>Good</t>
        </is>
      </c>
      <c r="H3083" t="n">
        <v>349</v>
      </c>
      <c r="I3083">
        <f>B3083&amp;"~"&amp;F3083&amp;"~"&amp;G3083</f>
        <v/>
      </c>
      <c r="J3083" t="inlineStr">
        <is>
          <t>MVS Sec.18 p.31</t>
        </is>
      </c>
    </row>
    <row r="3084">
      <c r="B3084" t="inlineStr">
        <is>
          <t>Commons</t>
        </is>
      </c>
      <c r="C3084" t="inlineStr">
        <is>
          <t>369</t>
        </is>
      </c>
      <c r="D3084" t="inlineStr">
        <is>
          <t>18</t>
        </is>
      </c>
      <c r="E3084" t="inlineStr">
        <is>
          <t>31</t>
        </is>
      </c>
      <c r="F3084" t="inlineStr">
        <is>
          <t>A-B</t>
        </is>
      </c>
      <c r="G3084" t="inlineStr">
        <is>
          <t>Average</t>
        </is>
      </c>
      <c r="H3084" t="n">
        <v>284</v>
      </c>
      <c r="I3084">
        <f>B3084&amp;"~"&amp;F3084&amp;"~"&amp;G3084</f>
        <v/>
      </c>
      <c r="J3084" t="inlineStr">
        <is>
          <t>MVS Sec.18 p.31</t>
        </is>
      </c>
    </row>
    <row r="3085">
      <c r="B3085" t="inlineStr">
        <is>
          <t>Commons</t>
        </is>
      </c>
      <c r="C3085" t="inlineStr">
        <is>
          <t>369</t>
        </is>
      </c>
      <c r="D3085" t="inlineStr">
        <is>
          <t>18</t>
        </is>
      </c>
      <c r="E3085" t="inlineStr">
        <is>
          <t>31</t>
        </is>
      </c>
      <c r="F3085" t="inlineStr">
        <is>
          <t>C</t>
        </is>
      </c>
      <c r="G3085" t="inlineStr">
        <is>
          <t>Excellent</t>
        </is>
      </c>
      <c r="H3085" t="n">
        <v>383</v>
      </c>
      <c r="I3085">
        <f>B3085&amp;"~"&amp;F3085&amp;"~"&amp;G3085</f>
        <v/>
      </c>
      <c r="J3085" t="inlineStr">
        <is>
          <t>MVS Sec.18 p.31</t>
        </is>
      </c>
    </row>
    <row r="3086">
      <c r="B3086" t="inlineStr">
        <is>
          <t>Commons</t>
        </is>
      </c>
      <c r="C3086" t="inlineStr">
        <is>
          <t>369</t>
        </is>
      </c>
      <c r="D3086" t="inlineStr">
        <is>
          <t>18</t>
        </is>
      </c>
      <c r="E3086" t="inlineStr">
        <is>
          <t>31</t>
        </is>
      </c>
      <c r="F3086" t="inlineStr">
        <is>
          <t>C</t>
        </is>
      </c>
      <c r="G3086" t="inlineStr">
        <is>
          <t>Good</t>
        </is>
      </c>
      <c r="H3086" t="n">
        <v>302</v>
      </c>
      <c r="I3086">
        <f>B3086&amp;"~"&amp;F3086&amp;"~"&amp;G3086</f>
        <v/>
      </c>
      <c r="J3086" t="inlineStr">
        <is>
          <t>MVS Sec.18 p.31</t>
        </is>
      </c>
    </row>
    <row r="3087">
      <c r="B3087" t="inlineStr">
        <is>
          <t>Commons</t>
        </is>
      </c>
      <c r="C3087" t="inlineStr">
        <is>
          <t>369</t>
        </is>
      </c>
      <c r="D3087" t="inlineStr">
        <is>
          <t>18</t>
        </is>
      </c>
      <c r="E3087" t="inlineStr">
        <is>
          <t>31</t>
        </is>
      </c>
      <c r="F3087" t="inlineStr">
        <is>
          <t>C</t>
        </is>
      </c>
      <c r="G3087" t="inlineStr">
        <is>
          <t>Average</t>
        </is>
      </c>
      <c r="H3087" t="n">
        <v>226</v>
      </c>
      <c r="I3087">
        <f>B3087&amp;"~"&amp;F3087&amp;"~"&amp;G3087</f>
        <v/>
      </c>
      <c r="J3087" t="inlineStr">
        <is>
          <t>MVS Sec.18 p.31</t>
        </is>
      </c>
    </row>
    <row r="3088">
      <c r="B3088" t="inlineStr">
        <is>
          <t>Commons</t>
        </is>
      </c>
      <c r="C3088" t="inlineStr">
        <is>
          <t>369</t>
        </is>
      </c>
      <c r="D3088" t="inlineStr">
        <is>
          <t>18</t>
        </is>
      </c>
      <c r="E3088" t="inlineStr">
        <is>
          <t>31</t>
        </is>
      </c>
      <c r="F3088" t="inlineStr">
        <is>
          <t>C</t>
        </is>
      </c>
      <c r="G3088" t="inlineStr">
        <is>
          <t>Low Cost</t>
        </is>
      </c>
      <c r="H3088" t="n">
        <v>174</v>
      </c>
      <c r="I3088">
        <f>B3088&amp;"~"&amp;F3088&amp;"~"&amp;G3088</f>
        <v/>
      </c>
      <c r="J3088" t="inlineStr">
        <is>
          <t>MVS Sec.18 p.31</t>
        </is>
      </c>
    </row>
    <row r="3089">
      <c r="B3089" t="inlineStr">
        <is>
          <t>Commons</t>
        </is>
      </c>
      <c r="C3089" t="inlineStr">
        <is>
          <t>369</t>
        </is>
      </c>
      <c r="D3089" t="inlineStr">
        <is>
          <t>18</t>
        </is>
      </c>
      <c r="E3089" t="inlineStr">
        <is>
          <t>31</t>
        </is>
      </c>
      <c r="F3089" t="inlineStr">
        <is>
          <t>D</t>
        </is>
      </c>
      <c r="G3089" t="inlineStr">
        <is>
          <t>Good</t>
        </is>
      </c>
      <c r="H3089" t="n">
        <v>297</v>
      </c>
      <c r="I3089">
        <f>B3089&amp;"~"&amp;F3089&amp;"~"&amp;G3089</f>
        <v/>
      </c>
      <c r="J3089" t="inlineStr">
        <is>
          <t>MVS Sec.18 p.31</t>
        </is>
      </c>
    </row>
    <row r="3090">
      <c r="B3090" t="inlineStr">
        <is>
          <t>Commons</t>
        </is>
      </c>
      <c r="C3090" t="inlineStr">
        <is>
          <t>369</t>
        </is>
      </c>
      <c r="D3090" t="inlineStr">
        <is>
          <t>18</t>
        </is>
      </c>
      <c r="E3090" t="inlineStr">
        <is>
          <t>31</t>
        </is>
      </c>
      <c r="F3090" t="inlineStr">
        <is>
          <t>D</t>
        </is>
      </c>
      <c r="G3090" t="inlineStr">
        <is>
          <t>Average</t>
        </is>
      </c>
      <c r="H3090" t="n">
        <v>221</v>
      </c>
      <c r="I3090">
        <f>B3090&amp;"~"&amp;F3090&amp;"~"&amp;G3090</f>
        <v/>
      </c>
      <c r="J3090" t="inlineStr">
        <is>
          <t>MVS Sec.18 p.31</t>
        </is>
      </c>
    </row>
    <row r="3091">
      <c r="B3091" t="inlineStr">
        <is>
          <t>Commons</t>
        </is>
      </c>
      <c r="C3091" t="inlineStr">
        <is>
          <t>369</t>
        </is>
      </c>
      <c r="D3091" t="inlineStr">
        <is>
          <t>18</t>
        </is>
      </c>
      <c r="E3091" t="inlineStr">
        <is>
          <t>31</t>
        </is>
      </c>
      <c r="F3091" t="inlineStr">
        <is>
          <t>D</t>
        </is>
      </c>
      <c r="G3091" t="inlineStr">
        <is>
          <t>Low Cost</t>
        </is>
      </c>
      <c r="H3091" t="n">
        <v>169</v>
      </c>
      <c r="I3091">
        <f>B3091&amp;"~"&amp;F3091&amp;"~"&amp;G3091</f>
        <v/>
      </c>
      <c r="J3091" t="inlineStr">
        <is>
          <t>MVS Sec.18 p.31</t>
        </is>
      </c>
    </row>
    <row r="3092">
      <c r="B3092" t="inlineStr">
        <is>
          <t>Commons</t>
        </is>
      </c>
      <c r="C3092" t="inlineStr">
        <is>
          <t>369</t>
        </is>
      </c>
      <c r="D3092" t="inlineStr">
        <is>
          <t>18</t>
        </is>
      </c>
      <c r="E3092" t="inlineStr">
        <is>
          <t>31</t>
        </is>
      </c>
      <c r="F3092" t="inlineStr">
        <is>
          <t>DPOLE</t>
        </is>
      </c>
      <c r="G3092" t="inlineStr">
        <is>
          <t>Low Cost</t>
        </is>
      </c>
      <c r="H3092" t="n">
        <v>163</v>
      </c>
      <c r="I3092">
        <f>B3092&amp;"~"&amp;F3092&amp;"~"&amp;G3092</f>
        <v/>
      </c>
      <c r="J3092" t="inlineStr">
        <is>
          <t>MVS Sec.18 p.31</t>
        </is>
      </c>
    </row>
    <row r="3093">
      <c r="B3093" t="inlineStr">
        <is>
          <t>Commons</t>
        </is>
      </c>
      <c r="C3093" t="inlineStr">
        <is>
          <t>369</t>
        </is>
      </c>
      <c r="D3093" t="inlineStr">
        <is>
          <t>18</t>
        </is>
      </c>
      <c r="E3093" t="inlineStr">
        <is>
          <t>31</t>
        </is>
      </c>
      <c r="F3093" t="inlineStr">
        <is>
          <t>S</t>
        </is>
      </c>
      <c r="G3093" t="inlineStr">
        <is>
          <t>Low Cost</t>
        </is>
      </c>
      <c r="H3093" t="n">
        <v>164</v>
      </c>
      <c r="I3093">
        <f>B3093&amp;"~"&amp;F3093&amp;"~"&amp;G3093</f>
        <v/>
      </c>
      <c r="J3093" t="inlineStr">
        <is>
          <t>MVS Sec.18 p.31</t>
        </is>
      </c>
    </row>
    <row r="3094">
      <c r="B3094" t="inlineStr">
        <is>
          <t>Administration (Office) Buildings</t>
        </is>
      </c>
      <c r="C3094" t="inlineStr">
        <is>
          <t>600</t>
        </is>
      </c>
      <c r="D3094" t="inlineStr">
        <is>
          <t>18</t>
        </is>
      </c>
      <c r="E3094" t="inlineStr">
        <is>
          <t>32</t>
        </is>
      </c>
      <c r="F3094" t="inlineStr">
        <is>
          <t>A-B</t>
        </is>
      </c>
      <c r="G3094" t="inlineStr">
        <is>
          <t>Excellent</t>
        </is>
      </c>
      <c r="H3094" t="n">
        <v>377</v>
      </c>
      <c r="I3094">
        <f>B3094&amp;"~"&amp;F3094&amp;"~"&amp;G3094</f>
        <v/>
      </c>
      <c r="J3094" t="inlineStr">
        <is>
          <t>MVS Sec.18 p.32</t>
        </is>
      </c>
    </row>
    <row r="3095">
      <c r="B3095" t="inlineStr">
        <is>
          <t>Administration (Office) Buildings</t>
        </is>
      </c>
      <c r="C3095" t="inlineStr">
        <is>
          <t>600</t>
        </is>
      </c>
      <c r="D3095" t="inlineStr">
        <is>
          <t>18</t>
        </is>
      </c>
      <c r="E3095" t="inlineStr">
        <is>
          <t>32</t>
        </is>
      </c>
      <c r="F3095" t="inlineStr">
        <is>
          <t>A-B</t>
        </is>
      </c>
      <c r="G3095" t="inlineStr">
        <is>
          <t>Good</t>
        </is>
      </c>
      <c r="H3095" t="n">
        <v>297</v>
      </c>
      <c r="I3095">
        <f>B3095&amp;"~"&amp;F3095&amp;"~"&amp;G3095</f>
        <v/>
      </c>
      <c r="J3095" t="inlineStr">
        <is>
          <t>MVS Sec.18 p.32</t>
        </is>
      </c>
    </row>
    <row r="3096">
      <c r="B3096" t="inlineStr">
        <is>
          <t>Administration (Office) Buildings</t>
        </is>
      </c>
      <c r="C3096" t="inlineStr">
        <is>
          <t>600</t>
        </is>
      </c>
      <c r="D3096" t="inlineStr">
        <is>
          <t>18</t>
        </is>
      </c>
      <c r="E3096" t="inlineStr">
        <is>
          <t>32</t>
        </is>
      </c>
      <c r="F3096" t="inlineStr">
        <is>
          <t>A-B</t>
        </is>
      </c>
      <c r="G3096" t="inlineStr">
        <is>
          <t>Average</t>
        </is>
      </c>
      <c r="H3096" t="n">
        <v>222</v>
      </c>
      <c r="I3096">
        <f>B3096&amp;"~"&amp;F3096&amp;"~"&amp;G3096</f>
        <v/>
      </c>
      <c r="J3096" t="inlineStr">
        <is>
          <t>MVS Sec.18 p.32</t>
        </is>
      </c>
    </row>
    <row r="3097">
      <c r="B3097" t="inlineStr">
        <is>
          <t>Administration (Office) Buildings</t>
        </is>
      </c>
      <c r="C3097" t="inlineStr">
        <is>
          <t>600</t>
        </is>
      </c>
      <c r="D3097" t="inlineStr">
        <is>
          <t>18</t>
        </is>
      </c>
      <c r="E3097" t="inlineStr">
        <is>
          <t>32</t>
        </is>
      </c>
      <c r="F3097" t="inlineStr">
        <is>
          <t>A-B</t>
        </is>
      </c>
      <c r="G3097" t="inlineStr">
        <is>
          <t>Low Cost</t>
        </is>
      </c>
      <c r="H3097" t="n">
        <v>176</v>
      </c>
      <c r="I3097">
        <f>B3097&amp;"~"&amp;F3097&amp;"~"&amp;G3097</f>
        <v/>
      </c>
      <c r="J3097" t="inlineStr">
        <is>
          <t>MVS Sec.18 p.32</t>
        </is>
      </c>
    </row>
    <row r="3098">
      <c r="B3098" t="inlineStr">
        <is>
          <t>Administration (Office) Buildings</t>
        </is>
      </c>
      <c r="C3098" t="inlineStr">
        <is>
          <t>600</t>
        </is>
      </c>
      <c r="D3098" t="inlineStr">
        <is>
          <t>18</t>
        </is>
      </c>
      <c r="E3098" t="inlineStr">
        <is>
          <t>32</t>
        </is>
      </c>
      <c r="F3098" t="inlineStr">
        <is>
          <t>C</t>
        </is>
      </c>
      <c r="G3098" t="inlineStr">
        <is>
          <t>Excellent</t>
        </is>
      </c>
      <c r="H3098" t="n">
        <v>328</v>
      </c>
      <c r="I3098">
        <f>B3098&amp;"~"&amp;F3098&amp;"~"&amp;G3098</f>
        <v/>
      </c>
      <c r="J3098" t="inlineStr">
        <is>
          <t>MVS Sec.18 p.32</t>
        </is>
      </c>
    </row>
    <row r="3099">
      <c r="B3099" t="inlineStr">
        <is>
          <t>Administration (Office) Buildings</t>
        </is>
      </c>
      <c r="C3099" t="inlineStr">
        <is>
          <t>600</t>
        </is>
      </c>
      <c r="D3099" t="inlineStr">
        <is>
          <t>18</t>
        </is>
      </c>
      <c r="E3099" t="inlineStr">
        <is>
          <t>32</t>
        </is>
      </c>
      <c r="F3099" t="inlineStr">
        <is>
          <t>C</t>
        </is>
      </c>
      <c r="G3099" t="inlineStr">
        <is>
          <t>Good</t>
        </is>
      </c>
      <c r="H3099" t="n">
        <v>234</v>
      </c>
      <c r="I3099">
        <f>B3099&amp;"~"&amp;F3099&amp;"~"&amp;G3099</f>
        <v/>
      </c>
      <c r="J3099" t="inlineStr">
        <is>
          <t>MVS Sec.18 p.32</t>
        </is>
      </c>
    </row>
    <row r="3100">
      <c r="B3100" t="inlineStr">
        <is>
          <t>Administration (Office) Buildings</t>
        </is>
      </c>
      <c r="C3100" t="inlineStr">
        <is>
          <t>600</t>
        </is>
      </c>
      <c r="D3100" t="inlineStr">
        <is>
          <t>18</t>
        </is>
      </c>
      <c r="E3100" t="inlineStr">
        <is>
          <t>32</t>
        </is>
      </c>
      <c r="F3100" t="inlineStr">
        <is>
          <t>C</t>
        </is>
      </c>
      <c r="G3100" t="inlineStr">
        <is>
          <t>Average</t>
        </is>
      </c>
      <c r="H3100" t="n">
        <v>172</v>
      </c>
      <c r="I3100">
        <f>B3100&amp;"~"&amp;F3100&amp;"~"&amp;G3100</f>
        <v/>
      </c>
      <c r="J3100" t="inlineStr">
        <is>
          <t>MVS Sec.18 p.32</t>
        </is>
      </c>
    </row>
    <row r="3101">
      <c r="B3101" t="inlineStr">
        <is>
          <t>Administration (Office) Buildings</t>
        </is>
      </c>
      <c r="C3101" t="inlineStr">
        <is>
          <t>600</t>
        </is>
      </c>
      <c r="D3101" t="inlineStr">
        <is>
          <t>18</t>
        </is>
      </c>
      <c r="E3101" t="inlineStr">
        <is>
          <t>32</t>
        </is>
      </c>
      <c r="F3101" t="inlineStr">
        <is>
          <t>C</t>
        </is>
      </c>
      <c r="G3101" t="inlineStr">
        <is>
          <t>Low Cost</t>
        </is>
      </c>
      <c r="H3101" t="n">
        <v>125</v>
      </c>
      <c r="I3101">
        <f>B3101&amp;"~"&amp;F3101&amp;"~"&amp;G3101</f>
        <v/>
      </c>
      <c r="J3101" t="inlineStr">
        <is>
          <t>MVS Sec.18 p.32</t>
        </is>
      </c>
    </row>
    <row r="3102">
      <c r="B3102" t="inlineStr">
        <is>
          <t>Administration (Office) Buildings</t>
        </is>
      </c>
      <c r="C3102" t="inlineStr">
        <is>
          <t>600</t>
        </is>
      </c>
      <c r="D3102" t="inlineStr">
        <is>
          <t>18</t>
        </is>
      </c>
      <c r="E3102" t="inlineStr">
        <is>
          <t>32</t>
        </is>
      </c>
      <c r="F3102" t="inlineStr">
        <is>
          <t>D</t>
        </is>
      </c>
      <c r="G3102" t="inlineStr">
        <is>
          <t>Excellent</t>
        </is>
      </c>
      <c r="H3102" t="n">
        <v>324</v>
      </c>
      <c r="I3102">
        <f>B3102&amp;"~"&amp;F3102&amp;"~"&amp;G3102</f>
        <v/>
      </c>
      <c r="J3102" t="inlineStr">
        <is>
          <t>MVS Sec.18 p.32</t>
        </is>
      </c>
    </row>
    <row r="3103">
      <c r="B3103" t="inlineStr">
        <is>
          <t>Administration (Office) Buildings</t>
        </is>
      </c>
      <c r="C3103" t="inlineStr">
        <is>
          <t>600</t>
        </is>
      </c>
      <c r="D3103" t="inlineStr">
        <is>
          <t>18</t>
        </is>
      </c>
      <c r="E3103" t="inlineStr">
        <is>
          <t>32</t>
        </is>
      </c>
      <c r="F3103" t="inlineStr">
        <is>
          <t>D</t>
        </is>
      </c>
      <c r="G3103" t="inlineStr">
        <is>
          <t>Good</t>
        </is>
      </c>
      <c r="H3103" t="n">
        <v>229</v>
      </c>
      <c r="I3103">
        <f>B3103&amp;"~"&amp;F3103&amp;"~"&amp;G3103</f>
        <v/>
      </c>
      <c r="J3103" t="inlineStr">
        <is>
          <t>MVS Sec.18 p.32</t>
        </is>
      </c>
    </row>
    <row r="3104">
      <c r="B3104" t="inlineStr">
        <is>
          <t>Administration (Office) Buildings</t>
        </is>
      </c>
      <c r="C3104" t="inlineStr">
        <is>
          <t>600</t>
        </is>
      </c>
      <c r="D3104" t="inlineStr">
        <is>
          <t>18</t>
        </is>
      </c>
      <c r="E3104" t="inlineStr">
        <is>
          <t>32</t>
        </is>
      </c>
      <c r="F3104" t="inlineStr">
        <is>
          <t>D</t>
        </is>
      </c>
      <c r="G3104" t="inlineStr">
        <is>
          <t>Average</t>
        </is>
      </c>
      <c r="H3104" t="n">
        <v>166</v>
      </c>
      <c r="I3104">
        <f>B3104&amp;"~"&amp;F3104&amp;"~"&amp;G3104</f>
        <v/>
      </c>
      <c r="J3104" t="inlineStr">
        <is>
          <t>MVS Sec.18 p.32</t>
        </is>
      </c>
    </row>
    <row r="3105">
      <c r="B3105" t="inlineStr">
        <is>
          <t>Administration (Office) Buildings</t>
        </is>
      </c>
      <c r="C3105" t="inlineStr">
        <is>
          <t>600</t>
        </is>
      </c>
      <c r="D3105" t="inlineStr">
        <is>
          <t>18</t>
        </is>
      </c>
      <c r="E3105" t="inlineStr">
        <is>
          <t>32</t>
        </is>
      </c>
      <c r="F3105" t="inlineStr">
        <is>
          <t>D</t>
        </is>
      </c>
      <c r="G3105" t="inlineStr">
        <is>
          <t>Low Cost</t>
        </is>
      </c>
      <c r="H3105" t="n">
        <v>120</v>
      </c>
      <c r="I3105">
        <f>B3105&amp;"~"&amp;F3105&amp;"~"&amp;G3105</f>
        <v/>
      </c>
      <c r="J3105" t="inlineStr">
        <is>
          <t>MVS Sec.18 p.32</t>
        </is>
      </c>
    </row>
    <row r="3106">
      <c r="B3106" t="inlineStr">
        <is>
          <t>Administration (Office) Buildings</t>
        </is>
      </c>
      <c r="C3106" t="inlineStr">
        <is>
          <t>600</t>
        </is>
      </c>
      <c r="D3106" t="inlineStr">
        <is>
          <t>18</t>
        </is>
      </c>
      <c r="E3106" t="inlineStr">
        <is>
          <t>32</t>
        </is>
      </c>
      <c r="F3106" t="inlineStr">
        <is>
          <t>DPOLE</t>
        </is>
      </c>
      <c r="G3106" t="inlineStr">
        <is>
          <t>Average</t>
        </is>
      </c>
      <c r="H3106" t="n">
        <v>157</v>
      </c>
      <c r="I3106">
        <f>B3106&amp;"~"&amp;F3106&amp;"~"&amp;G3106</f>
        <v/>
      </c>
      <c r="J3106" t="inlineStr">
        <is>
          <t>MVS Sec.18 p.32</t>
        </is>
      </c>
    </row>
    <row r="3107">
      <c r="B3107" t="inlineStr">
        <is>
          <t>Administration (Office) Buildings</t>
        </is>
      </c>
      <c r="C3107" t="inlineStr">
        <is>
          <t>600</t>
        </is>
      </c>
      <c r="D3107" t="inlineStr">
        <is>
          <t>18</t>
        </is>
      </c>
      <c r="E3107" t="inlineStr">
        <is>
          <t>32</t>
        </is>
      </c>
      <c r="F3107" t="inlineStr">
        <is>
          <t>DPOLE</t>
        </is>
      </c>
      <c r="G3107" t="inlineStr">
        <is>
          <t>Low Cost</t>
        </is>
      </c>
      <c r="H3107" t="n">
        <v>113</v>
      </c>
      <c r="I3107">
        <f>B3107&amp;"~"&amp;F3107&amp;"~"&amp;G3107</f>
        <v/>
      </c>
      <c r="J3107" t="inlineStr">
        <is>
          <t>MVS Sec.18 p.32</t>
        </is>
      </c>
    </row>
    <row r="3108">
      <c r="B3108" t="inlineStr">
        <is>
          <t>Administration (Office) Buildings</t>
        </is>
      </c>
      <c r="C3108" t="inlineStr">
        <is>
          <t>600</t>
        </is>
      </c>
      <c r="D3108" t="inlineStr">
        <is>
          <t>18</t>
        </is>
      </c>
      <c r="E3108" t="inlineStr">
        <is>
          <t>32</t>
        </is>
      </c>
      <c r="F3108" t="inlineStr">
        <is>
          <t>S</t>
        </is>
      </c>
      <c r="G3108" t="inlineStr">
        <is>
          <t>Good</t>
        </is>
      </c>
      <c r="H3108" t="n">
        <v>218</v>
      </c>
      <c r="I3108">
        <f>B3108&amp;"~"&amp;F3108&amp;"~"&amp;G3108</f>
        <v/>
      </c>
      <c r="J3108" t="inlineStr">
        <is>
          <t>MVS Sec.18 p.32</t>
        </is>
      </c>
    </row>
    <row r="3109">
      <c r="B3109" t="inlineStr">
        <is>
          <t>Administration (Office) Buildings</t>
        </is>
      </c>
      <c r="C3109" t="inlineStr">
        <is>
          <t>600</t>
        </is>
      </c>
      <c r="D3109" t="inlineStr">
        <is>
          <t>18</t>
        </is>
      </c>
      <c r="E3109" t="inlineStr">
        <is>
          <t>32</t>
        </is>
      </c>
      <c r="F3109" t="inlineStr">
        <is>
          <t>S</t>
        </is>
      </c>
      <c r="G3109" t="inlineStr">
        <is>
          <t>Average</t>
        </is>
      </c>
      <c r="H3109" t="n">
        <v>159</v>
      </c>
      <c r="I3109">
        <f>B3109&amp;"~"&amp;F3109&amp;"~"&amp;G3109</f>
        <v/>
      </c>
      <c r="J3109" t="inlineStr">
        <is>
          <t>MVS Sec.18 p.32</t>
        </is>
      </c>
    </row>
    <row r="3110">
      <c r="B3110" t="inlineStr">
        <is>
          <t>Administration (Office) Buildings</t>
        </is>
      </c>
      <c r="C3110" t="inlineStr">
        <is>
          <t>600</t>
        </is>
      </c>
      <c r="D3110" t="inlineStr">
        <is>
          <t>18</t>
        </is>
      </c>
      <c r="E3110" t="inlineStr">
        <is>
          <t>32</t>
        </is>
      </c>
      <c r="F3110" t="inlineStr">
        <is>
          <t>S</t>
        </is>
      </c>
      <c r="G3110" t="inlineStr">
        <is>
          <t>Low Cost</t>
        </is>
      </c>
      <c r="H3110" t="n">
        <v>115</v>
      </c>
      <c r="I3110">
        <f>B3110&amp;"~"&amp;F3110&amp;"~"&amp;G3110</f>
        <v/>
      </c>
      <c r="J3110" t="inlineStr">
        <is>
          <t>MVS Sec.18 p.32</t>
        </is>
      </c>
    </row>
    <row r="3111">
      <c r="B3111" t="inlineStr">
        <is>
          <t>Relocatable Offices</t>
        </is>
      </c>
      <c r="C3111" t="inlineStr">
        <is>
          <t>599</t>
        </is>
      </c>
      <c r="D3111" t="inlineStr">
        <is>
          <t>18</t>
        </is>
      </c>
      <c r="E3111" t="inlineStr">
        <is>
          <t>33</t>
        </is>
      </c>
      <c r="F3111" t="inlineStr">
        <is>
          <t>D</t>
        </is>
      </c>
      <c r="G3111" t="inlineStr">
        <is>
          <t>Excellent</t>
        </is>
      </c>
      <c r="H3111" t="n">
        <v>179</v>
      </c>
      <c r="I3111">
        <f>B3111&amp;"~"&amp;F3111&amp;"~"&amp;G3111</f>
        <v/>
      </c>
      <c r="J3111" t="inlineStr">
        <is>
          <t>MVS Sec.18 p.33</t>
        </is>
      </c>
    </row>
    <row r="3112">
      <c r="B3112" t="inlineStr">
        <is>
          <t>Relocatable Offices</t>
        </is>
      </c>
      <c r="C3112" t="inlineStr">
        <is>
          <t>599</t>
        </is>
      </c>
      <c r="D3112" t="inlineStr">
        <is>
          <t>18</t>
        </is>
      </c>
      <c r="E3112" t="inlineStr">
        <is>
          <t>33</t>
        </is>
      </c>
      <c r="F3112" t="inlineStr">
        <is>
          <t>D</t>
        </is>
      </c>
      <c r="G3112" t="inlineStr">
        <is>
          <t>Good</t>
        </is>
      </c>
      <c r="H3112" t="n">
        <v>148</v>
      </c>
      <c r="I3112">
        <f>B3112&amp;"~"&amp;F3112&amp;"~"&amp;G3112</f>
        <v/>
      </c>
      <c r="J3112" t="inlineStr">
        <is>
          <t>MVS Sec.18 p.33</t>
        </is>
      </c>
    </row>
    <row r="3113">
      <c r="B3113" t="inlineStr">
        <is>
          <t>Relocatable Offices</t>
        </is>
      </c>
      <c r="C3113" t="inlineStr">
        <is>
          <t>599</t>
        </is>
      </c>
      <c r="D3113" t="inlineStr">
        <is>
          <t>18</t>
        </is>
      </c>
      <c r="E3113" t="inlineStr">
        <is>
          <t>33</t>
        </is>
      </c>
      <c r="F3113" t="inlineStr">
        <is>
          <t>D</t>
        </is>
      </c>
      <c r="G3113" t="inlineStr">
        <is>
          <t>Average</t>
        </is>
      </c>
      <c r="H3113" t="n">
        <v>120</v>
      </c>
      <c r="I3113">
        <f>B3113&amp;"~"&amp;F3113&amp;"~"&amp;G3113</f>
        <v/>
      </c>
      <c r="J3113" t="inlineStr">
        <is>
          <t>MVS Sec.18 p.33</t>
        </is>
      </c>
    </row>
    <row r="3114">
      <c r="B3114" t="inlineStr">
        <is>
          <t>Relocatable Offices</t>
        </is>
      </c>
      <c r="C3114" t="inlineStr">
        <is>
          <t>599</t>
        </is>
      </c>
      <c r="D3114" t="inlineStr">
        <is>
          <t>18</t>
        </is>
      </c>
      <c r="E3114" t="inlineStr">
        <is>
          <t>33</t>
        </is>
      </c>
      <c r="F3114" t="inlineStr">
        <is>
          <t>D</t>
        </is>
      </c>
      <c r="G3114" t="inlineStr">
        <is>
          <t>Low Cost</t>
        </is>
      </c>
      <c r="H3114" t="n">
        <v>103</v>
      </c>
      <c r="I3114">
        <f>B3114&amp;"~"&amp;F3114&amp;"~"&amp;G3114</f>
        <v/>
      </c>
      <c r="J3114" t="inlineStr">
        <is>
          <t>MVS Sec.18 p.33</t>
        </is>
      </c>
    </row>
    <row r="3115">
      <c r="B3115" t="inlineStr">
        <is>
          <t>Relocatable Offices</t>
        </is>
      </c>
      <c r="C3115" t="inlineStr">
        <is>
          <t>599</t>
        </is>
      </c>
      <c r="D3115" t="inlineStr">
        <is>
          <t>18</t>
        </is>
      </c>
      <c r="E3115" t="inlineStr">
        <is>
          <t>33</t>
        </is>
      </c>
      <c r="F3115" t="inlineStr">
        <is>
          <t>D</t>
        </is>
      </c>
      <c r="G3115" t="inlineStr">
        <is>
          <t>Cheap</t>
        </is>
      </c>
      <c r="H3115" t="n">
        <v>85</v>
      </c>
      <c r="I3115">
        <f>B3115&amp;"~"&amp;F3115&amp;"~"&amp;G3115</f>
        <v/>
      </c>
      <c r="J3115" t="inlineStr">
        <is>
          <t>MVS Sec.18 p.33</t>
        </is>
      </c>
    </row>
    <row r="3116">
      <c r="B3116" t="inlineStr">
        <is>
          <t>Commercial (Institutional) Greenhouses</t>
        </is>
      </c>
      <c r="C3116" t="inlineStr">
        <is>
          <t>171</t>
        </is>
      </c>
      <c r="D3116" t="inlineStr">
        <is>
          <t>18</t>
        </is>
      </c>
      <c r="E3116" t="inlineStr">
        <is>
          <t>34</t>
        </is>
      </c>
      <c r="F3116" t="inlineStr">
        <is>
          <t>D</t>
        </is>
      </c>
      <c r="G3116" t="inlineStr">
        <is>
          <t>Fair</t>
        </is>
      </c>
      <c r="H3116" t="n">
        <v>69.5</v>
      </c>
      <c r="I3116">
        <f>B3116&amp;"~"&amp;F3116&amp;"~"&amp;G3116</f>
        <v/>
      </c>
      <c r="J3116" t="inlineStr">
        <is>
          <t>MVS Sec.18 p.34</t>
        </is>
      </c>
    </row>
    <row r="3117">
      <c r="B3117" t="inlineStr">
        <is>
          <t>Commercial (Institutional) Greenhouses</t>
        </is>
      </c>
      <c r="C3117" t="inlineStr">
        <is>
          <t>171</t>
        </is>
      </c>
      <c r="D3117" t="inlineStr">
        <is>
          <t>18</t>
        </is>
      </c>
      <c r="E3117" t="inlineStr">
        <is>
          <t>34</t>
        </is>
      </c>
      <c r="F3117" t="inlineStr">
        <is>
          <t>D</t>
        </is>
      </c>
      <c r="G3117" t="inlineStr">
        <is>
          <t>Low Cost</t>
        </is>
      </c>
      <c r="H3117" t="n">
        <v>55.5</v>
      </c>
      <c r="I3117">
        <f>B3117&amp;"~"&amp;F3117&amp;"~"&amp;G3117</f>
        <v/>
      </c>
      <c r="J3117" t="inlineStr">
        <is>
          <t>MVS Sec.18 p.34</t>
        </is>
      </c>
    </row>
    <row r="3118">
      <c r="B3118" t="inlineStr">
        <is>
          <t>Commercial (Institutional) Greenhouses</t>
        </is>
      </c>
      <c r="C3118" t="inlineStr">
        <is>
          <t>171</t>
        </is>
      </c>
      <c r="D3118" t="inlineStr">
        <is>
          <t>18</t>
        </is>
      </c>
      <c r="E3118" t="inlineStr">
        <is>
          <t>34</t>
        </is>
      </c>
      <c r="F3118" t="inlineStr">
        <is>
          <t>S</t>
        </is>
      </c>
      <c r="G3118" t="inlineStr">
        <is>
          <t>Excellent</t>
        </is>
      </c>
      <c r="H3118" t="n">
        <v>200</v>
      </c>
      <c r="I3118">
        <f>B3118&amp;"~"&amp;F3118&amp;"~"&amp;G3118</f>
        <v/>
      </c>
      <c r="J3118" t="inlineStr">
        <is>
          <t>MVS Sec.18 p.34</t>
        </is>
      </c>
    </row>
    <row r="3119">
      <c r="B3119" t="inlineStr">
        <is>
          <t>Commercial (Institutional) Greenhouses</t>
        </is>
      </c>
      <c r="C3119" t="inlineStr">
        <is>
          <t>171</t>
        </is>
      </c>
      <c r="D3119" t="inlineStr">
        <is>
          <t>18</t>
        </is>
      </c>
      <c r="E3119" t="inlineStr">
        <is>
          <t>34</t>
        </is>
      </c>
      <c r="F3119" t="inlineStr">
        <is>
          <t>S</t>
        </is>
      </c>
      <c r="G3119" t="inlineStr">
        <is>
          <t>Very Good</t>
        </is>
      </c>
      <c r="H3119" t="n">
        <v>163</v>
      </c>
      <c r="I3119">
        <f>B3119&amp;"~"&amp;F3119&amp;"~"&amp;G3119</f>
        <v/>
      </c>
      <c r="J3119" t="inlineStr">
        <is>
          <t>MVS Sec.18 p.34</t>
        </is>
      </c>
    </row>
    <row r="3120">
      <c r="B3120" t="inlineStr">
        <is>
          <t>Commercial (Institutional) Greenhouses</t>
        </is>
      </c>
      <c r="C3120" t="inlineStr">
        <is>
          <t>171</t>
        </is>
      </c>
      <c r="D3120" t="inlineStr">
        <is>
          <t>18</t>
        </is>
      </c>
      <c r="E3120" t="inlineStr">
        <is>
          <t>34</t>
        </is>
      </c>
      <c r="F3120" t="inlineStr">
        <is>
          <t>S</t>
        </is>
      </c>
      <c r="G3120" t="inlineStr">
        <is>
          <t>Good</t>
        </is>
      </c>
      <c r="H3120" t="n">
        <v>132</v>
      </c>
      <c r="I3120">
        <f>B3120&amp;"~"&amp;F3120&amp;"~"&amp;G3120</f>
        <v/>
      </c>
      <c r="J3120" t="inlineStr">
        <is>
          <t>MVS Sec.18 p.34</t>
        </is>
      </c>
    </row>
    <row r="3121">
      <c r="B3121" t="inlineStr">
        <is>
          <t>Commercial (Institutional) Greenhouses</t>
        </is>
      </c>
      <c r="C3121" t="inlineStr">
        <is>
          <t>171</t>
        </is>
      </c>
      <c r="D3121" t="inlineStr">
        <is>
          <t>18</t>
        </is>
      </c>
      <c r="E3121" t="inlineStr">
        <is>
          <t>34</t>
        </is>
      </c>
      <c r="F3121" t="inlineStr">
        <is>
          <t>S</t>
        </is>
      </c>
      <c r="G3121" t="inlineStr">
        <is>
          <t>Average</t>
        </is>
      </c>
      <c r="H3121" t="n">
        <v>87.5</v>
      </c>
      <c r="I3121">
        <f>B3121&amp;"~"&amp;F3121&amp;"~"&amp;G3121</f>
        <v/>
      </c>
      <c r="J3121" t="inlineStr">
        <is>
          <t>MVS Sec.18 p.34</t>
        </is>
      </c>
    </row>
    <row r="3122">
      <c r="B3122" t="inlineStr">
        <is>
          <t>Commercial (Institutional) Greenhouses</t>
        </is>
      </c>
      <c r="C3122" t="inlineStr">
        <is>
          <t>171</t>
        </is>
      </c>
      <c r="D3122" t="inlineStr">
        <is>
          <t>18</t>
        </is>
      </c>
      <c r="E3122" t="inlineStr">
        <is>
          <t>34</t>
        </is>
      </c>
      <c r="F3122" t="inlineStr">
        <is>
          <t>S</t>
        </is>
      </c>
      <c r="G3122" t="inlineStr">
        <is>
          <t>Fair</t>
        </is>
      </c>
      <c r="H3122" t="n">
        <v>71</v>
      </c>
      <c r="I3122">
        <f>B3122&amp;"~"&amp;F3122&amp;"~"&amp;G3122</f>
        <v/>
      </c>
      <c r="J3122" t="inlineStr">
        <is>
          <t>MVS Sec.18 p.34</t>
        </is>
      </c>
    </row>
    <row r="3123">
      <c r="B3123" t="inlineStr">
        <is>
          <t>Commercial (Institutional) Greenhouses</t>
        </is>
      </c>
      <c r="C3123" t="inlineStr">
        <is>
          <t>171</t>
        </is>
      </c>
      <c r="D3123" t="inlineStr">
        <is>
          <t>18</t>
        </is>
      </c>
      <c r="E3123" t="inlineStr">
        <is>
          <t>34</t>
        </is>
      </c>
      <c r="F3123" t="inlineStr">
        <is>
          <t>S</t>
        </is>
      </c>
      <c r="G3123" t="inlineStr">
        <is>
          <t>Cheap</t>
        </is>
      </c>
      <c r="H3123" t="n">
        <v>58</v>
      </c>
      <c r="I3123">
        <f>B3123&amp;"~"&amp;F3123&amp;"~"&amp;G3123</f>
        <v/>
      </c>
      <c r="J3123" t="inlineStr">
        <is>
          <t>MVS Sec.18 p.34</t>
        </is>
      </c>
    </row>
    <row r="3126">
      <c r="B3126" s="2454" t="inlineStr">
        <is>
          <t>REFERENCE 4 -- Occupancy Master List (dropdown source / lookup attributes)</t>
        </is>
      </c>
    </row>
    <row r="3127">
      <c r="B3127" s="2455" t="inlineStr">
        <is>
          <t>Occupancy Name</t>
        </is>
      </c>
      <c r="C3127" s="2455" t="inlineStr">
        <is>
          <t>Occ. Code</t>
        </is>
      </c>
      <c r="D3127" s="2455" t="inlineStr">
        <is>
          <t>Section</t>
        </is>
      </c>
      <c r="E3127" s="2455" t="inlineStr">
        <is>
          <t>Page</t>
        </is>
      </c>
      <c r="F3127" s="2455" t="inlineStr">
        <is>
          <t>Story-Height Tbl (Sec.)</t>
        </is>
      </c>
      <c r="G3127" s="2455" t="inlineStr">
        <is>
          <t>Sprinkler Tbl (Sec.)</t>
        </is>
      </c>
      <c r="H3127" s="2455" t="inlineStr">
        <is>
          <t>Depreciation Table (C=Commercial Sec.97 p.24 / R=Residential p.25)</t>
        </is>
      </c>
    </row>
    <row r="3128">
      <c r="B3128" t="inlineStr">
        <is>
          <t>Homes For the Elderly</t>
        </is>
      </c>
      <c r="C3128" t="inlineStr">
        <is>
          <t>330</t>
        </is>
      </c>
      <c r="D3128" t="inlineStr">
        <is>
          <t>11</t>
        </is>
      </c>
      <c r="E3128" t="inlineStr">
        <is>
          <t>13</t>
        </is>
      </c>
      <c r="F3128" t="inlineStr">
        <is>
          <t>11</t>
        </is>
      </c>
      <c r="G3128" t="inlineStr">
        <is>
          <t>11</t>
        </is>
      </c>
      <c r="H3128" t="inlineStr">
        <is>
          <t>C</t>
        </is>
      </c>
    </row>
    <row r="3129">
      <c r="B3129" t="inlineStr">
        <is>
          <t>Dormitories</t>
        </is>
      </c>
      <c r="C3129" t="inlineStr">
        <is>
          <t>321</t>
        </is>
      </c>
      <c r="D3129" t="inlineStr">
        <is>
          <t>11</t>
        </is>
      </c>
      <c r="E3129" t="inlineStr">
        <is>
          <t>14</t>
        </is>
      </c>
      <c r="F3129" t="inlineStr">
        <is>
          <t>11</t>
        </is>
      </c>
      <c r="G3129" t="inlineStr">
        <is>
          <t>11</t>
        </is>
      </c>
      <c r="H3129" t="inlineStr">
        <is>
          <t>R</t>
        </is>
      </c>
    </row>
    <row r="3130">
      <c r="B3130" t="inlineStr">
        <is>
          <t>Luxury Apartments (High-Rise)</t>
        </is>
      </c>
      <c r="C3130" t="inlineStr">
        <is>
          <t>984</t>
        </is>
      </c>
      <c r="D3130" t="inlineStr">
        <is>
          <t>11</t>
        </is>
      </c>
      <c r="E3130" t="inlineStr">
        <is>
          <t>15</t>
        </is>
      </c>
      <c r="F3130" t="inlineStr">
        <is>
          <t>11</t>
        </is>
      </c>
      <c r="G3130" t="inlineStr">
        <is>
          <t>11</t>
        </is>
      </c>
      <c r="H3130" t="inlineStr">
        <is>
          <t>C</t>
        </is>
      </c>
    </row>
    <row r="3131">
      <c r="B3131" t="inlineStr">
        <is>
          <t>Shell Luxury Apartment Buildings</t>
        </is>
      </c>
      <c r="C3131" t="inlineStr">
        <is>
          <t>777</t>
        </is>
      </c>
      <c r="D3131" t="inlineStr">
        <is>
          <t>11</t>
        </is>
      </c>
      <c r="E3131" t="inlineStr">
        <is>
          <t>16</t>
        </is>
      </c>
      <c r="F3131" t="inlineStr">
        <is>
          <t>11</t>
        </is>
      </c>
      <c r="G3131" t="inlineStr">
        <is>
          <t>11</t>
        </is>
      </c>
      <c r="H3131" t="inlineStr">
        <is>
          <t>C</t>
        </is>
      </c>
    </row>
    <row r="3132">
      <c r="B3132" t="inlineStr">
        <is>
          <t>Apartments (High-Rise)</t>
        </is>
      </c>
      <c r="C3132" t="inlineStr">
        <is>
          <t>300</t>
        </is>
      </c>
      <c r="D3132" t="inlineStr">
        <is>
          <t>11</t>
        </is>
      </c>
      <c r="E3132" t="inlineStr">
        <is>
          <t>18</t>
        </is>
      </c>
      <c r="F3132" t="inlineStr">
        <is>
          <t>11</t>
        </is>
      </c>
      <c r="G3132" t="inlineStr">
        <is>
          <t>11</t>
        </is>
      </c>
      <c r="H3132" t="inlineStr">
        <is>
          <t>C</t>
        </is>
      </c>
    </row>
    <row r="3133">
      <c r="B3133" t="inlineStr">
        <is>
          <t>City Clubs</t>
        </is>
      </c>
      <c r="C3133" t="inlineStr">
        <is>
          <t>310</t>
        </is>
      </c>
      <c r="D3133" t="inlineStr">
        <is>
          <t>11</t>
        </is>
      </c>
      <c r="E3133" t="inlineStr">
        <is>
          <t>19</t>
        </is>
      </c>
      <c r="F3133" t="inlineStr">
        <is>
          <t>11</t>
        </is>
      </c>
      <c r="G3133" t="inlineStr">
        <is>
          <t>11</t>
        </is>
      </c>
      <c r="H3133" t="inlineStr">
        <is>
          <t>R</t>
        </is>
      </c>
    </row>
    <row r="3134">
      <c r="B3134" t="inlineStr">
        <is>
          <t>Shell Apartment Buildings</t>
        </is>
      </c>
      <c r="C3134" t="inlineStr">
        <is>
          <t>596</t>
        </is>
      </c>
      <c r="D3134" t="inlineStr">
        <is>
          <t>11</t>
        </is>
      </c>
      <c r="E3134" t="inlineStr">
        <is>
          <t>20</t>
        </is>
      </c>
      <c r="F3134" t="inlineStr">
        <is>
          <t>11</t>
        </is>
      </c>
      <c r="G3134" t="inlineStr">
        <is>
          <t>11</t>
        </is>
      </c>
      <c r="H3134" t="inlineStr">
        <is>
          <t>C</t>
        </is>
      </c>
    </row>
    <row r="3135">
      <c r="B3135" t="inlineStr">
        <is>
          <t>Hotels, Limited Service</t>
        </is>
      </c>
      <c r="C3135" t="inlineStr">
        <is>
          <t>595</t>
        </is>
      </c>
      <c r="D3135" t="inlineStr">
        <is>
          <t>11</t>
        </is>
      </c>
      <c r="E3135" t="inlineStr">
        <is>
          <t>22</t>
        </is>
      </c>
      <c r="F3135" t="inlineStr">
        <is>
          <t>11</t>
        </is>
      </c>
      <c r="G3135" t="inlineStr">
        <is>
          <t>11</t>
        </is>
      </c>
      <c r="H3135" t="inlineStr">
        <is>
          <t>C</t>
        </is>
      </c>
    </row>
    <row r="3136">
      <c r="B3136" t="inlineStr">
        <is>
          <t>Shell Hotels: Limited Service Buildings</t>
        </is>
      </c>
      <c r="C3136" t="inlineStr">
        <is>
          <t>779</t>
        </is>
      </c>
      <c r="D3136" t="inlineStr">
        <is>
          <t>11</t>
        </is>
      </c>
      <c r="E3136" t="inlineStr">
        <is>
          <t>23</t>
        </is>
      </c>
      <c r="F3136" t="inlineStr">
        <is>
          <t>11</t>
        </is>
      </c>
      <c r="G3136" t="inlineStr">
        <is>
          <t>11</t>
        </is>
      </c>
      <c r="H3136" t="inlineStr">
        <is>
          <t>C</t>
        </is>
      </c>
    </row>
    <row r="3137">
      <c r="B3137" t="inlineStr">
        <is>
          <t>Hotels, Full Service</t>
        </is>
      </c>
      <c r="C3137" t="inlineStr">
        <is>
          <t>594</t>
        </is>
      </c>
      <c r="D3137" t="inlineStr">
        <is>
          <t>11</t>
        </is>
      </c>
      <c r="E3137" t="inlineStr">
        <is>
          <t>25</t>
        </is>
      </c>
      <c r="F3137" t="inlineStr">
        <is>
          <t>11</t>
        </is>
      </c>
      <c r="G3137" t="inlineStr">
        <is>
          <t>11</t>
        </is>
      </c>
      <c r="H3137" t="inlineStr">
        <is>
          <t>C</t>
        </is>
      </c>
    </row>
    <row r="3138">
      <c r="B3138" t="inlineStr">
        <is>
          <t>Shell Hotels: Full Service Buildings</t>
        </is>
      </c>
      <c r="C3138" t="inlineStr">
        <is>
          <t>778</t>
        </is>
      </c>
      <c r="D3138" t="inlineStr">
        <is>
          <t>11</t>
        </is>
      </c>
      <c r="E3138" t="inlineStr">
        <is>
          <t>26</t>
        </is>
      </c>
      <c r="F3138" t="inlineStr">
        <is>
          <t>11</t>
        </is>
      </c>
      <c r="G3138" t="inlineStr">
        <is>
          <t>11</t>
        </is>
      </c>
      <c r="H3138" t="inlineStr">
        <is>
          <t>C</t>
        </is>
      </c>
    </row>
    <row r="3139">
      <c r="B3139" t="inlineStr">
        <is>
          <t>Rooming Houses</t>
        </is>
      </c>
      <c r="C3139" t="inlineStr">
        <is>
          <t>551</t>
        </is>
      </c>
      <c r="D3139" t="inlineStr">
        <is>
          <t>11</t>
        </is>
      </c>
      <c r="E3139" t="inlineStr">
        <is>
          <t>28</t>
        </is>
      </c>
      <c r="F3139" t="inlineStr">
        <is>
          <t>11</t>
        </is>
      </c>
      <c r="G3139" t="inlineStr">
        <is>
          <t>11</t>
        </is>
      </c>
      <c r="H3139" t="inlineStr">
        <is>
          <t>R</t>
        </is>
      </c>
    </row>
    <row r="3140">
      <c r="B3140" t="inlineStr">
        <is>
          <t>Rectories</t>
        </is>
      </c>
      <c r="C3140" t="inlineStr">
        <is>
          <t>348</t>
        </is>
      </c>
      <c r="D3140" t="inlineStr">
        <is>
          <t>11</t>
        </is>
      </c>
      <c r="E3140" t="inlineStr">
        <is>
          <t>28</t>
        </is>
      </c>
      <c r="F3140" t="inlineStr">
        <is>
          <t>11</t>
        </is>
      </c>
      <c r="G3140" t="inlineStr">
        <is>
          <t>11</t>
        </is>
      </c>
      <c r="H3140" t="inlineStr">
        <is>
          <t>R</t>
        </is>
      </c>
    </row>
    <row r="3141">
      <c r="B3141" t="inlineStr">
        <is>
          <t>Fraternity Housing</t>
        </is>
      </c>
      <c r="C3141" t="inlineStr">
        <is>
          <t>324</t>
        </is>
      </c>
      <c r="D3141" t="inlineStr">
        <is>
          <t>11</t>
        </is>
      </c>
      <c r="E3141" t="inlineStr">
        <is>
          <t>28</t>
        </is>
      </c>
      <c r="F3141" t="inlineStr">
        <is>
          <t>11</t>
        </is>
      </c>
      <c r="G3141" t="inlineStr">
        <is>
          <t>11</t>
        </is>
      </c>
      <c r="H3141" t="inlineStr">
        <is>
          <t>R</t>
        </is>
      </c>
    </row>
    <row r="3142">
      <c r="B3142" t="inlineStr">
        <is>
          <t>Group Care Homes</t>
        </is>
      </c>
      <c r="C3142" t="inlineStr">
        <is>
          <t>424</t>
        </is>
      </c>
      <c r="D3142" t="inlineStr">
        <is>
          <t>11</t>
        </is>
      </c>
      <c r="E3142" t="inlineStr">
        <is>
          <t>29</t>
        </is>
      </c>
      <c r="F3142" t="inlineStr">
        <is>
          <t>11</t>
        </is>
      </c>
      <c r="G3142" t="inlineStr">
        <is>
          <t>11</t>
        </is>
      </c>
      <c r="H3142" t="inlineStr">
        <is>
          <t>R</t>
        </is>
      </c>
    </row>
    <row r="3143">
      <c r="B3143" t="inlineStr">
        <is>
          <t>Recreational (Pool) Enclosures</t>
        </is>
      </c>
      <c r="C3143" t="inlineStr">
        <is>
          <t>552</t>
        </is>
      </c>
      <c r="D3143" t="inlineStr">
        <is>
          <t>11</t>
        </is>
      </c>
      <c r="E3143" t="inlineStr">
        <is>
          <t>29</t>
        </is>
      </c>
      <c r="F3143" t="inlineStr">
        <is>
          <t>11</t>
        </is>
      </c>
      <c r="G3143" t="inlineStr">
        <is>
          <t>11</t>
        </is>
      </c>
      <c r="H3143" t="inlineStr">
        <is>
          <t>R</t>
        </is>
      </c>
    </row>
    <row r="3144">
      <c r="B3144" t="inlineStr">
        <is>
          <t>Clubhouses</t>
        </is>
      </c>
      <c r="C3144" t="inlineStr">
        <is>
          <t>311</t>
        </is>
      </c>
      <c r="D3144" t="inlineStr">
        <is>
          <t>11</t>
        </is>
      </c>
      <c r="E3144" t="inlineStr">
        <is>
          <t>30</t>
        </is>
      </c>
      <c r="F3144" t="inlineStr">
        <is>
          <t>11</t>
        </is>
      </c>
      <c r="G3144" t="inlineStr">
        <is>
          <t>11</t>
        </is>
      </c>
      <c r="H3144" t="inlineStr">
        <is>
          <t>R</t>
        </is>
      </c>
    </row>
    <row r="3145">
      <c r="B3145" t="inlineStr">
        <is>
          <t>Senior (Clubhouse) Centers</t>
        </is>
      </c>
      <c r="C3145" t="inlineStr">
        <is>
          <t>985</t>
        </is>
      </c>
      <c r="D3145" t="inlineStr">
        <is>
          <t>11</t>
        </is>
      </c>
      <c r="E3145" t="inlineStr">
        <is>
          <t>30</t>
        </is>
      </c>
      <c r="F3145" t="inlineStr">
        <is>
          <t>11</t>
        </is>
      </c>
      <c r="G3145" t="inlineStr">
        <is>
          <t>11</t>
        </is>
      </c>
      <c r="H3145" t="inlineStr">
        <is>
          <t>R</t>
        </is>
      </c>
    </row>
    <row r="3146">
      <c r="B3146" t="inlineStr">
        <is>
          <t>Country Clubs</t>
        </is>
      </c>
      <c r="C3146" t="inlineStr">
        <is>
          <t>314</t>
        </is>
      </c>
      <c r="D3146" t="inlineStr">
        <is>
          <t>11</t>
        </is>
      </c>
      <c r="E3146" t="inlineStr">
        <is>
          <t>31</t>
        </is>
      </c>
      <c r="F3146" t="inlineStr">
        <is>
          <t>11</t>
        </is>
      </c>
      <c r="G3146" t="inlineStr">
        <is>
          <t>11</t>
        </is>
      </c>
      <c r="H3146" t="inlineStr">
        <is>
          <t>R</t>
        </is>
      </c>
    </row>
    <row r="3147">
      <c r="B3147" t="inlineStr">
        <is>
          <t>Health Clubs (Spas)</t>
        </is>
      </c>
      <c r="C3147" t="inlineStr">
        <is>
          <t>418</t>
        </is>
      </c>
      <c r="D3147" t="inlineStr">
        <is>
          <t>11</t>
        </is>
      </c>
      <c r="E3147" t="inlineStr">
        <is>
          <t>31</t>
        </is>
      </c>
      <c r="F3147" t="inlineStr">
        <is>
          <t>11</t>
        </is>
      </c>
      <c r="G3147" t="inlineStr">
        <is>
          <t>11</t>
        </is>
      </c>
      <c r="H3147" t="inlineStr">
        <is>
          <t>R</t>
        </is>
      </c>
    </row>
    <row r="3148">
      <c r="B3148" t="inlineStr">
        <is>
          <t>Mortuaries / Funeral Homes</t>
        </is>
      </c>
      <c r="C3148" t="inlineStr">
        <is>
          <t>342</t>
        </is>
      </c>
      <c r="D3148" t="inlineStr">
        <is>
          <t>11</t>
        </is>
      </c>
      <c r="E3148" t="inlineStr">
        <is>
          <t>32</t>
        </is>
      </c>
      <c r="F3148" t="inlineStr">
        <is>
          <t>11</t>
        </is>
      </c>
      <c r="G3148" t="inlineStr">
        <is>
          <t>11</t>
        </is>
      </c>
      <c r="H3148" t="inlineStr">
        <is>
          <t>R</t>
        </is>
      </c>
    </row>
    <row r="3149">
      <c r="B3149" t="inlineStr">
        <is>
          <t>High-Rise Row (Town) Houses</t>
        </is>
      </c>
      <c r="C3149" t="inlineStr">
        <is>
          <t>177</t>
        </is>
      </c>
      <c r="D3149" t="inlineStr">
        <is>
          <t>11</t>
        </is>
      </c>
      <c r="E3149" t="inlineStr">
        <is>
          <t>33</t>
        </is>
      </c>
      <c r="F3149" t="inlineStr">
        <is>
          <t>11</t>
        </is>
      </c>
      <c r="G3149" t="inlineStr">
        <is>
          <t>11</t>
        </is>
      </c>
      <c r="H3149" t="inlineStr">
        <is>
          <t>R</t>
        </is>
      </c>
    </row>
    <row r="3150">
      <c r="B3150" t="inlineStr">
        <is>
          <t>Motels</t>
        </is>
      </c>
      <c r="C3150" t="inlineStr">
        <is>
          <t>343</t>
        </is>
      </c>
      <c r="D3150" t="inlineStr">
        <is>
          <t>12</t>
        </is>
      </c>
      <c r="E3150" t="inlineStr">
        <is>
          <t>9</t>
        </is>
      </c>
      <c r="F3150" t="inlineStr">
        <is>
          <t>-</t>
        </is>
      </c>
      <c r="G3150" t="inlineStr">
        <is>
          <t>12</t>
        </is>
      </c>
      <c r="H3150" t="inlineStr">
        <is>
          <t>C</t>
        </is>
      </c>
    </row>
    <row r="3151">
      <c r="B3151" t="inlineStr">
        <is>
          <t>Shell Motels</t>
        </is>
      </c>
      <c r="C3151" t="inlineStr">
        <is>
          <t>780</t>
        </is>
      </c>
      <c r="D3151" t="inlineStr">
        <is>
          <t>12</t>
        </is>
      </c>
      <c r="E3151" t="inlineStr">
        <is>
          <t>10</t>
        </is>
      </c>
      <c r="F3151" t="inlineStr">
        <is>
          <t>-</t>
        </is>
      </c>
      <c r="G3151" t="inlineStr">
        <is>
          <t>12</t>
        </is>
      </c>
      <c r="H3151" t="inlineStr">
        <is>
          <t>C</t>
        </is>
      </c>
    </row>
    <row r="3152">
      <c r="B3152" t="inlineStr">
        <is>
          <t>Extended-Stay Motels</t>
        </is>
      </c>
      <c r="C3152" t="inlineStr">
        <is>
          <t>588</t>
        </is>
      </c>
      <c r="D3152" t="inlineStr">
        <is>
          <t>12</t>
        </is>
      </c>
      <c r="E3152" t="inlineStr">
        <is>
          <t>11</t>
        </is>
      </c>
      <c r="F3152" t="inlineStr">
        <is>
          <t>-</t>
        </is>
      </c>
      <c r="G3152" t="inlineStr">
        <is>
          <t>12</t>
        </is>
      </c>
      <c r="H3152" t="inlineStr">
        <is>
          <t>C</t>
        </is>
      </c>
    </row>
    <row r="3153">
      <c r="B3153" t="inlineStr">
        <is>
          <t>Shell Extended Stay - Motels</t>
        </is>
      </c>
      <c r="C3153" t="inlineStr">
        <is>
          <t>781</t>
        </is>
      </c>
      <c r="D3153" t="inlineStr">
        <is>
          <t>12</t>
        </is>
      </c>
      <c r="E3153" t="inlineStr">
        <is>
          <t>12</t>
        </is>
      </c>
      <c r="F3153" t="inlineStr">
        <is>
          <t>-</t>
        </is>
      </c>
      <c r="G3153" t="inlineStr">
        <is>
          <t>12</t>
        </is>
      </c>
      <c r="H3153" t="inlineStr">
        <is>
          <t>C</t>
        </is>
      </c>
    </row>
    <row r="3154">
      <c r="B3154" t="inlineStr">
        <is>
          <t>Office-Apartments</t>
        </is>
      </c>
      <c r="C3154" t="inlineStr">
        <is>
          <t>544</t>
        </is>
      </c>
      <c r="D3154" t="inlineStr">
        <is>
          <t>12</t>
        </is>
      </c>
      <c r="E3154" t="inlineStr">
        <is>
          <t>13</t>
        </is>
      </c>
      <c r="F3154" t="inlineStr">
        <is>
          <t>-</t>
        </is>
      </c>
      <c r="G3154" t="inlineStr">
        <is>
          <t>12</t>
        </is>
      </c>
      <c r="H3154" t="inlineStr">
        <is>
          <t>R</t>
        </is>
      </c>
    </row>
    <row r="3155">
      <c r="B3155" t="inlineStr">
        <is>
          <t>Motel Guest Rooms</t>
        </is>
      </c>
      <c r="C3155" t="inlineStr">
        <is>
          <t>540</t>
        </is>
      </c>
      <c r="D3155" t="inlineStr">
        <is>
          <t>12</t>
        </is>
      </c>
      <c r="E3155" t="inlineStr">
        <is>
          <t>13</t>
        </is>
      </c>
      <c r="F3155" t="inlineStr">
        <is>
          <t>-</t>
        </is>
      </c>
      <c r="G3155" t="inlineStr">
        <is>
          <t>12</t>
        </is>
      </c>
      <c r="H3155" t="inlineStr">
        <is>
          <t>C</t>
        </is>
      </c>
    </row>
    <row r="3156">
      <c r="B3156" t="inlineStr">
        <is>
          <t>Lodges</t>
        </is>
      </c>
      <c r="C3156" t="inlineStr">
        <is>
          <t>537</t>
        </is>
      </c>
      <c r="D3156" t="inlineStr">
        <is>
          <t>12</t>
        </is>
      </c>
      <c r="E3156" t="inlineStr">
        <is>
          <t>14</t>
        </is>
      </c>
      <c r="F3156" t="inlineStr">
        <is>
          <t>-</t>
        </is>
      </c>
      <c r="G3156" t="inlineStr">
        <is>
          <t>12</t>
        </is>
      </c>
      <c r="H3156" t="inlineStr">
        <is>
          <t>C</t>
        </is>
      </c>
    </row>
    <row r="3157">
      <c r="B3157" t="inlineStr">
        <is>
          <t>Guest Cottages</t>
        </is>
      </c>
      <c r="C3157" t="inlineStr">
        <is>
          <t>538</t>
        </is>
      </c>
      <c r="D3157" t="inlineStr">
        <is>
          <t>12</t>
        </is>
      </c>
      <c r="E3157" t="inlineStr">
        <is>
          <t>15</t>
        </is>
      </c>
      <c r="F3157" t="inlineStr">
        <is>
          <t>-</t>
        </is>
      </c>
      <c r="G3157" t="inlineStr">
        <is>
          <t>12</t>
        </is>
      </c>
      <c r="H3157" t="inlineStr">
        <is>
          <t>R</t>
        </is>
      </c>
    </row>
    <row r="3158">
      <c r="B3158" t="inlineStr">
        <is>
          <t>Bed and Breakfast Inns</t>
        </is>
      </c>
      <c r="C3158" t="inlineStr">
        <is>
          <t>539</t>
        </is>
      </c>
      <c r="D3158" t="inlineStr">
        <is>
          <t>12</t>
        </is>
      </c>
      <c r="E3158" t="inlineStr">
        <is>
          <t>15</t>
        </is>
      </c>
      <c r="F3158" t="inlineStr">
        <is>
          <t>-</t>
        </is>
      </c>
      <c r="G3158" t="inlineStr">
        <is>
          <t>12</t>
        </is>
      </c>
      <c r="H3158" t="inlineStr">
        <is>
          <t>R</t>
        </is>
      </c>
    </row>
    <row r="3159">
      <c r="B3159" t="inlineStr">
        <is>
          <t>Multiple Residences</t>
        </is>
      </c>
      <c r="C3159" t="inlineStr">
        <is>
          <t>352</t>
        </is>
      </c>
      <c r="D3159" t="inlineStr">
        <is>
          <t>12</t>
        </is>
      </c>
      <c r="E3159" t="inlineStr">
        <is>
          <t>16</t>
        </is>
      </c>
      <c r="F3159" t="inlineStr">
        <is>
          <t>-</t>
        </is>
      </c>
      <c r="G3159" t="inlineStr">
        <is>
          <t>12</t>
        </is>
      </c>
      <c r="H3159" t="inlineStr">
        <is>
          <t>C</t>
        </is>
      </c>
    </row>
    <row r="3160">
      <c r="B3160" t="inlineStr">
        <is>
          <t>Shell Multiple Residence Buildings</t>
        </is>
      </c>
      <c r="C3160" t="inlineStr">
        <is>
          <t>587</t>
        </is>
      </c>
      <c r="D3160" t="inlineStr">
        <is>
          <t>12</t>
        </is>
      </c>
      <c r="E3160" t="inlineStr">
        <is>
          <t>17</t>
        </is>
      </c>
      <c r="F3160" t="inlineStr">
        <is>
          <t>-</t>
        </is>
      </c>
      <c r="G3160" t="inlineStr">
        <is>
          <t>12</t>
        </is>
      </c>
      <c r="H3160" t="inlineStr">
        <is>
          <t>C</t>
        </is>
      </c>
    </row>
    <row r="3161">
      <c r="B3161" t="inlineStr">
        <is>
          <t>Multiple Residences – Senior Citizen</t>
        </is>
      </c>
      <c r="C3161" t="inlineStr">
        <is>
          <t>451</t>
        </is>
      </c>
      <c r="D3161" t="inlineStr">
        <is>
          <t>12</t>
        </is>
      </c>
      <c r="E3161" t="inlineStr">
        <is>
          <t>18</t>
        </is>
      </c>
      <c r="F3161" t="inlineStr">
        <is>
          <t>-</t>
        </is>
      </c>
      <c r="G3161" t="inlineStr">
        <is>
          <t>12</t>
        </is>
      </c>
      <c r="H3161" t="inlineStr">
        <is>
          <t>C</t>
        </is>
      </c>
    </row>
    <row r="3162">
      <c r="B3162" t="inlineStr">
        <is>
          <t>Shell Multiple Residences - Senior Citizen</t>
        </is>
      </c>
      <c r="C3162" t="inlineStr">
        <is>
          <t>784</t>
        </is>
      </c>
      <c r="D3162" t="inlineStr">
        <is>
          <t>12</t>
        </is>
      </c>
      <c r="E3162" t="inlineStr">
        <is>
          <t>19</t>
        </is>
      </c>
      <c r="F3162" t="inlineStr">
        <is>
          <t>-</t>
        </is>
      </c>
      <c r="G3162" t="inlineStr">
        <is>
          <t>12</t>
        </is>
      </c>
      <c r="H3162" t="inlineStr">
        <is>
          <t>C</t>
        </is>
      </c>
    </row>
    <row r="3163">
      <c r="B3163" t="inlineStr">
        <is>
          <t>Multiple Residences – Elderly Assisted Living</t>
        </is>
      </c>
      <c r="C3163" t="inlineStr">
        <is>
          <t>589</t>
        </is>
      </c>
      <c r="D3163" t="inlineStr">
        <is>
          <t>12</t>
        </is>
      </c>
      <c r="E3163" t="inlineStr">
        <is>
          <t>20</t>
        </is>
      </c>
      <c r="F3163" t="inlineStr">
        <is>
          <t>-</t>
        </is>
      </c>
      <c r="G3163" t="inlineStr">
        <is>
          <t>12</t>
        </is>
      </c>
      <c r="H3163" t="inlineStr">
        <is>
          <t>C</t>
        </is>
      </c>
    </row>
    <row r="3164">
      <c r="B3164" t="inlineStr">
        <is>
          <t>Shell Multiple Residences - Elderly Assisted Living</t>
        </is>
      </c>
      <c r="C3164" t="inlineStr">
        <is>
          <t>782</t>
        </is>
      </c>
      <c r="D3164" t="inlineStr">
        <is>
          <t>12</t>
        </is>
      </c>
      <c r="E3164" t="inlineStr">
        <is>
          <t>21</t>
        </is>
      </c>
      <c r="F3164" t="inlineStr">
        <is>
          <t>-</t>
        </is>
      </c>
      <c r="G3164" t="inlineStr">
        <is>
          <t>12</t>
        </is>
      </c>
      <c r="H3164" t="inlineStr">
        <is>
          <t>C</t>
        </is>
      </c>
    </row>
    <row r="3165">
      <c r="B3165" t="inlineStr">
        <is>
          <t>Multiple Residences – Retirement Community Complex</t>
        </is>
      </c>
      <c r="C3165" t="inlineStr">
        <is>
          <t>710</t>
        </is>
      </c>
      <c r="D3165" t="inlineStr">
        <is>
          <t>12</t>
        </is>
      </c>
      <c r="E3165" t="inlineStr">
        <is>
          <t>22</t>
        </is>
      </c>
      <c r="F3165" t="inlineStr">
        <is>
          <t>-</t>
        </is>
      </c>
      <c r="G3165" t="inlineStr">
        <is>
          <t>12</t>
        </is>
      </c>
      <c r="H3165" t="inlineStr">
        <is>
          <t>C</t>
        </is>
      </c>
    </row>
    <row r="3166">
      <c r="B3166" t="inlineStr">
        <is>
          <t>Shell Multiple Residences - Retirement Community Complex</t>
        </is>
      </c>
      <c r="C3166" t="inlineStr">
        <is>
          <t>783</t>
        </is>
      </c>
      <c r="D3166" t="inlineStr">
        <is>
          <t>12</t>
        </is>
      </c>
      <c r="E3166" t="inlineStr">
        <is>
          <t>23</t>
        </is>
      </c>
      <c r="F3166" t="inlineStr">
        <is>
          <t>-</t>
        </is>
      </c>
      <c r="G3166" t="inlineStr">
        <is>
          <t>12</t>
        </is>
      </c>
      <c r="H3166" t="inlineStr">
        <is>
          <t>C</t>
        </is>
      </c>
    </row>
    <row r="3167">
      <c r="B3167" t="inlineStr">
        <is>
          <t>Single-Family Residences</t>
        </is>
      </c>
      <c r="C3167" t="inlineStr">
        <is>
          <t>351</t>
        </is>
      </c>
      <c r="D3167" t="inlineStr">
        <is>
          <t>12</t>
        </is>
      </c>
      <c r="E3167" t="inlineStr">
        <is>
          <t>25</t>
        </is>
      </c>
      <c r="F3167" t="inlineStr">
        <is>
          <t>-</t>
        </is>
      </c>
      <c r="G3167" t="inlineStr">
        <is>
          <t>12</t>
        </is>
      </c>
      <c r="H3167" t="inlineStr">
        <is>
          <t>R</t>
        </is>
      </c>
    </row>
    <row r="3168">
      <c r="B3168" t="inlineStr">
        <is>
          <t>Guest Houses</t>
        </is>
      </c>
      <c r="C3168" t="inlineStr"/>
      <c r="D3168" t="inlineStr">
        <is>
          <t>12</t>
        </is>
      </c>
      <c r="E3168" t="inlineStr">
        <is>
          <t>29</t>
        </is>
      </c>
      <c r="F3168" t="inlineStr">
        <is>
          <t>-</t>
        </is>
      </c>
      <c r="G3168" t="inlineStr">
        <is>
          <t>12</t>
        </is>
      </c>
      <c r="H3168" t="inlineStr">
        <is>
          <t>R</t>
        </is>
      </c>
    </row>
    <row r="3169">
      <c r="B3169" t="inlineStr">
        <is>
          <t>Log Homes</t>
        </is>
      </c>
      <c r="C3169" t="inlineStr">
        <is>
          <t>445</t>
        </is>
      </c>
      <c r="D3169" t="inlineStr">
        <is>
          <t>12</t>
        </is>
      </c>
      <c r="E3169" t="inlineStr">
        <is>
          <t>30</t>
        </is>
      </c>
      <c r="F3169" t="inlineStr">
        <is>
          <t>-</t>
        </is>
      </c>
      <c r="G3169" t="inlineStr">
        <is>
          <t>12</t>
        </is>
      </c>
      <c r="H3169" t="inlineStr">
        <is>
          <t>R</t>
        </is>
      </c>
    </row>
    <row r="3170">
      <c r="B3170" t="inlineStr">
        <is>
          <t>Town Houses</t>
        </is>
      </c>
      <c r="C3170" t="inlineStr">
        <is>
          <t>401</t>
        </is>
      </c>
      <c r="D3170" t="inlineStr">
        <is>
          <t>12</t>
        </is>
      </c>
      <c r="E3170" t="inlineStr">
        <is>
          <t>31</t>
        </is>
      </c>
      <c r="F3170" t="inlineStr">
        <is>
          <t>-</t>
        </is>
      </c>
      <c r="G3170" t="inlineStr">
        <is>
          <t>12</t>
        </is>
      </c>
      <c r="H3170" t="inlineStr">
        <is>
          <t>R</t>
        </is>
      </c>
    </row>
    <row r="3171">
      <c r="B3171" t="inlineStr">
        <is>
          <t>Senior Citizen Town Houses</t>
        </is>
      </c>
      <c r="C3171" t="inlineStr">
        <is>
          <t>546</t>
        </is>
      </c>
      <c r="D3171" t="inlineStr">
        <is>
          <t>12</t>
        </is>
      </c>
      <c r="E3171" t="inlineStr">
        <is>
          <t>32</t>
        </is>
      </c>
      <c r="F3171" t="inlineStr">
        <is>
          <t>-</t>
        </is>
      </c>
      <c r="G3171" t="inlineStr">
        <is>
          <t>12</t>
        </is>
      </c>
      <c r="H3171" t="inlineStr">
        <is>
          <t>R</t>
        </is>
      </c>
    </row>
    <row r="3172">
      <c r="B3172" t="inlineStr">
        <is>
          <t>Urban Row (Town) Houses</t>
        </is>
      </c>
      <c r="C3172" t="inlineStr">
        <is>
          <t>549</t>
        </is>
      </c>
      <c r="D3172" t="inlineStr">
        <is>
          <t>12</t>
        </is>
      </c>
      <c r="E3172" t="inlineStr">
        <is>
          <t>33</t>
        </is>
      </c>
      <c r="F3172" t="inlineStr">
        <is>
          <t>-</t>
        </is>
      </c>
      <c r="G3172" t="inlineStr">
        <is>
          <t>12</t>
        </is>
      </c>
      <c r="H3172" t="inlineStr">
        <is>
          <t>R</t>
        </is>
      </c>
    </row>
    <row r="3173">
      <c r="B3173" t="inlineStr">
        <is>
          <t>Shell Town House Buildings</t>
        </is>
      </c>
      <c r="C3173" t="inlineStr">
        <is>
          <t>774</t>
        </is>
      </c>
      <c r="D3173" t="inlineStr">
        <is>
          <t>12</t>
        </is>
      </c>
      <c r="E3173" t="inlineStr">
        <is>
          <t>34</t>
        </is>
      </c>
      <c r="F3173" t="inlineStr">
        <is>
          <t>-</t>
        </is>
      </c>
      <c r="G3173" t="inlineStr">
        <is>
          <t>12</t>
        </is>
      </c>
      <c r="H3173" t="inlineStr">
        <is>
          <t>R</t>
        </is>
      </c>
    </row>
    <row r="3174">
      <c r="B3174" t="inlineStr">
        <is>
          <t>Bars/Taverns</t>
        </is>
      </c>
      <c r="C3174" t="inlineStr">
        <is>
          <t>442</t>
        </is>
      </c>
      <c r="D3174" t="inlineStr">
        <is>
          <t>13</t>
        </is>
      </c>
      <c r="E3174" t="inlineStr">
        <is>
          <t>13</t>
        </is>
      </c>
      <c r="F3174" t="inlineStr">
        <is>
          <t>13</t>
        </is>
      </c>
      <c r="G3174" t="inlineStr">
        <is>
          <t>13</t>
        </is>
      </c>
      <c r="H3174" t="inlineStr">
        <is>
          <t>C</t>
        </is>
      </c>
    </row>
    <row r="3175">
      <c r="B3175" t="inlineStr">
        <is>
          <t>Cocktail Lounges</t>
        </is>
      </c>
      <c r="C3175" t="inlineStr">
        <is>
          <t>441</t>
        </is>
      </c>
      <c r="D3175" t="inlineStr">
        <is>
          <t>13</t>
        </is>
      </c>
      <c r="E3175" t="inlineStr">
        <is>
          <t>13</t>
        </is>
      </c>
      <c r="F3175" t="inlineStr">
        <is>
          <t>13</t>
        </is>
      </c>
      <c r="G3175" t="inlineStr">
        <is>
          <t>13</t>
        </is>
      </c>
      <c r="H3175" t="inlineStr">
        <is>
          <t>C</t>
        </is>
      </c>
    </row>
    <row r="3176">
      <c r="B3176" t="inlineStr">
        <is>
          <t>Restaurants</t>
        </is>
      </c>
      <c r="C3176" t="inlineStr">
        <is>
          <t>350</t>
        </is>
      </c>
      <c r="D3176" t="inlineStr">
        <is>
          <t>13</t>
        </is>
      </c>
      <c r="E3176" t="inlineStr">
        <is>
          <t>14</t>
        </is>
      </c>
      <c r="F3176" t="inlineStr">
        <is>
          <t>13</t>
        </is>
      </c>
      <c r="G3176" t="inlineStr">
        <is>
          <t>13</t>
        </is>
      </c>
      <c r="H3176" t="inlineStr">
        <is>
          <t>C</t>
        </is>
      </c>
    </row>
    <row r="3177">
      <c r="B3177" t="inlineStr">
        <is>
          <t>Restaurants – Cafeterias</t>
        </is>
      </c>
      <c r="C3177" t="inlineStr">
        <is>
          <t>530</t>
        </is>
      </c>
      <c r="D3177" t="inlineStr">
        <is>
          <t>13</t>
        </is>
      </c>
      <c r="E3177" t="inlineStr">
        <is>
          <t>15</t>
        </is>
      </c>
      <c r="F3177" t="inlineStr">
        <is>
          <t>13</t>
        </is>
      </c>
      <c r="G3177" t="inlineStr">
        <is>
          <t>13</t>
        </is>
      </c>
      <c r="H3177" t="inlineStr">
        <is>
          <t>C</t>
        </is>
      </c>
    </row>
    <row r="3178">
      <c r="B3178" t="inlineStr">
        <is>
          <t>Truck Stop Restaurants</t>
        </is>
      </c>
      <c r="C3178" t="inlineStr">
        <is>
          <t>580</t>
        </is>
      </c>
      <c r="D3178" t="inlineStr">
        <is>
          <t>13</t>
        </is>
      </c>
      <c r="E3178" t="inlineStr">
        <is>
          <t>16</t>
        </is>
      </c>
      <c r="F3178" t="inlineStr">
        <is>
          <t>13</t>
        </is>
      </c>
      <c r="G3178" t="inlineStr">
        <is>
          <t>13</t>
        </is>
      </c>
      <c r="H3178" t="inlineStr">
        <is>
          <t>C</t>
        </is>
      </c>
    </row>
    <row r="3179">
      <c r="B3179" t="inlineStr">
        <is>
          <t>Dining Atriums/Play Rooms</t>
        </is>
      </c>
      <c r="C3179" t="inlineStr">
        <is>
          <t>575</t>
        </is>
      </c>
      <c r="D3179" t="inlineStr">
        <is>
          <t>13</t>
        </is>
      </c>
      <c r="E3179" t="inlineStr">
        <is>
          <t>16</t>
        </is>
      </c>
      <c r="F3179" t="inlineStr">
        <is>
          <t>13</t>
        </is>
      </c>
      <c r="G3179" t="inlineStr">
        <is>
          <t>13</t>
        </is>
      </c>
      <c r="H3179" t="inlineStr">
        <is>
          <t>C</t>
        </is>
      </c>
    </row>
    <row r="3180">
      <c r="B3180" t="inlineStr">
        <is>
          <t>Restaurants – Fast Food</t>
        </is>
      </c>
      <c r="C3180" t="inlineStr">
        <is>
          <t>349</t>
        </is>
      </c>
      <c r="D3180" t="inlineStr">
        <is>
          <t>13</t>
        </is>
      </c>
      <c r="E3180" t="inlineStr">
        <is>
          <t>17</t>
        </is>
      </c>
      <c r="F3180" t="inlineStr">
        <is>
          <t>13</t>
        </is>
      </c>
      <c r="G3180" t="inlineStr">
        <is>
          <t>13</t>
        </is>
      </c>
      <c r="H3180" t="inlineStr">
        <is>
          <t>C</t>
        </is>
      </c>
    </row>
    <row r="3181">
      <c r="B3181" t="inlineStr">
        <is>
          <t>Snack Bars</t>
        </is>
      </c>
      <c r="C3181" t="inlineStr">
        <is>
          <t>529</t>
        </is>
      </c>
      <c r="D3181" t="inlineStr">
        <is>
          <t>13</t>
        </is>
      </c>
      <c r="E3181" t="inlineStr">
        <is>
          <t>18</t>
        </is>
      </c>
      <c r="F3181" t="inlineStr">
        <is>
          <t>13</t>
        </is>
      </c>
      <c r="G3181" t="inlineStr">
        <is>
          <t>13</t>
        </is>
      </c>
      <c r="H3181" t="inlineStr">
        <is>
          <t>C</t>
        </is>
      </c>
    </row>
    <row r="3182">
      <c r="B3182" t="inlineStr">
        <is>
          <t>Banquet Halls</t>
        </is>
      </c>
      <c r="C3182" t="inlineStr">
        <is>
          <t>718</t>
        </is>
      </c>
      <c r="D3182" t="inlineStr">
        <is>
          <t>13</t>
        </is>
      </c>
      <c r="E3182" t="inlineStr">
        <is>
          <t>19</t>
        </is>
      </c>
      <c r="F3182" t="inlineStr">
        <is>
          <t>13</t>
        </is>
      </c>
      <c r="G3182" t="inlineStr">
        <is>
          <t>13</t>
        </is>
      </c>
      <c r="H3182" t="inlineStr">
        <is>
          <t>C</t>
        </is>
      </c>
    </row>
    <row r="3183">
      <c r="B3183" t="inlineStr">
        <is>
          <t>Modular Restaurants – Diners</t>
        </is>
      </c>
      <c r="C3183" t="inlineStr">
        <is>
          <t>719</t>
        </is>
      </c>
      <c r="D3183" t="inlineStr">
        <is>
          <t>13</t>
        </is>
      </c>
      <c r="E3183" t="inlineStr">
        <is>
          <t>19</t>
        </is>
      </c>
      <c r="F3183" t="inlineStr">
        <is>
          <t>13</t>
        </is>
      </c>
      <c r="G3183" t="inlineStr">
        <is>
          <t>13</t>
        </is>
      </c>
      <c r="H3183" t="inlineStr">
        <is>
          <t>C</t>
        </is>
      </c>
    </row>
    <row r="3184">
      <c r="B3184" t="inlineStr">
        <is>
          <t>Supermarkets</t>
        </is>
      </c>
      <c r="C3184" t="inlineStr">
        <is>
          <t>446</t>
        </is>
      </c>
      <c r="D3184" t="inlineStr">
        <is>
          <t>13</t>
        </is>
      </c>
      <c r="E3184" t="inlineStr">
        <is>
          <t>20</t>
        </is>
      </c>
      <c r="F3184" t="inlineStr">
        <is>
          <t>13</t>
        </is>
      </c>
      <c r="G3184" t="inlineStr">
        <is>
          <t>13</t>
        </is>
      </c>
      <c r="H3184" t="inlineStr">
        <is>
          <t>C</t>
        </is>
      </c>
    </row>
    <row r="3185">
      <c r="B3185" t="inlineStr">
        <is>
          <t>Drug Stores</t>
        </is>
      </c>
      <c r="C3185" t="inlineStr">
        <is>
          <t>511</t>
        </is>
      </c>
      <c r="D3185" t="inlineStr">
        <is>
          <t>13</t>
        </is>
      </c>
      <c r="E3185" t="inlineStr">
        <is>
          <t>20</t>
        </is>
      </c>
      <c r="F3185" t="inlineStr">
        <is>
          <t>13</t>
        </is>
      </c>
      <c r="G3185" t="inlineStr">
        <is>
          <t>13</t>
        </is>
      </c>
      <c r="H3185" t="inlineStr">
        <is>
          <t>C</t>
        </is>
      </c>
    </row>
    <row r="3186">
      <c r="B3186" t="inlineStr">
        <is>
          <t>Markets</t>
        </is>
      </c>
      <c r="C3186" t="inlineStr">
        <is>
          <t>340</t>
        </is>
      </c>
      <c r="D3186" t="inlineStr">
        <is>
          <t>13</t>
        </is>
      </c>
      <c r="E3186" t="inlineStr">
        <is>
          <t>21</t>
        </is>
      </c>
      <c r="F3186" t="inlineStr">
        <is>
          <t>13</t>
        </is>
      </c>
      <c r="G3186" t="inlineStr">
        <is>
          <t>13</t>
        </is>
      </c>
      <c r="H3186" t="inlineStr">
        <is>
          <t>C</t>
        </is>
      </c>
    </row>
    <row r="3187">
      <c r="B3187" t="inlineStr">
        <is>
          <t>Florist Shops</t>
        </is>
      </c>
      <c r="C3187" t="inlineStr">
        <is>
          <t>532</t>
        </is>
      </c>
      <c r="D3187" t="inlineStr">
        <is>
          <t>13</t>
        </is>
      </c>
      <c r="E3187" t="inlineStr">
        <is>
          <t>21</t>
        </is>
      </c>
      <c r="F3187" t="inlineStr">
        <is>
          <t>13</t>
        </is>
      </c>
      <c r="G3187" t="inlineStr">
        <is>
          <t>13</t>
        </is>
      </c>
      <c r="H3187" t="inlineStr">
        <is>
          <t>C</t>
        </is>
      </c>
    </row>
    <row r="3188">
      <c r="B3188" t="inlineStr">
        <is>
          <t>Convenience Stores</t>
        </is>
      </c>
      <c r="C3188" t="inlineStr">
        <is>
          <t>419</t>
        </is>
      </c>
      <c r="D3188" t="inlineStr">
        <is>
          <t>13</t>
        </is>
      </c>
      <c r="E3188" t="inlineStr">
        <is>
          <t>22</t>
        </is>
      </c>
      <c r="F3188" t="inlineStr">
        <is>
          <t>13</t>
        </is>
      </c>
      <c r="G3188" t="inlineStr">
        <is>
          <t>13</t>
        </is>
      </c>
      <c r="H3188" t="inlineStr">
        <is>
          <t>C</t>
        </is>
      </c>
    </row>
    <row r="3189">
      <c r="B3189" t="inlineStr">
        <is>
          <t>Mini-Mart Convenience Stores</t>
        </is>
      </c>
      <c r="C3189" t="inlineStr">
        <is>
          <t>531</t>
        </is>
      </c>
      <c r="D3189" t="inlineStr">
        <is>
          <t>13</t>
        </is>
      </c>
      <c r="E3189" t="inlineStr">
        <is>
          <t>22</t>
        </is>
      </c>
      <c r="F3189" t="inlineStr">
        <is>
          <t>13</t>
        </is>
      </c>
      <c r="G3189" t="inlineStr">
        <is>
          <t>13</t>
        </is>
      </c>
      <c r="H3189" t="inlineStr">
        <is>
          <t>C</t>
        </is>
      </c>
    </row>
    <row r="3190">
      <c r="B3190" t="inlineStr">
        <is>
          <t>Roadside Markets</t>
        </is>
      </c>
      <c r="C3190" t="inlineStr">
        <is>
          <t>586</t>
        </is>
      </c>
      <c r="D3190" t="inlineStr">
        <is>
          <t>13</t>
        </is>
      </c>
      <c r="E3190" t="inlineStr">
        <is>
          <t>23</t>
        </is>
      </c>
      <c r="F3190" t="inlineStr">
        <is>
          <t>13</t>
        </is>
      </c>
      <c r="G3190" t="inlineStr">
        <is>
          <t>13</t>
        </is>
      </c>
      <c r="H3190" t="inlineStr">
        <is>
          <t>C</t>
        </is>
      </c>
    </row>
    <row r="3191">
      <c r="B3191" t="inlineStr">
        <is>
          <t>Luxury Boutiques</t>
        </is>
      </c>
      <c r="C3191" t="inlineStr">
        <is>
          <t>512</t>
        </is>
      </c>
      <c r="D3191" t="inlineStr">
        <is>
          <t>13</t>
        </is>
      </c>
      <c r="E3191" t="inlineStr">
        <is>
          <t>24</t>
        </is>
      </c>
      <c r="F3191" t="inlineStr">
        <is>
          <t>13</t>
        </is>
      </c>
      <c r="G3191" t="inlineStr">
        <is>
          <t>13</t>
        </is>
      </c>
      <c r="H3191" t="inlineStr">
        <is>
          <t>C</t>
        </is>
      </c>
    </row>
    <row r="3192">
      <c r="B3192" t="inlineStr">
        <is>
          <t>Winery (Tasting – Display) Shops</t>
        </is>
      </c>
      <c r="C3192" t="inlineStr">
        <is>
          <t>127</t>
        </is>
      </c>
      <c r="D3192" t="inlineStr">
        <is>
          <t>13</t>
        </is>
      </c>
      <c r="E3192" t="inlineStr">
        <is>
          <t>24</t>
        </is>
      </c>
      <c r="F3192" t="inlineStr">
        <is>
          <t>13</t>
        </is>
      </c>
      <c r="G3192" t="inlineStr">
        <is>
          <t>13</t>
        </is>
      </c>
      <c r="H3192" t="inlineStr">
        <is>
          <t>C</t>
        </is>
      </c>
    </row>
    <row r="3193">
      <c r="B3193" t="inlineStr">
        <is>
          <t>Barber Shops/Beauty Salons</t>
        </is>
      </c>
      <c r="C3193" t="inlineStr">
        <is>
          <t>384</t>
        </is>
      </c>
      <c r="D3193" t="inlineStr">
        <is>
          <t>13</t>
        </is>
      </c>
      <c r="E3193" t="inlineStr">
        <is>
          <t>25</t>
        </is>
      </c>
      <c r="F3193" t="inlineStr">
        <is>
          <t>13</t>
        </is>
      </c>
      <c r="G3193" t="inlineStr">
        <is>
          <t>13</t>
        </is>
      </c>
      <c r="H3193" t="inlineStr">
        <is>
          <t>C</t>
        </is>
      </c>
    </row>
    <row r="3194">
      <c r="B3194" t="inlineStr">
        <is>
          <t>Laundromats</t>
        </is>
      </c>
      <c r="C3194" t="inlineStr">
        <is>
          <t>336</t>
        </is>
      </c>
      <c r="D3194" t="inlineStr">
        <is>
          <t>13</t>
        </is>
      </c>
      <c r="E3194" t="inlineStr">
        <is>
          <t>25</t>
        </is>
      </c>
      <c r="F3194" t="inlineStr">
        <is>
          <t>13</t>
        </is>
      </c>
      <c r="G3194" t="inlineStr">
        <is>
          <t>13</t>
        </is>
      </c>
      <c r="H3194" t="inlineStr">
        <is>
          <t>C</t>
        </is>
      </c>
    </row>
    <row r="3195">
      <c r="B3195" t="inlineStr">
        <is>
          <t>Laundry/Dry Cleaning</t>
        </is>
      </c>
      <c r="C3195" t="inlineStr">
        <is>
          <t>499</t>
        </is>
      </c>
      <c r="D3195" t="inlineStr">
        <is>
          <t>13</t>
        </is>
      </c>
      <c r="E3195" t="inlineStr">
        <is>
          <t>25</t>
        </is>
      </c>
      <c r="F3195" t="inlineStr">
        <is>
          <t>13</t>
        </is>
      </c>
      <c r="G3195" t="inlineStr">
        <is>
          <t>13</t>
        </is>
      </c>
      <c r="H3195" t="inlineStr">
        <is>
          <t>C</t>
        </is>
      </c>
    </row>
    <row r="3196">
      <c r="B3196" t="inlineStr">
        <is>
          <t>Dairy Sales</t>
        </is>
      </c>
      <c r="C3196" t="inlineStr">
        <is>
          <t>317</t>
        </is>
      </c>
      <c r="D3196" t="inlineStr">
        <is>
          <t>13</t>
        </is>
      </c>
      <c r="E3196" t="inlineStr">
        <is>
          <t>25</t>
        </is>
      </c>
      <c r="F3196" t="inlineStr">
        <is>
          <t>13</t>
        </is>
      </c>
      <c r="G3196" t="inlineStr">
        <is>
          <t>13</t>
        </is>
      </c>
      <c r="H3196" t="inlineStr">
        <is>
          <t>C</t>
        </is>
      </c>
    </row>
    <row r="3197">
      <c r="B3197" t="inlineStr">
        <is>
          <t>Retail Stores</t>
        </is>
      </c>
      <c r="C3197" t="inlineStr">
        <is>
          <t>353</t>
        </is>
      </c>
      <c r="D3197" t="inlineStr">
        <is>
          <t>13</t>
        </is>
      </c>
      <c r="E3197" t="inlineStr">
        <is>
          <t>26</t>
        </is>
      </c>
      <c r="F3197" t="inlineStr">
        <is>
          <t>13</t>
        </is>
      </c>
      <c r="G3197" t="inlineStr">
        <is>
          <t>13</t>
        </is>
      </c>
      <c r="H3197" t="inlineStr">
        <is>
          <t>C</t>
        </is>
      </c>
    </row>
    <row r="3198">
      <c r="B3198" t="inlineStr">
        <is>
          <t>Department Stores</t>
        </is>
      </c>
      <c r="C3198" t="inlineStr">
        <is>
          <t>318</t>
        </is>
      </c>
      <c r="D3198" t="inlineStr">
        <is>
          <t>13</t>
        </is>
      </c>
      <c r="E3198" t="inlineStr">
        <is>
          <t>27</t>
        </is>
      </c>
      <c r="F3198" t="inlineStr">
        <is>
          <t>13</t>
        </is>
      </c>
      <c r="G3198" t="inlineStr">
        <is>
          <t>13</t>
        </is>
      </c>
      <c r="H3198" t="inlineStr">
        <is>
          <t>C</t>
        </is>
      </c>
    </row>
    <row r="3199">
      <c r="B3199" t="inlineStr">
        <is>
          <t>Mall Anchor (Department/Big Box) Stores</t>
        </is>
      </c>
      <c r="C3199" t="inlineStr">
        <is>
          <t>700</t>
        </is>
      </c>
      <c r="D3199" t="inlineStr">
        <is>
          <t>13</t>
        </is>
      </c>
      <c r="E3199" t="inlineStr">
        <is>
          <t>27</t>
        </is>
      </c>
      <c r="F3199" t="inlineStr">
        <is>
          <t>13</t>
        </is>
      </c>
      <c r="G3199" t="inlineStr">
        <is>
          <t>13</t>
        </is>
      </c>
      <c r="H3199" t="inlineStr">
        <is>
          <t>C</t>
        </is>
      </c>
    </row>
    <row r="3200">
      <c r="B3200" t="inlineStr">
        <is>
          <t>Discount Stores</t>
        </is>
      </c>
      <c r="C3200" t="inlineStr">
        <is>
          <t>319</t>
        </is>
      </c>
      <c r="D3200" t="inlineStr">
        <is>
          <t>13</t>
        </is>
      </c>
      <c r="E3200" t="inlineStr">
        <is>
          <t>28</t>
        </is>
      </c>
      <c r="F3200" t="inlineStr">
        <is>
          <t>13</t>
        </is>
      </c>
      <c r="G3200" t="inlineStr">
        <is>
          <t>13</t>
        </is>
      </c>
      <c r="H3200" t="inlineStr">
        <is>
          <t>C</t>
        </is>
      </c>
    </row>
    <row r="3201">
      <c r="B3201" t="inlineStr">
        <is>
          <t>Warehouse Discount Stores</t>
        </is>
      </c>
      <c r="C3201" t="inlineStr">
        <is>
          <t>458</t>
        </is>
      </c>
      <c r="D3201" t="inlineStr">
        <is>
          <t>13</t>
        </is>
      </c>
      <c r="E3201" t="inlineStr">
        <is>
          <t>28</t>
        </is>
      </c>
      <c r="F3201" t="inlineStr">
        <is>
          <t>13</t>
        </is>
      </c>
      <c r="G3201" t="inlineStr">
        <is>
          <t>13</t>
        </is>
      </c>
      <c r="H3201" t="inlineStr">
        <is>
          <t>C</t>
        </is>
      </c>
    </row>
    <row r="3202">
      <c r="B3202" t="inlineStr">
        <is>
          <t>Warehouse Showroom Stores</t>
        </is>
      </c>
      <c r="C3202" t="inlineStr">
        <is>
          <t>534</t>
        </is>
      </c>
      <c r="D3202" t="inlineStr">
        <is>
          <t>13</t>
        </is>
      </c>
      <c r="E3202" t="inlineStr">
        <is>
          <t>29</t>
        </is>
      </c>
      <c r="F3202" t="inlineStr">
        <is>
          <t>13</t>
        </is>
      </c>
      <c r="G3202" t="inlineStr">
        <is>
          <t>13</t>
        </is>
      </c>
      <c r="H3202" t="inlineStr">
        <is>
          <t>C</t>
        </is>
      </c>
    </row>
    <row r="3203">
      <c r="B3203" t="inlineStr">
        <is>
          <t>Warehouse Food Stores</t>
        </is>
      </c>
      <c r="C3203" t="inlineStr">
        <is>
          <t>533</t>
        </is>
      </c>
      <c r="D3203" t="inlineStr">
        <is>
          <t>13</t>
        </is>
      </c>
      <c r="E3203" t="inlineStr">
        <is>
          <t>29</t>
        </is>
      </c>
      <c r="F3203" t="inlineStr">
        <is>
          <t>13</t>
        </is>
      </c>
      <c r="G3203" t="inlineStr">
        <is>
          <t>13</t>
        </is>
      </c>
      <c r="H3203" t="inlineStr">
        <is>
          <t>C</t>
        </is>
      </c>
    </row>
    <row r="3204">
      <c r="B3204" t="inlineStr">
        <is>
          <t>Mega Warehouse Stores</t>
        </is>
      </c>
      <c r="C3204" t="inlineStr">
        <is>
          <t>720</t>
        </is>
      </c>
      <c r="D3204" t="inlineStr">
        <is>
          <t>13</t>
        </is>
      </c>
      <c r="E3204" t="inlineStr">
        <is>
          <t>30</t>
        </is>
      </c>
      <c r="F3204" t="inlineStr">
        <is>
          <t>13</t>
        </is>
      </c>
      <c r="G3204" t="inlineStr">
        <is>
          <t>13</t>
        </is>
      </c>
      <c r="H3204" t="inlineStr">
        <is>
          <t>C</t>
        </is>
      </c>
    </row>
    <row r="3205">
      <c r="B3205" t="inlineStr">
        <is>
          <t>Neighborhood Shopping Centers</t>
        </is>
      </c>
      <c r="C3205" t="inlineStr">
        <is>
          <t>412</t>
        </is>
      </c>
      <c r="D3205" t="inlineStr">
        <is>
          <t>13</t>
        </is>
      </c>
      <c r="E3205" t="inlineStr">
        <is>
          <t>33</t>
        </is>
      </c>
      <c r="F3205" t="inlineStr">
        <is>
          <t>13</t>
        </is>
      </c>
      <c r="G3205" t="inlineStr">
        <is>
          <t>13</t>
        </is>
      </c>
      <c r="H3205" t="inlineStr">
        <is>
          <t>C</t>
        </is>
      </c>
    </row>
    <row r="3206">
      <c r="B3206" t="inlineStr">
        <is>
          <t>Mixed Retail Centers with Residential Units</t>
        </is>
      </c>
      <c r="C3206" t="inlineStr">
        <is>
          <t>459</t>
        </is>
      </c>
      <c r="D3206" t="inlineStr">
        <is>
          <t>13</t>
        </is>
      </c>
      <c r="E3206" t="inlineStr">
        <is>
          <t>33</t>
        </is>
      </c>
      <c r="F3206" t="inlineStr">
        <is>
          <t>13</t>
        </is>
      </c>
      <c r="G3206" t="inlineStr">
        <is>
          <t>13</t>
        </is>
      </c>
      <c r="H3206" t="inlineStr">
        <is>
          <t>C</t>
        </is>
      </c>
    </row>
    <row r="3207">
      <c r="B3207" t="inlineStr">
        <is>
          <t>Mixed Retail Centers with Office Units</t>
        </is>
      </c>
      <c r="C3207" t="inlineStr">
        <is>
          <t>597</t>
        </is>
      </c>
      <c r="D3207" t="inlineStr">
        <is>
          <t>13</t>
        </is>
      </c>
      <c r="E3207" t="inlineStr">
        <is>
          <t>34</t>
        </is>
      </c>
      <c r="F3207" t="inlineStr">
        <is>
          <t>13</t>
        </is>
      </c>
      <c r="G3207" t="inlineStr">
        <is>
          <t>13</t>
        </is>
      </c>
      <c r="H3207" t="inlineStr">
        <is>
          <t>C</t>
        </is>
      </c>
    </row>
    <row r="3208">
      <c r="B3208" t="inlineStr">
        <is>
          <t>Community Shopping Centers</t>
        </is>
      </c>
      <c r="C3208" t="inlineStr">
        <is>
          <t>413</t>
        </is>
      </c>
      <c r="D3208" t="inlineStr">
        <is>
          <t>13</t>
        </is>
      </c>
      <c r="E3208" t="inlineStr">
        <is>
          <t>34</t>
        </is>
      </c>
      <c r="F3208" t="inlineStr">
        <is>
          <t>13</t>
        </is>
      </c>
      <c r="G3208" t="inlineStr">
        <is>
          <t>13</t>
        </is>
      </c>
      <c r="H3208" t="inlineStr">
        <is>
          <t>C</t>
        </is>
      </c>
    </row>
    <row r="3209">
      <c r="B3209" t="inlineStr">
        <is>
          <t>Regional Discount Shopping Centers</t>
        </is>
      </c>
      <c r="C3209" t="inlineStr">
        <is>
          <t>513</t>
        </is>
      </c>
      <c r="D3209" t="inlineStr">
        <is>
          <t>13</t>
        </is>
      </c>
      <c r="E3209" t="inlineStr">
        <is>
          <t>35</t>
        </is>
      </c>
      <c r="F3209" t="inlineStr">
        <is>
          <t>13</t>
        </is>
      </c>
      <c r="G3209" t="inlineStr">
        <is>
          <t>13</t>
        </is>
      </c>
      <c r="H3209" t="inlineStr">
        <is>
          <t>C</t>
        </is>
      </c>
    </row>
    <row r="3210">
      <c r="B3210" t="inlineStr">
        <is>
          <t>Regional Shopping Centers</t>
        </is>
      </c>
      <c r="C3210" t="inlineStr">
        <is>
          <t>414</t>
        </is>
      </c>
      <c r="D3210" t="inlineStr">
        <is>
          <t>13</t>
        </is>
      </c>
      <c r="E3210" t="inlineStr">
        <is>
          <t>35</t>
        </is>
      </c>
      <c r="F3210" t="inlineStr">
        <is>
          <t>13</t>
        </is>
      </c>
      <c r="G3210" t="inlineStr">
        <is>
          <t>13</t>
        </is>
      </c>
      <c r="H3210" t="inlineStr">
        <is>
          <t>C</t>
        </is>
      </c>
    </row>
    <row r="3211">
      <c r="B3211" t="inlineStr">
        <is>
          <t>Regional Shopping Center Shell Buildings</t>
        </is>
      </c>
      <c r="C3211" t="inlineStr">
        <is>
          <t>462</t>
        </is>
      </c>
      <c r="D3211" t="inlineStr">
        <is>
          <t>13</t>
        </is>
      </c>
      <c r="E3211" t="inlineStr">
        <is>
          <t>37</t>
        </is>
      </c>
      <c r="F3211" t="inlineStr">
        <is>
          <t>13</t>
        </is>
      </c>
      <c r="G3211" t="inlineStr">
        <is>
          <t>13</t>
        </is>
      </c>
      <c r="H3211" t="inlineStr">
        <is>
          <t>C</t>
        </is>
      </c>
    </row>
    <row r="3212">
      <c r="B3212" t="inlineStr">
        <is>
          <t>Community Shopping Center Shell Buildings</t>
        </is>
      </c>
      <c r="C3212" t="inlineStr">
        <is>
          <t>461</t>
        </is>
      </c>
      <c r="D3212" t="inlineStr">
        <is>
          <t>13</t>
        </is>
      </c>
      <c r="E3212" t="inlineStr">
        <is>
          <t>37</t>
        </is>
      </c>
      <c r="F3212" t="inlineStr">
        <is>
          <t>13</t>
        </is>
      </c>
      <c r="G3212" t="inlineStr">
        <is>
          <t>13</t>
        </is>
      </c>
      <c r="H3212" t="inlineStr">
        <is>
          <t>C</t>
        </is>
      </c>
    </row>
    <row r="3213">
      <c r="B3213" t="inlineStr">
        <is>
          <t>Neighborhood Shopping Center Shell Buildings</t>
        </is>
      </c>
      <c r="C3213" t="inlineStr">
        <is>
          <t>460</t>
        </is>
      </c>
      <c r="D3213" t="inlineStr">
        <is>
          <t>13</t>
        </is>
      </c>
      <c r="E3213" t="inlineStr">
        <is>
          <t>38</t>
        </is>
      </c>
      <c r="F3213" t="inlineStr">
        <is>
          <t>13</t>
        </is>
      </c>
      <c r="G3213" t="inlineStr">
        <is>
          <t>13</t>
        </is>
      </c>
      <c r="H3213" t="inlineStr">
        <is>
          <t>C</t>
        </is>
      </c>
    </row>
    <row r="3214">
      <c r="B3214" t="inlineStr">
        <is>
          <t>Lofts</t>
        </is>
      </c>
      <c r="C3214" t="inlineStr">
        <is>
          <t>338</t>
        </is>
      </c>
      <c r="D3214" t="inlineStr">
        <is>
          <t>14</t>
        </is>
      </c>
      <c r="E3214" t="inlineStr">
        <is>
          <t>13</t>
        </is>
      </c>
      <c r="F3214" t="inlineStr">
        <is>
          <t>14</t>
        </is>
      </c>
      <c r="G3214" t="inlineStr">
        <is>
          <t>14</t>
        </is>
      </c>
      <c r="H3214" t="inlineStr">
        <is>
          <t>C</t>
        </is>
      </c>
    </row>
    <row r="3215">
      <c r="B3215" t="inlineStr">
        <is>
          <t>Industrial Flex (Mall) Buildings</t>
        </is>
      </c>
      <c r="C3215" t="inlineStr">
        <is>
          <t>453</t>
        </is>
      </c>
      <c r="D3215" t="inlineStr">
        <is>
          <t>14</t>
        </is>
      </c>
      <c r="E3215" t="inlineStr">
        <is>
          <t>13</t>
        </is>
      </c>
      <c r="F3215" t="inlineStr">
        <is>
          <t>14</t>
        </is>
      </c>
      <c r="G3215" t="inlineStr">
        <is>
          <t>14</t>
        </is>
      </c>
      <c r="H3215" t="inlineStr">
        <is>
          <t>C</t>
        </is>
      </c>
    </row>
    <row r="3216">
      <c r="B3216" t="inlineStr">
        <is>
          <t>Industrials, Light Manufacturing</t>
        </is>
      </c>
      <c r="C3216" t="inlineStr">
        <is>
          <t>494</t>
        </is>
      </c>
      <c r="D3216" t="inlineStr">
        <is>
          <t>14</t>
        </is>
      </c>
      <c r="E3216" t="inlineStr">
        <is>
          <t>14</t>
        </is>
      </c>
      <c r="F3216" t="inlineStr">
        <is>
          <t>14</t>
        </is>
      </c>
      <c r="G3216" t="inlineStr">
        <is>
          <t>14</t>
        </is>
      </c>
      <c r="H3216" t="inlineStr">
        <is>
          <t>C</t>
        </is>
      </c>
    </row>
    <row r="3217">
      <c r="B3217" t="inlineStr">
        <is>
          <t>Industrials, Heavy (Process) Manufacturing</t>
        </is>
      </c>
      <c r="C3217" t="inlineStr">
        <is>
          <t>495</t>
        </is>
      </c>
      <c r="D3217" t="inlineStr">
        <is>
          <t>14</t>
        </is>
      </c>
      <c r="E3217" t="inlineStr">
        <is>
          <t>15</t>
        </is>
      </c>
      <c r="F3217" t="inlineStr">
        <is>
          <t>14</t>
        </is>
      </c>
      <c r="G3217" t="inlineStr">
        <is>
          <t>14</t>
        </is>
      </c>
      <c r="H3217" t="inlineStr">
        <is>
          <t>C</t>
        </is>
      </c>
    </row>
    <row r="3218">
      <c r="B3218" t="inlineStr">
        <is>
          <t>Industrial, Engineering (R&amp;D) Buildings</t>
        </is>
      </c>
      <c r="C3218" t="inlineStr">
        <is>
          <t>392</t>
        </is>
      </c>
      <c r="D3218" t="inlineStr">
        <is>
          <t>14</t>
        </is>
      </c>
      <c r="E3218" t="inlineStr">
        <is>
          <t>16</t>
        </is>
      </c>
      <c r="F3218" t="inlineStr">
        <is>
          <t>14</t>
        </is>
      </c>
      <c r="G3218" t="inlineStr">
        <is>
          <t>14</t>
        </is>
      </c>
      <c r="H3218" t="inlineStr">
        <is>
          <t>C</t>
        </is>
      </c>
    </row>
    <row r="3219">
      <c r="B3219" t="inlineStr">
        <is>
          <t>Laboratory Buildings</t>
        </is>
      </c>
      <c r="C3219" t="inlineStr">
        <is>
          <t>496</t>
        </is>
      </c>
      <c r="D3219" t="inlineStr">
        <is>
          <t>14</t>
        </is>
      </c>
      <c r="E3219" t="inlineStr">
        <is>
          <t>17</t>
        </is>
      </c>
      <c r="F3219" t="inlineStr">
        <is>
          <t>14</t>
        </is>
      </c>
      <c r="G3219" t="inlineStr">
        <is>
          <t>14</t>
        </is>
      </c>
      <c r="H3219" t="inlineStr">
        <is>
          <t>C</t>
        </is>
      </c>
    </row>
    <row r="3220">
      <c r="B3220" t="inlineStr">
        <is>
          <t>Computer (Data) Centers</t>
        </is>
      </c>
      <c r="C3220" t="inlineStr">
        <is>
          <t>497</t>
        </is>
      </c>
      <c r="D3220" t="inlineStr">
        <is>
          <t>14</t>
        </is>
      </c>
      <c r="E3220" t="inlineStr">
        <is>
          <t>18</t>
        </is>
      </c>
      <c r="F3220" t="inlineStr">
        <is>
          <t>14</t>
        </is>
      </c>
      <c r="G3220" t="inlineStr">
        <is>
          <t>14</t>
        </is>
      </c>
      <c r="H3220" t="inlineStr">
        <is>
          <t>C</t>
        </is>
      </c>
    </row>
    <row r="3221">
      <c r="B3221" t="inlineStr">
        <is>
          <t>Broadcasting Facilities</t>
        </is>
      </c>
      <c r="C3221" t="inlineStr">
        <is>
          <t>498</t>
        </is>
      </c>
      <c r="D3221" t="inlineStr">
        <is>
          <t>14</t>
        </is>
      </c>
      <c r="E3221" t="inlineStr">
        <is>
          <t>19</t>
        </is>
      </c>
      <c r="F3221" t="inlineStr">
        <is>
          <t>14</t>
        </is>
      </c>
      <c r="G3221" t="inlineStr">
        <is>
          <t>14</t>
        </is>
      </c>
      <c r="H3221" t="inlineStr">
        <is>
          <t>C</t>
        </is>
      </c>
    </row>
    <row r="3222">
      <c r="B3222" t="inlineStr">
        <is>
          <t>Passenger Terminals</t>
        </is>
      </c>
      <c r="C3222" t="inlineStr">
        <is>
          <t>571</t>
        </is>
      </c>
      <c r="D3222" t="inlineStr">
        <is>
          <t>14</t>
        </is>
      </c>
      <c r="E3222" t="inlineStr">
        <is>
          <t>20</t>
        </is>
      </c>
      <c r="F3222" t="inlineStr">
        <is>
          <t>14</t>
        </is>
      </c>
      <c r="G3222" t="inlineStr">
        <is>
          <t>14</t>
        </is>
      </c>
      <c r="H3222" t="inlineStr">
        <is>
          <t>C</t>
        </is>
      </c>
    </row>
    <row r="3223">
      <c r="B3223" t="inlineStr">
        <is>
          <t>Main Post Offices</t>
        </is>
      </c>
      <c r="C3223" t="inlineStr">
        <is>
          <t>581</t>
        </is>
      </c>
      <c r="D3223" t="inlineStr">
        <is>
          <t>14</t>
        </is>
      </c>
      <c r="E3223" t="inlineStr">
        <is>
          <t>21</t>
        </is>
      </c>
      <c r="F3223" t="inlineStr">
        <is>
          <t>14</t>
        </is>
      </c>
      <c r="G3223" t="inlineStr">
        <is>
          <t>14</t>
        </is>
      </c>
      <c r="H3223" t="inlineStr">
        <is>
          <t>C</t>
        </is>
      </c>
    </row>
    <row r="3224">
      <c r="B3224" t="inlineStr">
        <is>
          <t>Mail - Processing Facilities</t>
        </is>
      </c>
      <c r="C3224" t="inlineStr">
        <is>
          <t>583</t>
        </is>
      </c>
      <c r="D3224" t="inlineStr">
        <is>
          <t>14</t>
        </is>
      </c>
      <c r="E3224" t="inlineStr">
        <is>
          <t>21</t>
        </is>
      </c>
      <c r="F3224" t="inlineStr">
        <is>
          <t>14</t>
        </is>
      </c>
      <c r="G3224" t="inlineStr">
        <is>
          <t>14</t>
        </is>
      </c>
      <c r="H3224" t="inlineStr">
        <is>
          <t>C</t>
        </is>
      </c>
    </row>
    <row r="3225">
      <c r="B3225" t="inlineStr">
        <is>
          <t>Branch Post Offices</t>
        </is>
      </c>
      <c r="C3225" t="inlineStr">
        <is>
          <t>582</t>
        </is>
      </c>
      <c r="D3225" t="inlineStr">
        <is>
          <t>14</t>
        </is>
      </c>
      <c r="E3225" t="inlineStr">
        <is>
          <t>22</t>
        </is>
      </c>
      <c r="F3225" t="inlineStr">
        <is>
          <t>14</t>
        </is>
      </c>
      <c r="G3225" t="inlineStr">
        <is>
          <t>14</t>
        </is>
      </c>
      <c r="H3225" t="inlineStr">
        <is>
          <t>C</t>
        </is>
      </c>
    </row>
    <row r="3226">
      <c r="B3226" t="inlineStr">
        <is>
          <t>Armories</t>
        </is>
      </c>
      <c r="C3226" t="inlineStr">
        <is>
          <t>301</t>
        </is>
      </c>
      <c r="D3226" t="inlineStr">
        <is>
          <t>14</t>
        </is>
      </c>
      <c r="E3226" t="inlineStr">
        <is>
          <t>22</t>
        </is>
      </c>
      <c r="F3226" t="inlineStr">
        <is>
          <t>14</t>
        </is>
      </c>
      <c r="G3226" t="inlineStr">
        <is>
          <t>14</t>
        </is>
      </c>
      <c r="H3226" t="inlineStr">
        <is>
          <t>C</t>
        </is>
      </c>
    </row>
    <row r="3227">
      <c r="B3227" t="inlineStr">
        <is>
          <t>Distribution Warehouses</t>
        </is>
      </c>
      <c r="C3227" t="inlineStr">
        <is>
          <t>407</t>
        </is>
      </c>
      <c r="D3227" t="inlineStr">
        <is>
          <t>14</t>
        </is>
      </c>
      <c r="E3227" t="inlineStr">
        <is>
          <t>23</t>
        </is>
      </c>
      <c r="F3227" t="inlineStr">
        <is>
          <t>14</t>
        </is>
      </c>
      <c r="G3227" t="inlineStr">
        <is>
          <t>14</t>
        </is>
      </c>
      <c r="H3227" t="inlineStr">
        <is>
          <t>C</t>
        </is>
      </c>
    </row>
    <row r="3228">
      <c r="B3228" t="inlineStr">
        <is>
          <t>Transit Warehouses</t>
        </is>
      </c>
      <c r="C3228" t="inlineStr">
        <is>
          <t>387</t>
        </is>
      </c>
      <c r="D3228" t="inlineStr">
        <is>
          <t>14</t>
        </is>
      </c>
      <c r="E3228" t="inlineStr">
        <is>
          <t>23</t>
        </is>
      </c>
      <c r="F3228" t="inlineStr">
        <is>
          <t>14</t>
        </is>
      </c>
      <c r="G3228" t="inlineStr">
        <is>
          <t>14</t>
        </is>
      </c>
      <c r="H3228" t="inlineStr">
        <is>
          <t>C</t>
        </is>
      </c>
    </row>
    <row r="3229">
      <c r="B3229" t="inlineStr">
        <is>
          <t>Cold Storage Facilities</t>
        </is>
      </c>
      <c r="C3229" t="inlineStr">
        <is>
          <t>447</t>
        </is>
      </c>
      <c r="D3229" t="inlineStr">
        <is>
          <t>14</t>
        </is>
      </c>
      <c r="E3229" t="inlineStr">
        <is>
          <t>24</t>
        </is>
      </c>
      <c r="F3229" t="inlineStr">
        <is>
          <t>14</t>
        </is>
      </c>
      <c r="G3229" t="inlineStr">
        <is>
          <t>14</t>
        </is>
      </c>
      <c r="H3229" t="inlineStr">
        <is>
          <t>C</t>
        </is>
      </c>
    </row>
    <row r="3230">
      <c r="B3230" t="inlineStr">
        <is>
          <t>Creameries</t>
        </is>
      </c>
      <c r="C3230" t="inlineStr">
        <is>
          <t>315</t>
        </is>
      </c>
      <c r="D3230" t="inlineStr">
        <is>
          <t>14</t>
        </is>
      </c>
      <c r="E3230" t="inlineStr">
        <is>
          <t>25</t>
        </is>
      </c>
      <c r="F3230" t="inlineStr">
        <is>
          <t>14</t>
        </is>
      </c>
      <c r="G3230" t="inlineStr">
        <is>
          <t>14</t>
        </is>
      </c>
      <c r="H3230" t="inlineStr">
        <is>
          <t>C</t>
        </is>
      </c>
    </row>
    <row r="3231">
      <c r="B3231" t="inlineStr">
        <is>
          <t>Mega (Storage/Distribution) Warehouses</t>
        </is>
      </c>
      <c r="C3231" t="inlineStr">
        <is>
          <t>584</t>
        </is>
      </c>
      <c r="D3231" t="inlineStr">
        <is>
          <t>14</t>
        </is>
      </c>
      <c r="E3231" t="inlineStr">
        <is>
          <t>25</t>
        </is>
      </c>
      <c r="F3231" t="inlineStr">
        <is>
          <t>14</t>
        </is>
      </c>
      <c r="G3231" t="inlineStr">
        <is>
          <t>14</t>
        </is>
      </c>
      <c r="H3231" t="inlineStr">
        <is>
          <t>C</t>
        </is>
      </c>
    </row>
    <row r="3232">
      <c r="B3232" t="inlineStr">
        <is>
          <t>Storage Warehouses</t>
        </is>
      </c>
      <c r="C3232" t="inlineStr">
        <is>
          <t>406</t>
        </is>
      </c>
      <c r="D3232" t="inlineStr">
        <is>
          <t>14</t>
        </is>
      </c>
      <c r="E3232" t="inlineStr">
        <is>
          <t>26</t>
        </is>
      </c>
      <c r="F3232" t="inlineStr">
        <is>
          <t>14</t>
        </is>
      </c>
      <c r="G3232" t="inlineStr">
        <is>
          <t>14</t>
        </is>
      </c>
      <c r="H3232" t="inlineStr">
        <is>
          <t>C</t>
        </is>
      </c>
    </row>
    <row r="3233">
      <c r="B3233" t="inlineStr">
        <is>
          <t>Mini-Warehouses / Self-Storage</t>
        </is>
      </c>
      <c r="C3233" t="inlineStr">
        <is>
          <t>386</t>
        </is>
      </c>
      <c r="D3233" t="inlineStr">
        <is>
          <t>14</t>
        </is>
      </c>
      <c r="E3233" t="inlineStr">
        <is>
          <t>28</t>
        </is>
      </c>
      <c r="F3233" t="inlineStr">
        <is>
          <t>14</t>
        </is>
      </c>
      <c r="G3233" t="inlineStr">
        <is>
          <t>14</t>
        </is>
      </c>
      <c r="H3233" t="inlineStr">
        <is>
          <t>C</t>
        </is>
      </c>
    </row>
    <row r="3234">
      <c r="B3234" t="inlineStr">
        <is>
          <t>Mini-Warehouses, High-Rise</t>
        </is>
      </c>
      <c r="C3234" t="inlineStr">
        <is>
          <t>525</t>
        </is>
      </c>
      <c r="D3234" t="inlineStr">
        <is>
          <t>14</t>
        </is>
      </c>
      <c r="E3234" t="inlineStr">
        <is>
          <t>28</t>
        </is>
      </c>
      <c r="F3234" t="inlineStr">
        <is>
          <t>14</t>
        </is>
      </c>
      <c r="G3234" t="inlineStr">
        <is>
          <t>14</t>
        </is>
      </c>
      <c r="H3234" t="inlineStr">
        <is>
          <t>C</t>
        </is>
      </c>
    </row>
    <row r="3235">
      <c r="B3235" t="inlineStr">
        <is>
          <t>Maintenance Hangars</t>
        </is>
      </c>
      <c r="C3235" t="inlineStr">
        <is>
          <t>329</t>
        </is>
      </c>
      <c r="D3235" t="inlineStr">
        <is>
          <t>14</t>
        </is>
      </c>
      <c r="E3235" t="inlineStr">
        <is>
          <t>29</t>
        </is>
      </c>
      <c r="F3235" t="inlineStr">
        <is>
          <t>14</t>
        </is>
      </c>
      <c r="G3235" t="inlineStr">
        <is>
          <t>14</t>
        </is>
      </c>
      <c r="H3235" t="inlineStr">
        <is>
          <t>C</t>
        </is>
      </c>
    </row>
    <row r="3236">
      <c r="B3236" t="inlineStr">
        <is>
          <t>Storage Hangars</t>
        </is>
      </c>
      <c r="C3236" t="inlineStr">
        <is>
          <t>328</t>
        </is>
      </c>
      <c r="D3236" t="inlineStr">
        <is>
          <t>14</t>
        </is>
      </c>
      <c r="E3236" t="inlineStr">
        <is>
          <t>29</t>
        </is>
      </c>
      <c r="F3236" t="inlineStr">
        <is>
          <t>14</t>
        </is>
      </c>
      <c r="G3236" t="inlineStr">
        <is>
          <t>14</t>
        </is>
      </c>
      <c r="H3236" t="inlineStr">
        <is>
          <t>C</t>
        </is>
      </c>
    </row>
    <row r="3237">
      <c r="B3237" t="inlineStr">
        <is>
          <t>T-Hangars</t>
        </is>
      </c>
      <c r="C3237" t="inlineStr">
        <is>
          <t>409</t>
        </is>
      </c>
      <c r="D3237" t="inlineStr">
        <is>
          <t>14</t>
        </is>
      </c>
      <c r="E3237" t="inlineStr">
        <is>
          <t>30</t>
        </is>
      </c>
      <c r="F3237" t="inlineStr">
        <is>
          <t>14</t>
        </is>
      </c>
      <c r="G3237" t="inlineStr">
        <is>
          <t>14</t>
        </is>
      </c>
      <c r="H3237" t="inlineStr">
        <is>
          <t>C</t>
        </is>
      </c>
    </row>
    <row r="3238">
      <c r="B3238" t="inlineStr">
        <is>
          <t>Complete Auto Dealerships</t>
        </is>
      </c>
      <c r="C3238" t="inlineStr">
        <is>
          <t>455</t>
        </is>
      </c>
      <c r="D3238" t="inlineStr">
        <is>
          <t>14</t>
        </is>
      </c>
      <c r="E3238" t="inlineStr">
        <is>
          <t>30</t>
        </is>
      </c>
      <c r="F3238" t="inlineStr">
        <is>
          <t>14</t>
        </is>
      </c>
      <c r="G3238" t="inlineStr">
        <is>
          <t>14</t>
        </is>
      </c>
      <c r="H3238" t="inlineStr">
        <is>
          <t>C</t>
        </is>
      </c>
    </row>
    <row r="3239">
      <c r="B3239" t="inlineStr">
        <is>
          <t>Automotive Service Centers</t>
        </is>
      </c>
      <c r="C3239" t="inlineStr">
        <is>
          <t>410</t>
        </is>
      </c>
      <c r="D3239" t="inlineStr">
        <is>
          <t>14</t>
        </is>
      </c>
      <c r="E3239" t="inlineStr">
        <is>
          <t>31</t>
        </is>
      </c>
      <c r="F3239" t="inlineStr">
        <is>
          <t>14</t>
        </is>
      </c>
      <c r="G3239" t="inlineStr">
        <is>
          <t>14</t>
        </is>
      </c>
      <c r="H3239" t="inlineStr">
        <is>
          <t>C</t>
        </is>
      </c>
    </row>
    <row r="3240">
      <c r="B3240" t="inlineStr">
        <is>
          <t>Showrooms</t>
        </is>
      </c>
      <c r="C3240" t="inlineStr">
        <is>
          <t>303</t>
        </is>
      </c>
      <c r="D3240" t="inlineStr">
        <is>
          <t>14</t>
        </is>
      </c>
      <c r="E3240" t="inlineStr">
        <is>
          <t>31</t>
        </is>
      </c>
      <c r="F3240" t="inlineStr">
        <is>
          <t>14</t>
        </is>
      </c>
      <c r="G3240" t="inlineStr">
        <is>
          <t>14</t>
        </is>
      </c>
      <c r="H3240" t="inlineStr">
        <is>
          <t>C</t>
        </is>
      </c>
    </row>
    <row r="3241">
      <c r="B3241" t="inlineStr">
        <is>
          <t>Service Garages (Commercial/Repair)</t>
        </is>
      </c>
      <c r="C3241" t="inlineStr">
        <is>
          <t>528</t>
        </is>
      </c>
      <c r="D3241" t="inlineStr">
        <is>
          <t>14</t>
        </is>
      </c>
      <c r="E3241" t="inlineStr">
        <is>
          <t>32</t>
        </is>
      </c>
      <c r="F3241" t="inlineStr">
        <is>
          <t>14</t>
        </is>
      </c>
      <c r="G3241" t="inlineStr">
        <is>
          <t>14</t>
        </is>
      </c>
      <c r="H3241" t="inlineStr">
        <is>
          <t>C</t>
        </is>
      </c>
    </row>
    <row r="3242">
      <c r="B3242" t="inlineStr">
        <is>
          <t>Service Garage Sheds</t>
        </is>
      </c>
      <c r="C3242" t="inlineStr">
        <is>
          <t>526</t>
        </is>
      </c>
      <c r="D3242" t="inlineStr">
        <is>
          <t>14</t>
        </is>
      </c>
      <c r="E3242" t="inlineStr">
        <is>
          <t>32</t>
        </is>
      </c>
      <c r="F3242" t="inlineStr">
        <is>
          <t>14</t>
        </is>
      </c>
      <c r="G3242" t="inlineStr">
        <is>
          <t>14</t>
        </is>
      </c>
      <c r="H3242" t="inlineStr">
        <is>
          <t>C</t>
        </is>
      </c>
    </row>
    <row r="3243">
      <c r="B3243" t="inlineStr">
        <is>
          <t>Municipal Service Garages</t>
        </is>
      </c>
      <c r="C3243" t="inlineStr">
        <is>
          <t>527</t>
        </is>
      </c>
      <c r="D3243" t="inlineStr">
        <is>
          <t>14</t>
        </is>
      </c>
      <c r="E3243" t="inlineStr">
        <is>
          <t>33</t>
        </is>
      </c>
      <c r="F3243" t="inlineStr">
        <is>
          <t>14</t>
        </is>
      </c>
      <c r="G3243" t="inlineStr">
        <is>
          <t>14</t>
        </is>
      </c>
      <c r="H3243" t="inlineStr">
        <is>
          <t>C</t>
        </is>
      </c>
    </row>
    <row r="3244">
      <c r="B3244" t="inlineStr">
        <is>
          <t>Mini-Lube Garages</t>
        </is>
      </c>
      <c r="C3244" t="inlineStr">
        <is>
          <t>423</t>
        </is>
      </c>
      <c r="D3244" t="inlineStr">
        <is>
          <t>14</t>
        </is>
      </c>
      <c r="E3244" t="inlineStr">
        <is>
          <t>33</t>
        </is>
      </c>
      <c r="F3244" t="inlineStr">
        <is>
          <t>14</t>
        </is>
      </c>
      <c r="G3244" t="inlineStr">
        <is>
          <t>14</t>
        </is>
      </c>
      <c r="H3244" t="inlineStr">
        <is>
          <t>C</t>
        </is>
      </c>
    </row>
    <row r="3245">
      <c r="B3245" t="inlineStr">
        <is>
          <t>Parking (Parkade) Structures</t>
        </is>
      </c>
      <c r="C3245" t="inlineStr">
        <is>
          <t>345</t>
        </is>
      </c>
      <c r="D3245" t="inlineStr">
        <is>
          <t>14</t>
        </is>
      </c>
      <c r="E3245" t="inlineStr">
        <is>
          <t>34</t>
        </is>
      </c>
      <c r="F3245" t="inlineStr">
        <is>
          <t>14</t>
        </is>
      </c>
      <c r="G3245" t="inlineStr">
        <is>
          <t>14</t>
        </is>
      </c>
      <c r="H3245" t="inlineStr">
        <is>
          <t>C</t>
        </is>
      </c>
    </row>
    <row r="3246">
      <c r="B3246" t="inlineStr">
        <is>
          <t>Storage Garages</t>
        </is>
      </c>
      <c r="C3246" t="inlineStr">
        <is>
          <t>326</t>
        </is>
      </c>
      <c r="D3246" t="inlineStr">
        <is>
          <t>14</t>
        </is>
      </c>
      <c r="E3246" t="inlineStr">
        <is>
          <t>34</t>
        </is>
      </c>
      <c r="F3246" t="inlineStr">
        <is>
          <t>14</t>
        </is>
      </c>
      <c r="G3246" t="inlineStr">
        <is>
          <t>14</t>
        </is>
      </c>
      <c r="H3246" t="inlineStr">
        <is>
          <t>C</t>
        </is>
      </c>
    </row>
    <row r="3247">
      <c r="B3247" t="inlineStr">
        <is>
          <t>Light Industrial/Warehouse Shell Buildings</t>
        </is>
      </c>
      <c r="C3247" t="inlineStr">
        <is>
          <t>454</t>
        </is>
      </c>
      <c r="D3247" t="inlineStr">
        <is>
          <t>14</t>
        </is>
      </c>
      <c r="E3247" t="inlineStr">
        <is>
          <t>35</t>
        </is>
      </c>
      <c r="F3247" t="inlineStr">
        <is>
          <t>14</t>
        </is>
      </c>
      <c r="G3247" t="inlineStr">
        <is>
          <t>14</t>
        </is>
      </c>
      <c r="H3247" t="inlineStr">
        <is>
          <t>C</t>
        </is>
      </c>
    </row>
    <row r="3248">
      <c r="B3248" t="inlineStr">
        <is>
          <t>Office Buildings</t>
        </is>
      </c>
      <c r="C3248" t="inlineStr">
        <is>
          <t>344</t>
        </is>
      </c>
      <c r="D3248" t="inlineStr">
        <is>
          <t>15</t>
        </is>
      </c>
      <c r="E3248" t="inlineStr">
        <is>
          <t>17</t>
        </is>
      </c>
      <c r="F3248" t="inlineStr">
        <is>
          <t>15</t>
        </is>
      </c>
      <c r="G3248" t="inlineStr">
        <is>
          <t>15</t>
        </is>
      </c>
      <c r="H3248" t="inlineStr">
        <is>
          <t>C</t>
        </is>
      </c>
    </row>
    <row r="3249">
      <c r="B3249" t="inlineStr">
        <is>
          <t>Atriums/Vestibules</t>
        </is>
      </c>
      <c r="C3249" t="inlineStr">
        <is>
          <t>576</t>
        </is>
      </c>
      <c r="D3249" t="inlineStr">
        <is>
          <t>15</t>
        </is>
      </c>
      <c r="E3249" t="inlineStr">
        <is>
          <t>18</t>
        </is>
      </c>
      <c r="F3249" t="inlineStr">
        <is>
          <t>15</t>
        </is>
      </c>
      <c r="G3249" t="inlineStr">
        <is>
          <t>15</t>
        </is>
      </c>
      <c r="H3249" t="inlineStr">
        <is>
          <t>C</t>
        </is>
      </c>
    </row>
    <row r="3250">
      <c r="B3250" t="inlineStr">
        <is>
          <t>Parking Levels (Intermediate/Under Building)</t>
        </is>
      </c>
      <c r="C3250" t="inlineStr">
        <is>
          <t>577</t>
        </is>
      </c>
      <c r="D3250" t="inlineStr">
        <is>
          <t>15</t>
        </is>
      </c>
      <c r="E3250" t="inlineStr">
        <is>
          <t>18</t>
        </is>
      </c>
      <c r="F3250" t="inlineStr">
        <is>
          <t>15</t>
        </is>
      </c>
      <c r="G3250" t="inlineStr">
        <is>
          <t>15</t>
        </is>
      </c>
      <c r="H3250" t="inlineStr">
        <is>
          <t>C</t>
        </is>
      </c>
    </row>
    <row r="3251">
      <c r="B3251" t="inlineStr">
        <is>
          <t>Mechanical Penthouses</t>
        </is>
      </c>
      <c r="C3251" t="inlineStr">
        <is>
          <t>585</t>
        </is>
      </c>
      <c r="D3251" t="inlineStr">
        <is>
          <t>15</t>
        </is>
      </c>
      <c r="E3251" t="inlineStr">
        <is>
          <t>19</t>
        </is>
      </c>
      <c r="F3251" t="inlineStr">
        <is>
          <t>15</t>
        </is>
      </c>
      <c r="G3251" t="inlineStr">
        <is>
          <t>15</t>
        </is>
      </c>
      <c r="H3251" t="inlineStr">
        <is>
          <t>C</t>
        </is>
      </c>
    </row>
    <row r="3252">
      <c r="B3252" t="inlineStr">
        <is>
          <t>Banks – Central Offices</t>
        </is>
      </c>
      <c r="C3252" t="inlineStr">
        <is>
          <t>443</t>
        </is>
      </c>
      <c r="D3252" t="inlineStr">
        <is>
          <t>15</t>
        </is>
      </c>
      <c r="E3252" t="inlineStr">
        <is>
          <t>20</t>
        </is>
      </c>
      <c r="F3252" t="inlineStr">
        <is>
          <t>15</t>
        </is>
      </c>
      <c r="G3252" t="inlineStr">
        <is>
          <t>15</t>
        </is>
      </c>
      <c r="H3252" t="inlineStr">
        <is>
          <t>C</t>
        </is>
      </c>
    </row>
    <row r="3253">
      <c r="B3253" t="inlineStr">
        <is>
          <t>Mini-Banks (Walk-Up and Drive-Through)</t>
        </is>
      </c>
      <c r="C3253" t="inlineStr">
        <is>
          <t>578</t>
        </is>
      </c>
      <c r="D3253" t="inlineStr">
        <is>
          <t>15</t>
        </is>
      </c>
      <c r="E3253" t="inlineStr">
        <is>
          <t>20</t>
        </is>
      </c>
      <c r="F3253" t="inlineStr">
        <is>
          <t>15</t>
        </is>
      </c>
      <c r="G3253" t="inlineStr">
        <is>
          <t>15</t>
        </is>
      </c>
      <c r="H3253" t="inlineStr">
        <is>
          <t>C</t>
        </is>
      </c>
    </row>
    <row r="3254">
      <c r="B3254" t="inlineStr">
        <is>
          <t>Banks, Branch</t>
        </is>
      </c>
      <c r="C3254" t="inlineStr">
        <is>
          <t>304</t>
        </is>
      </c>
      <c r="D3254" t="inlineStr">
        <is>
          <t>15</t>
        </is>
      </c>
      <c r="E3254" t="inlineStr">
        <is>
          <t>21</t>
        </is>
      </c>
      <c r="F3254" t="inlineStr">
        <is>
          <t>15</t>
        </is>
      </c>
      <c r="G3254" t="inlineStr">
        <is>
          <t>15</t>
        </is>
      </c>
      <c r="H3254" t="inlineStr">
        <is>
          <t>C</t>
        </is>
      </c>
    </row>
    <row r="3255">
      <c r="B3255" t="inlineStr">
        <is>
          <t>Medical Office Buildings</t>
        </is>
      </c>
      <c r="C3255" t="inlineStr">
        <is>
          <t>341</t>
        </is>
      </c>
      <c r="D3255" t="inlineStr">
        <is>
          <t>15</t>
        </is>
      </c>
      <c r="E3255" t="inlineStr">
        <is>
          <t>22</t>
        </is>
      </c>
      <c r="F3255" t="inlineStr">
        <is>
          <t>15</t>
        </is>
      </c>
      <c r="G3255" t="inlineStr">
        <is>
          <t>15</t>
        </is>
      </c>
      <c r="H3255" t="inlineStr">
        <is>
          <t>C</t>
        </is>
      </c>
    </row>
    <row r="3256">
      <c r="B3256" t="inlineStr">
        <is>
          <t>Dental Clinics</t>
        </is>
      </c>
      <c r="C3256" t="inlineStr">
        <is>
          <t>444</t>
        </is>
      </c>
      <c r="D3256" t="inlineStr">
        <is>
          <t>15</t>
        </is>
      </c>
      <c r="E3256" t="inlineStr">
        <is>
          <t>23</t>
        </is>
      </c>
      <c r="F3256" t="inlineStr">
        <is>
          <t>15</t>
        </is>
      </c>
      <c r="G3256" t="inlineStr">
        <is>
          <t>15</t>
        </is>
      </c>
      <c r="H3256" t="inlineStr">
        <is>
          <t>C</t>
        </is>
      </c>
    </row>
    <row r="3257">
      <c r="B3257" t="inlineStr">
        <is>
          <t>Urgent Care Clinics</t>
        </is>
      </c>
      <c r="C3257" t="inlineStr">
        <is>
          <t>320</t>
        </is>
      </c>
      <c r="D3257" t="inlineStr">
        <is>
          <t>15</t>
        </is>
      </c>
      <c r="E3257" t="inlineStr">
        <is>
          <t>23</t>
        </is>
      </c>
      <c r="F3257" t="inlineStr">
        <is>
          <t>15</t>
        </is>
      </c>
      <c r="G3257" t="inlineStr">
        <is>
          <t>15</t>
        </is>
      </c>
      <c r="H3257" t="inlineStr">
        <is>
          <t>C</t>
        </is>
      </c>
    </row>
    <row r="3258">
      <c r="B3258" t="inlineStr">
        <is>
          <t>General Hospitals</t>
        </is>
      </c>
      <c r="C3258" t="inlineStr">
        <is>
          <t>331</t>
        </is>
      </c>
      <c r="D3258" t="inlineStr">
        <is>
          <t>15</t>
        </is>
      </c>
      <c r="E3258" t="inlineStr">
        <is>
          <t>24</t>
        </is>
      </c>
      <c r="F3258" t="inlineStr">
        <is>
          <t>15</t>
        </is>
      </c>
      <c r="G3258" t="inlineStr">
        <is>
          <t>15</t>
        </is>
      </c>
      <c r="H3258" t="inlineStr">
        <is>
          <t>C</t>
        </is>
      </c>
    </row>
    <row r="3259">
      <c r="B3259" t="inlineStr">
        <is>
          <t>Outpatient (Surgical) Centers</t>
        </is>
      </c>
      <c r="C3259" t="inlineStr">
        <is>
          <t>431</t>
        </is>
      </c>
      <c r="D3259" t="inlineStr">
        <is>
          <t>15</t>
        </is>
      </c>
      <c r="E3259" t="inlineStr">
        <is>
          <t>25</t>
        </is>
      </c>
      <c r="F3259" t="inlineStr">
        <is>
          <t>15</t>
        </is>
      </c>
      <c r="G3259" t="inlineStr">
        <is>
          <t>15</t>
        </is>
      </c>
      <c r="H3259" t="inlineStr">
        <is>
          <t>C</t>
        </is>
      </c>
    </row>
    <row r="3260">
      <c r="B3260" t="inlineStr">
        <is>
          <t>Nursing Homes (Convalescent Hospitals)</t>
        </is>
      </c>
      <c r="C3260" t="inlineStr">
        <is>
          <t>313</t>
        </is>
      </c>
      <c r="D3260" t="inlineStr">
        <is>
          <t>15</t>
        </is>
      </c>
      <c r="E3260" t="inlineStr">
        <is>
          <t>26</t>
        </is>
      </c>
      <c r="F3260" t="inlineStr">
        <is>
          <t>15</t>
        </is>
      </c>
      <c r="G3260" t="inlineStr">
        <is>
          <t>15</t>
        </is>
      </c>
      <c r="H3260" t="inlineStr">
        <is>
          <t>C</t>
        </is>
      </c>
    </row>
    <row r="3261">
      <c r="B3261" t="inlineStr">
        <is>
          <t>Kennels</t>
        </is>
      </c>
      <c r="C3261" t="inlineStr">
        <is>
          <t>490</t>
        </is>
      </c>
      <c r="D3261" t="inlineStr">
        <is>
          <t>15</t>
        </is>
      </c>
      <c r="E3261" t="inlineStr">
        <is>
          <t>27</t>
        </is>
      </c>
      <c r="F3261" t="inlineStr">
        <is>
          <t>15</t>
        </is>
      </c>
      <c r="G3261" t="inlineStr">
        <is>
          <t>15</t>
        </is>
      </c>
      <c r="H3261" t="inlineStr">
        <is>
          <t>C</t>
        </is>
      </c>
    </row>
    <row r="3262">
      <c r="B3262" t="inlineStr">
        <is>
          <t>Veterinary Hospitals</t>
        </is>
      </c>
      <c r="C3262" t="inlineStr">
        <is>
          <t>381</t>
        </is>
      </c>
      <c r="D3262" t="inlineStr">
        <is>
          <t>15</t>
        </is>
      </c>
      <c r="E3262" t="inlineStr">
        <is>
          <t>28</t>
        </is>
      </c>
      <c r="F3262" t="inlineStr">
        <is>
          <t>15</t>
        </is>
      </c>
      <c r="G3262" t="inlineStr">
        <is>
          <t>15</t>
        </is>
      </c>
      <c r="H3262" t="inlineStr">
        <is>
          <t>C</t>
        </is>
      </c>
    </row>
    <row r="3263">
      <c r="B3263" t="inlineStr">
        <is>
          <t>Fire Stations – Volunteer</t>
        </is>
      </c>
      <c r="C3263" t="inlineStr">
        <is>
          <t>427</t>
        </is>
      </c>
      <c r="D3263" t="inlineStr">
        <is>
          <t>15</t>
        </is>
      </c>
      <c r="E3263" t="inlineStr">
        <is>
          <t>28</t>
        </is>
      </c>
      <c r="F3263" t="inlineStr">
        <is>
          <t>15</t>
        </is>
      </c>
      <c r="G3263" t="inlineStr">
        <is>
          <t>15</t>
        </is>
      </c>
      <c r="H3263" t="inlineStr">
        <is>
          <t>C</t>
        </is>
      </c>
    </row>
    <row r="3264">
      <c r="B3264" t="inlineStr">
        <is>
          <t>Fire Stations – Staffed</t>
        </is>
      </c>
      <c r="C3264" t="inlineStr">
        <is>
          <t>322</t>
        </is>
      </c>
      <c r="D3264" t="inlineStr">
        <is>
          <t>15</t>
        </is>
      </c>
      <c r="E3264" t="inlineStr">
        <is>
          <t>29</t>
        </is>
      </c>
      <c r="F3264" t="inlineStr">
        <is>
          <t>15</t>
        </is>
      </c>
      <c r="G3264" t="inlineStr">
        <is>
          <t>15</t>
        </is>
      </c>
      <c r="H3264" t="inlineStr">
        <is>
          <t>C</t>
        </is>
      </c>
    </row>
    <row r="3265">
      <c r="B3265" t="inlineStr">
        <is>
          <t>Governmental Buildings</t>
        </is>
      </c>
      <c r="C3265" t="inlineStr">
        <is>
          <t>327</t>
        </is>
      </c>
      <c r="D3265" t="inlineStr">
        <is>
          <t>15</t>
        </is>
      </c>
      <c r="E3265" t="inlineStr">
        <is>
          <t>30</t>
        </is>
      </c>
      <c r="F3265" t="inlineStr">
        <is>
          <t>15</t>
        </is>
      </c>
      <c r="G3265" t="inlineStr">
        <is>
          <t>15</t>
        </is>
      </c>
      <c r="H3265" t="inlineStr">
        <is>
          <t>C</t>
        </is>
      </c>
    </row>
    <row r="3266">
      <c r="B3266" t="inlineStr">
        <is>
          <t>Governmental – Community Service Buildings</t>
        </is>
      </c>
      <c r="C3266" t="inlineStr">
        <is>
          <t>491</t>
        </is>
      </c>
      <c r="D3266" t="inlineStr">
        <is>
          <t>15</t>
        </is>
      </c>
      <c r="E3266" t="inlineStr">
        <is>
          <t>31</t>
        </is>
      </c>
      <c r="F3266" t="inlineStr">
        <is>
          <t>15</t>
        </is>
      </c>
      <c r="G3266" t="inlineStr">
        <is>
          <t>15</t>
        </is>
      </c>
      <c r="H3266" t="inlineStr">
        <is>
          <t>C</t>
        </is>
      </c>
    </row>
    <row r="3267">
      <c r="B3267" t="inlineStr">
        <is>
          <t>Public Libraries</t>
        </is>
      </c>
      <c r="C3267" t="inlineStr">
        <is>
          <t>337</t>
        </is>
      </c>
      <c r="D3267" t="inlineStr">
        <is>
          <t>15</t>
        </is>
      </c>
      <c r="E3267" t="inlineStr">
        <is>
          <t>32</t>
        </is>
      </c>
      <c r="F3267" t="inlineStr">
        <is>
          <t>15</t>
        </is>
      </c>
      <c r="G3267" t="inlineStr">
        <is>
          <t>15</t>
        </is>
      </c>
      <c r="H3267" t="inlineStr">
        <is>
          <t>R</t>
        </is>
      </c>
    </row>
    <row r="3268">
      <c r="B3268" t="inlineStr">
        <is>
          <t>Jails – Correctional Facilities</t>
        </is>
      </c>
      <c r="C3268" t="inlineStr">
        <is>
          <t>335</t>
        </is>
      </c>
      <c r="D3268" t="inlineStr">
        <is>
          <t>15</t>
        </is>
      </c>
      <c r="E3268" t="inlineStr">
        <is>
          <t>33</t>
        </is>
      </c>
      <c r="F3268" t="inlineStr">
        <is>
          <t>15</t>
        </is>
      </c>
      <c r="G3268" t="inlineStr">
        <is>
          <t>15</t>
        </is>
      </c>
      <c r="H3268" t="inlineStr">
        <is>
          <t>C</t>
        </is>
      </c>
    </row>
    <row r="3269">
      <c r="B3269" t="inlineStr">
        <is>
          <t>Jails – Police Stations</t>
        </is>
      </c>
      <c r="C3269" t="inlineStr">
        <is>
          <t>489</t>
        </is>
      </c>
      <c r="D3269" t="inlineStr">
        <is>
          <t>15</t>
        </is>
      </c>
      <c r="E3269" t="inlineStr">
        <is>
          <t>33</t>
        </is>
      </c>
      <c r="F3269" t="inlineStr">
        <is>
          <t>15</t>
        </is>
      </c>
      <c r="G3269" t="inlineStr">
        <is>
          <t>15</t>
        </is>
      </c>
      <c r="H3269" t="inlineStr">
        <is>
          <t>C</t>
        </is>
      </c>
    </row>
    <row r="3270">
      <c r="B3270" t="inlineStr">
        <is>
          <t>Shell Office Buildings</t>
        </is>
      </c>
      <c r="C3270" t="inlineStr">
        <is>
          <t>492</t>
        </is>
      </c>
      <c r="D3270" t="inlineStr">
        <is>
          <t>15</t>
        </is>
      </c>
      <c r="E3270" t="inlineStr">
        <is>
          <t>34</t>
        </is>
      </c>
      <c r="F3270" t="inlineStr">
        <is>
          <t>15</t>
        </is>
      </c>
      <c r="G3270" t="inlineStr">
        <is>
          <t>15</t>
        </is>
      </c>
      <c r="H3270" t="inlineStr">
        <is>
          <t>C</t>
        </is>
      </c>
    </row>
    <row r="3271">
      <c r="B3271" t="inlineStr">
        <is>
          <t>Churches with Sunday Schools</t>
        </is>
      </c>
      <c r="C3271" t="inlineStr">
        <is>
          <t>308</t>
        </is>
      </c>
      <c r="D3271" t="inlineStr">
        <is>
          <t>16</t>
        </is>
      </c>
      <c r="E3271" t="inlineStr">
        <is>
          <t>8</t>
        </is>
      </c>
      <c r="F3271" t="inlineStr">
        <is>
          <t>16</t>
        </is>
      </c>
      <c r="G3271" t="inlineStr">
        <is>
          <t>16</t>
        </is>
      </c>
      <c r="H3271" t="inlineStr">
        <is>
          <t>R</t>
        </is>
      </c>
    </row>
    <row r="3272">
      <c r="B3272" t="inlineStr">
        <is>
          <t>Churches – Sanctuaries (Chapels)</t>
        </is>
      </c>
      <c r="C3272" t="inlineStr">
        <is>
          <t>309</t>
        </is>
      </c>
      <c r="D3272" t="inlineStr">
        <is>
          <t>16</t>
        </is>
      </c>
      <c r="E3272" t="inlineStr">
        <is>
          <t>9</t>
        </is>
      </c>
      <c r="F3272" t="inlineStr">
        <is>
          <t>16</t>
        </is>
      </c>
      <c r="G3272" t="inlineStr">
        <is>
          <t>16</t>
        </is>
      </c>
      <c r="H3272" t="inlineStr">
        <is>
          <t>R</t>
        </is>
      </c>
    </row>
    <row r="3273">
      <c r="B3273" t="inlineStr">
        <is>
          <t>Fellowship Halls</t>
        </is>
      </c>
      <c r="C3273" t="inlineStr">
        <is>
          <t>516</t>
        </is>
      </c>
      <c r="D3273" t="inlineStr">
        <is>
          <t>16</t>
        </is>
      </c>
      <c r="E3273" t="inlineStr">
        <is>
          <t>10</t>
        </is>
      </c>
      <c r="F3273" t="inlineStr">
        <is>
          <t>16</t>
        </is>
      </c>
      <c r="G3273" t="inlineStr">
        <is>
          <t>16</t>
        </is>
      </c>
      <c r="H3273" t="inlineStr">
        <is>
          <t>R</t>
        </is>
      </c>
    </row>
    <row r="3274">
      <c r="B3274" t="inlineStr">
        <is>
          <t>Foyers / Narthexes</t>
        </is>
      </c>
      <c r="C3274" t="inlineStr">
        <is>
          <t>517</t>
        </is>
      </c>
      <c r="D3274" t="inlineStr">
        <is>
          <t>16</t>
        </is>
      </c>
      <c r="E3274" t="inlineStr">
        <is>
          <t>10</t>
        </is>
      </c>
      <c r="F3274" t="inlineStr">
        <is>
          <t>16</t>
        </is>
      </c>
      <c r="G3274" t="inlineStr">
        <is>
          <t>16</t>
        </is>
      </c>
      <c r="H3274" t="inlineStr">
        <is>
          <t>R</t>
        </is>
      </c>
    </row>
    <row r="3275">
      <c r="B3275" t="inlineStr">
        <is>
          <t>Church Educational Wings</t>
        </is>
      </c>
      <c r="C3275" t="inlineStr">
        <is>
          <t>173</t>
        </is>
      </c>
      <c r="D3275" t="inlineStr">
        <is>
          <t>16</t>
        </is>
      </c>
      <c r="E3275" t="inlineStr">
        <is>
          <t>11</t>
        </is>
      </c>
      <c r="F3275" t="inlineStr">
        <is>
          <t>16</t>
        </is>
      </c>
      <c r="G3275" t="inlineStr">
        <is>
          <t>16</t>
        </is>
      </c>
      <c r="H3275" t="inlineStr">
        <is>
          <t>R</t>
        </is>
      </c>
    </row>
    <row r="3276">
      <c r="B3276" t="inlineStr">
        <is>
          <t>Theaters: Live-Stage</t>
        </is>
      </c>
      <c r="C3276" t="inlineStr">
        <is>
          <t>379</t>
        </is>
      </c>
      <c r="D3276" t="inlineStr">
        <is>
          <t>16</t>
        </is>
      </c>
      <c r="E3276" t="inlineStr">
        <is>
          <t>12</t>
        </is>
      </c>
      <c r="F3276" t="inlineStr">
        <is>
          <t>16</t>
        </is>
      </c>
      <c r="G3276" t="inlineStr">
        <is>
          <t>16</t>
        </is>
      </c>
      <c r="H3276" t="inlineStr">
        <is>
          <t>C</t>
        </is>
      </c>
    </row>
    <row r="3277">
      <c r="B3277" t="inlineStr">
        <is>
          <t>Theaters: Cinema</t>
        </is>
      </c>
      <c r="C3277" t="inlineStr">
        <is>
          <t>380</t>
        </is>
      </c>
      <c r="D3277" t="inlineStr">
        <is>
          <t>16</t>
        </is>
      </c>
      <c r="E3277" t="inlineStr">
        <is>
          <t>13</t>
        </is>
      </c>
      <c r="F3277" t="inlineStr">
        <is>
          <t>16</t>
        </is>
      </c>
      <c r="G3277" t="inlineStr">
        <is>
          <t>16</t>
        </is>
      </c>
      <c r="H3277" t="inlineStr">
        <is>
          <t>C</t>
        </is>
      </c>
    </row>
    <row r="3278">
      <c r="B3278" t="inlineStr">
        <is>
          <t>Auditoriums</t>
        </is>
      </c>
      <c r="C3278" t="inlineStr">
        <is>
          <t>302</t>
        </is>
      </c>
      <c r="D3278" t="inlineStr">
        <is>
          <t>16</t>
        </is>
      </c>
      <c r="E3278" t="inlineStr">
        <is>
          <t>14</t>
        </is>
      </c>
      <c r="F3278" t="inlineStr">
        <is>
          <t>16</t>
        </is>
      </c>
      <c r="G3278" t="inlineStr">
        <is>
          <t>16</t>
        </is>
      </c>
      <c r="H3278" t="inlineStr">
        <is>
          <t>C</t>
        </is>
      </c>
    </row>
    <row r="3279">
      <c r="B3279" t="inlineStr">
        <is>
          <t>Fraternal Buildings</t>
        </is>
      </c>
      <c r="C3279" t="inlineStr">
        <is>
          <t>323</t>
        </is>
      </c>
      <c r="D3279" t="inlineStr">
        <is>
          <t>16</t>
        </is>
      </c>
      <c r="E3279" t="inlineStr">
        <is>
          <t>15</t>
        </is>
      </c>
      <c r="F3279" t="inlineStr">
        <is>
          <t>16</t>
        </is>
      </c>
      <c r="G3279" t="inlineStr">
        <is>
          <t>16</t>
        </is>
      </c>
      <c r="H3279" t="inlineStr">
        <is>
          <t>R</t>
        </is>
      </c>
    </row>
    <row r="3280">
      <c r="B3280" t="inlineStr">
        <is>
          <t>Visitor Centers</t>
        </is>
      </c>
      <c r="C3280" t="inlineStr">
        <is>
          <t>574</t>
        </is>
      </c>
      <c r="D3280" t="inlineStr">
        <is>
          <t>16</t>
        </is>
      </c>
      <c r="E3280" t="inlineStr">
        <is>
          <t>15</t>
        </is>
      </c>
      <c r="F3280" t="inlineStr">
        <is>
          <t>16</t>
        </is>
      </c>
      <c r="G3280" t="inlineStr">
        <is>
          <t>16</t>
        </is>
      </c>
      <c r="H3280" t="inlineStr">
        <is>
          <t>C</t>
        </is>
      </c>
    </row>
    <row r="3281">
      <c r="B3281" t="inlineStr">
        <is>
          <t>Convention Centers</t>
        </is>
      </c>
      <c r="C3281" t="inlineStr">
        <is>
          <t>482</t>
        </is>
      </c>
      <c r="D3281" t="inlineStr">
        <is>
          <t>16</t>
        </is>
      </c>
      <c r="E3281" t="inlineStr">
        <is>
          <t>16</t>
        </is>
      </c>
      <c r="F3281" t="inlineStr">
        <is>
          <t>16</t>
        </is>
      </c>
      <c r="G3281" t="inlineStr">
        <is>
          <t>16</t>
        </is>
      </c>
      <c r="H3281" t="inlineStr">
        <is>
          <t>C</t>
        </is>
      </c>
    </row>
    <row r="3282">
      <c r="B3282" t="inlineStr">
        <is>
          <t>Casinos</t>
        </is>
      </c>
      <c r="C3282" t="inlineStr">
        <is>
          <t>515</t>
        </is>
      </c>
      <c r="D3282" t="inlineStr">
        <is>
          <t>16</t>
        </is>
      </c>
      <c r="E3282" t="inlineStr">
        <is>
          <t>17</t>
        </is>
      </c>
      <c r="F3282" t="inlineStr">
        <is>
          <t>16</t>
        </is>
      </c>
      <c r="G3282" t="inlineStr">
        <is>
          <t>16</t>
        </is>
      </c>
      <c r="H3282" t="inlineStr">
        <is>
          <t>C</t>
        </is>
      </c>
    </row>
    <row r="3283">
      <c r="B3283" t="inlineStr">
        <is>
          <t>Community Recreation Centers</t>
        </is>
      </c>
      <c r="C3283" t="inlineStr">
        <is>
          <t>514</t>
        </is>
      </c>
      <c r="D3283" t="inlineStr">
        <is>
          <t>16</t>
        </is>
      </c>
      <c r="E3283" t="inlineStr">
        <is>
          <t>18</t>
        </is>
      </c>
      <c r="F3283" t="inlineStr">
        <is>
          <t>16</t>
        </is>
      </c>
      <c r="G3283" t="inlineStr">
        <is>
          <t>16</t>
        </is>
      </c>
      <c r="H3283" t="inlineStr">
        <is>
          <t>C</t>
        </is>
      </c>
    </row>
    <row r="3284">
      <c r="B3284" t="inlineStr">
        <is>
          <t>Arcade Buildings</t>
        </is>
      </c>
      <c r="C3284" t="inlineStr">
        <is>
          <t>573</t>
        </is>
      </c>
      <c r="D3284" t="inlineStr">
        <is>
          <t>16</t>
        </is>
      </c>
      <c r="E3284" t="inlineStr">
        <is>
          <t>18</t>
        </is>
      </c>
      <c r="F3284" t="inlineStr">
        <is>
          <t>16</t>
        </is>
      </c>
      <c r="G3284" t="inlineStr">
        <is>
          <t>16</t>
        </is>
      </c>
      <c r="H3284" t="inlineStr">
        <is>
          <t>C</t>
        </is>
      </c>
    </row>
    <row r="3285">
      <c r="B3285" t="inlineStr">
        <is>
          <t>Museums</t>
        </is>
      </c>
      <c r="C3285" t="inlineStr">
        <is>
          <t>481</t>
        </is>
      </c>
      <c r="D3285" t="inlineStr">
        <is>
          <t>16</t>
        </is>
      </c>
      <c r="E3285" t="inlineStr">
        <is>
          <t>19</t>
        </is>
      </c>
      <c r="F3285" t="inlineStr">
        <is>
          <t>16</t>
        </is>
      </c>
      <c r="G3285" t="inlineStr">
        <is>
          <t>16</t>
        </is>
      </c>
      <c r="H3285" t="inlineStr">
        <is>
          <t>C</t>
        </is>
      </c>
    </row>
    <row r="3286">
      <c r="B3286" t="inlineStr">
        <is>
          <t>Ice Skating Rinks</t>
        </is>
      </c>
      <c r="C3286" t="inlineStr">
        <is>
          <t>175</t>
        </is>
      </c>
      <c r="D3286" t="inlineStr">
        <is>
          <t>16</t>
        </is>
      </c>
      <c r="E3286" t="inlineStr">
        <is>
          <t>20</t>
        </is>
      </c>
      <c r="F3286" t="inlineStr">
        <is>
          <t>16</t>
        </is>
      </c>
      <c r="G3286" t="inlineStr">
        <is>
          <t>16</t>
        </is>
      </c>
      <c r="H3286" t="inlineStr">
        <is>
          <t>C</t>
        </is>
      </c>
    </row>
    <row r="3287">
      <c r="B3287" t="inlineStr">
        <is>
          <t>Roller Skating Rinks</t>
        </is>
      </c>
      <c r="C3287" t="inlineStr">
        <is>
          <t>176</t>
        </is>
      </c>
      <c r="D3287" t="inlineStr">
        <is>
          <t>16</t>
        </is>
      </c>
      <c r="E3287" t="inlineStr">
        <is>
          <t>21</t>
        </is>
      </c>
      <c r="F3287" t="inlineStr">
        <is>
          <t>16</t>
        </is>
      </c>
      <c r="G3287" t="inlineStr">
        <is>
          <t>16</t>
        </is>
      </c>
      <c r="H3287" t="inlineStr">
        <is>
          <t>C</t>
        </is>
      </c>
    </row>
    <row r="3288">
      <c r="B3288" t="inlineStr">
        <is>
          <t>Handball/Racquetball Clubs</t>
        </is>
      </c>
      <c r="C3288" t="inlineStr">
        <is>
          <t>417</t>
        </is>
      </c>
      <c r="D3288" t="inlineStr">
        <is>
          <t>16</t>
        </is>
      </c>
      <c r="E3288" t="inlineStr">
        <is>
          <t>21</t>
        </is>
      </c>
      <c r="F3288" t="inlineStr">
        <is>
          <t>16</t>
        </is>
      </c>
      <c r="G3288" t="inlineStr">
        <is>
          <t>16</t>
        </is>
      </c>
      <c r="H3288" t="inlineStr">
        <is>
          <t>C</t>
        </is>
      </c>
    </row>
    <row r="3289">
      <c r="B3289" t="inlineStr">
        <is>
          <t>Fitness Centers</t>
        </is>
      </c>
      <c r="C3289" t="inlineStr">
        <is>
          <t>483</t>
        </is>
      </c>
      <c r="D3289" t="inlineStr">
        <is>
          <t>16</t>
        </is>
      </c>
      <c r="E3289" t="inlineStr">
        <is>
          <t>21</t>
        </is>
      </c>
      <c r="F3289" t="inlineStr">
        <is>
          <t>16</t>
        </is>
      </c>
      <c r="G3289" t="inlineStr">
        <is>
          <t>16</t>
        </is>
      </c>
      <c r="H3289" t="inlineStr">
        <is>
          <t>C</t>
        </is>
      </c>
    </row>
    <row r="3290">
      <c r="B3290" t="inlineStr">
        <is>
          <t>Bowling Centers</t>
        </is>
      </c>
      <c r="C3290" t="inlineStr">
        <is>
          <t>306</t>
        </is>
      </c>
      <c r="D3290" t="inlineStr">
        <is>
          <t>16</t>
        </is>
      </c>
      <c r="E3290" t="inlineStr">
        <is>
          <t>22</t>
        </is>
      </c>
      <c r="F3290" t="inlineStr">
        <is>
          <t>16</t>
        </is>
      </c>
      <c r="G3290" t="inlineStr">
        <is>
          <t>16</t>
        </is>
      </c>
      <c r="H3290" t="inlineStr">
        <is>
          <t>C</t>
        </is>
      </c>
    </row>
    <row r="3291">
      <c r="B3291" t="inlineStr">
        <is>
          <t>Indoor Tennis Clubs</t>
        </is>
      </c>
      <c r="C3291" t="inlineStr">
        <is>
          <t>416</t>
        </is>
      </c>
      <c r="D3291" t="inlineStr">
        <is>
          <t>16</t>
        </is>
      </c>
      <c r="E3291" t="inlineStr">
        <is>
          <t>22</t>
        </is>
      </c>
      <c r="F3291" t="inlineStr">
        <is>
          <t>16</t>
        </is>
      </c>
      <c r="G3291" t="inlineStr">
        <is>
          <t>16</t>
        </is>
      </c>
      <c r="H3291" t="inlineStr">
        <is>
          <t>C</t>
        </is>
      </c>
    </row>
    <row r="3292">
      <c r="B3292" t="inlineStr">
        <is>
          <t>Pavilions</t>
        </is>
      </c>
      <c r="C3292" t="inlineStr">
        <is>
          <t>174</t>
        </is>
      </c>
      <c r="D3292" t="inlineStr">
        <is>
          <t>16</t>
        </is>
      </c>
      <c r="E3292" t="inlineStr">
        <is>
          <t>23</t>
        </is>
      </c>
      <c r="F3292" t="inlineStr">
        <is>
          <t>16</t>
        </is>
      </c>
      <c r="G3292" t="inlineStr">
        <is>
          <t>16</t>
        </is>
      </c>
      <c r="H3292" t="inlineStr">
        <is>
          <t>C</t>
        </is>
      </c>
    </row>
    <row r="3293">
      <c r="B3293" t="inlineStr">
        <is>
          <t>Light Commercial – Commodity Warehouse</t>
        </is>
      </c>
      <c r="C3293" t="inlineStr">
        <is>
          <t>104</t>
        </is>
      </c>
      <c r="D3293" t="inlineStr">
        <is>
          <t>17</t>
        </is>
      </c>
      <c r="E3293" t="inlineStr">
        <is>
          <t>11</t>
        </is>
      </c>
      <c r="F3293" t="inlineStr">
        <is>
          <t>-</t>
        </is>
      </c>
      <c r="G3293" t="inlineStr">
        <is>
          <t>-</t>
        </is>
      </c>
      <c r="H3293" t="inlineStr">
        <is>
          <t>C</t>
        </is>
      </c>
    </row>
    <row r="3294">
      <c r="B3294" t="inlineStr">
        <is>
          <t>Light Commercial – Manufacturing Utility Buildings</t>
        </is>
      </c>
      <c r="C3294" t="inlineStr">
        <is>
          <t>186</t>
        </is>
      </c>
      <c r="D3294" t="inlineStr">
        <is>
          <t>17</t>
        </is>
      </c>
      <c r="E3294" t="inlineStr">
        <is>
          <t>11</t>
        </is>
      </c>
      <c r="F3294" t="inlineStr">
        <is>
          <t>-</t>
        </is>
      </c>
      <c r="G3294" t="inlineStr">
        <is>
          <t>-</t>
        </is>
      </c>
      <c r="H3294" t="inlineStr">
        <is>
          <t>C</t>
        </is>
      </c>
    </row>
    <row r="3295">
      <c r="B3295" t="inlineStr">
        <is>
          <t>Material – Commodity Shelters</t>
        </is>
      </c>
      <c r="C3295" t="inlineStr">
        <is>
          <t>473</t>
        </is>
      </c>
      <c r="D3295" t="inlineStr">
        <is>
          <t>17</t>
        </is>
      </c>
      <c r="E3295" t="inlineStr">
        <is>
          <t>11</t>
        </is>
      </c>
      <c r="F3295" t="inlineStr">
        <is>
          <t>-</t>
        </is>
      </c>
      <c r="G3295" t="inlineStr">
        <is>
          <t>-</t>
        </is>
      </c>
      <c r="H3295" t="inlineStr">
        <is>
          <t>C</t>
        </is>
      </c>
    </row>
    <row r="3296">
      <c r="B3296" t="inlineStr">
        <is>
          <t>Light Commercial Utility Buildings</t>
        </is>
      </c>
      <c r="C3296" t="inlineStr">
        <is>
          <t>471</t>
        </is>
      </c>
      <c r="D3296" t="inlineStr">
        <is>
          <t>17</t>
        </is>
      </c>
      <c r="E3296" t="inlineStr">
        <is>
          <t>12</t>
        </is>
      </c>
      <c r="F3296" t="inlineStr">
        <is>
          <t>-</t>
        </is>
      </c>
      <c r="G3296" t="inlineStr">
        <is>
          <t>-</t>
        </is>
      </c>
      <c r="H3296" t="inlineStr">
        <is>
          <t>C</t>
        </is>
      </c>
    </row>
    <row r="3297">
      <c r="B3297" t="inlineStr">
        <is>
          <t>Toolshed Buildings</t>
        </is>
      </c>
      <c r="C3297" t="inlineStr">
        <is>
          <t>456</t>
        </is>
      </c>
      <c r="D3297" t="inlineStr">
        <is>
          <t>17</t>
        </is>
      </c>
      <c r="E3297" t="inlineStr">
        <is>
          <t>12</t>
        </is>
      </c>
      <c r="F3297" t="inlineStr">
        <is>
          <t>-</t>
        </is>
      </c>
      <c r="G3297" t="inlineStr">
        <is>
          <t>-</t>
        </is>
      </c>
      <c r="H3297" t="inlineStr">
        <is>
          <t>C</t>
        </is>
      </c>
    </row>
    <row r="3298">
      <c r="B3298" t="inlineStr">
        <is>
          <t>Light Commercial Arch-Rib (Quonset) Buildings</t>
        </is>
      </c>
      <c r="C3298" t="inlineStr">
        <is>
          <t>555</t>
        </is>
      </c>
      <c r="D3298" t="inlineStr">
        <is>
          <t>17</t>
        </is>
      </c>
      <c r="E3298" t="inlineStr">
        <is>
          <t>13</t>
        </is>
      </c>
      <c r="F3298" t="inlineStr">
        <is>
          <t>-</t>
        </is>
      </c>
      <c r="G3298" t="inlineStr">
        <is>
          <t>-</t>
        </is>
      </c>
      <c r="H3298" t="inlineStr">
        <is>
          <t>C</t>
        </is>
      </c>
    </row>
    <row r="3299">
      <c r="B3299" t="inlineStr">
        <is>
          <t>Light Commercial Equipment (Shop) Buildings</t>
        </is>
      </c>
      <c r="C3299" t="inlineStr">
        <is>
          <t>470</t>
        </is>
      </c>
      <c r="D3299" t="inlineStr">
        <is>
          <t>17</t>
        </is>
      </c>
      <c r="E3299" t="inlineStr">
        <is>
          <t>13</t>
        </is>
      </c>
      <c r="F3299" t="inlineStr">
        <is>
          <t>-</t>
        </is>
      </c>
      <c r="G3299" t="inlineStr">
        <is>
          <t>-</t>
        </is>
      </c>
      <c r="H3299" t="inlineStr">
        <is>
          <t>C</t>
        </is>
      </c>
    </row>
    <row r="3300">
      <c r="B3300" t="inlineStr">
        <is>
          <t>Light Commercial Equipment Sheds</t>
        </is>
      </c>
      <c r="C3300" t="inlineStr">
        <is>
          <t>472</t>
        </is>
      </c>
      <c r="D3300" t="inlineStr">
        <is>
          <t>17</t>
        </is>
      </c>
      <c r="E3300" t="inlineStr">
        <is>
          <t>14</t>
        </is>
      </c>
      <c r="F3300" t="inlineStr">
        <is>
          <t>-</t>
        </is>
      </c>
      <c r="G3300" t="inlineStr">
        <is>
          <t>-</t>
        </is>
      </c>
      <c r="H3300" t="inlineStr">
        <is>
          <t>C</t>
        </is>
      </c>
    </row>
    <row r="3301">
      <c r="B3301" t="inlineStr">
        <is>
          <t>Shed Office Structures</t>
        </is>
      </c>
      <c r="C3301" t="inlineStr">
        <is>
          <t>554</t>
        </is>
      </c>
      <c r="D3301" t="inlineStr">
        <is>
          <t>17</t>
        </is>
      </c>
      <c r="E3301" t="inlineStr">
        <is>
          <t>14</t>
        </is>
      </c>
      <c r="F3301" t="inlineStr">
        <is>
          <t>-</t>
        </is>
      </c>
      <c r="G3301" t="inlineStr">
        <is>
          <t>-</t>
        </is>
      </c>
      <c r="H3301" t="inlineStr">
        <is>
          <t>C</t>
        </is>
      </c>
    </row>
    <row r="3302">
      <c r="B3302" t="inlineStr">
        <is>
          <t>Golf Cart Storage Buildings</t>
        </is>
      </c>
      <c r="C3302" t="inlineStr">
        <is>
          <t>523</t>
        </is>
      </c>
      <c r="D3302" t="inlineStr">
        <is>
          <t>17</t>
        </is>
      </c>
      <c r="E3302" t="inlineStr">
        <is>
          <t>15</t>
        </is>
      </c>
      <c r="F3302" t="inlineStr">
        <is>
          <t>-</t>
        </is>
      </c>
      <c r="G3302" t="inlineStr">
        <is>
          <t>-</t>
        </is>
      </c>
      <c r="H3302" t="inlineStr">
        <is>
          <t>C</t>
        </is>
      </c>
    </row>
    <row r="3303">
      <c r="B3303" t="inlineStr">
        <is>
          <t>Golf Starter (Guard House) Booths</t>
        </is>
      </c>
      <c r="C3303" t="inlineStr">
        <is>
          <t>183</t>
        </is>
      </c>
      <c r="D3303" t="inlineStr">
        <is>
          <t>17</t>
        </is>
      </c>
      <c r="E3303" t="inlineStr">
        <is>
          <t>15</t>
        </is>
      </c>
      <c r="F3303" t="inlineStr">
        <is>
          <t>-</t>
        </is>
      </c>
      <c r="G3303" t="inlineStr">
        <is>
          <t>-</t>
        </is>
      </c>
      <c r="H3303" t="inlineStr">
        <is>
          <t>C</t>
        </is>
      </c>
    </row>
    <row r="3304">
      <c r="B3304" t="inlineStr">
        <is>
          <t>Material Storage Buildings</t>
        </is>
      </c>
      <c r="C3304" t="inlineStr">
        <is>
          <t>391</t>
        </is>
      </c>
      <c r="D3304" t="inlineStr">
        <is>
          <t>17</t>
        </is>
      </c>
      <c r="E3304" t="inlineStr">
        <is>
          <t>16</t>
        </is>
      </c>
      <c r="F3304" t="inlineStr">
        <is>
          <t>-</t>
        </is>
      </c>
      <c r="G3304" t="inlineStr">
        <is>
          <t>-</t>
        </is>
      </c>
      <c r="H3304" t="inlineStr">
        <is>
          <t>C</t>
        </is>
      </c>
    </row>
    <row r="3305">
      <c r="B3305" t="inlineStr">
        <is>
          <t>Material Storage Sheds</t>
        </is>
      </c>
      <c r="C3305" t="inlineStr">
        <is>
          <t>468</t>
        </is>
      </c>
      <c r="D3305" t="inlineStr">
        <is>
          <t>17</t>
        </is>
      </c>
      <c r="E3305" t="inlineStr">
        <is>
          <t>16</t>
        </is>
      </c>
      <c r="F3305" t="inlineStr">
        <is>
          <t>-</t>
        </is>
      </c>
      <c r="G3305" t="inlineStr">
        <is>
          <t>-</t>
        </is>
      </c>
      <c r="H3305" t="inlineStr">
        <is>
          <t>C</t>
        </is>
      </c>
    </row>
    <row r="3306">
      <c r="B3306" t="inlineStr">
        <is>
          <t>Bulk Oil Storage</t>
        </is>
      </c>
      <c r="C3306" t="inlineStr">
        <is>
          <t>556</t>
        </is>
      </c>
      <c r="D3306" t="inlineStr">
        <is>
          <t>17</t>
        </is>
      </c>
      <c r="E3306" t="inlineStr">
        <is>
          <t>16</t>
        </is>
      </c>
      <c r="F3306" t="inlineStr">
        <is>
          <t>-</t>
        </is>
      </c>
      <c r="G3306" t="inlineStr">
        <is>
          <t>-</t>
        </is>
      </c>
      <c r="H3306" t="inlineStr">
        <is>
          <t>C</t>
        </is>
      </c>
    </row>
    <row r="3307">
      <c r="B3307" t="inlineStr">
        <is>
          <t>Lumber Storage Buildings</t>
        </is>
      </c>
      <c r="C3307" t="inlineStr">
        <is>
          <t>390</t>
        </is>
      </c>
      <c r="D3307" t="inlineStr">
        <is>
          <t>17</t>
        </is>
      </c>
      <c r="E3307" t="inlineStr">
        <is>
          <t>17</t>
        </is>
      </c>
      <c r="F3307" t="inlineStr">
        <is>
          <t>-</t>
        </is>
      </c>
      <c r="G3307" t="inlineStr">
        <is>
          <t>-</t>
        </is>
      </c>
      <c r="H3307" t="inlineStr">
        <is>
          <t>C</t>
        </is>
      </c>
    </row>
    <row r="3308">
      <c r="B3308" t="inlineStr">
        <is>
          <t>Lumber Storage Sheds</t>
        </is>
      </c>
      <c r="C3308" t="inlineStr">
        <is>
          <t>339</t>
        </is>
      </c>
      <c r="D3308" t="inlineStr">
        <is>
          <t>17</t>
        </is>
      </c>
      <c r="E3308" t="inlineStr">
        <is>
          <t>17</t>
        </is>
      </c>
      <c r="F3308" t="inlineStr">
        <is>
          <t>-</t>
        </is>
      </c>
      <c r="G3308" t="inlineStr">
        <is>
          <t>-</t>
        </is>
      </c>
      <c r="H3308" t="inlineStr">
        <is>
          <t>C</t>
        </is>
      </c>
    </row>
    <row r="3309">
      <c r="B3309" t="inlineStr">
        <is>
          <t>Boat Storage Buildings</t>
        </is>
      </c>
      <c r="C3309" t="inlineStr">
        <is>
          <t>467</t>
        </is>
      </c>
      <c r="D3309" t="inlineStr">
        <is>
          <t>17</t>
        </is>
      </c>
      <c r="E3309" t="inlineStr">
        <is>
          <t>18</t>
        </is>
      </c>
      <c r="F3309" t="inlineStr">
        <is>
          <t>-</t>
        </is>
      </c>
      <c r="G3309" t="inlineStr">
        <is>
          <t>-</t>
        </is>
      </c>
      <c r="H3309" t="inlineStr">
        <is>
          <t>C</t>
        </is>
      </c>
    </row>
    <row r="3310">
      <c r="B3310" t="inlineStr">
        <is>
          <t>Boat Storage Sheds</t>
        </is>
      </c>
      <c r="C3310" t="inlineStr">
        <is>
          <t>466</t>
        </is>
      </c>
      <c r="D3310" t="inlineStr">
        <is>
          <t>17</t>
        </is>
      </c>
      <c r="E3310" t="inlineStr">
        <is>
          <t>18</t>
        </is>
      </c>
      <c r="F3310" t="inlineStr">
        <is>
          <t>-</t>
        </is>
      </c>
      <c r="G3310" t="inlineStr">
        <is>
          <t>-</t>
        </is>
      </c>
      <c r="H3310" t="inlineStr">
        <is>
          <t>C</t>
        </is>
      </c>
    </row>
    <row r="3311">
      <c r="B3311" t="inlineStr">
        <is>
          <t>Bag Fertilizer Storage</t>
        </is>
      </c>
      <c r="C3311" t="inlineStr">
        <is>
          <t>563</t>
        </is>
      </c>
      <c r="D3311" t="inlineStr">
        <is>
          <t>17</t>
        </is>
      </c>
      <c r="E3311" t="inlineStr">
        <is>
          <t>19</t>
        </is>
      </c>
      <c r="F3311" t="inlineStr">
        <is>
          <t>-</t>
        </is>
      </c>
      <c r="G3311" t="inlineStr">
        <is>
          <t>-</t>
        </is>
      </c>
      <c r="H3311" t="inlineStr">
        <is>
          <t>C</t>
        </is>
      </c>
    </row>
    <row r="3312">
      <c r="B3312" t="inlineStr">
        <is>
          <t>Bulk Fertilizer Storage</t>
        </is>
      </c>
      <c r="C3312" t="inlineStr">
        <is>
          <t>420</t>
        </is>
      </c>
      <c r="D3312" t="inlineStr">
        <is>
          <t>17</t>
        </is>
      </c>
      <c r="E3312" t="inlineStr">
        <is>
          <t>19</t>
        </is>
      </c>
      <c r="F3312" t="inlineStr">
        <is>
          <t>-</t>
        </is>
      </c>
      <c r="G3312" t="inlineStr">
        <is>
          <t>-</t>
        </is>
      </c>
      <c r="H3312" t="inlineStr">
        <is>
          <t>C</t>
        </is>
      </c>
    </row>
    <row r="3313">
      <c r="B3313" t="inlineStr">
        <is>
          <t>Tobacco Barns – Flue Curing</t>
        </is>
      </c>
      <c r="C3313" t="inlineStr">
        <is>
          <t>122</t>
        </is>
      </c>
      <c r="D3313" t="inlineStr">
        <is>
          <t>17</t>
        </is>
      </c>
      <c r="E3313" t="inlineStr">
        <is>
          <t>19</t>
        </is>
      </c>
      <c r="F3313" t="inlineStr">
        <is>
          <t>-</t>
        </is>
      </c>
      <c r="G3313" t="inlineStr">
        <is>
          <t>-</t>
        </is>
      </c>
      <c r="H3313" t="inlineStr">
        <is>
          <t>C</t>
        </is>
      </c>
    </row>
    <row r="3314">
      <c r="B3314" t="inlineStr">
        <is>
          <t>Tobacco Barns – Air Curing</t>
        </is>
      </c>
      <c r="C3314" t="inlineStr">
        <is>
          <t>121</t>
        </is>
      </c>
      <c r="D3314" t="inlineStr">
        <is>
          <t>17</t>
        </is>
      </c>
      <c r="E3314" t="inlineStr">
        <is>
          <t>19</t>
        </is>
      </c>
      <c r="F3314" t="inlineStr">
        <is>
          <t>-</t>
        </is>
      </c>
      <c r="G3314" t="inlineStr">
        <is>
          <t>-</t>
        </is>
      </c>
      <c r="H3314" t="inlineStr">
        <is>
          <t>C</t>
        </is>
      </c>
    </row>
    <row r="3315">
      <c r="B3315" t="inlineStr">
        <is>
          <t>Dehydrator Shed Buildings</t>
        </is>
      </c>
      <c r="C3315" t="inlineStr">
        <is>
          <t>564</t>
        </is>
      </c>
      <c r="D3315" t="inlineStr">
        <is>
          <t>17</t>
        </is>
      </c>
      <c r="E3315" t="inlineStr">
        <is>
          <t>19</t>
        </is>
      </c>
      <c r="F3315" t="inlineStr">
        <is>
          <t>-</t>
        </is>
      </c>
      <c r="G3315" t="inlineStr">
        <is>
          <t>-</t>
        </is>
      </c>
      <c r="H3315" t="inlineStr">
        <is>
          <t>C</t>
        </is>
      </c>
    </row>
    <row r="3316">
      <c r="B3316" t="inlineStr">
        <is>
          <t>Farm Cold Storage Buildings</t>
        </is>
      </c>
      <c r="C3316" t="inlineStr">
        <is>
          <t>448</t>
        </is>
      </c>
      <c r="D3316" t="inlineStr">
        <is>
          <t>17</t>
        </is>
      </c>
      <c r="E3316" t="inlineStr">
        <is>
          <t>20</t>
        </is>
      </c>
      <c r="F3316" t="inlineStr">
        <is>
          <t>-</t>
        </is>
      </c>
      <c r="G3316" t="inlineStr">
        <is>
          <t>-</t>
        </is>
      </c>
      <c r="H3316" t="inlineStr">
        <is>
          <t>C</t>
        </is>
      </c>
    </row>
    <row r="3317">
      <c r="B3317" t="inlineStr">
        <is>
          <t>Fruit Packing Barns</t>
        </is>
      </c>
      <c r="C3317" t="inlineStr">
        <is>
          <t>398</t>
        </is>
      </c>
      <c r="D3317" t="inlineStr">
        <is>
          <t>17</t>
        </is>
      </c>
      <c r="E3317" t="inlineStr">
        <is>
          <t>20</t>
        </is>
      </c>
      <c r="F3317" t="inlineStr">
        <is>
          <t>-</t>
        </is>
      </c>
      <c r="G3317" t="inlineStr">
        <is>
          <t>-</t>
        </is>
      </c>
      <c r="H3317" t="inlineStr">
        <is>
          <t>C</t>
        </is>
      </c>
    </row>
    <row r="3318">
      <c r="B3318" t="inlineStr">
        <is>
          <t>Potato Storage Buildings</t>
        </is>
      </c>
      <c r="C3318" t="inlineStr">
        <is>
          <t>395</t>
        </is>
      </c>
      <c r="D3318" t="inlineStr">
        <is>
          <t>17</t>
        </is>
      </c>
      <c r="E3318" t="inlineStr">
        <is>
          <t>21</t>
        </is>
      </c>
      <c r="F3318" t="inlineStr">
        <is>
          <t>-</t>
        </is>
      </c>
      <c r="G3318" t="inlineStr">
        <is>
          <t>-</t>
        </is>
      </c>
      <c r="H3318" t="inlineStr">
        <is>
          <t>C</t>
        </is>
      </c>
    </row>
    <row r="3319">
      <c r="B3319" t="inlineStr">
        <is>
          <t>Vegetable Buildings – Environmental</t>
        </is>
      </c>
      <c r="C3319" t="inlineStr">
        <is>
          <t>480</t>
        </is>
      </c>
      <c r="D3319" t="inlineStr">
        <is>
          <t>17</t>
        </is>
      </c>
      <c r="E3319" t="inlineStr">
        <is>
          <t>21</t>
        </is>
      </c>
      <c r="F3319" t="inlineStr">
        <is>
          <t>-</t>
        </is>
      </c>
      <c r="G3319" t="inlineStr">
        <is>
          <t>-</t>
        </is>
      </c>
      <c r="H3319" t="inlineStr">
        <is>
          <t>C</t>
        </is>
      </c>
    </row>
    <row r="3320">
      <c r="B3320" t="inlineStr">
        <is>
          <t>Controlled Atmosphere Buildings</t>
        </is>
      </c>
      <c r="C3320" t="inlineStr">
        <is>
          <t>106</t>
        </is>
      </c>
      <c r="D3320" t="inlineStr">
        <is>
          <t>17</t>
        </is>
      </c>
      <c r="E3320" t="inlineStr">
        <is>
          <t>21</t>
        </is>
      </c>
      <c r="F3320" t="inlineStr">
        <is>
          <t>-</t>
        </is>
      </c>
      <c r="G3320" t="inlineStr">
        <is>
          <t>-</t>
        </is>
      </c>
      <c r="H3320" t="inlineStr">
        <is>
          <t>C</t>
        </is>
      </c>
    </row>
    <row r="3321">
      <c r="B3321" t="inlineStr">
        <is>
          <t>Greenhouse – Straight-Wall Structures</t>
        </is>
      </c>
      <c r="C3321" t="inlineStr">
        <is>
          <t>136</t>
        </is>
      </c>
      <c r="D3321" t="inlineStr">
        <is>
          <t>17</t>
        </is>
      </c>
      <c r="E3321" t="inlineStr">
        <is>
          <t>22</t>
        </is>
      </c>
      <c r="F3321" t="inlineStr">
        <is>
          <t>-</t>
        </is>
      </c>
      <c r="G3321" t="inlineStr">
        <is>
          <t>-</t>
        </is>
      </c>
      <c r="H3321" t="inlineStr">
        <is>
          <t>C</t>
        </is>
      </c>
    </row>
    <row r="3322">
      <c r="B3322" t="inlineStr">
        <is>
          <t>Greenhouse – Hoop (Arch-Rib/Quonset) Structures</t>
        </is>
      </c>
      <c r="C3322" t="inlineStr">
        <is>
          <t>135</t>
        </is>
      </c>
      <c r="D3322" t="inlineStr">
        <is>
          <t>17</t>
        </is>
      </c>
      <c r="E3322" t="inlineStr">
        <is>
          <t>22</t>
        </is>
      </c>
      <c r="F3322" t="inlineStr">
        <is>
          <t>-</t>
        </is>
      </c>
      <c r="G3322" t="inlineStr">
        <is>
          <t>-</t>
        </is>
      </c>
      <c r="H3322" t="inlineStr">
        <is>
          <t>C</t>
        </is>
      </c>
    </row>
    <row r="3323">
      <c r="B3323" t="inlineStr">
        <is>
          <t>Greenhouse Shade Shelters</t>
        </is>
      </c>
      <c r="C3323" t="inlineStr">
        <is>
          <t>519</t>
        </is>
      </c>
      <c r="D3323" t="inlineStr">
        <is>
          <t>17</t>
        </is>
      </c>
      <c r="E3323" t="inlineStr">
        <is>
          <t>23</t>
        </is>
      </c>
      <c r="F3323" t="inlineStr">
        <is>
          <t>-</t>
        </is>
      </c>
      <c r="G3323" t="inlineStr">
        <is>
          <t>-</t>
        </is>
      </c>
      <c r="H3323" t="inlineStr">
        <is>
          <t>C</t>
        </is>
      </c>
    </row>
    <row r="3324">
      <c r="B3324" t="inlineStr">
        <is>
          <t>Lath Shade Houses</t>
        </is>
      </c>
      <c r="C3324" t="inlineStr">
        <is>
          <t>518</t>
        </is>
      </c>
      <c r="D3324" t="inlineStr">
        <is>
          <t>17</t>
        </is>
      </c>
      <c r="E3324" t="inlineStr">
        <is>
          <t>23</t>
        </is>
      </c>
      <c r="F3324" t="inlineStr">
        <is>
          <t>-</t>
        </is>
      </c>
      <c r="G3324" t="inlineStr">
        <is>
          <t>-</t>
        </is>
      </c>
      <c r="H3324" t="inlineStr">
        <is>
          <t>C</t>
        </is>
      </c>
    </row>
    <row r="3325">
      <c r="B3325" t="inlineStr">
        <is>
          <t>Flathouse Storage Buildings</t>
        </is>
      </c>
      <c r="C3325" t="inlineStr">
        <is>
          <t>493</t>
        </is>
      </c>
      <c r="D3325" t="inlineStr">
        <is>
          <t>17</t>
        </is>
      </c>
      <c r="E3325" t="inlineStr">
        <is>
          <t>24</t>
        </is>
      </c>
      <c r="F3325" t="inlineStr">
        <is>
          <t>-</t>
        </is>
      </c>
      <c r="G3325" t="inlineStr">
        <is>
          <t>-</t>
        </is>
      </c>
      <c r="H3325" t="inlineStr">
        <is>
          <t>C</t>
        </is>
      </c>
    </row>
    <row r="3326">
      <c r="B3326" t="inlineStr">
        <is>
          <t>Feed Handling and Mixing Shed Building</t>
        </is>
      </c>
      <c r="C3326" t="inlineStr">
        <is>
          <t>180</t>
        </is>
      </c>
      <c r="D3326" t="inlineStr">
        <is>
          <t>17</t>
        </is>
      </c>
      <c r="E3326" t="inlineStr">
        <is>
          <t>24</t>
        </is>
      </c>
      <c r="F3326" t="inlineStr">
        <is>
          <t>-</t>
        </is>
      </c>
      <c r="G3326" t="inlineStr">
        <is>
          <t>-</t>
        </is>
      </c>
      <c r="H3326" t="inlineStr">
        <is>
          <t>C</t>
        </is>
      </c>
    </row>
    <row r="3327">
      <c r="B3327" t="inlineStr">
        <is>
          <t>Cotton Gins</t>
        </is>
      </c>
      <c r="C3327" t="inlineStr">
        <is>
          <t>450</t>
        </is>
      </c>
      <c r="D3327" t="inlineStr">
        <is>
          <t>17</t>
        </is>
      </c>
      <c r="E3327" t="inlineStr">
        <is>
          <t>24</t>
        </is>
      </c>
      <c r="F3327" t="inlineStr">
        <is>
          <t>-</t>
        </is>
      </c>
      <c r="G3327" t="inlineStr">
        <is>
          <t>-</t>
        </is>
      </c>
      <c r="H3327" t="inlineStr">
        <is>
          <t>C</t>
        </is>
      </c>
    </row>
    <row r="3328">
      <c r="B3328" t="inlineStr">
        <is>
          <t>Seed Processing Storage</t>
        </is>
      </c>
      <c r="C3328" t="inlineStr">
        <is>
          <t>123</t>
        </is>
      </c>
      <c r="D3328" t="inlineStr">
        <is>
          <t>17</t>
        </is>
      </c>
      <c r="E3328" t="inlineStr">
        <is>
          <t>24</t>
        </is>
      </c>
      <c r="F3328" t="inlineStr">
        <is>
          <t>-</t>
        </is>
      </c>
      <c r="G3328" t="inlineStr">
        <is>
          <t>-</t>
        </is>
      </c>
      <c r="H3328" t="inlineStr">
        <is>
          <t>C</t>
        </is>
      </c>
    </row>
    <row r="3329">
      <c r="B3329" t="inlineStr">
        <is>
          <t>Secure Storage Modular Shed Buildings</t>
        </is>
      </c>
      <c r="C3329" t="inlineStr">
        <is>
          <t>181</t>
        </is>
      </c>
      <c r="D3329" t="inlineStr">
        <is>
          <t>17</t>
        </is>
      </c>
      <c r="E3329" t="inlineStr">
        <is>
          <t>25</t>
        </is>
      </c>
      <c r="F3329" t="inlineStr">
        <is>
          <t>-</t>
        </is>
      </c>
      <c r="G3329" t="inlineStr">
        <is>
          <t>-</t>
        </is>
      </c>
      <c r="H3329" t="inlineStr">
        <is>
          <t>C</t>
        </is>
      </c>
    </row>
    <row r="3330">
      <c r="B3330" t="inlineStr">
        <is>
          <t>Prefabricated Storage Shed Buildings</t>
        </is>
      </c>
      <c r="C3330" t="inlineStr">
        <is>
          <t>133</t>
        </is>
      </c>
      <c r="D3330" t="inlineStr">
        <is>
          <t>17</t>
        </is>
      </c>
      <c r="E3330" t="inlineStr">
        <is>
          <t>25</t>
        </is>
      </c>
      <c r="F3330" t="inlineStr">
        <is>
          <t>-</t>
        </is>
      </c>
      <c r="G3330" t="inlineStr">
        <is>
          <t>-</t>
        </is>
      </c>
      <c r="H3330" t="inlineStr">
        <is>
          <t>C</t>
        </is>
      </c>
    </row>
    <row r="3331">
      <c r="B3331" t="inlineStr">
        <is>
          <t>Corn Crib Bins</t>
        </is>
      </c>
      <c r="C3331" t="inlineStr">
        <is>
          <t>131</t>
        </is>
      </c>
      <c r="D3331" t="inlineStr">
        <is>
          <t>17</t>
        </is>
      </c>
      <c r="E3331" t="inlineStr">
        <is>
          <t>25</t>
        </is>
      </c>
      <c r="F3331" t="inlineStr">
        <is>
          <t>-</t>
        </is>
      </c>
      <c r="G3331" t="inlineStr">
        <is>
          <t>-</t>
        </is>
      </c>
      <c r="H3331" t="inlineStr">
        <is>
          <t>C</t>
        </is>
      </c>
    </row>
    <row r="3332">
      <c r="B3332" t="inlineStr">
        <is>
          <t>Farm Utility Buildings</t>
        </is>
      </c>
      <c r="C3332" t="inlineStr">
        <is>
          <t>477</t>
        </is>
      </c>
      <c r="D3332" t="inlineStr">
        <is>
          <t>17</t>
        </is>
      </c>
      <c r="E3332" t="inlineStr">
        <is>
          <t>26</t>
        </is>
      </c>
      <c r="F3332" t="inlineStr">
        <is>
          <t>-</t>
        </is>
      </c>
      <c r="G3332" t="inlineStr">
        <is>
          <t>-</t>
        </is>
      </c>
      <c r="H3332" t="inlineStr">
        <is>
          <t>R</t>
        </is>
      </c>
    </row>
    <row r="3333">
      <c r="B3333" t="inlineStr">
        <is>
          <t>Arch-Rib (Quonset) Farm Utility Buildings</t>
        </is>
      </c>
      <c r="C3333" t="inlineStr">
        <is>
          <t>557</t>
        </is>
      </c>
      <c r="D3333" t="inlineStr">
        <is>
          <t>17</t>
        </is>
      </c>
      <c r="E3333" t="inlineStr">
        <is>
          <t>26</t>
        </is>
      </c>
      <c r="F3333" t="inlineStr">
        <is>
          <t>-</t>
        </is>
      </c>
      <c r="G3333" t="inlineStr">
        <is>
          <t>-</t>
        </is>
      </c>
      <c r="H3333" t="inlineStr">
        <is>
          <t>R</t>
        </is>
      </c>
    </row>
    <row r="3334">
      <c r="B3334" t="inlineStr">
        <is>
          <t>Farm Utility/Grain Storage (Granary) Buildings</t>
        </is>
      </c>
      <c r="C3334" t="inlineStr">
        <is>
          <t>421</t>
        </is>
      </c>
      <c r="D3334" t="inlineStr">
        <is>
          <t>17</t>
        </is>
      </c>
      <c r="E3334" t="inlineStr">
        <is>
          <t>27</t>
        </is>
      </c>
      <c r="F3334" t="inlineStr">
        <is>
          <t>-</t>
        </is>
      </c>
      <c r="G3334" t="inlineStr">
        <is>
          <t>-</t>
        </is>
      </c>
      <c r="H3334" t="inlineStr">
        <is>
          <t>R</t>
        </is>
      </c>
    </row>
    <row r="3335">
      <c r="B3335" t="inlineStr">
        <is>
          <t>Farm Utility Storage Sheds</t>
        </is>
      </c>
      <c r="C3335" t="inlineStr">
        <is>
          <t>479</t>
        </is>
      </c>
      <c r="D3335" t="inlineStr">
        <is>
          <t>17</t>
        </is>
      </c>
      <c r="E3335" t="inlineStr">
        <is>
          <t>27</t>
        </is>
      </c>
      <c r="F3335" t="inlineStr">
        <is>
          <t>-</t>
        </is>
      </c>
      <c r="G3335" t="inlineStr">
        <is>
          <t>-</t>
        </is>
      </c>
      <c r="H3335" t="inlineStr">
        <is>
          <t>R</t>
        </is>
      </c>
    </row>
    <row r="3336">
      <c r="B3336" t="inlineStr">
        <is>
          <t>Farm Utility Lean-Tos</t>
        </is>
      </c>
      <c r="C3336" t="inlineStr">
        <is>
          <t>124</t>
        </is>
      </c>
      <c r="D3336" t="inlineStr">
        <is>
          <t>17</t>
        </is>
      </c>
      <c r="E3336" t="inlineStr">
        <is>
          <t>27</t>
        </is>
      </c>
      <c r="F3336" t="inlineStr">
        <is>
          <t>-</t>
        </is>
      </c>
      <c r="G3336" t="inlineStr">
        <is>
          <t>-</t>
        </is>
      </c>
      <c r="H3336" t="inlineStr">
        <is>
          <t>R</t>
        </is>
      </c>
    </row>
    <row r="3337">
      <c r="B3337" t="inlineStr">
        <is>
          <t>Farm Commodity Storage Sheds</t>
        </is>
      </c>
      <c r="C3337" t="inlineStr">
        <is>
          <t>562</t>
        </is>
      </c>
      <c r="D3337" t="inlineStr">
        <is>
          <t>17</t>
        </is>
      </c>
      <c r="E3337" t="inlineStr">
        <is>
          <t>28</t>
        </is>
      </c>
      <c r="F3337" t="inlineStr">
        <is>
          <t>-</t>
        </is>
      </c>
      <c r="G3337" t="inlineStr">
        <is>
          <t>-</t>
        </is>
      </c>
      <c r="H3337" t="inlineStr">
        <is>
          <t>R</t>
        </is>
      </c>
    </row>
    <row r="3338">
      <c r="B3338" t="inlineStr">
        <is>
          <t>Corn Crib Buildings – Spaced Boards</t>
        </is>
      </c>
      <c r="C3338" t="inlineStr">
        <is>
          <t>107</t>
        </is>
      </c>
      <c r="D3338" t="inlineStr">
        <is>
          <t>17</t>
        </is>
      </c>
      <c r="E3338" t="inlineStr">
        <is>
          <t>28</t>
        </is>
      </c>
      <c r="F3338" t="inlineStr">
        <is>
          <t>-</t>
        </is>
      </c>
      <c r="G3338" t="inlineStr">
        <is>
          <t>-</t>
        </is>
      </c>
      <c r="H3338" t="inlineStr">
        <is>
          <t>R</t>
        </is>
      </c>
    </row>
    <row r="3339">
      <c r="B3339" t="inlineStr">
        <is>
          <t>Corn Crib Buildings – Wire Mesh</t>
        </is>
      </c>
      <c r="C3339" t="inlineStr">
        <is>
          <t>108</t>
        </is>
      </c>
      <c r="D3339" t="inlineStr">
        <is>
          <t>17</t>
        </is>
      </c>
      <c r="E3339" t="inlineStr">
        <is>
          <t>28</t>
        </is>
      </c>
      <c r="F3339" t="inlineStr">
        <is>
          <t>-</t>
        </is>
      </c>
      <c r="G3339" t="inlineStr">
        <is>
          <t>-</t>
        </is>
      </c>
      <c r="H3339" t="inlineStr">
        <is>
          <t>R</t>
        </is>
      </c>
    </row>
    <row r="3340">
      <c r="B3340" t="inlineStr">
        <is>
          <t>Farm Implement (Equipment Shop) Buildings</t>
        </is>
      </c>
      <c r="C3340" t="inlineStr">
        <is>
          <t>476</t>
        </is>
      </c>
      <c r="D3340" t="inlineStr">
        <is>
          <t>17</t>
        </is>
      </c>
      <c r="E3340" t="inlineStr">
        <is>
          <t>28</t>
        </is>
      </c>
      <c r="F3340" t="inlineStr">
        <is>
          <t>-</t>
        </is>
      </c>
      <c r="G3340" t="inlineStr">
        <is>
          <t>-</t>
        </is>
      </c>
      <c r="H3340" t="inlineStr">
        <is>
          <t>R</t>
        </is>
      </c>
    </row>
    <row r="3341">
      <c r="B3341" t="inlineStr">
        <is>
          <t>Arch-Rib (Quonset) Farm Implement Buildings</t>
        </is>
      </c>
      <c r="C3341" t="inlineStr">
        <is>
          <t>558</t>
        </is>
      </c>
      <c r="D3341" t="inlineStr">
        <is>
          <t>17</t>
        </is>
      </c>
      <c r="E3341" t="inlineStr">
        <is>
          <t>29</t>
        </is>
      </c>
      <c r="F3341" t="inlineStr">
        <is>
          <t>-</t>
        </is>
      </c>
      <c r="G3341" t="inlineStr">
        <is>
          <t>-</t>
        </is>
      </c>
      <c r="H3341" t="inlineStr">
        <is>
          <t>R</t>
        </is>
      </c>
    </row>
    <row r="3342">
      <c r="B3342" t="inlineStr">
        <is>
          <t>Farm Implement – Equipment Sheds</t>
        </is>
      </c>
      <c r="C3342" t="inlineStr">
        <is>
          <t>478</t>
        </is>
      </c>
      <c r="D3342" t="inlineStr">
        <is>
          <t>17</t>
        </is>
      </c>
      <c r="E3342" t="inlineStr">
        <is>
          <t>29</t>
        </is>
      </c>
      <c r="F3342" t="inlineStr">
        <is>
          <t>-</t>
        </is>
      </c>
      <c r="G3342" t="inlineStr">
        <is>
          <t>-</t>
        </is>
      </c>
      <c r="H3342" t="inlineStr">
        <is>
          <t>R</t>
        </is>
      </c>
    </row>
    <row r="3343">
      <c r="B3343" t="inlineStr">
        <is>
          <t>Barns – General Purpose</t>
        </is>
      </c>
      <c r="C3343" t="inlineStr">
        <is>
          <t>102</t>
        </is>
      </c>
      <c r="D3343" t="inlineStr">
        <is>
          <t>17</t>
        </is>
      </c>
      <c r="E3343" t="inlineStr">
        <is>
          <t>30</t>
        </is>
      </c>
      <c r="F3343" t="inlineStr">
        <is>
          <t>-</t>
        </is>
      </c>
      <c r="G3343" t="inlineStr">
        <is>
          <t>-</t>
        </is>
      </c>
      <c r="H3343" t="inlineStr">
        <is>
          <t>R</t>
        </is>
      </c>
    </row>
    <row r="3344">
      <c r="B3344" t="inlineStr">
        <is>
          <t>Bank Barns (Two-Story) – General Purpose</t>
        </is>
      </c>
      <c r="C3344" t="inlineStr">
        <is>
          <t>100</t>
        </is>
      </c>
      <c r="D3344" t="inlineStr">
        <is>
          <t>17</t>
        </is>
      </c>
      <c r="E3344" t="inlineStr">
        <is>
          <t>30</t>
        </is>
      </c>
      <c r="F3344" t="inlineStr">
        <is>
          <t>-</t>
        </is>
      </c>
      <c r="G3344" t="inlineStr">
        <is>
          <t>-</t>
        </is>
      </c>
      <c r="H3344" t="inlineStr">
        <is>
          <t>R</t>
        </is>
      </c>
    </row>
    <row r="3345">
      <c r="B3345" t="inlineStr">
        <is>
          <t>Barns – Special Purpose</t>
        </is>
      </c>
      <c r="C3345" t="inlineStr">
        <is>
          <t>103</t>
        </is>
      </c>
      <c r="D3345" t="inlineStr">
        <is>
          <t>17</t>
        </is>
      </c>
      <c r="E3345" t="inlineStr">
        <is>
          <t>31</t>
        </is>
      </c>
      <c r="F3345" t="inlineStr">
        <is>
          <t>-</t>
        </is>
      </c>
      <c r="G3345" t="inlineStr">
        <is>
          <t>-</t>
        </is>
      </c>
      <c r="H3345" t="inlineStr">
        <is>
          <t>R</t>
        </is>
      </c>
    </row>
    <row r="3346">
      <c r="B3346" t="inlineStr">
        <is>
          <t>Bank Barns (Two-Story) – Special Purpose</t>
        </is>
      </c>
      <c r="C3346" t="inlineStr">
        <is>
          <t>101</t>
        </is>
      </c>
      <c r="D3346" t="inlineStr">
        <is>
          <t>17</t>
        </is>
      </c>
      <c r="E3346" t="inlineStr">
        <is>
          <t>31</t>
        </is>
      </c>
      <c r="F3346" t="inlineStr">
        <is>
          <t>-</t>
        </is>
      </c>
      <c r="G3346" t="inlineStr">
        <is>
          <t>-</t>
        </is>
      </c>
      <c r="H3346" t="inlineStr">
        <is>
          <t>R</t>
        </is>
      </c>
    </row>
    <row r="3347">
      <c r="B3347" t="inlineStr">
        <is>
          <t>Free-Stall Barns</t>
        </is>
      </c>
      <c r="C3347" t="inlineStr">
        <is>
          <t>469</t>
        </is>
      </c>
      <c r="D3347" t="inlineStr">
        <is>
          <t>17</t>
        </is>
      </c>
      <c r="E3347" t="inlineStr">
        <is>
          <t>32</t>
        </is>
      </c>
      <c r="F3347" t="inlineStr">
        <is>
          <t>-</t>
        </is>
      </c>
      <c r="G3347" t="inlineStr">
        <is>
          <t>-</t>
        </is>
      </c>
      <c r="H3347" t="inlineStr">
        <is>
          <t>R</t>
        </is>
      </c>
    </row>
    <row r="3348">
      <c r="B3348" t="inlineStr">
        <is>
          <t>Confinement Barns</t>
        </is>
      </c>
      <c r="C3348" t="inlineStr">
        <is>
          <t>105</t>
        </is>
      </c>
      <c r="D3348" t="inlineStr">
        <is>
          <t>17</t>
        </is>
      </c>
      <c r="E3348" t="inlineStr">
        <is>
          <t>32</t>
        </is>
      </c>
      <c r="F3348" t="inlineStr">
        <is>
          <t>-</t>
        </is>
      </c>
      <c r="G3348" t="inlineStr">
        <is>
          <t>-</t>
        </is>
      </c>
      <c r="H3348" t="inlineStr">
        <is>
          <t>R</t>
        </is>
      </c>
    </row>
    <row r="3349">
      <c r="B3349" t="inlineStr">
        <is>
          <t>Feeder Barns – Sheds</t>
        </is>
      </c>
      <c r="C3349" t="inlineStr">
        <is>
          <t>561</t>
        </is>
      </c>
      <c r="D3349" t="inlineStr">
        <is>
          <t>17</t>
        </is>
      </c>
      <c r="E3349" t="inlineStr">
        <is>
          <t>33</t>
        </is>
      </c>
      <c r="F3349" t="inlineStr">
        <is>
          <t>-</t>
        </is>
      </c>
      <c r="G3349" t="inlineStr">
        <is>
          <t>-</t>
        </is>
      </c>
      <c r="H3349" t="inlineStr">
        <is>
          <t>R</t>
        </is>
      </c>
    </row>
    <row r="3350">
      <c r="B3350" t="inlineStr">
        <is>
          <t>Loafing Sheds</t>
        </is>
      </c>
      <c r="C3350" t="inlineStr">
        <is>
          <t>113</t>
        </is>
      </c>
      <c r="D3350" t="inlineStr">
        <is>
          <t>17</t>
        </is>
      </c>
      <c r="E3350" t="inlineStr">
        <is>
          <t>33</t>
        </is>
      </c>
      <c r="F3350" t="inlineStr">
        <is>
          <t>-</t>
        </is>
      </c>
      <c r="G3350" t="inlineStr">
        <is>
          <t>-</t>
        </is>
      </c>
      <c r="H3350" t="inlineStr">
        <is>
          <t>R</t>
        </is>
      </c>
    </row>
    <row r="3351">
      <c r="B3351" t="inlineStr">
        <is>
          <t>Farm Utility Shelters (Open Hay Sheds)</t>
        </is>
      </c>
      <c r="C3351" t="inlineStr">
        <is>
          <t>565</t>
        </is>
      </c>
      <c r="D3351" t="inlineStr">
        <is>
          <t>17</t>
        </is>
      </c>
      <c r="E3351" t="inlineStr">
        <is>
          <t>33</t>
        </is>
      </c>
      <c r="F3351" t="inlineStr">
        <is>
          <t>-</t>
        </is>
      </c>
      <c r="G3351" t="inlineStr">
        <is>
          <t>-</t>
        </is>
      </c>
      <c r="H3351" t="inlineStr">
        <is>
          <t>R</t>
        </is>
      </c>
    </row>
    <row r="3352">
      <c r="B3352" t="inlineStr">
        <is>
          <t>Calving Barns – Sheds</t>
        </is>
      </c>
      <c r="C3352" t="inlineStr">
        <is>
          <t>182</t>
        </is>
      </c>
      <c r="D3352" t="inlineStr">
        <is>
          <t>17</t>
        </is>
      </c>
      <c r="E3352" t="inlineStr">
        <is>
          <t>34</t>
        </is>
      </c>
      <c r="F3352" t="inlineStr">
        <is>
          <t>-</t>
        </is>
      </c>
      <c r="G3352" t="inlineStr">
        <is>
          <t>-</t>
        </is>
      </c>
      <c r="H3352" t="inlineStr">
        <is>
          <t>R</t>
        </is>
      </c>
    </row>
    <row r="3353">
      <c r="B3353" t="inlineStr">
        <is>
          <t>Arena Shelters</t>
        </is>
      </c>
      <c r="C3353" t="inlineStr">
        <is>
          <t>184</t>
        </is>
      </c>
      <c r="D3353" t="inlineStr">
        <is>
          <t>17</t>
        </is>
      </c>
      <c r="E3353" t="inlineStr">
        <is>
          <t>34</t>
        </is>
      </c>
      <c r="F3353" t="inlineStr">
        <is>
          <t>-</t>
        </is>
      </c>
      <c r="G3353" t="inlineStr">
        <is>
          <t>-</t>
        </is>
      </c>
      <c r="H3353" t="inlineStr">
        <is>
          <t>R</t>
        </is>
      </c>
    </row>
    <row r="3354">
      <c r="B3354" t="inlineStr">
        <is>
          <t>Farm Sun Shelters</t>
        </is>
      </c>
      <c r="C3354" t="inlineStr">
        <is>
          <t>566</t>
        </is>
      </c>
      <c r="D3354" t="inlineStr">
        <is>
          <t>17</t>
        </is>
      </c>
      <c r="E3354" t="inlineStr">
        <is>
          <t>34</t>
        </is>
      </c>
      <c r="F3354" t="inlineStr">
        <is>
          <t>-</t>
        </is>
      </c>
      <c r="G3354" t="inlineStr">
        <is>
          <t>-</t>
        </is>
      </c>
      <c r="H3354" t="inlineStr">
        <is>
          <t>R</t>
        </is>
      </c>
    </row>
    <row r="3355">
      <c r="B3355" t="inlineStr">
        <is>
          <t>Arenas</t>
        </is>
      </c>
      <c r="C3355" t="inlineStr">
        <is>
          <t>428</t>
        </is>
      </c>
      <c r="D3355" t="inlineStr">
        <is>
          <t>17</t>
        </is>
      </c>
      <c r="E3355" t="inlineStr">
        <is>
          <t>35</t>
        </is>
      </c>
      <c r="F3355" t="inlineStr">
        <is>
          <t>-</t>
        </is>
      </c>
      <c r="G3355" t="inlineStr">
        <is>
          <t>-</t>
        </is>
      </c>
      <c r="H3355" t="inlineStr">
        <is>
          <t>R</t>
        </is>
      </c>
    </row>
    <row r="3356">
      <c r="B3356" t="inlineStr">
        <is>
          <t>Equestrian Lean-Tos</t>
        </is>
      </c>
      <c r="C3356" t="inlineStr">
        <is>
          <t>560</t>
        </is>
      </c>
      <c r="D3356" t="inlineStr">
        <is>
          <t>17</t>
        </is>
      </c>
      <c r="E3356" t="inlineStr">
        <is>
          <t>35</t>
        </is>
      </c>
      <c r="F3356" t="inlineStr">
        <is>
          <t>-</t>
        </is>
      </c>
      <c r="G3356" t="inlineStr">
        <is>
          <t>-</t>
        </is>
      </c>
      <c r="H3356" t="inlineStr">
        <is>
          <t>R</t>
        </is>
      </c>
    </row>
    <row r="3357">
      <c r="B3357" t="inlineStr">
        <is>
          <t>Stables</t>
        </is>
      </c>
      <c r="C3357" t="inlineStr">
        <is>
          <t>378</t>
        </is>
      </c>
      <c r="D3357" t="inlineStr">
        <is>
          <t>17</t>
        </is>
      </c>
      <c r="E3357" t="inlineStr">
        <is>
          <t>36</t>
        </is>
      </c>
      <c r="F3357" t="inlineStr">
        <is>
          <t>-</t>
        </is>
      </c>
      <c r="G3357" t="inlineStr">
        <is>
          <t>-</t>
        </is>
      </c>
      <c r="H3357" t="inlineStr">
        <is>
          <t>R</t>
        </is>
      </c>
    </row>
    <row r="3358">
      <c r="B3358" t="inlineStr">
        <is>
          <t>High-Value (Estate) Stables – Horse Barns</t>
        </is>
      </c>
      <c r="C3358" t="inlineStr">
        <is>
          <t>559</t>
        </is>
      </c>
      <c r="D3358" t="inlineStr">
        <is>
          <t>17</t>
        </is>
      </c>
      <c r="E3358" t="inlineStr">
        <is>
          <t>36</t>
        </is>
      </c>
      <c r="F3358" t="inlineStr">
        <is>
          <t>-</t>
        </is>
      </c>
      <c r="G3358" t="inlineStr">
        <is>
          <t>-</t>
        </is>
      </c>
      <c r="H3358" t="inlineStr">
        <is>
          <t>R</t>
        </is>
      </c>
    </row>
    <row r="3359">
      <c r="B3359" t="inlineStr">
        <is>
          <t>Dairies (Milking Parlors)</t>
        </is>
      </c>
      <c r="C3359" t="inlineStr">
        <is>
          <t>316</t>
        </is>
      </c>
      <c r="D3359" t="inlineStr">
        <is>
          <t>17</t>
        </is>
      </c>
      <c r="E3359" t="inlineStr">
        <is>
          <t>38</t>
        </is>
      </c>
      <c r="F3359" t="inlineStr">
        <is>
          <t>-</t>
        </is>
      </c>
      <c r="G3359" t="inlineStr">
        <is>
          <t>-</t>
        </is>
      </c>
      <c r="H3359" t="inlineStr">
        <is>
          <t>R</t>
        </is>
      </c>
    </row>
    <row r="3360">
      <c r="B3360" t="inlineStr">
        <is>
          <t>Milkhouses</t>
        </is>
      </c>
      <c r="C3360" t="inlineStr">
        <is>
          <t>440</t>
        </is>
      </c>
      <c r="D3360" t="inlineStr">
        <is>
          <t>17</t>
        </is>
      </c>
      <c r="E3360" t="inlineStr">
        <is>
          <t>38</t>
        </is>
      </c>
      <c r="F3360" t="inlineStr">
        <is>
          <t>-</t>
        </is>
      </c>
      <c r="G3360" t="inlineStr">
        <is>
          <t>-</t>
        </is>
      </c>
      <c r="H3360" t="inlineStr">
        <is>
          <t>R</t>
        </is>
      </c>
    </row>
    <row r="3361">
      <c r="B3361" t="inlineStr">
        <is>
          <t>Milkhouse Sheds</t>
        </is>
      </c>
      <c r="C3361" t="inlineStr">
        <is>
          <t>114</t>
        </is>
      </c>
      <c r="D3361" t="inlineStr">
        <is>
          <t>17</t>
        </is>
      </c>
      <c r="E3361" t="inlineStr">
        <is>
          <t>38</t>
        </is>
      </c>
      <c r="F3361" t="inlineStr">
        <is>
          <t>-</t>
        </is>
      </c>
      <c r="G3361" t="inlineStr">
        <is>
          <t>-</t>
        </is>
      </c>
      <c r="H3361" t="inlineStr">
        <is>
          <t>R</t>
        </is>
      </c>
    </row>
    <row r="3362">
      <c r="B3362" t="inlineStr">
        <is>
          <t>Hog Barns – Nursery</t>
        </is>
      </c>
      <c r="C3362" t="inlineStr">
        <is>
          <t>112</t>
        </is>
      </c>
      <c r="D3362" t="inlineStr">
        <is>
          <t>17</t>
        </is>
      </c>
      <c r="E3362" t="inlineStr">
        <is>
          <t>40</t>
        </is>
      </c>
      <c r="F3362" t="inlineStr">
        <is>
          <t>-</t>
        </is>
      </c>
      <c r="G3362" t="inlineStr">
        <is>
          <t>-</t>
        </is>
      </c>
      <c r="H3362" t="inlineStr">
        <is>
          <t>R</t>
        </is>
      </c>
    </row>
    <row r="3363">
      <c r="B3363" t="inlineStr">
        <is>
          <t>Hog Barns – Breeding/Gestation</t>
        </is>
      </c>
      <c r="C3363" t="inlineStr">
        <is>
          <t>109</t>
        </is>
      </c>
      <c r="D3363" t="inlineStr">
        <is>
          <t>17</t>
        </is>
      </c>
      <c r="E3363" t="inlineStr">
        <is>
          <t>40</t>
        </is>
      </c>
      <c r="F3363" t="inlineStr">
        <is>
          <t>-</t>
        </is>
      </c>
      <c r="G3363" t="inlineStr">
        <is>
          <t>-</t>
        </is>
      </c>
      <c r="H3363" t="inlineStr">
        <is>
          <t>R</t>
        </is>
      </c>
    </row>
    <row r="3364">
      <c r="B3364" t="inlineStr">
        <is>
          <t>Hog Barns – Farrowing</t>
        </is>
      </c>
      <c r="C3364" t="inlineStr">
        <is>
          <t>110</t>
        </is>
      </c>
      <c r="D3364" t="inlineStr">
        <is>
          <t>17</t>
        </is>
      </c>
      <c r="E3364" t="inlineStr">
        <is>
          <t>41</t>
        </is>
      </c>
      <c r="F3364" t="inlineStr">
        <is>
          <t>-</t>
        </is>
      </c>
      <c r="G3364" t="inlineStr">
        <is>
          <t>-</t>
        </is>
      </c>
      <c r="H3364" t="inlineStr">
        <is>
          <t>R</t>
        </is>
      </c>
    </row>
    <row r="3365">
      <c r="B3365" t="inlineStr">
        <is>
          <t>Hog Barns – Finishing</t>
        </is>
      </c>
      <c r="C3365" t="inlineStr">
        <is>
          <t>111</t>
        </is>
      </c>
      <c r="D3365" t="inlineStr">
        <is>
          <t>17</t>
        </is>
      </c>
      <c r="E3365" t="inlineStr">
        <is>
          <t>41</t>
        </is>
      </c>
      <c r="F3365" t="inlineStr">
        <is>
          <t>-</t>
        </is>
      </c>
      <c r="G3365" t="inlineStr">
        <is>
          <t>-</t>
        </is>
      </c>
      <c r="H3365" t="inlineStr">
        <is>
          <t>R</t>
        </is>
      </c>
    </row>
    <row r="3366">
      <c r="B3366" t="inlineStr">
        <is>
          <t>Modified Hog Sheds</t>
        </is>
      </c>
      <c r="C3366" t="inlineStr">
        <is>
          <t>429</t>
        </is>
      </c>
      <c r="D3366" t="inlineStr">
        <is>
          <t>17</t>
        </is>
      </c>
      <c r="E3366" t="inlineStr">
        <is>
          <t>42</t>
        </is>
      </c>
      <c r="F3366" t="inlineStr">
        <is>
          <t>-</t>
        </is>
      </c>
      <c r="G3366" t="inlineStr">
        <is>
          <t>-</t>
        </is>
      </c>
      <c r="H3366" t="inlineStr">
        <is>
          <t>R</t>
        </is>
      </c>
    </row>
    <row r="3367">
      <c r="B3367" t="inlineStr">
        <is>
          <t>Hog Sheds</t>
        </is>
      </c>
      <c r="C3367" t="inlineStr">
        <is>
          <t>430</t>
        </is>
      </c>
      <c r="D3367" t="inlineStr">
        <is>
          <t>17</t>
        </is>
      </c>
      <c r="E3367" t="inlineStr">
        <is>
          <t>42</t>
        </is>
      </c>
      <c r="F3367" t="inlineStr">
        <is>
          <t>-</t>
        </is>
      </c>
      <c r="G3367" t="inlineStr">
        <is>
          <t>-</t>
        </is>
      </c>
      <c r="H3367" t="inlineStr">
        <is>
          <t>R</t>
        </is>
      </c>
    </row>
    <row r="3368">
      <c r="B3368" t="inlineStr">
        <is>
          <t>Sheep Barns</t>
        </is>
      </c>
      <c r="C3368" t="inlineStr">
        <is>
          <t>397</t>
        </is>
      </c>
      <c r="D3368" t="inlineStr">
        <is>
          <t>17</t>
        </is>
      </c>
      <c r="E3368" t="inlineStr">
        <is>
          <t>44</t>
        </is>
      </c>
      <c r="F3368" t="inlineStr">
        <is>
          <t>-</t>
        </is>
      </c>
      <c r="G3368" t="inlineStr">
        <is>
          <t>-</t>
        </is>
      </c>
      <c r="H3368" t="inlineStr">
        <is>
          <t>R</t>
        </is>
      </c>
    </row>
    <row r="3369">
      <c r="B3369" t="inlineStr">
        <is>
          <t>Sheep Sheds</t>
        </is>
      </c>
      <c r="C3369" t="inlineStr">
        <is>
          <t>120</t>
        </is>
      </c>
      <c r="D3369" t="inlineStr">
        <is>
          <t>17</t>
        </is>
      </c>
      <c r="E3369" t="inlineStr">
        <is>
          <t>44</t>
        </is>
      </c>
      <c r="F3369" t="inlineStr">
        <is>
          <t>-</t>
        </is>
      </c>
      <c r="G3369" t="inlineStr">
        <is>
          <t>-</t>
        </is>
      </c>
      <c r="H3369" t="inlineStr">
        <is>
          <t>R</t>
        </is>
      </c>
    </row>
    <row r="3370">
      <c r="B3370" t="inlineStr">
        <is>
          <t>Poultry Floor Operation – Breeder Houses</t>
        </is>
      </c>
      <c r="C3370" t="inlineStr">
        <is>
          <t>117</t>
        </is>
      </c>
      <c r="D3370" t="inlineStr">
        <is>
          <t>17</t>
        </is>
      </c>
      <c r="E3370" t="inlineStr">
        <is>
          <t>46</t>
        </is>
      </c>
      <c r="F3370" t="inlineStr">
        <is>
          <t>-</t>
        </is>
      </c>
      <c r="G3370" t="inlineStr">
        <is>
          <t>-</t>
        </is>
      </c>
      <c r="H3370" t="inlineStr">
        <is>
          <t>R</t>
        </is>
      </c>
    </row>
    <row r="3371">
      <c r="B3371" t="inlineStr">
        <is>
          <t>Poultry Floor Operation – Broiler Houses</t>
        </is>
      </c>
      <c r="C3371" t="inlineStr">
        <is>
          <t>118</t>
        </is>
      </c>
      <c r="D3371" t="inlineStr">
        <is>
          <t>17</t>
        </is>
      </c>
      <c r="E3371" t="inlineStr">
        <is>
          <t>46</t>
        </is>
      </c>
      <c r="F3371" t="inlineStr">
        <is>
          <t>-</t>
        </is>
      </c>
      <c r="G3371" t="inlineStr">
        <is>
          <t>-</t>
        </is>
      </c>
      <c r="H3371" t="inlineStr">
        <is>
          <t>R</t>
        </is>
      </c>
    </row>
    <row r="3372">
      <c r="B3372" t="inlineStr">
        <is>
          <t>Poultry Cage Operation – Enclosed Houses</t>
        </is>
      </c>
      <c r="C3372" t="inlineStr">
        <is>
          <t>474</t>
        </is>
      </c>
      <c r="D3372" t="inlineStr">
        <is>
          <t>17</t>
        </is>
      </c>
      <c r="E3372" t="inlineStr">
        <is>
          <t>47</t>
        </is>
      </c>
      <c r="F3372" t="inlineStr">
        <is>
          <t>-</t>
        </is>
      </c>
      <c r="G3372" t="inlineStr">
        <is>
          <t>-</t>
        </is>
      </c>
      <c r="H3372" t="inlineStr">
        <is>
          <t>R</t>
        </is>
      </c>
    </row>
    <row r="3373">
      <c r="B3373" t="inlineStr">
        <is>
          <t>Poultry Cage Operation – Screened Houses</t>
        </is>
      </c>
      <c r="C3373" t="inlineStr">
        <is>
          <t>115</t>
        </is>
      </c>
      <c r="D3373" t="inlineStr">
        <is>
          <t>17</t>
        </is>
      </c>
      <c r="E3373" t="inlineStr">
        <is>
          <t>47</t>
        </is>
      </c>
      <c r="F3373" t="inlineStr">
        <is>
          <t>-</t>
        </is>
      </c>
      <c r="G3373" t="inlineStr">
        <is>
          <t>-</t>
        </is>
      </c>
      <c r="H3373" t="inlineStr">
        <is>
          <t>R</t>
        </is>
      </c>
    </row>
    <row r="3374">
      <c r="B3374" t="inlineStr">
        <is>
          <t>Farm Labor Housing – Dormitories</t>
        </is>
      </c>
      <c r="C3374" t="inlineStr">
        <is>
          <t>393</t>
        </is>
      </c>
      <c r="D3374" t="inlineStr">
        <is>
          <t>17</t>
        </is>
      </c>
      <c r="E3374" t="inlineStr">
        <is>
          <t>49</t>
        </is>
      </c>
      <c r="F3374" t="inlineStr">
        <is>
          <t>-</t>
        </is>
      </c>
      <c r="G3374" t="inlineStr">
        <is>
          <t>-</t>
        </is>
      </c>
      <c r="H3374" t="inlineStr">
        <is>
          <t>R</t>
        </is>
      </c>
    </row>
    <row r="3375">
      <c r="B3375" t="inlineStr">
        <is>
          <t>Transient Labor Cabins</t>
        </is>
      </c>
      <c r="C3375" t="inlineStr">
        <is>
          <t>394</t>
        </is>
      </c>
      <c r="D3375" t="inlineStr">
        <is>
          <t>17</t>
        </is>
      </c>
      <c r="E3375" t="inlineStr">
        <is>
          <t>49</t>
        </is>
      </c>
      <c r="F3375" t="inlineStr">
        <is>
          <t>-</t>
        </is>
      </c>
      <c r="G3375" t="inlineStr">
        <is>
          <t>-</t>
        </is>
      </c>
      <c r="H3375" t="inlineStr">
        <is>
          <t>R</t>
        </is>
      </c>
    </row>
    <row r="3376">
      <c r="B3376" t="inlineStr">
        <is>
          <t>Hunting Shelters</t>
        </is>
      </c>
      <c r="C3376" t="inlineStr">
        <is>
          <t>155</t>
        </is>
      </c>
      <c r="D3376" t="inlineStr">
        <is>
          <t>17</t>
        </is>
      </c>
      <c r="E3376" t="inlineStr">
        <is>
          <t>49</t>
        </is>
      </c>
      <c r="F3376" t="inlineStr">
        <is>
          <t>-</t>
        </is>
      </c>
      <c r="G3376" t="inlineStr">
        <is>
          <t>-</t>
        </is>
      </c>
      <c r="H3376" t="inlineStr">
        <is>
          <t>R</t>
        </is>
      </c>
    </row>
    <row r="3377">
      <c r="B3377" t="inlineStr">
        <is>
          <t>High Schools</t>
        </is>
      </c>
      <c r="C3377" t="inlineStr">
        <is>
          <t>484</t>
        </is>
      </c>
      <c r="D3377" t="inlineStr">
        <is>
          <t>18</t>
        </is>
      </c>
      <c r="E3377" t="inlineStr">
        <is>
          <t>9</t>
        </is>
      </c>
      <c r="F3377" t="inlineStr">
        <is>
          <t>18</t>
        </is>
      </c>
      <c r="G3377" t="inlineStr">
        <is>
          <t>18</t>
        </is>
      </c>
      <c r="H3377" t="inlineStr">
        <is>
          <t>R</t>
        </is>
      </c>
    </row>
    <row r="3378">
      <c r="B3378" t="inlineStr">
        <is>
          <t>Middle (Junior High) Schools</t>
        </is>
      </c>
      <c r="C3378" t="inlineStr">
        <is>
          <t>366</t>
        </is>
      </c>
      <c r="D3378" t="inlineStr">
        <is>
          <t>18</t>
        </is>
      </c>
      <c r="E3378" t="inlineStr">
        <is>
          <t>10</t>
        </is>
      </c>
      <c r="F3378" t="inlineStr">
        <is>
          <t>18</t>
        </is>
      </c>
      <c r="G3378" t="inlineStr">
        <is>
          <t>18</t>
        </is>
      </c>
      <c r="H3378" t="inlineStr">
        <is>
          <t>R</t>
        </is>
      </c>
    </row>
    <row r="3379">
      <c r="B3379" t="inlineStr">
        <is>
          <t>Elementary Schools</t>
        </is>
      </c>
      <c r="C3379" t="inlineStr">
        <is>
          <t>365</t>
        </is>
      </c>
      <c r="D3379" t="inlineStr">
        <is>
          <t>18</t>
        </is>
      </c>
      <c r="E3379" t="inlineStr">
        <is>
          <t>11</t>
        </is>
      </c>
      <c r="F3379" t="inlineStr">
        <is>
          <t>18</t>
        </is>
      </c>
      <c r="G3379" t="inlineStr">
        <is>
          <t>18</t>
        </is>
      </c>
      <c r="H3379" t="inlineStr">
        <is>
          <t>R</t>
        </is>
      </c>
    </row>
    <row r="3380">
      <c r="B3380" t="inlineStr">
        <is>
          <t>Vocational Schools</t>
        </is>
      </c>
      <c r="C3380" t="inlineStr">
        <is>
          <t>487</t>
        </is>
      </c>
      <c r="D3380" t="inlineStr">
        <is>
          <t>18</t>
        </is>
      </c>
      <c r="E3380" t="inlineStr">
        <is>
          <t>12</t>
        </is>
      </c>
      <c r="F3380" t="inlineStr">
        <is>
          <t>18</t>
        </is>
      </c>
      <c r="G3380" t="inlineStr">
        <is>
          <t>18</t>
        </is>
      </c>
      <c r="H3380" t="inlineStr">
        <is>
          <t>R</t>
        </is>
      </c>
    </row>
    <row r="3381">
      <c r="B3381" t="inlineStr">
        <is>
          <t>Alternative (High) Schools</t>
        </is>
      </c>
      <c r="C3381" t="inlineStr">
        <is>
          <t>156</t>
        </is>
      </c>
      <c r="D3381" t="inlineStr">
        <is>
          <t>18</t>
        </is>
      </c>
      <c r="E3381" t="inlineStr">
        <is>
          <t>13</t>
        </is>
      </c>
      <c r="F3381" t="inlineStr">
        <is>
          <t>18</t>
        </is>
      </c>
      <c r="G3381" t="inlineStr">
        <is>
          <t>18</t>
        </is>
      </c>
      <c r="H3381" t="inlineStr">
        <is>
          <t>R</t>
        </is>
      </c>
    </row>
    <row r="3382">
      <c r="B3382" t="inlineStr">
        <is>
          <t>Day Care Centers</t>
        </is>
      </c>
      <c r="C3382" t="inlineStr">
        <is>
          <t>426</t>
        </is>
      </c>
      <c r="D3382" t="inlineStr">
        <is>
          <t>18</t>
        </is>
      </c>
      <c r="E3382" t="inlineStr">
        <is>
          <t>13</t>
        </is>
      </c>
      <c r="F3382" t="inlineStr">
        <is>
          <t>18</t>
        </is>
      </c>
      <c r="G3382" t="inlineStr">
        <is>
          <t>18</t>
        </is>
      </c>
      <c r="H3382" t="inlineStr">
        <is>
          <t>R</t>
        </is>
      </c>
    </row>
    <row r="3383">
      <c r="B3383" t="inlineStr">
        <is>
          <t>Classrooms</t>
        </is>
      </c>
      <c r="C3383" t="inlineStr">
        <is>
          <t>356</t>
        </is>
      </c>
      <c r="D3383" t="inlineStr">
        <is>
          <t>18</t>
        </is>
      </c>
      <c r="E3383" t="inlineStr">
        <is>
          <t>14</t>
        </is>
      </c>
      <c r="F3383" t="inlineStr">
        <is>
          <t>18</t>
        </is>
      </c>
      <c r="G3383" t="inlineStr">
        <is>
          <t>18</t>
        </is>
      </c>
      <c r="H3383" t="inlineStr">
        <is>
          <t>R</t>
        </is>
      </c>
    </row>
    <row r="3384">
      <c r="B3384" t="inlineStr">
        <is>
          <t>Special Education Classrooms</t>
        </is>
      </c>
      <c r="C3384" t="inlineStr">
        <is>
          <t>158</t>
        </is>
      </c>
      <c r="D3384" t="inlineStr">
        <is>
          <t>18</t>
        </is>
      </c>
      <c r="E3384" t="inlineStr">
        <is>
          <t>15</t>
        </is>
      </c>
      <c r="F3384" t="inlineStr">
        <is>
          <t>18</t>
        </is>
      </c>
      <c r="G3384" t="inlineStr">
        <is>
          <t>18</t>
        </is>
      </c>
      <c r="H3384" t="inlineStr">
        <is>
          <t>R</t>
        </is>
      </c>
    </row>
    <row r="3385">
      <c r="B3385" t="inlineStr">
        <is>
          <t>Relocatable Classrooms</t>
        </is>
      </c>
      <c r="C3385" t="inlineStr">
        <is>
          <t>598</t>
        </is>
      </c>
      <c r="D3385" t="inlineStr">
        <is>
          <t>18</t>
        </is>
      </c>
      <c r="E3385" t="inlineStr">
        <is>
          <t>15</t>
        </is>
      </c>
      <c r="F3385" t="inlineStr">
        <is>
          <t>18</t>
        </is>
      </c>
      <c r="G3385" t="inlineStr">
        <is>
          <t>18</t>
        </is>
      </c>
      <c r="H3385" t="inlineStr">
        <is>
          <t>R</t>
        </is>
      </c>
    </row>
    <row r="3386">
      <c r="B3386" t="inlineStr">
        <is>
          <t>Manual Arts (Shop) Buildings</t>
        </is>
      </c>
      <c r="C3386" t="inlineStr">
        <is>
          <t>361</t>
        </is>
      </c>
      <c r="D3386" t="inlineStr">
        <is>
          <t>18</t>
        </is>
      </c>
      <c r="E3386" t="inlineStr">
        <is>
          <t>16</t>
        </is>
      </c>
      <c r="F3386" t="inlineStr">
        <is>
          <t>18</t>
        </is>
      </c>
      <c r="G3386" t="inlineStr">
        <is>
          <t>18</t>
        </is>
      </c>
      <c r="H3386" t="inlineStr">
        <is>
          <t>R</t>
        </is>
      </c>
    </row>
    <row r="3387">
      <c r="B3387" t="inlineStr">
        <is>
          <t>Lecture Classrooms</t>
        </is>
      </c>
      <c r="C3387" t="inlineStr">
        <is>
          <t>359</t>
        </is>
      </c>
      <c r="D3387" t="inlineStr">
        <is>
          <t>18</t>
        </is>
      </c>
      <c r="E3387" t="inlineStr">
        <is>
          <t>16</t>
        </is>
      </c>
      <c r="F3387" t="inlineStr">
        <is>
          <t>18</t>
        </is>
      </c>
      <c r="G3387" t="inlineStr">
        <is>
          <t>18</t>
        </is>
      </c>
      <c r="H3387" t="inlineStr">
        <is>
          <t>R</t>
        </is>
      </c>
    </row>
    <row r="3388">
      <c r="B3388" t="inlineStr">
        <is>
          <t>Multipurpose Buildings</t>
        </is>
      </c>
      <c r="C3388" t="inlineStr">
        <is>
          <t>362</t>
        </is>
      </c>
      <c r="D3388" t="inlineStr">
        <is>
          <t>18</t>
        </is>
      </c>
      <c r="E3388" t="inlineStr">
        <is>
          <t>17</t>
        </is>
      </c>
      <c r="F3388" t="inlineStr">
        <is>
          <t>18</t>
        </is>
      </c>
      <c r="G3388" t="inlineStr">
        <is>
          <t>18</t>
        </is>
      </c>
      <c r="H3388" t="inlineStr">
        <is>
          <t>R</t>
        </is>
      </c>
    </row>
    <row r="3389">
      <c r="B3389" t="inlineStr">
        <is>
          <t>Laboratory Classrooms</t>
        </is>
      </c>
      <c r="C3389" t="inlineStr">
        <is>
          <t>364</t>
        </is>
      </c>
      <c r="D3389" t="inlineStr">
        <is>
          <t>18</t>
        </is>
      </c>
      <c r="E3389" t="inlineStr">
        <is>
          <t>17</t>
        </is>
      </c>
      <c r="F3389" t="inlineStr">
        <is>
          <t>18</t>
        </is>
      </c>
      <c r="G3389" t="inlineStr">
        <is>
          <t>18</t>
        </is>
      </c>
      <c r="H3389" t="inlineStr">
        <is>
          <t>R</t>
        </is>
      </c>
    </row>
    <row r="3390">
      <c r="B3390" t="inlineStr">
        <is>
          <t>Elementary and Secondary Media Centers (Libraries)</t>
        </is>
      </c>
      <c r="C3390" t="inlineStr">
        <is>
          <t>360</t>
        </is>
      </c>
      <c r="D3390" t="inlineStr">
        <is>
          <t>18</t>
        </is>
      </c>
      <c r="E3390" t="inlineStr">
        <is>
          <t>18</t>
        </is>
      </c>
      <c r="F3390" t="inlineStr">
        <is>
          <t>18</t>
        </is>
      </c>
      <c r="G3390" t="inlineStr">
        <is>
          <t>18</t>
        </is>
      </c>
      <c r="H3390" t="inlineStr">
        <is>
          <t>R</t>
        </is>
      </c>
    </row>
    <row r="3391">
      <c r="B3391" t="inlineStr">
        <is>
          <t>Academic (College) Libraries</t>
        </is>
      </c>
      <c r="C3391" t="inlineStr">
        <is>
          <t>372</t>
        </is>
      </c>
      <c r="D3391" t="inlineStr">
        <is>
          <t>18</t>
        </is>
      </c>
      <c r="E3391" t="inlineStr">
        <is>
          <t>19</t>
        </is>
      </c>
      <c r="F3391" t="inlineStr">
        <is>
          <t>18</t>
        </is>
      </c>
      <c r="G3391" t="inlineStr">
        <is>
          <t>18</t>
        </is>
      </c>
      <c r="H3391" t="inlineStr">
        <is>
          <t>R</t>
        </is>
      </c>
    </row>
    <row r="3392">
      <c r="B3392" t="inlineStr">
        <is>
          <t>Fine Arts Buildings</t>
        </is>
      </c>
      <c r="C3392" t="inlineStr">
        <is>
          <t>355</t>
        </is>
      </c>
      <c r="D3392" t="inlineStr">
        <is>
          <t>18</t>
        </is>
      </c>
      <c r="E3392" t="inlineStr">
        <is>
          <t>20</t>
        </is>
      </c>
      <c r="F3392" t="inlineStr">
        <is>
          <t>18</t>
        </is>
      </c>
      <c r="G3392" t="inlineStr">
        <is>
          <t>18</t>
        </is>
      </c>
      <c r="H3392" t="inlineStr">
        <is>
          <t>R</t>
        </is>
      </c>
    </row>
    <row r="3393">
      <c r="B3393" t="inlineStr">
        <is>
          <t>Book Stores</t>
        </is>
      </c>
      <c r="C3393" t="inlineStr">
        <is>
          <t>488</t>
        </is>
      </c>
      <c r="D3393" t="inlineStr">
        <is>
          <t>18</t>
        </is>
      </c>
      <c r="E3393" t="inlineStr">
        <is>
          <t>20</t>
        </is>
      </c>
      <c r="F3393" t="inlineStr">
        <is>
          <t>18</t>
        </is>
      </c>
      <c r="G3393" t="inlineStr">
        <is>
          <t>18</t>
        </is>
      </c>
      <c r="H3393" t="inlineStr">
        <is>
          <t>R</t>
        </is>
      </c>
    </row>
    <row r="3394">
      <c r="B3394" t="inlineStr">
        <is>
          <t>Restroom Buildings</t>
        </is>
      </c>
      <c r="C3394" t="inlineStr">
        <is>
          <t>432</t>
        </is>
      </c>
      <c r="D3394" t="inlineStr">
        <is>
          <t>18</t>
        </is>
      </c>
      <c r="E3394" t="inlineStr">
        <is>
          <t>21</t>
        </is>
      </c>
      <c r="F3394" t="inlineStr">
        <is>
          <t>18</t>
        </is>
      </c>
      <c r="G3394" t="inlineStr">
        <is>
          <t>18</t>
        </is>
      </c>
      <c r="H3394" t="inlineStr">
        <is>
          <t>R</t>
        </is>
      </c>
    </row>
    <row r="3395">
      <c r="B3395" t="inlineStr">
        <is>
          <t>Maintenance (Storage) Buildings</t>
        </is>
      </c>
      <c r="C3395" t="inlineStr">
        <is>
          <t>157</t>
        </is>
      </c>
      <c r="D3395" t="inlineStr">
        <is>
          <t>18</t>
        </is>
      </c>
      <c r="E3395" t="inlineStr">
        <is>
          <t>21</t>
        </is>
      </c>
      <c r="F3395" t="inlineStr">
        <is>
          <t>18</t>
        </is>
      </c>
      <c r="G3395" t="inlineStr">
        <is>
          <t>18</t>
        </is>
      </c>
      <c r="H3395" t="inlineStr">
        <is>
          <t>R</t>
        </is>
      </c>
    </row>
    <row r="3396">
      <c r="B3396" t="inlineStr">
        <is>
          <t>Natatoriums</t>
        </is>
      </c>
      <c r="C3396" t="inlineStr">
        <is>
          <t>485</t>
        </is>
      </c>
      <c r="D3396" t="inlineStr">
        <is>
          <t>18</t>
        </is>
      </c>
      <c r="E3396" t="inlineStr">
        <is>
          <t>22</t>
        </is>
      </c>
      <c r="F3396" t="inlineStr">
        <is>
          <t>18</t>
        </is>
      </c>
      <c r="G3396" t="inlineStr">
        <is>
          <t>18</t>
        </is>
      </c>
      <c r="H3396" t="inlineStr">
        <is>
          <t>R</t>
        </is>
      </c>
    </row>
    <row r="3397">
      <c r="B3397" t="inlineStr">
        <is>
          <t>Shower Room Buildings</t>
        </is>
      </c>
      <c r="C3397" t="inlineStr">
        <is>
          <t>403</t>
        </is>
      </c>
      <c r="D3397" t="inlineStr">
        <is>
          <t>18</t>
        </is>
      </c>
      <c r="E3397" t="inlineStr">
        <is>
          <t>22</t>
        </is>
      </c>
      <c r="F3397" t="inlineStr">
        <is>
          <t>18</t>
        </is>
      </c>
      <c r="G3397" t="inlineStr">
        <is>
          <t>18</t>
        </is>
      </c>
      <c r="H3397" t="inlineStr">
        <is>
          <t>R</t>
        </is>
      </c>
    </row>
    <row r="3398">
      <c r="B3398" t="inlineStr">
        <is>
          <t>Fieldhouses</t>
        </is>
      </c>
      <c r="C3398" t="inlineStr">
        <is>
          <t>486</t>
        </is>
      </c>
      <c r="D3398" t="inlineStr">
        <is>
          <t>18</t>
        </is>
      </c>
      <c r="E3398" t="inlineStr">
        <is>
          <t>23</t>
        </is>
      </c>
      <c r="F3398" t="inlineStr">
        <is>
          <t>18</t>
        </is>
      </c>
      <c r="G3398" t="inlineStr">
        <is>
          <t>18</t>
        </is>
      </c>
      <c r="H3398" t="inlineStr">
        <is>
          <t>R</t>
        </is>
      </c>
    </row>
    <row r="3399">
      <c r="B3399" t="inlineStr">
        <is>
          <t>Physical Education Buildings</t>
        </is>
      </c>
      <c r="C3399" t="inlineStr">
        <is>
          <t>375</t>
        </is>
      </c>
      <c r="D3399" t="inlineStr">
        <is>
          <t>18</t>
        </is>
      </c>
      <c r="E3399" t="inlineStr">
        <is>
          <t>24</t>
        </is>
      </c>
      <c r="F3399" t="inlineStr">
        <is>
          <t>18</t>
        </is>
      </c>
      <c r="G3399" t="inlineStr">
        <is>
          <t>18</t>
        </is>
      </c>
      <c r="H3399" t="inlineStr">
        <is>
          <t>R</t>
        </is>
      </c>
    </row>
    <row r="3400">
      <c r="B3400" t="inlineStr">
        <is>
          <t>Gymnasiums</t>
        </is>
      </c>
      <c r="C3400" t="inlineStr">
        <is>
          <t>358</t>
        </is>
      </c>
      <c r="D3400" t="inlineStr">
        <is>
          <t>18</t>
        </is>
      </c>
      <c r="E3400" t="inlineStr">
        <is>
          <t>25</t>
        </is>
      </c>
      <c r="F3400" t="inlineStr">
        <is>
          <t>18</t>
        </is>
      </c>
      <c r="G3400" t="inlineStr">
        <is>
          <t>18</t>
        </is>
      </c>
      <c r="H3400" t="inlineStr">
        <is>
          <t>R</t>
        </is>
      </c>
    </row>
    <row r="3401">
      <c r="B3401" t="inlineStr">
        <is>
          <t>Colleges</t>
        </is>
      </c>
      <c r="C3401" t="inlineStr">
        <is>
          <t>377</t>
        </is>
      </c>
      <c r="D3401" t="inlineStr">
        <is>
          <t>18</t>
        </is>
      </c>
      <c r="E3401" t="inlineStr">
        <is>
          <t>26</t>
        </is>
      </c>
      <c r="F3401" t="inlineStr">
        <is>
          <t>18</t>
        </is>
      </c>
      <c r="G3401" t="inlineStr">
        <is>
          <t>18</t>
        </is>
      </c>
      <c r="H3401" t="inlineStr">
        <is>
          <t>R</t>
        </is>
      </c>
    </row>
    <row r="3402">
      <c r="B3402" t="inlineStr">
        <is>
          <t>College Classrooms</t>
        </is>
      </c>
      <c r="C3402" t="inlineStr">
        <is>
          <t>368</t>
        </is>
      </c>
      <c r="D3402" t="inlineStr">
        <is>
          <t>18</t>
        </is>
      </c>
      <c r="E3402" t="inlineStr">
        <is>
          <t>27</t>
        </is>
      </c>
      <c r="F3402" t="inlineStr">
        <is>
          <t>18</t>
        </is>
      </c>
      <c r="G3402" t="inlineStr">
        <is>
          <t>18</t>
        </is>
      </c>
      <c r="H3402" t="inlineStr">
        <is>
          <t>R</t>
        </is>
      </c>
    </row>
    <row r="3403">
      <c r="B3403" t="inlineStr">
        <is>
          <t>Technical Trades Buildings</t>
        </is>
      </c>
      <c r="C3403" t="inlineStr">
        <is>
          <t>373</t>
        </is>
      </c>
      <c r="D3403" t="inlineStr">
        <is>
          <t>18</t>
        </is>
      </c>
      <c r="E3403" t="inlineStr">
        <is>
          <t>28</t>
        </is>
      </c>
      <c r="F3403" t="inlineStr">
        <is>
          <t>18</t>
        </is>
      </c>
      <c r="G3403" t="inlineStr">
        <is>
          <t>18</t>
        </is>
      </c>
      <c r="H3403" t="inlineStr">
        <is>
          <t>R</t>
        </is>
      </c>
    </row>
    <row r="3404">
      <c r="B3404" t="inlineStr">
        <is>
          <t>Lecture Hall Buildings</t>
        </is>
      </c>
      <c r="C3404" t="inlineStr">
        <is>
          <t>371</t>
        </is>
      </c>
      <c r="D3404" t="inlineStr">
        <is>
          <t>18</t>
        </is>
      </c>
      <c r="E3404" t="inlineStr">
        <is>
          <t>28</t>
        </is>
      </c>
      <c r="F3404" t="inlineStr">
        <is>
          <t>18</t>
        </is>
      </c>
      <c r="G3404" t="inlineStr">
        <is>
          <t>18</t>
        </is>
      </c>
      <c r="H3404" t="inlineStr">
        <is>
          <t>R</t>
        </is>
      </c>
    </row>
    <row r="3405">
      <c r="B3405" t="inlineStr">
        <is>
          <t>Arts &amp; Crafts Buildings</t>
        </is>
      </c>
      <c r="C3405" t="inlineStr">
        <is>
          <t>367</t>
        </is>
      </c>
      <c r="D3405" t="inlineStr">
        <is>
          <t>18</t>
        </is>
      </c>
      <c r="E3405" t="inlineStr">
        <is>
          <t>29</t>
        </is>
      </c>
      <c r="F3405" t="inlineStr">
        <is>
          <t>18</t>
        </is>
      </c>
      <c r="G3405" t="inlineStr">
        <is>
          <t>18</t>
        </is>
      </c>
      <c r="H3405" t="inlineStr">
        <is>
          <t>R</t>
        </is>
      </c>
    </row>
    <row r="3406">
      <c r="B3406" t="inlineStr">
        <is>
          <t>Science Buildings</t>
        </is>
      </c>
      <c r="C3406" t="inlineStr">
        <is>
          <t>376</t>
        </is>
      </c>
      <c r="D3406" t="inlineStr">
        <is>
          <t>18</t>
        </is>
      </c>
      <c r="E3406" t="inlineStr">
        <is>
          <t>30</t>
        </is>
      </c>
      <c r="F3406" t="inlineStr">
        <is>
          <t>18</t>
        </is>
      </c>
      <c r="G3406" t="inlineStr">
        <is>
          <t>18</t>
        </is>
      </c>
      <c r="H3406" t="inlineStr">
        <is>
          <t>R</t>
        </is>
      </c>
    </row>
    <row r="3407">
      <c r="B3407" t="inlineStr">
        <is>
          <t>Commons</t>
        </is>
      </c>
      <c r="C3407" t="inlineStr">
        <is>
          <t>369</t>
        </is>
      </c>
      <c r="D3407" t="inlineStr">
        <is>
          <t>18</t>
        </is>
      </c>
      <c r="E3407" t="inlineStr">
        <is>
          <t>31</t>
        </is>
      </c>
      <c r="F3407" t="inlineStr">
        <is>
          <t>18</t>
        </is>
      </c>
      <c r="G3407" t="inlineStr">
        <is>
          <t>18</t>
        </is>
      </c>
      <c r="H3407" t="inlineStr">
        <is>
          <t>R</t>
        </is>
      </c>
    </row>
    <row r="3408">
      <c r="B3408" t="inlineStr">
        <is>
          <t>Administration (Office) Buildings</t>
        </is>
      </c>
      <c r="C3408" t="inlineStr">
        <is>
          <t>600</t>
        </is>
      </c>
      <c r="D3408" t="inlineStr">
        <is>
          <t>18</t>
        </is>
      </c>
      <c r="E3408" t="inlineStr">
        <is>
          <t>32</t>
        </is>
      </c>
      <c r="F3408" t="inlineStr">
        <is>
          <t>18</t>
        </is>
      </c>
      <c r="G3408" t="inlineStr">
        <is>
          <t>18</t>
        </is>
      </c>
      <c r="H3408" t="inlineStr">
        <is>
          <t>R</t>
        </is>
      </c>
    </row>
    <row r="3409">
      <c r="B3409" t="inlineStr">
        <is>
          <t>Relocatable Offices</t>
        </is>
      </c>
      <c r="C3409" t="inlineStr">
        <is>
          <t>599</t>
        </is>
      </c>
      <c r="D3409" t="inlineStr">
        <is>
          <t>18</t>
        </is>
      </c>
      <c r="E3409" t="inlineStr">
        <is>
          <t>33</t>
        </is>
      </c>
      <c r="F3409" t="inlineStr">
        <is>
          <t>18</t>
        </is>
      </c>
      <c r="G3409" t="inlineStr">
        <is>
          <t>18</t>
        </is>
      </c>
      <c r="H3409" t="inlineStr">
        <is>
          <t>R</t>
        </is>
      </c>
    </row>
    <row r="3410">
      <c r="B3410" t="inlineStr">
        <is>
          <t>Commercial (Institutional) Greenhouses</t>
        </is>
      </c>
      <c r="C3410" t="inlineStr">
        <is>
          <t>171</t>
        </is>
      </c>
      <c r="D3410" t="inlineStr">
        <is>
          <t>18</t>
        </is>
      </c>
      <c r="E3410" t="inlineStr">
        <is>
          <t>34</t>
        </is>
      </c>
      <c r="F3410" t="inlineStr">
        <is>
          <t>18</t>
        </is>
      </c>
      <c r="G3410" t="inlineStr">
        <is>
          <t>18</t>
        </is>
      </c>
      <c r="H3410" t="inlineStr">
        <is>
          <t>R</t>
        </is>
      </c>
    </row>
    <row r="3413">
      <c r="B3413" s="2454" t="inlineStr">
        <is>
          <t>REFERENCE 5 -- Story Height Multiplier Tables (per MVS section). Sections 12 and 17 publish no story-height multiplier table -- multiplier 1.000 is used automatically.</t>
        </is>
      </c>
    </row>
    <row r="3414">
      <c r="B3414" s="2453" t="inlineStr">
        <is>
          <t>Section 11 (base = 10 ft) -- MVS 11-36</t>
        </is>
      </c>
      <c r="C3414" s="2455" t="inlineStr">
        <is>
          <t>Height (ft)</t>
        </is>
      </c>
      <c r="D3414" s="2455" t="inlineStr">
        <is>
          <t>Multiplier</t>
        </is>
      </c>
    </row>
    <row r="3415">
      <c r="C3415" t="n">
        <v>7</v>
      </c>
      <c r="D3415" t="n">
        <v>0.922</v>
      </c>
    </row>
    <row r="3416">
      <c r="C3416" t="n">
        <v>8</v>
      </c>
      <c r="D3416" t="n">
        <v>0.947</v>
      </c>
    </row>
    <row r="3417">
      <c r="C3417" t="n">
        <v>9</v>
      </c>
      <c r="D3417" t="n">
        <v>0.973</v>
      </c>
    </row>
    <row r="3418">
      <c r="C3418" t="n">
        <v>10</v>
      </c>
      <c r="D3418" t="n">
        <v>1</v>
      </c>
    </row>
    <row r="3419">
      <c r="C3419" t="n">
        <v>11</v>
      </c>
      <c r="D3419" t="n">
        <v>1.027</v>
      </c>
    </row>
    <row r="3420">
      <c r="C3420" t="n">
        <v>12</v>
      </c>
      <c r="D3420" t="n">
        <v>1.055</v>
      </c>
    </row>
    <row r="3421">
      <c r="C3421" t="n">
        <v>13</v>
      </c>
      <c r="D3421" t="n">
        <v>1.084</v>
      </c>
    </row>
    <row r="3422">
      <c r="C3422" t="n">
        <v>14</v>
      </c>
      <c r="D3422" t="n">
        <v>1.114</v>
      </c>
    </row>
    <row r="3423">
      <c r="C3423" t="n">
        <v>15</v>
      </c>
      <c r="D3423" t="n">
        <v>1.144</v>
      </c>
    </row>
    <row r="3424">
      <c r="C3424" t="n">
        <v>16</v>
      </c>
      <c r="D3424" t="n">
        <v>1.175</v>
      </c>
    </row>
    <row r="3425">
      <c r="C3425" t="n">
        <v>17</v>
      </c>
      <c r="D3425" t="n">
        <v>1.207</v>
      </c>
    </row>
    <row r="3426">
      <c r="C3426" t="n">
        <v>18</v>
      </c>
      <c r="D3426" t="n">
        <v>1.24</v>
      </c>
    </row>
    <row r="3427">
      <c r="C3427" t="n">
        <v>19</v>
      </c>
      <c r="D3427" t="n">
        <v>1.274</v>
      </c>
    </row>
    <row r="3428">
      <c r="C3428" t="n">
        <v>20</v>
      </c>
      <c r="D3428" t="n">
        <v>1.309</v>
      </c>
    </row>
    <row r="3429">
      <c r="C3429" t="n">
        <v>22</v>
      </c>
      <c r="D3429" t="n">
        <v>1.381</v>
      </c>
    </row>
    <row r="3430">
      <c r="C3430" t="n">
        <v>24</v>
      </c>
      <c r="D3430" t="n">
        <v>1.458</v>
      </c>
    </row>
    <row r="3432">
      <c r="B3432" s="2453" t="inlineStr">
        <is>
          <t>Section 13 (base = 12 ft) -- MVS 13-41</t>
        </is>
      </c>
      <c r="C3432" s="2455" t="inlineStr">
        <is>
          <t>Height (ft)</t>
        </is>
      </c>
      <c r="D3432" s="2455" t="inlineStr">
        <is>
          <t>Multiplier</t>
        </is>
      </c>
    </row>
    <row r="3433">
      <c r="C3433" t="n">
        <v>8</v>
      </c>
      <c r="D3433" t="n">
        <v>0.915</v>
      </c>
    </row>
    <row r="3434">
      <c r="C3434" t="n">
        <v>9</v>
      </c>
      <c r="D3434" t="n">
        <v>0.9360000000000001</v>
      </c>
    </row>
    <row r="3435">
      <c r="C3435" t="n">
        <v>10</v>
      </c>
      <c r="D3435" t="n">
        <v>0.957</v>
      </c>
    </row>
    <row r="3436">
      <c r="C3436" t="n">
        <v>11</v>
      </c>
      <c r="D3436" t="n">
        <v>0.979</v>
      </c>
    </row>
    <row r="3437">
      <c r="C3437" t="n">
        <v>12</v>
      </c>
      <c r="D3437" t="n">
        <v>1</v>
      </c>
    </row>
    <row r="3438">
      <c r="C3438" t="n">
        <v>13</v>
      </c>
      <c r="D3438" t="n">
        <v>1.021</v>
      </c>
    </row>
    <row r="3439">
      <c r="C3439" t="n">
        <v>14</v>
      </c>
      <c r="D3439" t="n">
        <v>1.042</v>
      </c>
    </row>
    <row r="3440">
      <c r="C3440" t="n">
        <v>15</v>
      </c>
      <c r="D3440" t="n">
        <v>1.064</v>
      </c>
    </row>
    <row r="3441">
      <c r="C3441" t="n">
        <v>16</v>
      </c>
      <c r="D3441" t="n">
        <v>1.085</v>
      </c>
    </row>
    <row r="3442">
      <c r="C3442" t="n">
        <v>18</v>
      </c>
      <c r="D3442" t="n">
        <v>1.127</v>
      </c>
    </row>
    <row r="3443">
      <c r="C3443" t="n">
        <v>20</v>
      </c>
      <c r="D3443" t="n">
        <v>1.17</v>
      </c>
    </row>
    <row r="3444">
      <c r="C3444" t="n">
        <v>22</v>
      </c>
      <c r="D3444" t="n">
        <v>1.213</v>
      </c>
    </row>
    <row r="3445">
      <c r="C3445" t="n">
        <v>24</v>
      </c>
      <c r="D3445" t="n">
        <v>1.255</v>
      </c>
    </row>
    <row r="3446">
      <c r="C3446" t="n">
        <v>26</v>
      </c>
      <c r="D3446" t="n">
        <v>1.298</v>
      </c>
    </row>
    <row r="3447">
      <c r="C3447" t="n">
        <v>28</v>
      </c>
      <c r="D3447" t="n">
        <v>1.34</v>
      </c>
    </row>
    <row r="3448">
      <c r="C3448" t="n">
        <v>30</v>
      </c>
      <c r="D3448" t="n">
        <v>1.383</v>
      </c>
    </row>
    <row r="3449">
      <c r="C3449" t="n">
        <v>32</v>
      </c>
      <c r="D3449" t="n">
        <v>1.425</v>
      </c>
    </row>
    <row r="3450">
      <c r="C3450" t="n">
        <v>34</v>
      </c>
      <c r="D3450" t="n">
        <v>1.468</v>
      </c>
    </row>
    <row r="3452">
      <c r="B3452" s="2453" t="inlineStr">
        <is>
          <t>Section 14 (base = 14 ft) -- MVS 14-38</t>
        </is>
      </c>
      <c r="C3452" s="2455" t="inlineStr">
        <is>
          <t>Height (ft)</t>
        </is>
      </c>
      <c r="D3452" s="2455" t="inlineStr">
        <is>
          <t>Multiplier</t>
        </is>
      </c>
    </row>
    <row r="3453">
      <c r="C3453" t="n">
        <v>8</v>
      </c>
      <c r="D3453" t="n">
        <v>0.885</v>
      </c>
    </row>
    <row r="3454">
      <c r="C3454" t="n">
        <v>10</v>
      </c>
      <c r="D3454" t="n">
        <v>0.921</v>
      </c>
    </row>
    <row r="3455">
      <c r="C3455" t="n">
        <v>12</v>
      </c>
      <c r="D3455" t="n">
        <v>0.96</v>
      </c>
    </row>
    <row r="3456">
      <c r="C3456" t="n">
        <v>14</v>
      </c>
      <c r="D3456" t="n">
        <v>1</v>
      </c>
    </row>
    <row r="3457">
      <c r="C3457" t="n">
        <v>16</v>
      </c>
      <c r="D3457" t="n">
        <v>1.041</v>
      </c>
    </row>
    <row r="3458">
      <c r="C3458" t="n">
        <v>18</v>
      </c>
      <c r="D3458" t="n">
        <v>1.086</v>
      </c>
    </row>
    <row r="3459">
      <c r="C3459" t="n">
        <v>20</v>
      </c>
      <c r="D3459" t="n">
        <v>1.133</v>
      </c>
    </row>
    <row r="3460">
      <c r="C3460" t="n">
        <v>22</v>
      </c>
      <c r="D3460" t="n">
        <v>1.181</v>
      </c>
    </row>
    <row r="3461">
      <c r="C3461" t="n">
        <v>24</v>
      </c>
      <c r="D3461" t="n">
        <v>1.231</v>
      </c>
    </row>
    <row r="3462">
      <c r="C3462" t="n">
        <v>26</v>
      </c>
      <c r="D3462" t="n">
        <v>1.281</v>
      </c>
    </row>
    <row r="3463">
      <c r="C3463" t="n">
        <v>28</v>
      </c>
      <c r="D3463" t="n">
        <v>1.331</v>
      </c>
    </row>
    <row r="3464">
      <c r="C3464" t="n">
        <v>30</v>
      </c>
      <c r="D3464" t="n">
        <v>1.382</v>
      </c>
    </row>
    <row r="3465">
      <c r="C3465" t="n">
        <v>35</v>
      </c>
      <c r="D3465" t="n">
        <v>1.515</v>
      </c>
    </row>
    <row r="3466">
      <c r="C3466" t="n">
        <v>40</v>
      </c>
      <c r="D3466" t="n">
        <v>1.65</v>
      </c>
    </row>
    <row r="3467">
      <c r="C3467" t="n">
        <v>45</v>
      </c>
      <c r="D3467" t="n">
        <v>1.788</v>
      </c>
    </row>
    <row r="3468">
      <c r="C3468" t="n">
        <v>50</v>
      </c>
      <c r="D3468" t="n">
        <v>1.93</v>
      </c>
    </row>
    <row r="3469">
      <c r="C3469" t="n">
        <v>55</v>
      </c>
      <c r="D3469" t="n">
        <v>2.075</v>
      </c>
    </row>
    <row r="3470">
      <c r="C3470" t="n">
        <v>60</v>
      </c>
      <c r="D3470" t="n">
        <v>2.225</v>
      </c>
    </row>
    <row r="3471">
      <c r="C3471" t="n">
        <v>70</v>
      </c>
      <c r="D3471" t="n">
        <v>2.53</v>
      </c>
    </row>
    <row r="3472">
      <c r="C3472" t="n">
        <v>80</v>
      </c>
      <c r="D3472" t="n">
        <v>2.845</v>
      </c>
    </row>
    <row r="3473">
      <c r="C3473" t="n">
        <v>90</v>
      </c>
      <c r="D3473" t="n">
        <v>3.161</v>
      </c>
    </row>
    <row r="3474">
      <c r="C3474" t="n">
        <v>100</v>
      </c>
      <c r="D3474" t="n">
        <v>3.461</v>
      </c>
    </row>
    <row r="3475">
      <c r="C3475" t="n">
        <v>110</v>
      </c>
      <c r="D3475" t="n">
        <v>3.738</v>
      </c>
    </row>
    <row r="3476">
      <c r="C3476" t="n">
        <v>120</v>
      </c>
      <c r="D3476" t="n">
        <v>3.977</v>
      </c>
    </row>
    <row r="3478">
      <c r="B3478" s="2453" t="inlineStr">
        <is>
          <t>Section 15 (base = 12 ft) -- MVS 15-38</t>
        </is>
      </c>
      <c r="C3478" s="2455" t="inlineStr">
        <is>
          <t>Height (ft)</t>
        </is>
      </c>
      <c r="D3478" s="2455" t="inlineStr">
        <is>
          <t>Multiplier</t>
        </is>
      </c>
    </row>
    <row r="3479">
      <c r="C3479" t="n">
        <v>8</v>
      </c>
      <c r="D3479" t="n">
        <v>0.9</v>
      </c>
    </row>
    <row r="3480">
      <c r="C3480" t="n">
        <v>9</v>
      </c>
      <c r="D3480" t="n">
        <v>0.928</v>
      </c>
    </row>
    <row r="3481">
      <c r="C3481" t="n">
        <v>10</v>
      </c>
      <c r="D3481" t="n">
        <v>0.953</v>
      </c>
    </row>
    <row r="3482">
      <c r="C3482" t="n">
        <v>11</v>
      </c>
      <c r="D3482" t="n">
        <v>0.977</v>
      </c>
    </row>
    <row r="3483">
      <c r="C3483" t="n">
        <v>12</v>
      </c>
      <c r="D3483" t="n">
        <v>1</v>
      </c>
    </row>
    <row r="3484">
      <c r="C3484" t="n">
        <v>13</v>
      </c>
      <c r="D3484" t="n">
        <v>1.023</v>
      </c>
    </row>
    <row r="3485">
      <c r="C3485" t="n">
        <v>14</v>
      </c>
      <c r="D3485" t="n">
        <v>1.046</v>
      </c>
    </row>
    <row r="3486">
      <c r="C3486" t="n">
        <v>15</v>
      </c>
      <c r="D3486" t="n">
        <v>1.069</v>
      </c>
    </row>
    <row r="3487">
      <c r="C3487" t="n">
        <v>16</v>
      </c>
      <c r="D3487" t="n">
        <v>1.092</v>
      </c>
    </row>
    <row r="3488">
      <c r="C3488" t="n">
        <v>18</v>
      </c>
      <c r="D3488" t="n">
        <v>1.138</v>
      </c>
    </row>
    <row r="3489">
      <c r="C3489" t="n">
        <v>20</v>
      </c>
      <c r="D3489" t="n">
        <v>1.184</v>
      </c>
    </row>
    <row r="3490">
      <c r="C3490" t="n">
        <v>24</v>
      </c>
      <c r="D3490" t="n">
        <v>1.276</v>
      </c>
    </row>
    <row r="3491">
      <c r="C3491" t="n">
        <v>28</v>
      </c>
      <c r="D3491" t="n">
        <v>1.367</v>
      </c>
    </row>
    <row r="3492">
      <c r="C3492" t="n">
        <v>32</v>
      </c>
      <c r="D3492" t="n">
        <v>1.459</v>
      </c>
    </row>
    <row r="3493">
      <c r="C3493" t="n">
        <v>36</v>
      </c>
      <c r="D3493" t="n">
        <v>1.552</v>
      </c>
    </row>
    <row r="3495">
      <c r="B3495" s="2453" t="inlineStr">
        <is>
          <t>Section 16 (base = 16 ft) -- MVS 16-26</t>
        </is>
      </c>
      <c r="C3495" s="2455" t="inlineStr">
        <is>
          <t>Height (ft)</t>
        </is>
      </c>
      <c r="D3495" s="2455" t="inlineStr">
        <is>
          <t>Multiplier</t>
        </is>
      </c>
    </row>
    <row r="3496">
      <c r="C3496" t="n">
        <v>8</v>
      </c>
      <c r="D3496" t="n">
        <v>0.776</v>
      </c>
    </row>
    <row r="3497">
      <c r="C3497" t="n">
        <v>10</v>
      </c>
      <c r="D3497" t="n">
        <v>0.833</v>
      </c>
    </row>
    <row r="3498">
      <c r="C3498" t="n">
        <v>12</v>
      </c>
      <c r="D3498" t="n">
        <v>0.889</v>
      </c>
    </row>
    <row r="3499">
      <c r="C3499" t="n">
        <v>14</v>
      </c>
      <c r="D3499" t="n">
        <v>0.945</v>
      </c>
    </row>
    <row r="3500">
      <c r="C3500" t="n">
        <v>16</v>
      </c>
      <c r="D3500" t="n">
        <v>1</v>
      </c>
    </row>
    <row r="3501">
      <c r="C3501" t="n">
        <v>18</v>
      </c>
      <c r="D3501" t="n">
        <v>1.054</v>
      </c>
    </row>
    <row r="3502">
      <c r="C3502" t="n">
        <v>20</v>
      </c>
      <c r="D3502" t="n">
        <v>1.106</v>
      </c>
    </row>
    <row r="3503">
      <c r="C3503" t="n">
        <v>22</v>
      </c>
      <c r="D3503" t="n">
        <v>1.158</v>
      </c>
    </row>
    <row r="3504">
      <c r="C3504" t="n">
        <v>24</v>
      </c>
      <c r="D3504" t="n">
        <v>1.21</v>
      </c>
    </row>
    <row r="3505">
      <c r="C3505" t="n">
        <v>26</v>
      </c>
      <c r="D3505" t="n">
        <v>1.262</v>
      </c>
    </row>
    <row r="3506">
      <c r="C3506" t="n">
        <v>28</v>
      </c>
      <c r="D3506" t="n">
        <v>1.313</v>
      </c>
    </row>
    <row r="3507">
      <c r="C3507" t="n">
        <v>30</v>
      </c>
      <c r="D3507" t="n">
        <v>1.364</v>
      </c>
    </row>
    <row r="3508">
      <c r="C3508" t="n">
        <v>34</v>
      </c>
      <c r="D3508" t="n">
        <v>1.463</v>
      </c>
    </row>
    <row r="3509">
      <c r="C3509" t="n">
        <v>38</v>
      </c>
      <c r="D3509" t="n">
        <v>1.561</v>
      </c>
    </row>
    <row r="3510">
      <c r="C3510" t="n">
        <v>42</v>
      </c>
      <c r="D3510" t="n">
        <v>1.658</v>
      </c>
    </row>
    <row r="3511">
      <c r="C3511" t="n">
        <v>46</v>
      </c>
      <c r="D3511" t="n">
        <v>1.754</v>
      </c>
    </row>
    <row r="3512">
      <c r="C3512" t="n">
        <v>50</v>
      </c>
      <c r="D3512" t="n">
        <v>1.849</v>
      </c>
    </row>
    <row r="3513">
      <c r="C3513" t="n">
        <v>54</v>
      </c>
      <c r="D3513" t="n">
        <v>1.943</v>
      </c>
    </row>
    <row r="3514">
      <c r="C3514" t="n">
        <v>58</v>
      </c>
      <c r="D3514" t="n">
        <v>2.036</v>
      </c>
    </row>
    <row r="3515">
      <c r="C3515" t="n">
        <v>62</v>
      </c>
      <c r="D3515" t="n">
        <v>2.128</v>
      </c>
    </row>
    <row r="3516">
      <c r="C3516" t="n">
        <v>66</v>
      </c>
      <c r="D3516" t="n">
        <v>2.219</v>
      </c>
    </row>
    <row r="3517">
      <c r="C3517" t="n">
        <v>70</v>
      </c>
      <c r="D3517" t="n">
        <v>2.309</v>
      </c>
    </row>
    <row r="3518">
      <c r="C3518" t="n">
        <v>74</v>
      </c>
      <c r="D3518" t="n">
        <v>2.398</v>
      </c>
    </row>
    <row r="3519">
      <c r="C3519" t="n">
        <v>78</v>
      </c>
      <c r="D3519" t="n">
        <v>2.486</v>
      </c>
    </row>
    <row r="3520">
      <c r="C3520" t="n">
        <v>82</v>
      </c>
      <c r="D3520" t="n">
        <v>2.573</v>
      </c>
    </row>
    <row r="3521">
      <c r="C3521" t="n">
        <v>86</v>
      </c>
      <c r="D3521" t="n">
        <v>2.659</v>
      </c>
    </row>
    <row r="3522">
      <c r="C3522" t="n">
        <v>90</v>
      </c>
      <c r="D3522" t="n">
        <v>2.744</v>
      </c>
    </row>
    <row r="3523">
      <c r="C3523" t="n">
        <v>100</v>
      </c>
      <c r="D3523" t="n">
        <v>2.952</v>
      </c>
    </row>
    <row r="3524">
      <c r="C3524" t="n">
        <v>110</v>
      </c>
      <c r="D3524" t="n">
        <v>3.154</v>
      </c>
    </row>
    <row r="3525">
      <c r="C3525" t="n">
        <v>120</v>
      </c>
      <c r="D3525" t="n">
        <v>3.35</v>
      </c>
    </row>
    <row r="3527">
      <c r="B3527" s="2453" t="inlineStr">
        <is>
          <t>Section 18 (base = 10 ft) -- MVS 18-37</t>
        </is>
      </c>
      <c r="C3527" s="2455" t="inlineStr">
        <is>
          <t>Height (ft)</t>
        </is>
      </c>
      <c r="D3527" s="2455" t="inlineStr">
        <is>
          <t>Multiplier</t>
        </is>
      </c>
    </row>
    <row r="3528">
      <c r="C3528" t="n">
        <v>8</v>
      </c>
      <c r="D3528" t="n">
        <v>0.963</v>
      </c>
    </row>
    <row r="3529">
      <c r="C3529" t="n">
        <v>9</v>
      </c>
      <c r="D3529" t="n">
        <v>0.981</v>
      </c>
    </row>
    <row r="3530">
      <c r="C3530" t="n">
        <v>10</v>
      </c>
      <c r="D3530" t="n">
        <v>1</v>
      </c>
    </row>
    <row r="3531">
      <c r="C3531" t="n">
        <v>11</v>
      </c>
      <c r="D3531" t="n">
        <v>1.018</v>
      </c>
    </row>
    <row r="3532">
      <c r="C3532" t="n">
        <v>12</v>
      </c>
      <c r="D3532" t="n">
        <v>1.037</v>
      </c>
    </row>
    <row r="3533">
      <c r="C3533" t="n">
        <v>13</v>
      </c>
      <c r="D3533" t="n">
        <v>1.055</v>
      </c>
    </row>
    <row r="3534">
      <c r="C3534" t="n">
        <v>14</v>
      </c>
      <c r="D3534" t="n">
        <v>1.073</v>
      </c>
    </row>
    <row r="3535">
      <c r="C3535" t="n">
        <v>15</v>
      </c>
      <c r="D3535" t="n">
        <v>1.092</v>
      </c>
    </row>
    <row r="3536">
      <c r="C3536" t="n">
        <v>16</v>
      </c>
      <c r="D3536" t="n">
        <v>1.11</v>
      </c>
    </row>
    <row r="3537">
      <c r="C3537" t="n">
        <v>18</v>
      </c>
      <c r="D3537" t="n">
        <v>1.147</v>
      </c>
    </row>
    <row r="3538">
      <c r="C3538" t="n">
        <v>20</v>
      </c>
      <c r="D3538" t="n">
        <v>1.183</v>
      </c>
    </row>
    <row r="3539">
      <c r="C3539" t="n">
        <v>22</v>
      </c>
      <c r="D3539" t="n">
        <v>1.22</v>
      </c>
    </row>
    <row r="3540">
      <c r="C3540" t="n">
        <v>24</v>
      </c>
      <c r="D3540" t="n">
        <v>1.257</v>
      </c>
    </row>
    <row r="3541">
      <c r="C3541" t="n">
        <v>30</v>
      </c>
      <c r="D3541" t="n">
        <v>1.367</v>
      </c>
    </row>
    <row r="3542">
      <c r="C3542" t="n">
        <v>36</v>
      </c>
      <c r="D3542" t="n">
        <v>1.476</v>
      </c>
    </row>
    <row r="3545">
      <c r="B3545" s="2454" t="inlineStr">
        <is>
          <t>REFERENCE 6 -- Sprinkler Add-On Cost Tables ($/SF, wet systems by coverage; dry-system columns for reference). Section 17 publishes no sprinkler table -- price manually from MVS Sec.53 if sprinklered.</t>
        </is>
      </c>
    </row>
    <row r="3546">
      <c r="B3546" t="inlineStr">
        <is>
          <t>(quality header row, used by lookup formulas)</t>
        </is>
      </c>
      <c r="C3546" s="2455" t="inlineStr">
        <is>
          <t>Low Cost</t>
        </is>
      </c>
      <c r="D3546" s="2455" t="inlineStr">
        <is>
          <t>Average</t>
        </is>
      </c>
      <c r="E3546" s="2455" t="inlineStr">
        <is>
          <t>Good</t>
        </is>
      </c>
      <c r="F3546" s="2455" t="inlineStr">
        <is>
          <t>Excellent</t>
        </is>
      </c>
    </row>
    <row r="3547">
      <c r="B3547" s="2453" t="inlineStr">
        <is>
          <t>Section 11 -- MVS 11-35</t>
        </is>
      </c>
      <c r="C3547" s="2455" t="inlineStr">
        <is>
          <t>Coverage (SF)</t>
        </is>
      </c>
      <c r="D3547" s="2455" t="inlineStr">
        <is>
          <t>Wet-Low</t>
        </is>
      </c>
      <c r="E3547" s="2455" t="inlineStr">
        <is>
          <t>Wet-Avg</t>
        </is>
      </c>
      <c r="F3547" s="2455" t="inlineStr">
        <is>
          <t>Wet-Good</t>
        </is>
      </c>
      <c r="G3547" s="2455" t="inlineStr">
        <is>
          <t>Wet-Excl</t>
        </is>
      </c>
      <c r="H3547" s="2455" t="inlineStr">
        <is>
          <t>Dry-Low</t>
        </is>
      </c>
      <c r="I3547" s="2455" t="inlineStr">
        <is>
          <t>Dry-Avg</t>
        </is>
      </c>
      <c r="J3547" s="2455" t="inlineStr">
        <is>
          <t>Dry-Good</t>
        </is>
      </c>
      <c r="K3547" s="2455" t="inlineStr">
        <is>
          <t>Dry-Excl</t>
        </is>
      </c>
    </row>
    <row r="3548">
      <c r="C3548" t="n">
        <v>1500</v>
      </c>
      <c r="D3548" t="n">
        <v>5.81</v>
      </c>
      <c r="E3548" t="n">
        <v>6.91</v>
      </c>
      <c r="F3548" t="n">
        <v>8.220000000000001</v>
      </c>
      <c r="G3548" t="n">
        <v>9.77</v>
      </c>
      <c r="H3548" t="n">
        <v>7.55</v>
      </c>
      <c r="I3548" t="n">
        <v>8.98</v>
      </c>
      <c r="J3548" t="n">
        <v>10.7</v>
      </c>
      <c r="K3548" t="n">
        <v>12.7</v>
      </c>
    </row>
    <row r="3549">
      <c r="C3549" t="n">
        <v>3000</v>
      </c>
      <c r="D3549" t="n">
        <v>5.22</v>
      </c>
      <c r="E3549" t="n">
        <v>6.18</v>
      </c>
      <c r="F3549" t="n">
        <v>7.33</v>
      </c>
      <c r="G3549" t="n">
        <v>8.68</v>
      </c>
      <c r="H3549" t="n">
        <v>6.73</v>
      </c>
      <c r="I3549" t="n">
        <v>7.98</v>
      </c>
      <c r="J3549" t="n">
        <v>9.449999999999999</v>
      </c>
      <c r="K3549" t="n">
        <v>11.2</v>
      </c>
    </row>
    <row r="3550">
      <c r="C3550" t="n">
        <v>5000</v>
      </c>
      <c r="D3550" t="n">
        <v>4.83</v>
      </c>
      <c r="E3550" t="n">
        <v>5.7</v>
      </c>
      <c r="F3550" t="n">
        <v>6.72</v>
      </c>
      <c r="G3550" t="n">
        <v>7.92</v>
      </c>
      <c r="H3550" t="n">
        <v>6.18</v>
      </c>
      <c r="I3550" t="n">
        <v>7.29</v>
      </c>
      <c r="J3550" t="n">
        <v>8.6</v>
      </c>
      <c r="K3550" t="n">
        <v>10.15</v>
      </c>
    </row>
    <row r="3551">
      <c r="C3551" t="n">
        <v>10000</v>
      </c>
      <c r="D3551" t="n">
        <v>4.35</v>
      </c>
      <c r="E3551" t="n">
        <v>5.1</v>
      </c>
      <c r="F3551" t="n">
        <v>5.98</v>
      </c>
      <c r="G3551" t="n">
        <v>7.02</v>
      </c>
      <c r="H3551" t="n">
        <v>5.52</v>
      </c>
      <c r="I3551" t="n">
        <v>6.47</v>
      </c>
      <c r="J3551" t="n">
        <v>7.59</v>
      </c>
      <c r="K3551" t="n">
        <v>8.9</v>
      </c>
    </row>
    <row r="3552">
      <c r="C3552" t="n">
        <v>15000</v>
      </c>
      <c r="D3552" t="n">
        <v>4.09</v>
      </c>
      <c r="E3552" t="n">
        <v>4.78</v>
      </c>
      <c r="F3552" t="n">
        <v>5.59</v>
      </c>
      <c r="G3552" t="n">
        <v>6.54</v>
      </c>
      <c r="H3552" t="n">
        <v>5.17</v>
      </c>
      <c r="I3552" t="n">
        <v>6.05</v>
      </c>
      <c r="J3552" t="n">
        <v>7.08</v>
      </c>
      <c r="K3552" t="n">
        <v>8.279999999999999</v>
      </c>
    </row>
    <row r="3553">
      <c r="C3553" t="n">
        <v>20000</v>
      </c>
      <c r="D3553" t="n">
        <v>3.93</v>
      </c>
      <c r="E3553" t="n">
        <v>4.58</v>
      </c>
      <c r="F3553" t="n">
        <v>5.33</v>
      </c>
      <c r="G3553" t="n">
        <v>6.2</v>
      </c>
      <c r="H3553" t="n">
        <v>4.94</v>
      </c>
      <c r="I3553" t="n">
        <v>5.75</v>
      </c>
      <c r="J3553" t="n">
        <v>6.7</v>
      </c>
      <c r="K3553" t="n">
        <v>7.81</v>
      </c>
    </row>
    <row r="3554">
      <c r="C3554" t="n">
        <v>30000</v>
      </c>
      <c r="D3554" t="n">
        <v>3.64</v>
      </c>
      <c r="E3554" t="n">
        <v>4.24</v>
      </c>
      <c r="F3554" t="n">
        <v>4.94</v>
      </c>
      <c r="G3554" t="n">
        <v>5.76</v>
      </c>
      <c r="H3554" t="n">
        <v>4.59</v>
      </c>
      <c r="I3554" t="n">
        <v>5.35</v>
      </c>
      <c r="J3554" t="n">
        <v>6.23</v>
      </c>
      <c r="K3554" t="n">
        <v>7.26</v>
      </c>
    </row>
    <row r="3555">
      <c r="C3555" t="n">
        <v>40000</v>
      </c>
      <c r="D3555" t="n">
        <v>3.53</v>
      </c>
      <c r="E3555" t="n">
        <v>4.09</v>
      </c>
      <c r="F3555" t="n">
        <v>4.75</v>
      </c>
      <c r="G3555" t="n">
        <v>5.51</v>
      </c>
      <c r="H3555" t="n">
        <v>4.4</v>
      </c>
      <c r="I3555" t="n">
        <v>5.11</v>
      </c>
      <c r="J3555" t="n">
        <v>5.93</v>
      </c>
      <c r="K3555" t="n">
        <v>6.88</v>
      </c>
    </row>
    <row r="3556">
      <c r="C3556" t="n">
        <v>50000</v>
      </c>
      <c r="D3556" t="n">
        <v>3.41</v>
      </c>
      <c r="E3556" t="n">
        <v>3.95</v>
      </c>
      <c r="F3556" t="n">
        <v>4.58</v>
      </c>
      <c r="G3556" t="n">
        <v>5.31</v>
      </c>
      <c r="H3556" t="n">
        <v>4.27</v>
      </c>
      <c r="I3556" t="n">
        <v>4.94</v>
      </c>
      <c r="J3556" t="n">
        <v>5.71</v>
      </c>
      <c r="K3556" t="n">
        <v>6.6</v>
      </c>
    </row>
    <row r="3557">
      <c r="C3557" t="n">
        <v>75000</v>
      </c>
      <c r="D3557" t="n">
        <v>3.19</v>
      </c>
      <c r="E3557" t="n">
        <v>3.69</v>
      </c>
      <c r="F3557" t="n">
        <v>4.26</v>
      </c>
      <c r="G3557" t="n">
        <v>4.93</v>
      </c>
      <c r="H3557" t="n">
        <v>3.96</v>
      </c>
      <c r="I3557" t="n">
        <v>4.58</v>
      </c>
      <c r="J3557" t="n">
        <v>5.29</v>
      </c>
      <c r="K3557" t="n">
        <v>6.12</v>
      </c>
    </row>
    <row r="3558">
      <c r="C3558" t="n">
        <v>100000</v>
      </c>
      <c r="D3558" t="n">
        <v>3.04</v>
      </c>
      <c r="E3558" t="n">
        <v>3.51</v>
      </c>
      <c r="F3558" t="n">
        <v>4.05</v>
      </c>
      <c r="G3558" t="n">
        <v>4.67</v>
      </c>
      <c r="H3558" t="n">
        <v>3.78</v>
      </c>
      <c r="I3558" t="n">
        <v>4.36</v>
      </c>
      <c r="J3558" t="n">
        <v>5.03</v>
      </c>
      <c r="K3558" t="n">
        <v>5.8</v>
      </c>
    </row>
    <row r="3559">
      <c r="C3559" t="n">
        <v>125000</v>
      </c>
      <c r="D3559" t="n">
        <v>2.96</v>
      </c>
      <c r="E3559" t="n">
        <v>3.4</v>
      </c>
      <c r="F3559" t="n">
        <v>3.91</v>
      </c>
      <c r="G3559" t="n">
        <v>4.49</v>
      </c>
      <c r="H3559" t="n">
        <v>3.64</v>
      </c>
      <c r="I3559" t="n">
        <v>4.19</v>
      </c>
      <c r="J3559" t="n">
        <v>4.82</v>
      </c>
      <c r="K3559" t="n">
        <v>5.54</v>
      </c>
    </row>
    <row r="3560">
      <c r="C3560" t="n">
        <v>150000</v>
      </c>
      <c r="D3560" t="n">
        <v>2.87</v>
      </c>
      <c r="E3560" t="n">
        <v>3.3</v>
      </c>
      <c r="F3560" t="n">
        <v>3.79</v>
      </c>
      <c r="G3560" t="n">
        <v>4.35</v>
      </c>
      <c r="H3560" t="n">
        <v>3.53</v>
      </c>
      <c r="I3560" t="n">
        <v>4.06</v>
      </c>
      <c r="J3560" t="n">
        <v>4.66</v>
      </c>
      <c r="K3560" t="n">
        <v>5.36</v>
      </c>
    </row>
    <row r="3561">
      <c r="C3561" t="n">
        <v>200000</v>
      </c>
      <c r="D3561" t="n">
        <v>2.74</v>
      </c>
      <c r="E3561" t="n">
        <v>3.14</v>
      </c>
      <c r="F3561" t="n">
        <v>3.6</v>
      </c>
      <c r="G3561" t="n">
        <v>4.12</v>
      </c>
      <c r="H3561" t="n">
        <v>3.35</v>
      </c>
      <c r="I3561" t="n">
        <v>3.85</v>
      </c>
      <c r="J3561" t="n">
        <v>4.43</v>
      </c>
      <c r="K3561" t="n">
        <v>5.09</v>
      </c>
    </row>
    <row r="3562">
      <c r="C3562" t="n">
        <v>300000</v>
      </c>
      <c r="D3562" t="n">
        <v>2.59</v>
      </c>
      <c r="E3562" t="n">
        <v>2.97</v>
      </c>
      <c r="F3562" t="n">
        <v>3.4</v>
      </c>
      <c r="G3562" t="n">
        <v>3.9</v>
      </c>
      <c r="H3562" t="n">
        <v>3.19</v>
      </c>
      <c r="I3562" t="n">
        <v>3.64</v>
      </c>
      <c r="J3562" t="n">
        <v>4.15</v>
      </c>
      <c r="K3562" t="n">
        <v>4.73</v>
      </c>
    </row>
    <row r="3563">
      <c r="C3563" t="n">
        <v>400000</v>
      </c>
      <c r="D3563" t="n">
        <v>2.46</v>
      </c>
      <c r="E3563" t="n">
        <v>2.81</v>
      </c>
      <c r="F3563" t="n">
        <v>3.21</v>
      </c>
      <c r="G3563" t="n">
        <v>3.67</v>
      </c>
      <c r="H3563" t="n">
        <v>3.01</v>
      </c>
      <c r="I3563" t="n">
        <v>3.44</v>
      </c>
      <c r="J3563" t="n">
        <v>3.93</v>
      </c>
      <c r="K3563" t="n">
        <v>4.49</v>
      </c>
    </row>
    <row r="3564">
      <c r="C3564" t="n">
        <v>500000</v>
      </c>
      <c r="D3564" t="n">
        <v>2.38</v>
      </c>
      <c r="E3564" t="n">
        <v>2.71</v>
      </c>
      <c r="F3564" t="n">
        <v>3.1</v>
      </c>
      <c r="G3564" t="n">
        <v>3.53</v>
      </c>
      <c r="H3564" t="n">
        <v>2.9</v>
      </c>
      <c r="I3564" t="n">
        <v>3.31</v>
      </c>
      <c r="J3564" t="n">
        <v>3.77</v>
      </c>
      <c r="K3564" t="n">
        <v>4.3</v>
      </c>
    </row>
    <row r="3566">
      <c r="B3566" s="2453" t="inlineStr">
        <is>
          <t>Section 12 -- MVS 12-39 (simple residential installs run 4.04-6.22/SF flat)</t>
        </is>
      </c>
      <c r="C3566" s="2455" t="inlineStr">
        <is>
          <t>Coverage (SF)</t>
        </is>
      </c>
      <c r="D3566" s="2455" t="inlineStr">
        <is>
          <t>Wet-Low</t>
        </is>
      </c>
      <c r="E3566" s="2455" t="inlineStr">
        <is>
          <t>Wet-Avg</t>
        </is>
      </c>
      <c r="F3566" s="2455" t="inlineStr">
        <is>
          <t>Wet-Good</t>
        </is>
      </c>
      <c r="G3566" s="2455" t="inlineStr">
        <is>
          <t>Wet-Excl</t>
        </is>
      </c>
      <c r="H3566" s="2455" t="inlineStr">
        <is>
          <t>Dry-Low</t>
        </is>
      </c>
      <c r="I3566" s="2455" t="inlineStr">
        <is>
          <t>Dry-Avg</t>
        </is>
      </c>
      <c r="J3566" s="2455" t="inlineStr">
        <is>
          <t>Dry-Good</t>
        </is>
      </c>
      <c r="K3566" s="2455" t="inlineStr">
        <is>
          <t>Dry-Excl</t>
        </is>
      </c>
    </row>
    <row r="3567">
      <c r="C3567" t="n">
        <v>1500</v>
      </c>
      <c r="D3567" t="n">
        <v>5.02</v>
      </c>
      <c r="E3567" t="n">
        <v>5.94</v>
      </c>
      <c r="F3567" t="n">
        <v>7.04</v>
      </c>
      <c r="G3567" t="n">
        <v>8.33</v>
      </c>
      <c r="H3567" t="n">
        <v>6.47</v>
      </c>
      <c r="I3567" t="n">
        <v>7.65</v>
      </c>
      <c r="J3567" t="n">
        <v>9.050000000000001</v>
      </c>
      <c r="K3567" t="n">
        <v>10.7</v>
      </c>
    </row>
    <row r="3568">
      <c r="C3568" t="n">
        <v>3000</v>
      </c>
      <c r="D3568" t="n">
        <v>4.51</v>
      </c>
      <c r="E3568" t="n">
        <v>5.31</v>
      </c>
      <c r="F3568" t="n">
        <v>6.26</v>
      </c>
      <c r="G3568" t="n">
        <v>7.38</v>
      </c>
      <c r="H3568" t="n">
        <v>5.78</v>
      </c>
      <c r="I3568" t="n">
        <v>6.8</v>
      </c>
      <c r="J3568" t="n">
        <v>8</v>
      </c>
      <c r="K3568" t="n">
        <v>9.42</v>
      </c>
    </row>
    <row r="3569">
      <c r="C3569" t="n">
        <v>5000</v>
      </c>
      <c r="D3569" t="n">
        <v>4.21</v>
      </c>
      <c r="E3569" t="n">
        <v>4.93</v>
      </c>
      <c r="F3569" t="n">
        <v>5.78</v>
      </c>
      <c r="G3569" t="n">
        <v>6.77</v>
      </c>
      <c r="H3569" t="n">
        <v>5.34</v>
      </c>
      <c r="I3569" t="n">
        <v>6.25</v>
      </c>
      <c r="J3569" t="n">
        <v>7.31</v>
      </c>
      <c r="K3569" t="n">
        <v>8.550000000000001</v>
      </c>
    </row>
    <row r="3570">
      <c r="C3570" t="n">
        <v>10000</v>
      </c>
      <c r="D3570" t="n">
        <v>3.77</v>
      </c>
      <c r="E3570" t="n">
        <v>4.4</v>
      </c>
      <c r="F3570" t="n">
        <v>5.13</v>
      </c>
      <c r="G3570" t="n">
        <v>5.98</v>
      </c>
      <c r="H3570" t="n">
        <v>4.74</v>
      </c>
      <c r="I3570" t="n">
        <v>5.54</v>
      </c>
      <c r="J3570" t="n">
        <v>6.46</v>
      </c>
      <c r="K3570" t="n">
        <v>7.55</v>
      </c>
    </row>
    <row r="3571">
      <c r="C3571" t="n">
        <v>15000</v>
      </c>
      <c r="D3571" t="n">
        <v>3.55</v>
      </c>
      <c r="E3571" t="n">
        <v>4.13</v>
      </c>
      <c r="F3571" t="n">
        <v>4.8</v>
      </c>
      <c r="G3571" t="n">
        <v>5.58</v>
      </c>
      <c r="H3571" t="n">
        <v>4.45</v>
      </c>
      <c r="I3571" t="n">
        <v>5.18</v>
      </c>
      <c r="J3571" t="n">
        <v>6.02</v>
      </c>
      <c r="K3571" t="n">
        <v>7</v>
      </c>
    </row>
    <row r="3572">
      <c r="C3572" t="n">
        <v>20000</v>
      </c>
      <c r="D3572" t="n">
        <v>3.39</v>
      </c>
      <c r="E3572" t="n">
        <v>3.93</v>
      </c>
      <c r="F3572" t="n">
        <v>4.56</v>
      </c>
      <c r="G3572" t="n">
        <v>5.29</v>
      </c>
      <c r="H3572" t="n">
        <v>4.24</v>
      </c>
      <c r="I3572" t="n">
        <v>4.92</v>
      </c>
      <c r="J3572" t="n">
        <v>5.71</v>
      </c>
      <c r="K3572" t="n">
        <v>6.62</v>
      </c>
    </row>
    <row r="3573">
      <c r="C3573" t="n">
        <v>40000</v>
      </c>
      <c r="D3573" t="n">
        <v>3.08</v>
      </c>
      <c r="E3573" t="n">
        <v>3.55</v>
      </c>
      <c r="F3573" t="n">
        <v>4.09</v>
      </c>
      <c r="G3573" t="n">
        <v>4.71</v>
      </c>
      <c r="H3573" t="n">
        <v>3.81</v>
      </c>
      <c r="I3573" t="n">
        <v>4.39</v>
      </c>
      <c r="J3573" t="n">
        <v>5.07</v>
      </c>
      <c r="K3573" t="n">
        <v>5.84</v>
      </c>
    </row>
    <row r="3574">
      <c r="C3574" t="n">
        <v>50000</v>
      </c>
      <c r="D3574" t="n">
        <v>2.94</v>
      </c>
      <c r="E3574" t="n">
        <v>3.4</v>
      </c>
      <c r="F3574" t="n">
        <v>3.92</v>
      </c>
      <c r="G3574" t="n">
        <v>4.53</v>
      </c>
      <c r="H3574" t="n">
        <v>3.66</v>
      </c>
      <c r="I3574" t="n">
        <v>4.22</v>
      </c>
      <c r="J3574" t="n">
        <v>4.87</v>
      </c>
      <c r="K3574" t="n">
        <v>5.61</v>
      </c>
    </row>
    <row r="3575">
      <c r="C3575" t="n">
        <v>100000</v>
      </c>
      <c r="D3575" t="n">
        <v>2.65</v>
      </c>
      <c r="E3575" t="n">
        <v>3.04</v>
      </c>
      <c r="F3575" t="n">
        <v>3.49</v>
      </c>
      <c r="G3575" t="n">
        <v>4.01</v>
      </c>
      <c r="H3575" t="n">
        <v>3.26</v>
      </c>
      <c r="I3575" t="n">
        <v>3.74</v>
      </c>
      <c r="J3575" t="n">
        <v>4.3</v>
      </c>
      <c r="K3575" t="n">
        <v>4.94</v>
      </c>
    </row>
    <row r="3576">
      <c r="C3576" t="n">
        <v>150000</v>
      </c>
      <c r="D3576" t="n">
        <v>2.55</v>
      </c>
      <c r="E3576" t="n">
        <v>2.9</v>
      </c>
      <c r="F3576" t="n">
        <v>3.3</v>
      </c>
      <c r="G3576" t="n">
        <v>3.75</v>
      </c>
      <c r="H3576" t="n">
        <v>3.08</v>
      </c>
      <c r="I3576" t="n">
        <v>3.51</v>
      </c>
      <c r="J3576" t="n">
        <v>3.99</v>
      </c>
      <c r="K3576" t="n">
        <v>4.54</v>
      </c>
    </row>
    <row r="3577">
      <c r="C3577" t="n">
        <v>200000</v>
      </c>
      <c r="D3577" t="n">
        <v>2.41</v>
      </c>
      <c r="E3577" t="n">
        <v>2.74</v>
      </c>
      <c r="F3577" t="n">
        <v>3.12</v>
      </c>
      <c r="G3577" t="n">
        <v>3.55</v>
      </c>
      <c r="H3577" t="n">
        <v>2.91</v>
      </c>
      <c r="I3577" t="n">
        <v>3.31</v>
      </c>
      <c r="J3577" t="n">
        <v>3.78</v>
      </c>
      <c r="K3577" t="n">
        <v>4.3</v>
      </c>
    </row>
    <row r="3579">
      <c r="B3579" s="2453" t="inlineStr">
        <is>
          <t>Section 13 -- MVS 13-40</t>
        </is>
      </c>
      <c r="C3579" s="2455" t="inlineStr">
        <is>
          <t>Coverage (SF)</t>
        </is>
      </c>
      <c r="D3579" s="2455" t="inlineStr">
        <is>
          <t>Wet-Low</t>
        </is>
      </c>
      <c r="E3579" s="2455" t="inlineStr">
        <is>
          <t>Wet-Avg</t>
        </is>
      </c>
      <c r="F3579" s="2455" t="inlineStr">
        <is>
          <t>Wet-Good</t>
        </is>
      </c>
      <c r="G3579" s="2455" t="inlineStr">
        <is>
          <t>Wet-Excl</t>
        </is>
      </c>
      <c r="H3579" s="2455" t="inlineStr">
        <is>
          <t>Dry-Low</t>
        </is>
      </c>
      <c r="I3579" s="2455" t="inlineStr">
        <is>
          <t>Dry-Avg</t>
        </is>
      </c>
      <c r="J3579" s="2455" t="inlineStr">
        <is>
          <t>Dry-Good</t>
        </is>
      </c>
      <c r="K3579" s="2455" t="inlineStr">
        <is>
          <t>Dry-Excl</t>
        </is>
      </c>
    </row>
    <row r="3580">
      <c r="C3580" t="n">
        <v>1000</v>
      </c>
      <c r="D3580" t="n">
        <v>6.05</v>
      </c>
      <c r="E3580" t="n">
        <v>7.18</v>
      </c>
      <c r="F3580" t="n">
        <v>8.51</v>
      </c>
      <c r="G3580" t="n">
        <v>10.1</v>
      </c>
      <c r="H3580" t="n">
        <v>7.83</v>
      </c>
      <c r="I3580" t="n">
        <v>9.300000000000001</v>
      </c>
      <c r="J3580" t="n">
        <v>11.05</v>
      </c>
      <c r="K3580" t="n">
        <v>13.1</v>
      </c>
    </row>
    <row r="3581">
      <c r="C3581" t="n">
        <v>2000</v>
      </c>
      <c r="D3581" t="n">
        <v>5.46</v>
      </c>
      <c r="E3581" t="n">
        <v>6.43</v>
      </c>
      <c r="F3581" t="n">
        <v>7.57</v>
      </c>
      <c r="G3581" t="n">
        <v>8.92</v>
      </c>
      <c r="H3581" t="n">
        <v>6.99</v>
      </c>
      <c r="I3581" t="n">
        <v>8.24</v>
      </c>
      <c r="J3581" t="n">
        <v>9.710000000000001</v>
      </c>
      <c r="K3581" t="n">
        <v>11.45</v>
      </c>
    </row>
    <row r="3582">
      <c r="C3582" t="n">
        <v>3000</v>
      </c>
      <c r="D3582" t="n">
        <v>5.13</v>
      </c>
      <c r="E3582" t="n">
        <v>6.03</v>
      </c>
      <c r="F3582" t="n">
        <v>7.08</v>
      </c>
      <c r="G3582" t="n">
        <v>8.32</v>
      </c>
      <c r="H3582" t="n">
        <v>6.53</v>
      </c>
      <c r="I3582" t="n">
        <v>7.67</v>
      </c>
      <c r="J3582" t="n">
        <v>9.02</v>
      </c>
      <c r="K3582" t="n">
        <v>10.6</v>
      </c>
    </row>
    <row r="3583">
      <c r="C3583" t="n">
        <v>5000</v>
      </c>
      <c r="D3583" t="n">
        <v>4.73</v>
      </c>
      <c r="E3583" t="n">
        <v>5.54</v>
      </c>
      <c r="F3583" t="n">
        <v>6.5</v>
      </c>
      <c r="G3583" t="n">
        <v>7.62</v>
      </c>
      <c r="H3583" t="n">
        <v>6.02</v>
      </c>
      <c r="I3583" t="n">
        <v>7.05</v>
      </c>
      <c r="J3583" t="n">
        <v>8.26</v>
      </c>
      <c r="K3583" t="n">
        <v>9.67</v>
      </c>
    </row>
    <row r="3584">
      <c r="C3584" t="n">
        <v>10000</v>
      </c>
      <c r="D3584" t="n">
        <v>4.26</v>
      </c>
      <c r="E3584" t="n">
        <v>4.96</v>
      </c>
      <c r="F3584" t="n">
        <v>5.77</v>
      </c>
      <c r="G3584" t="n">
        <v>6.72</v>
      </c>
      <c r="H3584" t="n">
        <v>5.35</v>
      </c>
      <c r="I3584" t="n">
        <v>6.23</v>
      </c>
      <c r="J3584" t="n">
        <v>7.26</v>
      </c>
      <c r="K3584" t="n">
        <v>8.449999999999999</v>
      </c>
    </row>
    <row r="3585">
      <c r="C3585" t="n">
        <v>15000</v>
      </c>
      <c r="D3585" t="n">
        <v>3.99</v>
      </c>
      <c r="E3585" t="n">
        <v>4.64</v>
      </c>
      <c r="F3585" t="n">
        <v>5.39</v>
      </c>
      <c r="G3585" t="n">
        <v>6.26</v>
      </c>
      <c r="H3585" t="n">
        <v>5</v>
      </c>
      <c r="I3585" t="n">
        <v>5.81</v>
      </c>
      <c r="J3585" t="n">
        <v>6.74</v>
      </c>
      <c r="K3585" t="n">
        <v>7.83</v>
      </c>
    </row>
    <row r="3586">
      <c r="C3586" t="n">
        <v>20000</v>
      </c>
      <c r="D3586" t="n">
        <v>3.83</v>
      </c>
      <c r="E3586" t="n">
        <v>4.44</v>
      </c>
      <c r="F3586" t="n">
        <v>5.15</v>
      </c>
      <c r="G3586" t="n">
        <v>5.97</v>
      </c>
      <c r="H3586" t="n">
        <v>4.78</v>
      </c>
      <c r="I3586" t="n">
        <v>5.54</v>
      </c>
      <c r="J3586" t="n">
        <v>6.41</v>
      </c>
      <c r="K3586" t="n">
        <v>7.43</v>
      </c>
    </row>
    <row r="3587">
      <c r="C3587" t="n">
        <v>30000</v>
      </c>
      <c r="D3587" t="n">
        <v>3.6</v>
      </c>
      <c r="E3587" t="n">
        <v>4.16</v>
      </c>
      <c r="F3587" t="n">
        <v>4.8</v>
      </c>
      <c r="G3587" t="n">
        <v>5.54</v>
      </c>
      <c r="H3587" t="n">
        <v>4.48</v>
      </c>
      <c r="I3587" t="n">
        <v>5.17</v>
      </c>
      <c r="J3587" t="n">
        <v>5.97</v>
      </c>
      <c r="K3587" t="n">
        <v>6.89</v>
      </c>
    </row>
    <row r="3588">
      <c r="C3588" t="n">
        <v>50000</v>
      </c>
      <c r="D3588" t="n">
        <v>3.35</v>
      </c>
      <c r="E3588" t="n">
        <v>3.85</v>
      </c>
      <c r="F3588" t="n">
        <v>4.42</v>
      </c>
      <c r="G3588" t="n">
        <v>5.07</v>
      </c>
      <c r="H3588" t="n">
        <v>4.13</v>
      </c>
      <c r="I3588" t="n">
        <v>4.73</v>
      </c>
      <c r="J3588" t="n">
        <v>5.43</v>
      </c>
      <c r="K3588" t="n">
        <v>6.22</v>
      </c>
    </row>
    <row r="3589">
      <c r="C3589" t="n">
        <v>75000</v>
      </c>
      <c r="D3589" t="n">
        <v>3.11</v>
      </c>
      <c r="E3589" t="n">
        <v>3.57</v>
      </c>
      <c r="F3589" t="n">
        <v>4.1</v>
      </c>
      <c r="G3589" t="n">
        <v>4.7</v>
      </c>
      <c r="H3589" t="n">
        <v>3.83</v>
      </c>
      <c r="I3589" t="n">
        <v>4.39</v>
      </c>
      <c r="J3589" t="n">
        <v>5.03</v>
      </c>
      <c r="K3589" t="n">
        <v>5.76</v>
      </c>
    </row>
    <row r="3590">
      <c r="C3590" t="n">
        <v>100000</v>
      </c>
      <c r="D3590" t="n">
        <v>2.97</v>
      </c>
      <c r="E3590" t="n">
        <v>3.41</v>
      </c>
      <c r="F3590" t="n">
        <v>3.91</v>
      </c>
      <c r="G3590" t="n">
        <v>4.48</v>
      </c>
      <c r="H3590" t="n">
        <v>3.65</v>
      </c>
      <c r="I3590" t="n">
        <v>4.18</v>
      </c>
      <c r="J3590" t="n">
        <v>4.79</v>
      </c>
      <c r="K3590" t="n">
        <v>5.49</v>
      </c>
    </row>
    <row r="3591">
      <c r="C3591" t="n">
        <v>150000</v>
      </c>
      <c r="D3591" t="n">
        <v>2.79</v>
      </c>
      <c r="E3591" t="n">
        <v>3.2</v>
      </c>
      <c r="F3591" t="n">
        <v>3.66</v>
      </c>
      <c r="G3591" t="n">
        <v>4.19</v>
      </c>
      <c r="H3591" t="n">
        <v>3.43</v>
      </c>
      <c r="I3591" t="n">
        <v>3.92</v>
      </c>
      <c r="J3591" t="n">
        <v>4.49</v>
      </c>
      <c r="K3591" t="n">
        <v>5.13</v>
      </c>
    </row>
    <row r="3592">
      <c r="C3592" t="n">
        <v>200000</v>
      </c>
      <c r="D3592" t="n">
        <v>2.7</v>
      </c>
      <c r="E3592" t="n">
        <v>3.07</v>
      </c>
      <c r="F3592" t="n">
        <v>3.49</v>
      </c>
      <c r="G3592" t="n">
        <v>3.97</v>
      </c>
      <c r="H3592" t="n">
        <v>3.29</v>
      </c>
      <c r="I3592" t="n">
        <v>3.73</v>
      </c>
      <c r="J3592" t="n">
        <v>4.24</v>
      </c>
      <c r="K3592" t="n">
        <v>4.81</v>
      </c>
    </row>
    <row r="3593">
      <c r="C3593" t="n">
        <v>300000</v>
      </c>
      <c r="D3593" t="n">
        <v>2.52</v>
      </c>
      <c r="E3593" t="n">
        <v>2.86</v>
      </c>
      <c r="F3593" t="n">
        <v>3.24</v>
      </c>
      <c r="G3593" t="n">
        <v>3.68</v>
      </c>
      <c r="H3593" t="n">
        <v>3.05</v>
      </c>
      <c r="I3593" t="n">
        <v>3.46</v>
      </c>
      <c r="J3593" t="n">
        <v>3.93</v>
      </c>
      <c r="K3593" t="n">
        <v>4.46</v>
      </c>
    </row>
    <row r="3594">
      <c r="C3594" t="n">
        <v>400000</v>
      </c>
      <c r="D3594" t="n">
        <v>2.43</v>
      </c>
      <c r="E3594" t="n">
        <v>2.74</v>
      </c>
      <c r="F3594" t="n">
        <v>3.09</v>
      </c>
      <c r="G3594" t="n">
        <v>3.49</v>
      </c>
      <c r="H3594" t="n">
        <v>2.91</v>
      </c>
      <c r="I3594" t="n">
        <v>3.29</v>
      </c>
      <c r="J3594" t="n">
        <v>3.71</v>
      </c>
      <c r="K3594" t="n">
        <v>4.19</v>
      </c>
    </row>
    <row r="3595">
      <c r="C3595" t="n">
        <v>600000</v>
      </c>
      <c r="D3595" t="n">
        <v>2.27</v>
      </c>
      <c r="E3595" t="n">
        <v>2.56</v>
      </c>
      <c r="F3595" t="n">
        <v>2.9</v>
      </c>
      <c r="G3595" t="n">
        <v>3.27</v>
      </c>
      <c r="H3595" t="n">
        <v>2.72</v>
      </c>
      <c r="I3595" t="n">
        <v>3.07</v>
      </c>
      <c r="J3595" t="n">
        <v>3.46</v>
      </c>
      <c r="K3595" t="n">
        <v>3.91</v>
      </c>
    </row>
    <row r="3596">
      <c r="C3596" t="n">
        <v>800000</v>
      </c>
      <c r="D3596" t="n">
        <v>2.19</v>
      </c>
      <c r="E3596" t="n">
        <v>2.46</v>
      </c>
      <c r="F3596" t="n">
        <v>2.77</v>
      </c>
      <c r="G3596" t="n">
        <v>3.11</v>
      </c>
      <c r="H3596" t="n">
        <v>2.62</v>
      </c>
      <c r="I3596" t="n">
        <v>2.94</v>
      </c>
      <c r="J3596" t="n">
        <v>3.31</v>
      </c>
      <c r="K3596" t="n">
        <v>3.72</v>
      </c>
    </row>
    <row r="3597">
      <c r="C3597" t="n">
        <v>1000000</v>
      </c>
      <c r="D3597" t="n">
        <v>2.11</v>
      </c>
      <c r="E3597" t="n">
        <v>2.37</v>
      </c>
      <c r="F3597" t="n">
        <v>2.66</v>
      </c>
      <c r="G3597" t="n">
        <v>2.99</v>
      </c>
      <c r="H3597" t="n">
        <v>2.52</v>
      </c>
      <c r="I3597" t="n">
        <v>2.83</v>
      </c>
      <c r="J3597" t="n">
        <v>3.17</v>
      </c>
      <c r="K3597" t="n">
        <v>3.56</v>
      </c>
    </row>
    <row r="3599">
      <c r="B3599" s="2453" t="inlineStr">
        <is>
          <t>Section 14 -- MVS 14-37</t>
        </is>
      </c>
      <c r="C3599" s="2455" t="inlineStr">
        <is>
          <t>Coverage (SF)</t>
        </is>
      </c>
      <c r="D3599" s="2455" t="inlineStr">
        <is>
          <t>Wet-Low</t>
        </is>
      </c>
      <c r="E3599" s="2455" t="inlineStr">
        <is>
          <t>Wet-Avg</t>
        </is>
      </c>
      <c r="F3599" s="2455" t="inlineStr">
        <is>
          <t>Wet-Good</t>
        </is>
      </c>
      <c r="G3599" s="2455" t="inlineStr">
        <is>
          <t>Wet-Excl</t>
        </is>
      </c>
      <c r="H3599" s="2455" t="inlineStr">
        <is>
          <t>Dry-Low</t>
        </is>
      </c>
      <c r="I3599" s="2455" t="inlineStr">
        <is>
          <t>Dry-Avg</t>
        </is>
      </c>
      <c r="J3599" s="2455" t="inlineStr">
        <is>
          <t>Dry-Good</t>
        </is>
      </c>
      <c r="K3599" s="2455" t="inlineStr">
        <is>
          <t>Dry-Excl</t>
        </is>
      </c>
    </row>
    <row r="3600">
      <c r="C3600" t="n">
        <v>2500</v>
      </c>
      <c r="D3600" t="n">
        <v>4.64</v>
      </c>
      <c r="E3600" t="n">
        <v>5.62</v>
      </c>
      <c r="F3600" t="n">
        <v>6.8</v>
      </c>
      <c r="G3600" t="n">
        <v>8.24</v>
      </c>
      <c r="H3600" t="n">
        <v>6.17</v>
      </c>
      <c r="I3600" t="n">
        <v>7.47</v>
      </c>
      <c r="J3600" t="n">
        <v>9.039999999999999</v>
      </c>
      <c r="K3600" t="n">
        <v>10.95</v>
      </c>
    </row>
    <row r="3601">
      <c r="C3601" t="n">
        <v>5000</v>
      </c>
      <c r="D3601" t="n">
        <v>4.17</v>
      </c>
      <c r="E3601" t="n">
        <v>5.02</v>
      </c>
      <c r="F3601" t="n">
        <v>6.05</v>
      </c>
      <c r="G3601" t="n">
        <v>7.28</v>
      </c>
      <c r="H3601" t="n">
        <v>5.51</v>
      </c>
      <c r="I3601" t="n">
        <v>6.64</v>
      </c>
      <c r="J3601" t="n">
        <v>7.99</v>
      </c>
      <c r="K3601" t="n">
        <v>9.630000000000001</v>
      </c>
    </row>
    <row r="3602">
      <c r="C3602" t="n">
        <v>10000</v>
      </c>
      <c r="D3602" t="n">
        <v>3.77</v>
      </c>
      <c r="E3602" t="n">
        <v>4.52</v>
      </c>
      <c r="F3602" t="n">
        <v>5.41</v>
      </c>
      <c r="G3602" t="n">
        <v>6.48</v>
      </c>
      <c r="H3602" t="n">
        <v>4.95</v>
      </c>
      <c r="I3602" t="n">
        <v>5.93</v>
      </c>
      <c r="J3602" t="n">
        <v>7.09</v>
      </c>
      <c r="K3602" t="n">
        <v>8.49</v>
      </c>
    </row>
    <row r="3603">
      <c r="C3603" t="n">
        <v>15000</v>
      </c>
      <c r="D3603" t="n">
        <v>3.54</v>
      </c>
      <c r="E3603" t="n">
        <v>4.23</v>
      </c>
      <c r="F3603" t="n">
        <v>5.05</v>
      </c>
      <c r="G3603" t="n">
        <v>6.03</v>
      </c>
      <c r="H3603" t="n">
        <v>4.62</v>
      </c>
      <c r="I3603" t="n">
        <v>5.52</v>
      </c>
      <c r="J3603" t="n">
        <v>6.6</v>
      </c>
      <c r="K3603" t="n">
        <v>7.88</v>
      </c>
    </row>
    <row r="3604">
      <c r="C3604" t="n">
        <v>20000</v>
      </c>
      <c r="D3604" t="n">
        <v>3.37</v>
      </c>
      <c r="E3604" t="n">
        <v>4.02</v>
      </c>
      <c r="F3604" t="n">
        <v>4.78</v>
      </c>
      <c r="G3604" t="n">
        <v>5.7</v>
      </c>
      <c r="H3604" t="n">
        <v>4.37</v>
      </c>
      <c r="I3604" t="n">
        <v>5.21</v>
      </c>
      <c r="J3604" t="n">
        <v>6.22</v>
      </c>
      <c r="K3604" t="n">
        <v>7.42</v>
      </c>
    </row>
    <row r="3605">
      <c r="C3605" t="n">
        <v>30000</v>
      </c>
      <c r="D3605" t="n">
        <v>3.18</v>
      </c>
      <c r="E3605" t="n">
        <v>3.78</v>
      </c>
      <c r="F3605" t="n">
        <v>4.49</v>
      </c>
      <c r="G3605" t="n">
        <v>5.34</v>
      </c>
      <c r="H3605" t="n">
        <v>4.12</v>
      </c>
      <c r="I3605" t="n">
        <v>4.89</v>
      </c>
      <c r="J3605" t="n">
        <v>5.8</v>
      </c>
      <c r="K3605" t="n">
        <v>6.89</v>
      </c>
    </row>
    <row r="3606">
      <c r="C3606" t="n">
        <v>40000</v>
      </c>
      <c r="D3606" t="n">
        <v>3.04</v>
      </c>
      <c r="E3606" t="n">
        <v>3.6</v>
      </c>
      <c r="F3606" t="n">
        <v>4.27</v>
      </c>
      <c r="G3606" t="n">
        <v>5.06</v>
      </c>
      <c r="H3606" t="n">
        <v>3.93</v>
      </c>
      <c r="I3606" t="n">
        <v>4.65</v>
      </c>
      <c r="J3606" t="n">
        <v>5.51</v>
      </c>
      <c r="K3606" t="n">
        <v>6.53</v>
      </c>
    </row>
    <row r="3607">
      <c r="C3607" t="n">
        <v>50000</v>
      </c>
      <c r="D3607" t="n">
        <v>2.96</v>
      </c>
      <c r="E3607" t="n">
        <v>3.5</v>
      </c>
      <c r="F3607" t="n">
        <v>4.14</v>
      </c>
      <c r="G3607" t="n">
        <v>4.89</v>
      </c>
      <c r="H3607" t="n">
        <v>3.79</v>
      </c>
      <c r="I3607" t="n">
        <v>4.48</v>
      </c>
      <c r="J3607" t="n">
        <v>5.3</v>
      </c>
      <c r="K3607" t="n">
        <v>6.27</v>
      </c>
    </row>
    <row r="3608">
      <c r="C3608" t="n">
        <v>60000</v>
      </c>
      <c r="D3608" t="n">
        <v>2.87</v>
      </c>
      <c r="E3608" t="n">
        <v>3.39</v>
      </c>
      <c r="F3608" t="n">
        <v>3.99</v>
      </c>
      <c r="G3608" t="n">
        <v>4.71</v>
      </c>
      <c r="H3608" t="n">
        <v>3.67</v>
      </c>
      <c r="I3608" t="n">
        <v>4.33</v>
      </c>
      <c r="J3608" t="n">
        <v>5.11</v>
      </c>
      <c r="K3608" t="n">
        <v>6.03</v>
      </c>
    </row>
    <row r="3609">
      <c r="C3609" t="n">
        <v>80000</v>
      </c>
      <c r="D3609" t="n">
        <v>2.74</v>
      </c>
      <c r="E3609" t="n">
        <v>3.22</v>
      </c>
      <c r="F3609" t="n">
        <v>3.79</v>
      </c>
      <c r="G3609" t="n">
        <v>4.46</v>
      </c>
      <c r="H3609" t="n">
        <v>3.49</v>
      </c>
      <c r="I3609" t="n">
        <v>4.11</v>
      </c>
      <c r="J3609" t="n">
        <v>4.85</v>
      </c>
      <c r="K3609" t="n">
        <v>5.72</v>
      </c>
    </row>
    <row r="3610">
      <c r="C3610" t="n">
        <v>100000</v>
      </c>
      <c r="D3610" t="n">
        <v>2.66</v>
      </c>
      <c r="E3610" t="n">
        <v>3.13</v>
      </c>
      <c r="F3610" t="n">
        <v>3.68</v>
      </c>
      <c r="G3610" t="n">
        <v>4.32</v>
      </c>
      <c r="H3610" t="n">
        <v>3.4</v>
      </c>
      <c r="I3610" t="n">
        <v>3.99</v>
      </c>
      <c r="J3610" t="n">
        <v>4.69</v>
      </c>
      <c r="K3610" t="n">
        <v>5.51</v>
      </c>
    </row>
    <row r="3611">
      <c r="C3611" t="n">
        <v>125000</v>
      </c>
      <c r="D3611" t="n">
        <v>2.57</v>
      </c>
      <c r="E3611" t="n">
        <v>3.02</v>
      </c>
      <c r="F3611" t="n">
        <v>3.54</v>
      </c>
      <c r="G3611" t="n">
        <v>4.15</v>
      </c>
      <c r="H3611" t="n">
        <v>3.26</v>
      </c>
      <c r="I3611" t="n">
        <v>3.83</v>
      </c>
      <c r="J3611" t="n">
        <v>4.5</v>
      </c>
      <c r="K3611" t="n">
        <v>5.28</v>
      </c>
    </row>
    <row r="3612">
      <c r="C3612" t="n">
        <v>150000</v>
      </c>
      <c r="D3612" t="n">
        <v>2.49</v>
      </c>
      <c r="E3612" t="n">
        <v>2.92</v>
      </c>
      <c r="F3612" t="n">
        <v>3.43</v>
      </c>
      <c r="G3612" t="n">
        <v>4.03</v>
      </c>
      <c r="H3612" t="n">
        <v>3.16</v>
      </c>
      <c r="I3612" t="n">
        <v>3.71</v>
      </c>
      <c r="J3612" t="n">
        <v>4.35</v>
      </c>
      <c r="K3612" t="n">
        <v>5.11</v>
      </c>
    </row>
    <row r="3613">
      <c r="C3613" t="n">
        <v>200000</v>
      </c>
      <c r="D3613" t="n">
        <v>2.4</v>
      </c>
      <c r="E3613" t="n">
        <v>2.81</v>
      </c>
      <c r="F3613" t="n">
        <v>3.28</v>
      </c>
      <c r="G3613" t="n">
        <v>3.84</v>
      </c>
      <c r="H3613" t="n">
        <v>3.04</v>
      </c>
      <c r="I3613" t="n">
        <v>3.55</v>
      </c>
      <c r="J3613" t="n">
        <v>4.16</v>
      </c>
      <c r="K3613" t="n">
        <v>4.86</v>
      </c>
    </row>
    <row r="3614">
      <c r="C3614" t="n">
        <v>250000</v>
      </c>
      <c r="D3614" t="n">
        <v>2.32</v>
      </c>
      <c r="E3614" t="n">
        <v>2.71</v>
      </c>
      <c r="F3614" t="n">
        <v>3.16</v>
      </c>
      <c r="G3614" t="n">
        <v>3.68</v>
      </c>
      <c r="H3614" t="n">
        <v>2.91</v>
      </c>
      <c r="I3614" t="n">
        <v>3.4</v>
      </c>
      <c r="J3614" t="n">
        <v>3.97</v>
      </c>
      <c r="K3614" t="n">
        <v>4.64</v>
      </c>
    </row>
    <row r="3615">
      <c r="C3615" t="n">
        <v>300000</v>
      </c>
      <c r="D3615" t="n">
        <v>2.26</v>
      </c>
      <c r="E3615" t="n">
        <v>2.63</v>
      </c>
      <c r="F3615" t="n">
        <v>3.06</v>
      </c>
      <c r="G3615" t="n">
        <v>3.56</v>
      </c>
      <c r="H3615" t="n">
        <v>2.83</v>
      </c>
      <c r="I3615" t="n">
        <v>3.29</v>
      </c>
      <c r="J3615" t="n">
        <v>3.83</v>
      </c>
      <c r="K3615" t="n">
        <v>4.45</v>
      </c>
    </row>
    <row r="3616">
      <c r="C3616" t="n">
        <v>400000</v>
      </c>
      <c r="D3616" t="n">
        <v>2.18</v>
      </c>
      <c r="E3616" t="n">
        <v>2.53</v>
      </c>
      <c r="F3616" t="n">
        <v>2.93</v>
      </c>
      <c r="G3616" t="n">
        <v>3.4</v>
      </c>
      <c r="H3616" t="n">
        <v>2.73</v>
      </c>
      <c r="I3616" t="n">
        <v>3.16</v>
      </c>
      <c r="J3616" t="n">
        <v>3.66</v>
      </c>
      <c r="K3616" t="n">
        <v>4.23</v>
      </c>
    </row>
    <row r="3617">
      <c r="C3617" t="n">
        <v>600000</v>
      </c>
      <c r="D3617" t="n">
        <v>2.02</v>
      </c>
      <c r="E3617" t="n">
        <v>2.34</v>
      </c>
      <c r="F3617" t="n">
        <v>2.72</v>
      </c>
      <c r="G3617" t="n">
        <v>3.15</v>
      </c>
      <c r="H3617" t="n">
        <v>2.52</v>
      </c>
      <c r="I3617" t="n">
        <v>2.93</v>
      </c>
      <c r="J3617" t="n">
        <v>3.4</v>
      </c>
      <c r="K3617" t="n">
        <v>3.95</v>
      </c>
    </row>
    <row r="3618">
      <c r="C3618" t="n">
        <v>800000</v>
      </c>
      <c r="D3618" t="n">
        <v>1.94</v>
      </c>
      <c r="E3618" t="n">
        <v>2.25</v>
      </c>
      <c r="F3618" t="n">
        <v>2.61</v>
      </c>
      <c r="G3618" t="n">
        <v>3.02</v>
      </c>
      <c r="H3618" t="n">
        <v>2.43</v>
      </c>
      <c r="I3618" t="n">
        <v>2.81</v>
      </c>
      <c r="J3618" t="n">
        <v>3.25</v>
      </c>
      <c r="K3618" t="n">
        <v>3.76</v>
      </c>
    </row>
    <row r="3619">
      <c r="C3619" t="n">
        <v>1000000</v>
      </c>
      <c r="D3619" t="n">
        <v>1.86</v>
      </c>
      <c r="E3619" t="n">
        <v>2.15</v>
      </c>
      <c r="F3619" t="n">
        <v>2.49</v>
      </c>
      <c r="G3619" t="n">
        <v>2.88</v>
      </c>
      <c r="H3619" t="n">
        <v>2.32</v>
      </c>
      <c r="I3619" t="n">
        <v>2.68</v>
      </c>
      <c r="J3619" t="n">
        <v>3.1</v>
      </c>
      <c r="K3619" t="n">
        <v>3.59</v>
      </c>
    </row>
    <row r="3621">
      <c r="B3621" s="2453" t="inlineStr">
        <is>
          <t>Section 15 -- MVS 15-37</t>
        </is>
      </c>
      <c r="C3621" s="2455" t="inlineStr">
        <is>
          <t>Coverage (SF)</t>
        </is>
      </c>
      <c r="D3621" s="2455" t="inlineStr">
        <is>
          <t>Wet-Low</t>
        </is>
      </c>
      <c r="E3621" s="2455" t="inlineStr">
        <is>
          <t>Wet-Avg</t>
        </is>
      </c>
      <c r="F3621" s="2455" t="inlineStr">
        <is>
          <t>Wet-Good</t>
        </is>
      </c>
      <c r="G3621" s="2455" t="inlineStr">
        <is>
          <t>Wet-Excl</t>
        </is>
      </c>
      <c r="H3621" s="2455" t="inlineStr">
        <is>
          <t>Dry-Low</t>
        </is>
      </c>
      <c r="I3621" s="2455" t="inlineStr">
        <is>
          <t>Dry-Avg</t>
        </is>
      </c>
      <c r="J3621" s="2455" t="inlineStr">
        <is>
          <t>Dry-Good</t>
        </is>
      </c>
      <c r="K3621" s="2455" t="inlineStr">
        <is>
          <t>Dry-Excl</t>
        </is>
      </c>
    </row>
    <row r="3622">
      <c r="C3622" t="n">
        <v>1500</v>
      </c>
      <c r="D3622" t="n">
        <v>6.24</v>
      </c>
      <c r="E3622" t="n">
        <v>7.41</v>
      </c>
      <c r="F3622" t="n">
        <v>8.800000000000001</v>
      </c>
      <c r="G3622" t="n">
        <v>10.45</v>
      </c>
      <c r="H3622" t="n">
        <v>8.08</v>
      </c>
      <c r="I3622" t="n">
        <v>9.6</v>
      </c>
      <c r="J3622" t="n">
        <v>11.4</v>
      </c>
      <c r="K3622" t="n">
        <v>13.55</v>
      </c>
    </row>
    <row r="3623">
      <c r="C3623" t="n">
        <v>5000</v>
      </c>
      <c r="D3623" t="n">
        <v>5.17</v>
      </c>
      <c r="E3623" t="n">
        <v>6.09</v>
      </c>
      <c r="F3623" t="n">
        <v>7.16</v>
      </c>
      <c r="G3623" t="n">
        <v>8.43</v>
      </c>
      <c r="H3623" t="n">
        <v>6.58</v>
      </c>
      <c r="I3623" t="n">
        <v>7.75</v>
      </c>
      <c r="J3623" t="n">
        <v>9.130000000000001</v>
      </c>
      <c r="K3623" t="n">
        <v>10.75</v>
      </c>
    </row>
    <row r="3624">
      <c r="C3624" t="n">
        <v>10000</v>
      </c>
      <c r="D3624" t="n">
        <v>4.65</v>
      </c>
      <c r="E3624" t="n">
        <v>5.45</v>
      </c>
      <c r="F3624" t="n">
        <v>6.38</v>
      </c>
      <c r="G3624" t="n">
        <v>7.47</v>
      </c>
      <c r="H3624" t="n">
        <v>5.89</v>
      </c>
      <c r="I3624" t="n">
        <v>6.9</v>
      </c>
      <c r="J3624" t="n">
        <v>8.07</v>
      </c>
      <c r="K3624" t="n">
        <v>9.449999999999999</v>
      </c>
    </row>
    <row r="3625">
      <c r="C3625" t="n">
        <v>20000</v>
      </c>
      <c r="D3625" t="n">
        <v>4.14</v>
      </c>
      <c r="E3625" t="n">
        <v>4.83</v>
      </c>
      <c r="F3625" t="n">
        <v>5.64</v>
      </c>
      <c r="G3625" t="n">
        <v>6.58</v>
      </c>
      <c r="H3625" t="n">
        <v>5.23</v>
      </c>
      <c r="I3625" t="n">
        <v>6.1</v>
      </c>
      <c r="J3625" t="n">
        <v>7.12</v>
      </c>
      <c r="K3625" t="n">
        <v>8.300000000000001</v>
      </c>
    </row>
    <row r="3626">
      <c r="C3626" t="n">
        <v>50000</v>
      </c>
      <c r="D3626" t="n">
        <v>3.61</v>
      </c>
      <c r="E3626" t="n">
        <v>4.17</v>
      </c>
      <c r="F3626" t="n">
        <v>4.83</v>
      </c>
      <c r="G3626" t="n">
        <v>5.58</v>
      </c>
      <c r="H3626" t="n">
        <v>4.47</v>
      </c>
      <c r="I3626" t="n">
        <v>5.18</v>
      </c>
      <c r="J3626" t="n">
        <v>6</v>
      </c>
      <c r="K3626" t="n">
        <v>6.96</v>
      </c>
    </row>
    <row r="3627">
      <c r="C3627" t="n">
        <v>100000</v>
      </c>
      <c r="D3627" t="n">
        <v>3.26</v>
      </c>
      <c r="E3627" t="n">
        <v>3.75</v>
      </c>
      <c r="F3627" t="n">
        <v>4.31</v>
      </c>
      <c r="G3627" t="n">
        <v>4.95</v>
      </c>
      <c r="H3627" t="n">
        <v>4</v>
      </c>
      <c r="I3627" t="n">
        <v>4.61</v>
      </c>
      <c r="J3627" t="n">
        <v>5.31</v>
      </c>
      <c r="K3627" t="n">
        <v>6.11</v>
      </c>
    </row>
    <row r="3628">
      <c r="C3628" t="n">
        <v>250000</v>
      </c>
      <c r="D3628" t="n">
        <v>2.8</v>
      </c>
      <c r="E3628" t="n">
        <v>3.21</v>
      </c>
      <c r="F3628" t="n">
        <v>3.67</v>
      </c>
      <c r="G3628" t="n">
        <v>4.21</v>
      </c>
      <c r="H3628" t="n">
        <v>3.43</v>
      </c>
      <c r="I3628" t="n">
        <v>3.93</v>
      </c>
      <c r="J3628" t="n">
        <v>4.5</v>
      </c>
      <c r="K3628" t="n">
        <v>5.15</v>
      </c>
    </row>
    <row r="3629">
      <c r="C3629" t="n">
        <v>500000</v>
      </c>
      <c r="D3629" t="n">
        <v>2.52</v>
      </c>
      <c r="E3629" t="n">
        <v>2.87</v>
      </c>
      <c r="F3629" t="n">
        <v>3.27</v>
      </c>
      <c r="G3629" t="n">
        <v>3.72</v>
      </c>
      <c r="H3629" t="n">
        <v>3.06</v>
      </c>
      <c r="I3629" t="n">
        <v>3.48</v>
      </c>
      <c r="J3629" t="n">
        <v>3.95</v>
      </c>
      <c r="K3629" t="n">
        <v>4.49</v>
      </c>
    </row>
    <row r="3631">
      <c r="B3631" s="2453" t="inlineStr">
        <is>
          <t>Section 16 -- MVS 16-25</t>
        </is>
      </c>
      <c r="C3631" s="2455" t="inlineStr">
        <is>
          <t>Coverage (SF)</t>
        </is>
      </c>
      <c r="D3631" s="2455" t="inlineStr">
        <is>
          <t>Wet-Low</t>
        </is>
      </c>
      <c r="E3631" s="2455" t="inlineStr">
        <is>
          <t>Wet-Avg</t>
        </is>
      </c>
      <c r="F3631" s="2455" t="inlineStr">
        <is>
          <t>Wet-Good</t>
        </is>
      </c>
      <c r="G3631" s="2455" t="inlineStr">
        <is>
          <t>Wet-Excl</t>
        </is>
      </c>
      <c r="H3631" s="2455" t="inlineStr">
        <is>
          <t>Dry-Low</t>
        </is>
      </c>
      <c r="I3631" s="2455" t="inlineStr">
        <is>
          <t>Dry-Avg</t>
        </is>
      </c>
      <c r="J3631" s="2455" t="inlineStr">
        <is>
          <t>Dry-Good</t>
        </is>
      </c>
      <c r="K3631" s="2455" t="inlineStr">
        <is>
          <t>Dry-Excl</t>
        </is>
      </c>
    </row>
    <row r="3632">
      <c r="C3632" t="n">
        <v>3000</v>
      </c>
      <c r="D3632" t="n">
        <v>5.55</v>
      </c>
      <c r="E3632" t="n">
        <v>6.53</v>
      </c>
      <c r="F3632" t="n">
        <v>7.67</v>
      </c>
      <c r="G3632" t="n">
        <v>9.02</v>
      </c>
      <c r="H3632" t="n">
        <v>7.09</v>
      </c>
      <c r="I3632" t="n">
        <v>8.33</v>
      </c>
      <c r="J3632" t="n">
        <v>9.789999999999999</v>
      </c>
      <c r="K3632" t="n">
        <v>11.5</v>
      </c>
    </row>
    <row r="3633">
      <c r="C3633" t="n">
        <v>5000</v>
      </c>
      <c r="D3633" t="n">
        <v>5.15</v>
      </c>
      <c r="E3633" t="n">
        <v>6.02</v>
      </c>
      <c r="F3633" t="n">
        <v>7.05</v>
      </c>
      <c r="G3633" t="n">
        <v>8.24</v>
      </c>
      <c r="H3633" t="n">
        <v>6.51</v>
      </c>
      <c r="I3633" t="n">
        <v>7.61</v>
      </c>
      <c r="J3633" t="n">
        <v>8.9</v>
      </c>
      <c r="K3633" t="n">
        <v>10.4</v>
      </c>
    </row>
    <row r="3634">
      <c r="C3634" t="n">
        <v>10000</v>
      </c>
      <c r="D3634" t="n">
        <v>4.64</v>
      </c>
      <c r="E3634" t="n">
        <v>5.39</v>
      </c>
      <c r="F3634" t="n">
        <v>6.27</v>
      </c>
      <c r="G3634" t="n">
        <v>7.28</v>
      </c>
      <c r="H3634" t="n">
        <v>5.8</v>
      </c>
      <c r="I3634" t="n">
        <v>6.73</v>
      </c>
      <c r="J3634" t="n">
        <v>7.82</v>
      </c>
      <c r="K3634" t="n">
        <v>9.08</v>
      </c>
    </row>
    <row r="3635">
      <c r="C3635" t="n">
        <v>15000</v>
      </c>
      <c r="D3635" t="n">
        <v>4.33</v>
      </c>
      <c r="E3635" t="n">
        <v>5.03</v>
      </c>
      <c r="F3635" t="n">
        <v>5.84</v>
      </c>
      <c r="G3635" t="n">
        <v>6.78</v>
      </c>
      <c r="H3635" t="n">
        <v>5.41</v>
      </c>
      <c r="I3635" t="n">
        <v>6.28</v>
      </c>
      <c r="J3635" t="n">
        <v>7.3</v>
      </c>
      <c r="K3635" t="n">
        <v>8.48</v>
      </c>
    </row>
    <row r="3636">
      <c r="C3636" t="n">
        <v>20000</v>
      </c>
      <c r="D3636" t="n">
        <v>4.15</v>
      </c>
      <c r="E3636" t="n">
        <v>4.81</v>
      </c>
      <c r="F3636" t="n">
        <v>5.57</v>
      </c>
      <c r="G3636" t="n">
        <v>6.45</v>
      </c>
      <c r="H3636" t="n">
        <v>5.17</v>
      </c>
      <c r="I3636" t="n">
        <v>5.98</v>
      </c>
      <c r="J3636" t="n">
        <v>6.93</v>
      </c>
      <c r="K3636" t="n">
        <v>8.02</v>
      </c>
    </row>
    <row r="3637">
      <c r="C3637" t="n">
        <v>30000</v>
      </c>
      <c r="D3637" t="n">
        <v>3.88</v>
      </c>
      <c r="E3637" t="n">
        <v>4.49</v>
      </c>
      <c r="F3637" t="n">
        <v>5.19</v>
      </c>
      <c r="G3637" t="n">
        <v>6.01</v>
      </c>
      <c r="H3637" t="n">
        <v>4.83</v>
      </c>
      <c r="I3637" t="n">
        <v>5.59</v>
      </c>
      <c r="J3637" t="n">
        <v>6.46</v>
      </c>
      <c r="K3637" t="n">
        <v>7.47</v>
      </c>
    </row>
    <row r="3638">
      <c r="C3638" t="n">
        <v>40000</v>
      </c>
      <c r="D3638" t="n">
        <v>3.73</v>
      </c>
      <c r="E3638" t="n">
        <v>4.3</v>
      </c>
      <c r="F3638" t="n">
        <v>4.95</v>
      </c>
      <c r="G3638" t="n">
        <v>5.71</v>
      </c>
      <c r="H3638" t="n">
        <v>4.61</v>
      </c>
      <c r="I3638" t="n">
        <v>5.31</v>
      </c>
      <c r="J3638" t="n">
        <v>6.12</v>
      </c>
      <c r="K3638" t="n">
        <v>7.05</v>
      </c>
    </row>
    <row r="3639">
      <c r="C3639" t="n">
        <v>60000</v>
      </c>
      <c r="D3639" t="n">
        <v>3.52</v>
      </c>
      <c r="E3639" t="n">
        <v>4.03</v>
      </c>
      <c r="F3639" t="n">
        <v>4.62</v>
      </c>
      <c r="G3639" t="n">
        <v>5.29</v>
      </c>
      <c r="H3639" t="n">
        <v>4.31</v>
      </c>
      <c r="I3639" t="n">
        <v>4.95</v>
      </c>
      <c r="J3639" t="n">
        <v>5.67</v>
      </c>
      <c r="K3639" t="n">
        <v>6.51</v>
      </c>
    </row>
    <row r="3640">
      <c r="C3640" t="n">
        <v>80000</v>
      </c>
      <c r="D3640" t="n">
        <v>3.36</v>
      </c>
      <c r="E3640" t="n">
        <v>3.85</v>
      </c>
      <c r="F3640" t="n">
        <v>4.4</v>
      </c>
      <c r="G3640" t="n">
        <v>5.04</v>
      </c>
      <c r="H3640" t="n">
        <v>4.12</v>
      </c>
      <c r="I3640" t="n">
        <v>4.72</v>
      </c>
      <c r="J3640" t="n">
        <v>5.4</v>
      </c>
      <c r="K3640" t="n">
        <v>6.18</v>
      </c>
    </row>
    <row r="3641">
      <c r="C3641" t="n">
        <v>100000</v>
      </c>
      <c r="D3641" t="n">
        <v>3.23</v>
      </c>
      <c r="E3641" t="n">
        <v>3.69</v>
      </c>
      <c r="F3641" t="n">
        <v>4.22</v>
      </c>
      <c r="G3641" t="n">
        <v>4.83</v>
      </c>
      <c r="H3641" t="n">
        <v>3.96</v>
      </c>
      <c r="I3641" t="n">
        <v>4.53</v>
      </c>
      <c r="J3641" t="n">
        <v>5.17</v>
      </c>
      <c r="K3641" t="n">
        <v>5.91</v>
      </c>
    </row>
    <row r="3642">
      <c r="C3642" t="n">
        <v>125000</v>
      </c>
      <c r="D3642" t="n">
        <v>3.15</v>
      </c>
      <c r="E3642" t="n">
        <v>3.59</v>
      </c>
      <c r="F3642" t="n">
        <v>4.09</v>
      </c>
      <c r="G3642" t="n">
        <v>4.66</v>
      </c>
      <c r="H3642" t="n">
        <v>3.84</v>
      </c>
      <c r="I3642" t="n">
        <v>4.37</v>
      </c>
      <c r="J3642" t="n">
        <v>4.98</v>
      </c>
      <c r="K3642" t="n">
        <v>5.67</v>
      </c>
    </row>
    <row r="3643">
      <c r="C3643" t="n">
        <v>150000</v>
      </c>
      <c r="D3643" t="n">
        <v>3.03</v>
      </c>
      <c r="E3643" t="n">
        <v>3.45</v>
      </c>
      <c r="F3643" t="n">
        <v>3.93</v>
      </c>
      <c r="G3643" t="n">
        <v>4.47</v>
      </c>
      <c r="H3643" t="n">
        <v>3.68</v>
      </c>
      <c r="I3643" t="n">
        <v>4.19</v>
      </c>
      <c r="J3643" t="n">
        <v>4.78</v>
      </c>
      <c r="K3643" t="n">
        <v>5.45</v>
      </c>
    </row>
    <row r="3644">
      <c r="C3644" t="n">
        <v>200000</v>
      </c>
      <c r="D3644" t="n">
        <v>2.92</v>
      </c>
      <c r="E3644" t="n">
        <v>3.32</v>
      </c>
      <c r="F3644" t="n">
        <v>3.77</v>
      </c>
      <c r="G3644" t="n">
        <v>4.28</v>
      </c>
      <c r="H3644" t="n">
        <v>3.53</v>
      </c>
      <c r="I3644" t="n">
        <v>4.01</v>
      </c>
      <c r="J3644" t="n">
        <v>4.56</v>
      </c>
      <c r="K3644" t="n">
        <v>5.18</v>
      </c>
    </row>
    <row r="3645">
      <c r="C3645" t="n">
        <v>250000</v>
      </c>
      <c r="D3645" t="n">
        <v>2.81</v>
      </c>
      <c r="E3645" t="n">
        <v>3.19</v>
      </c>
      <c r="F3645" t="n">
        <v>3.63</v>
      </c>
      <c r="G3645" t="n">
        <v>4.12</v>
      </c>
      <c r="H3645" t="n">
        <v>3.39</v>
      </c>
      <c r="I3645" t="n">
        <v>3.85</v>
      </c>
      <c r="J3645" t="n">
        <v>4.38</v>
      </c>
      <c r="K3645" t="n">
        <v>4.98</v>
      </c>
    </row>
    <row r="3646">
      <c r="C3646" t="n">
        <v>300000</v>
      </c>
      <c r="D3646" t="n">
        <v>2.74</v>
      </c>
      <c r="E3646" t="n">
        <v>3.1</v>
      </c>
      <c r="F3646" t="n">
        <v>3.51</v>
      </c>
      <c r="G3646" t="n">
        <v>3.98</v>
      </c>
      <c r="H3646" t="n">
        <v>3.3</v>
      </c>
      <c r="I3646" t="n">
        <v>3.74</v>
      </c>
      <c r="J3646" t="n">
        <v>4.23</v>
      </c>
      <c r="K3646" t="n">
        <v>4.79</v>
      </c>
    </row>
    <row r="3647">
      <c r="C3647" t="n">
        <v>400000</v>
      </c>
      <c r="D3647" t="n">
        <v>2.62</v>
      </c>
      <c r="E3647" t="n">
        <v>2.96</v>
      </c>
      <c r="F3647" t="n">
        <v>3.35</v>
      </c>
      <c r="G3647" t="n">
        <v>3.79</v>
      </c>
      <c r="H3647" t="n">
        <v>3.15</v>
      </c>
      <c r="I3647" t="n">
        <v>3.57</v>
      </c>
      <c r="J3647" t="n">
        <v>4.04</v>
      </c>
      <c r="K3647" t="n">
        <v>4.57</v>
      </c>
    </row>
    <row r="3648">
      <c r="C3648" t="n">
        <v>500000</v>
      </c>
      <c r="D3648" t="n">
        <v>2.55</v>
      </c>
      <c r="E3648" t="n">
        <v>2.87</v>
      </c>
      <c r="F3648" t="n">
        <v>3.24</v>
      </c>
      <c r="G3648" t="n">
        <v>3.65</v>
      </c>
      <c r="H3648" t="n">
        <v>3.04</v>
      </c>
      <c r="I3648" t="n">
        <v>3.42</v>
      </c>
      <c r="J3648" t="n">
        <v>3.85</v>
      </c>
      <c r="K3648" t="n">
        <v>4.34</v>
      </c>
    </row>
    <row r="3650">
      <c r="B3650" s="2453" t="inlineStr">
        <is>
          <t>Section 18 -- MVS 18-36</t>
        </is>
      </c>
      <c r="C3650" s="2455" t="inlineStr">
        <is>
          <t>Coverage (SF)</t>
        </is>
      </c>
      <c r="D3650" s="2455" t="inlineStr">
        <is>
          <t>Wet-Low</t>
        </is>
      </c>
      <c r="E3650" s="2455" t="inlineStr">
        <is>
          <t>Wet-Avg</t>
        </is>
      </c>
      <c r="F3650" s="2455" t="inlineStr">
        <is>
          <t>Wet-Good</t>
        </is>
      </c>
      <c r="G3650" s="2455" t="inlineStr">
        <is>
          <t>Wet-Excl</t>
        </is>
      </c>
      <c r="H3650" s="2455" t="inlineStr">
        <is>
          <t>Dry-Low</t>
        </is>
      </c>
      <c r="I3650" s="2455" t="inlineStr">
        <is>
          <t>Dry-Avg</t>
        </is>
      </c>
      <c r="J3650" s="2455" t="inlineStr">
        <is>
          <t>Dry-Good</t>
        </is>
      </c>
      <c r="K3650" s="2455" t="inlineStr">
        <is>
          <t>Dry-Excl</t>
        </is>
      </c>
    </row>
    <row r="3651">
      <c r="C3651" t="n">
        <v>3000</v>
      </c>
      <c r="D3651" t="n">
        <v>5.58</v>
      </c>
      <c r="E3651" t="n">
        <v>6.58</v>
      </c>
      <c r="F3651" t="n">
        <v>7.76</v>
      </c>
      <c r="G3651" t="n">
        <v>9.15</v>
      </c>
      <c r="H3651" t="n">
        <v>7.16</v>
      </c>
      <c r="I3651" t="n">
        <v>8.43</v>
      </c>
      <c r="J3651" t="n">
        <v>9.93</v>
      </c>
      <c r="K3651" t="n">
        <v>11.7</v>
      </c>
    </row>
    <row r="3652">
      <c r="C3652" t="n">
        <v>5000</v>
      </c>
      <c r="D3652" t="n">
        <v>5.19</v>
      </c>
      <c r="E3652" t="n">
        <v>6.09</v>
      </c>
      <c r="F3652" t="n">
        <v>7.14</v>
      </c>
      <c r="G3652" t="n">
        <v>8.369999999999999</v>
      </c>
      <c r="H3652" t="n">
        <v>6.59</v>
      </c>
      <c r="I3652" t="n">
        <v>7.73</v>
      </c>
      <c r="J3652" t="n">
        <v>9.08</v>
      </c>
      <c r="K3652" t="n">
        <v>10.65</v>
      </c>
    </row>
    <row r="3653">
      <c r="C3653" t="n">
        <v>10000</v>
      </c>
      <c r="D3653" t="n">
        <v>4.67</v>
      </c>
      <c r="E3653" t="n">
        <v>5.45</v>
      </c>
      <c r="F3653" t="n">
        <v>6.35</v>
      </c>
      <c r="G3653" t="n">
        <v>7.41</v>
      </c>
      <c r="H3653" t="n">
        <v>5.87</v>
      </c>
      <c r="I3653" t="n">
        <v>6.85</v>
      </c>
      <c r="J3653" t="n">
        <v>7.98</v>
      </c>
      <c r="K3653" t="n">
        <v>9.31</v>
      </c>
    </row>
    <row r="3654">
      <c r="C3654" t="n">
        <v>15000</v>
      </c>
      <c r="D3654" t="n">
        <v>4.38</v>
      </c>
      <c r="E3654" t="n">
        <v>5.09</v>
      </c>
      <c r="F3654" t="n">
        <v>5.92</v>
      </c>
      <c r="G3654" t="n">
        <v>6.88</v>
      </c>
      <c r="H3654" t="n">
        <v>5.49</v>
      </c>
      <c r="I3654" t="n">
        <v>6.38</v>
      </c>
      <c r="J3654" t="n">
        <v>7.41</v>
      </c>
      <c r="K3654" t="n">
        <v>8.609999999999999</v>
      </c>
    </row>
    <row r="3655">
      <c r="C3655" t="n">
        <v>20000</v>
      </c>
      <c r="D3655" t="n">
        <v>4.16</v>
      </c>
      <c r="E3655" t="n">
        <v>4.83</v>
      </c>
      <c r="F3655" t="n">
        <v>5.61</v>
      </c>
      <c r="G3655" t="n">
        <v>6.51</v>
      </c>
      <c r="H3655" t="n">
        <v>5.2</v>
      </c>
      <c r="I3655" t="n">
        <v>6.04</v>
      </c>
      <c r="J3655" t="n">
        <v>7.02</v>
      </c>
      <c r="K3655" t="n">
        <v>8.15</v>
      </c>
    </row>
    <row r="3656">
      <c r="C3656" t="n">
        <v>30000</v>
      </c>
      <c r="D3656" t="n">
        <v>3.93</v>
      </c>
      <c r="E3656" t="n">
        <v>4.55</v>
      </c>
      <c r="F3656" t="n">
        <v>5.26</v>
      </c>
      <c r="G3656" t="n">
        <v>6.09</v>
      </c>
      <c r="H3656" t="n">
        <v>4.89</v>
      </c>
      <c r="I3656" t="n">
        <v>5.65</v>
      </c>
      <c r="J3656" t="n">
        <v>6.53</v>
      </c>
      <c r="K3656" t="n">
        <v>7.55</v>
      </c>
    </row>
    <row r="3657">
      <c r="C3657" t="n">
        <v>50000</v>
      </c>
      <c r="D3657" t="n">
        <v>3.64</v>
      </c>
      <c r="E3657" t="n">
        <v>4.19</v>
      </c>
      <c r="F3657" t="n">
        <v>4.82</v>
      </c>
      <c r="G3657" t="n">
        <v>5.55</v>
      </c>
      <c r="H3657" t="n">
        <v>4.49</v>
      </c>
      <c r="I3657" t="n">
        <v>5.17</v>
      </c>
      <c r="J3657" t="n">
        <v>5.96</v>
      </c>
      <c r="K3657" t="n">
        <v>6.86</v>
      </c>
    </row>
    <row r="3658">
      <c r="C3658" t="n">
        <v>75000</v>
      </c>
      <c r="D3658" t="n">
        <v>3.45</v>
      </c>
      <c r="E3658" t="n">
        <v>3.95</v>
      </c>
      <c r="F3658" t="n">
        <v>4.53</v>
      </c>
      <c r="G3658" t="n">
        <v>5.19</v>
      </c>
      <c r="H3658" t="n">
        <v>4.23</v>
      </c>
      <c r="I3658" t="n">
        <v>4.85</v>
      </c>
      <c r="J3658" t="n">
        <v>5.55</v>
      </c>
      <c r="K3658" t="n">
        <v>6.36</v>
      </c>
    </row>
    <row r="3659">
      <c r="C3659" t="n">
        <v>100000</v>
      </c>
      <c r="D3659" t="n">
        <v>3.3</v>
      </c>
      <c r="E3659" t="n">
        <v>3.76</v>
      </c>
      <c r="F3659" t="n">
        <v>4.3</v>
      </c>
      <c r="G3659" t="n">
        <v>4.9</v>
      </c>
      <c r="H3659" t="n">
        <v>4.02</v>
      </c>
      <c r="I3659" t="n">
        <v>4.59</v>
      </c>
      <c r="J3659" t="n">
        <v>5.24</v>
      </c>
      <c r="K3659" t="n">
        <v>5.99</v>
      </c>
    </row>
    <row r="3660">
      <c r="C3660" t="n">
        <v>125000</v>
      </c>
      <c r="D3660" t="n">
        <v>3.17</v>
      </c>
      <c r="E3660" t="n">
        <v>3.62</v>
      </c>
      <c r="F3660" t="n">
        <v>4.14</v>
      </c>
      <c r="G3660" t="n">
        <v>4.73</v>
      </c>
      <c r="H3660" t="n">
        <v>3.86</v>
      </c>
      <c r="I3660" t="n">
        <v>4.41</v>
      </c>
      <c r="J3660" t="n">
        <v>5.05</v>
      </c>
      <c r="K3660" t="n">
        <v>5.77</v>
      </c>
    </row>
    <row r="3661">
      <c r="C3661" t="n">
        <v>150000</v>
      </c>
      <c r="D3661" t="n">
        <v>3.11</v>
      </c>
      <c r="E3661" t="n">
        <v>3.54</v>
      </c>
      <c r="F3661" t="n">
        <v>4.02</v>
      </c>
      <c r="G3661" t="n">
        <v>4.57</v>
      </c>
      <c r="H3661" t="n">
        <v>3.77</v>
      </c>
      <c r="I3661" t="n">
        <v>4.29</v>
      </c>
      <c r="J3661" t="n">
        <v>4.88</v>
      </c>
      <c r="K3661" t="n">
        <v>5.55</v>
      </c>
    </row>
    <row r="3662">
      <c r="C3662" t="n">
        <v>200000</v>
      </c>
      <c r="D3662" t="n">
        <v>2.98</v>
      </c>
      <c r="E3662" t="n">
        <v>3.38</v>
      </c>
      <c r="F3662" t="n">
        <v>3.83</v>
      </c>
      <c r="G3662" t="n">
        <v>4.35</v>
      </c>
      <c r="H3662" t="n">
        <v>3.6</v>
      </c>
      <c r="I3662" t="n">
        <v>4.08</v>
      </c>
      <c r="J3662" t="n">
        <v>4.63</v>
      </c>
      <c r="K3662" t="n">
        <v>5.25</v>
      </c>
    </row>
    <row r="3663">
      <c r="C3663" t="n">
        <v>250000</v>
      </c>
      <c r="D3663" t="n">
        <v>2.87</v>
      </c>
      <c r="E3663" t="n">
        <v>3.25</v>
      </c>
      <c r="F3663" t="n">
        <v>3.69</v>
      </c>
      <c r="G3663" t="n">
        <v>4.18</v>
      </c>
      <c r="H3663" t="n">
        <v>3.47</v>
      </c>
      <c r="I3663" t="n">
        <v>3.93</v>
      </c>
      <c r="J3663" t="n">
        <v>4.46</v>
      </c>
      <c r="K3663" t="n">
        <v>5.05</v>
      </c>
    </row>
    <row r="3664">
      <c r="C3664" t="n">
        <v>300000</v>
      </c>
      <c r="D3664" t="n">
        <v>2.78</v>
      </c>
      <c r="E3664" t="n">
        <v>3.15</v>
      </c>
      <c r="F3664" t="n">
        <v>3.57</v>
      </c>
      <c r="G3664" t="n">
        <v>4.04</v>
      </c>
      <c r="H3664" t="n">
        <v>3.34</v>
      </c>
      <c r="I3664" t="n">
        <v>3.78</v>
      </c>
      <c r="J3664" t="n">
        <v>4.29</v>
      </c>
      <c r="K3664" t="n">
        <v>4.86</v>
      </c>
    </row>
    <row r="3665">
      <c r="C3665" t="n">
        <v>400000</v>
      </c>
      <c r="D3665" t="n">
        <v>2.67</v>
      </c>
      <c r="E3665" t="n">
        <v>3.01</v>
      </c>
      <c r="F3665" t="n">
        <v>3.4</v>
      </c>
      <c r="G3665" t="n">
        <v>3.83</v>
      </c>
      <c r="H3665" t="n">
        <v>3.19</v>
      </c>
      <c r="I3665" t="n">
        <v>3.61</v>
      </c>
      <c r="J3665" t="n">
        <v>4.08</v>
      </c>
      <c r="K3665" t="n">
        <v>4.61</v>
      </c>
    </row>
    <row r="3666">
      <c r="C3666" t="n">
        <v>500000</v>
      </c>
      <c r="D3666" t="n">
        <v>2.57</v>
      </c>
      <c r="E3666" t="n">
        <v>2.9</v>
      </c>
      <c r="F3666" t="n">
        <v>3.27</v>
      </c>
      <c r="G3666" t="n">
        <v>3.69</v>
      </c>
      <c r="H3666" t="n">
        <v>3.09</v>
      </c>
      <c r="I3666" t="n">
        <v>3.48</v>
      </c>
      <c r="J3666" t="n">
        <v>3.92</v>
      </c>
      <c r="K3666" t="n">
        <v>4.42</v>
      </c>
    </row>
    <row r="3669">
      <c r="B3669" s="2454" t="inlineStr">
        <is>
          <t>REFERENCE 7 -- Elevator Lump-Sum + Per-Stop Cost Tables (per MVS section) -- for manual add/deduct</t>
        </is>
      </c>
    </row>
    <row r="3670">
      <c r="B3670" s="2453" t="inlineStr">
        <is>
          <t>Section 11 -- MVS 11-35</t>
        </is>
      </c>
      <c r="C3670" s="2455" t="inlineStr">
        <is>
          <t>Type</t>
        </is>
      </c>
      <c r="D3670" s="2455" t="inlineStr">
        <is>
          <t>Low</t>
        </is>
      </c>
      <c r="E3670" s="2455" t="inlineStr">
        <is>
          <t>Average</t>
        </is>
      </c>
      <c r="F3670" s="2455" t="inlineStr">
        <is>
          <t>Good</t>
        </is>
      </c>
      <c r="G3670" s="2455" t="inlineStr">
        <is>
          <t>Excellent</t>
        </is>
      </c>
    </row>
    <row r="3671">
      <c r="C3671" t="inlineStr">
        <is>
          <t>Passenger, 2-3 story (base)</t>
        </is>
      </c>
      <c r="D3671" t="n">
        <v>67500</v>
      </c>
      <c r="E3671" t="n">
        <v>79500</v>
      </c>
      <c r="F3671" t="n">
        <v>93750</v>
      </c>
      <c r="G3671" t="n">
        <v>110000</v>
      </c>
    </row>
    <row r="3672">
      <c r="C3672" t="inlineStr">
        <is>
          <t>Passenger, 4-7 story (base)</t>
        </is>
      </c>
      <c r="D3672" t="n">
        <v>117000</v>
      </c>
      <c r="E3672" t="n">
        <v>135000</v>
      </c>
      <c r="F3672" t="n">
        <v>154000</v>
      </c>
      <c r="G3672" t="n">
        <v>177000</v>
      </c>
    </row>
    <row r="3673">
      <c r="C3673" t="inlineStr">
        <is>
          <t>Passenger, 8-story+ (base)</t>
        </is>
      </c>
      <c r="D3673" t="n">
        <v>180000</v>
      </c>
      <c r="E3673" t="n">
        <v>228000</v>
      </c>
      <c r="F3673" t="n">
        <v>287000</v>
      </c>
      <c r="G3673" t="n">
        <v>363000</v>
      </c>
    </row>
    <row r="3674">
      <c r="C3674" t="inlineStr">
        <is>
          <t>Passenger, per stop</t>
        </is>
      </c>
      <c r="D3674" t="n">
        <v>9700</v>
      </c>
      <c r="E3674" t="n">
        <v>11100</v>
      </c>
      <c r="F3674" t="n">
        <v>12800</v>
      </c>
      <c r="G3674" t="n">
        <v>14700</v>
      </c>
    </row>
    <row r="3675">
      <c r="C3675" t="inlineStr">
        <is>
          <t>Freight, 2-3 story (base)</t>
        </is>
      </c>
      <c r="D3675" t="n">
        <v>51000</v>
      </c>
      <c r="E3675" t="n">
        <v>67500</v>
      </c>
      <c r="F3675" t="n">
        <v>89000</v>
      </c>
      <c r="G3675" t="n">
        <v>118000</v>
      </c>
    </row>
    <row r="3676">
      <c r="C3676" t="inlineStr">
        <is>
          <t>Freight, 4-story+ (base)</t>
        </is>
      </c>
      <c r="D3676" t="n">
        <v>100000</v>
      </c>
      <c r="E3676" t="n">
        <v>126000</v>
      </c>
      <c r="F3676" t="n">
        <v>160000</v>
      </c>
      <c r="G3676" t="n">
        <v>202000</v>
      </c>
    </row>
    <row r="3677">
      <c r="C3677" t="inlineStr">
        <is>
          <t>Freight, per stop (manual doors)</t>
        </is>
      </c>
      <c r="D3677" t="n">
        <v>12900</v>
      </c>
      <c r="E3677" t="n">
        <v>14100</v>
      </c>
      <c r="F3677" t="n">
        <v>15300</v>
      </c>
      <c r="G3677" t="n">
        <v>16700</v>
      </c>
    </row>
    <row r="3678">
      <c r="C3678" t="inlineStr">
        <is>
          <t>Freight, per stop (power doors)</t>
        </is>
      </c>
      <c r="D3678" t="n">
        <v>22400</v>
      </c>
      <c r="E3678" t="n">
        <v>24400</v>
      </c>
      <c r="F3678" t="n">
        <v>26600</v>
      </c>
      <c r="G3678" t="n">
        <v>29000</v>
      </c>
    </row>
    <row r="3679">
      <c r="C3679" t="inlineStr">
        <is>
          <t>Escalator, per stairway</t>
        </is>
      </c>
      <c r="D3679" t="n">
        <v>260000</v>
      </c>
      <c r="E3679" t="n">
        <v>276000</v>
      </c>
      <c r="F3679" t="n">
        <v>294000</v>
      </c>
      <c r="G3679" t="n">
        <v>312000</v>
      </c>
    </row>
    <row r="3680">
      <c r="C3680" t="inlineStr">
        <is>
          <t>Vertical wheelchair lift, each</t>
        </is>
      </c>
      <c r="D3680" t="n">
        <v>17200</v>
      </c>
      <c r="E3680" t="n">
        <v>22300</v>
      </c>
      <c r="F3680" t="n">
        <v>29000</v>
      </c>
      <c r="G3680" t="n">
        <v>37600</v>
      </c>
    </row>
    <row r="3682">
      <c r="B3682" s="2453" t="inlineStr">
        <is>
          <t>Section 12 -- MVS 12-38</t>
        </is>
      </c>
      <c r="C3682" s="2455" t="inlineStr">
        <is>
          <t>Type</t>
        </is>
      </c>
      <c r="D3682" s="2455" t="inlineStr">
        <is>
          <t>Low</t>
        </is>
      </c>
      <c r="E3682" s="2455" t="inlineStr">
        <is>
          <t>Average</t>
        </is>
      </c>
      <c r="F3682" s="2455" t="inlineStr">
        <is>
          <t>Good</t>
        </is>
      </c>
      <c r="G3682" s="2455" t="inlineStr">
        <is>
          <t>Excellent</t>
        </is>
      </c>
    </row>
    <row r="3683">
      <c r="C3683" t="inlineStr">
        <is>
          <t>Passenger, 2-3 story (base)</t>
        </is>
      </c>
      <c r="D3683" t="n">
        <v>61500</v>
      </c>
      <c r="E3683" t="n">
        <v>71750</v>
      </c>
      <c r="F3683" t="n">
        <v>84000</v>
      </c>
      <c r="G3683" t="n">
        <v>99000</v>
      </c>
    </row>
    <row r="3684">
      <c r="C3684" t="inlineStr">
        <is>
          <t>Passenger, per stop</t>
        </is>
      </c>
      <c r="D3684" t="n">
        <v>8550</v>
      </c>
      <c r="E3684" t="n">
        <v>9950</v>
      </c>
      <c r="F3684" t="n">
        <v>11700</v>
      </c>
      <c r="G3684" t="n">
        <v>13700</v>
      </c>
    </row>
    <row r="3685">
      <c r="C3685" t="inlineStr">
        <is>
          <t>Vertical wheelchair lift, each</t>
        </is>
      </c>
      <c r="D3685" t="n">
        <v>14800</v>
      </c>
      <c r="E3685" t="n">
        <v>19000</v>
      </c>
      <c r="F3685" t="n">
        <v>24500</v>
      </c>
      <c r="G3685" t="n">
        <v>31400</v>
      </c>
    </row>
    <row r="3687">
      <c r="B3687" s="2453" t="inlineStr">
        <is>
          <t>Section 13 [Sec.14 schedule applies] -- MVS 13-39</t>
        </is>
      </c>
      <c r="C3687" s="2455" t="inlineStr">
        <is>
          <t>Type</t>
        </is>
      </c>
      <c r="D3687" s="2455" t="inlineStr">
        <is>
          <t>Low</t>
        </is>
      </c>
      <c r="E3687" s="2455" t="inlineStr">
        <is>
          <t>Average</t>
        </is>
      </c>
      <c r="F3687" s="2455" t="inlineStr">
        <is>
          <t>Good</t>
        </is>
      </c>
      <c r="G3687" s="2455" t="inlineStr">
        <is>
          <t>Excellent</t>
        </is>
      </c>
    </row>
    <row r="3688">
      <c r="C3688" t="inlineStr">
        <is>
          <t>Passenger, 2-3 story (base) [see Sec.14 sched.]</t>
        </is>
      </c>
      <c r="D3688" t="n">
        <v>66250</v>
      </c>
      <c r="E3688" t="n">
        <v>78000</v>
      </c>
      <c r="F3688" t="n">
        <v>92000</v>
      </c>
      <c r="G3688" t="n">
        <v>108000</v>
      </c>
    </row>
    <row r="3689">
      <c r="C3689" t="inlineStr">
        <is>
          <t>Passenger, per stop [see Sec.14 sched.]</t>
        </is>
      </c>
      <c r="D3689" t="n">
        <v>9650</v>
      </c>
      <c r="E3689" t="n">
        <v>11100</v>
      </c>
      <c r="F3689" t="n">
        <v>12700</v>
      </c>
      <c r="G3689" t="n">
        <v>14600</v>
      </c>
    </row>
    <row r="3691">
      <c r="B3691" s="2453" t="inlineStr">
        <is>
          <t>Section 14 -- MVS 14-36</t>
        </is>
      </c>
      <c r="C3691" s="2455" t="inlineStr">
        <is>
          <t>Type</t>
        </is>
      </c>
      <c r="D3691" s="2455" t="inlineStr">
        <is>
          <t>Low</t>
        </is>
      </c>
      <c r="E3691" s="2455" t="inlineStr">
        <is>
          <t>Average</t>
        </is>
      </c>
      <c r="F3691" s="2455" t="inlineStr">
        <is>
          <t>Good</t>
        </is>
      </c>
      <c r="G3691" s="2455" t="inlineStr">
        <is>
          <t>Excellent</t>
        </is>
      </c>
    </row>
    <row r="3692">
      <c r="C3692" t="inlineStr">
        <is>
          <t>Passenger, 2-3 story (base)</t>
        </is>
      </c>
      <c r="D3692" t="n">
        <v>66250</v>
      </c>
      <c r="E3692" t="n">
        <v>78000</v>
      </c>
      <c r="F3692" t="n">
        <v>92000</v>
      </c>
      <c r="G3692" t="n">
        <v>108000</v>
      </c>
    </row>
    <row r="3693">
      <c r="C3693" t="inlineStr">
        <is>
          <t>Passenger, 4-story+ (base)</t>
        </is>
      </c>
      <c r="D3693" t="n">
        <v>116000</v>
      </c>
      <c r="E3693" t="n">
        <v>133000</v>
      </c>
      <c r="F3693" t="n">
        <v>152000</v>
      </c>
      <c r="G3693" t="n">
        <v>175000</v>
      </c>
    </row>
    <row r="3694">
      <c r="C3694" t="inlineStr">
        <is>
          <t>Passenger, per stop</t>
        </is>
      </c>
      <c r="D3694" t="n">
        <v>9650</v>
      </c>
      <c r="E3694" t="n">
        <v>11100</v>
      </c>
      <c r="F3694" t="n">
        <v>12700</v>
      </c>
      <c r="G3694" t="n">
        <v>14600</v>
      </c>
    </row>
    <row r="3695">
      <c r="C3695" t="inlineStr">
        <is>
          <t>Freight, 2-3 story (base)</t>
        </is>
      </c>
      <c r="D3695" t="n">
        <v>51250</v>
      </c>
      <c r="E3695" t="n">
        <v>67750</v>
      </c>
      <c r="F3695" t="n">
        <v>89500</v>
      </c>
      <c r="G3695" t="n">
        <v>118000</v>
      </c>
    </row>
    <row r="3696">
      <c r="C3696" t="inlineStr">
        <is>
          <t>Freight, 4-story+ (base)</t>
        </is>
      </c>
      <c r="D3696" t="n">
        <v>101000</v>
      </c>
      <c r="E3696" t="n">
        <v>127000</v>
      </c>
      <c r="F3696" t="n">
        <v>160000</v>
      </c>
      <c r="G3696" t="n">
        <v>203000</v>
      </c>
    </row>
    <row r="3697">
      <c r="C3697" t="inlineStr">
        <is>
          <t>Freight, per stop (manual doors)</t>
        </is>
      </c>
      <c r="D3697" t="n">
        <v>13000</v>
      </c>
      <c r="E3697" t="n">
        <v>14100</v>
      </c>
      <c r="F3697" t="n">
        <v>15400</v>
      </c>
      <c r="G3697" t="n">
        <v>16700</v>
      </c>
    </row>
    <row r="3698">
      <c r="C3698" t="inlineStr">
        <is>
          <t>Freight, per stop (power doors)</t>
        </is>
      </c>
      <c r="D3698" t="n">
        <v>22600</v>
      </c>
      <c r="E3698" t="n">
        <v>24600</v>
      </c>
      <c r="F3698" t="n">
        <v>26900</v>
      </c>
      <c r="G3698" t="n">
        <v>29300</v>
      </c>
    </row>
    <row r="3699">
      <c r="C3699" t="inlineStr">
        <is>
          <t>Escalator, per stairway</t>
        </is>
      </c>
      <c r="D3699" t="n">
        <v>270000</v>
      </c>
      <c r="E3699" t="n">
        <v>289000</v>
      </c>
      <c r="F3699" t="n">
        <v>309000</v>
      </c>
      <c r="G3699" t="n">
        <v>330000</v>
      </c>
    </row>
    <row r="3700">
      <c r="C3700" t="inlineStr">
        <is>
          <t>Vertical wheelchair lift, each</t>
        </is>
      </c>
      <c r="D3700" t="n">
        <v>17500</v>
      </c>
      <c r="E3700" t="n">
        <v>22200</v>
      </c>
      <c r="F3700" t="n">
        <v>28300</v>
      </c>
      <c r="G3700" t="n">
        <v>36000</v>
      </c>
    </row>
    <row r="3702">
      <c r="B3702" s="2453" t="inlineStr">
        <is>
          <t>Section 15 -- MVS 15-36</t>
        </is>
      </c>
      <c r="C3702" s="2455" t="inlineStr">
        <is>
          <t>Type</t>
        </is>
      </c>
      <c r="D3702" s="2455" t="inlineStr">
        <is>
          <t>Low</t>
        </is>
      </c>
      <c r="E3702" s="2455" t="inlineStr">
        <is>
          <t>Average</t>
        </is>
      </c>
      <c r="F3702" s="2455" t="inlineStr">
        <is>
          <t>Good</t>
        </is>
      </c>
      <c r="G3702" s="2455" t="inlineStr">
        <is>
          <t>Excellent</t>
        </is>
      </c>
    </row>
    <row r="3703">
      <c r="C3703" t="inlineStr">
        <is>
          <t>Passenger, 2-3 story (base)</t>
        </is>
      </c>
      <c r="D3703" t="n">
        <v>67500</v>
      </c>
      <c r="E3703" t="n">
        <v>80000</v>
      </c>
      <c r="F3703" t="n">
        <v>94250</v>
      </c>
      <c r="G3703" t="n">
        <v>111000</v>
      </c>
    </row>
    <row r="3704">
      <c r="C3704" t="inlineStr">
        <is>
          <t>Passenger, 4-7 story (base)</t>
        </is>
      </c>
      <c r="D3704" t="n">
        <v>117000</v>
      </c>
      <c r="E3704" t="n">
        <v>134000</v>
      </c>
      <c r="F3704" t="n">
        <v>154000</v>
      </c>
      <c r="G3704" t="n">
        <v>176000</v>
      </c>
    </row>
    <row r="3705">
      <c r="C3705" t="inlineStr">
        <is>
          <t>Passenger, 8-story+ (base)</t>
        </is>
      </c>
      <c r="D3705" t="n">
        <v>179000</v>
      </c>
      <c r="E3705" t="n">
        <v>227000</v>
      </c>
      <c r="F3705" t="n">
        <v>285000</v>
      </c>
      <c r="G3705" t="n">
        <v>362000</v>
      </c>
    </row>
    <row r="3706">
      <c r="C3706" t="inlineStr">
        <is>
          <t>Passenger, per stop</t>
        </is>
      </c>
      <c r="D3706" t="n">
        <v>9350</v>
      </c>
      <c r="E3706" t="n">
        <v>10800</v>
      </c>
      <c r="F3706" t="n">
        <v>12500</v>
      </c>
      <c r="G3706" t="n">
        <v>14300</v>
      </c>
    </row>
    <row r="3707">
      <c r="C3707" t="inlineStr">
        <is>
          <t>Freight, 2-3 story (base)</t>
        </is>
      </c>
      <c r="D3707" t="n">
        <v>49800</v>
      </c>
      <c r="E3707" t="n">
        <v>66000</v>
      </c>
      <c r="F3707" t="n">
        <v>87500</v>
      </c>
      <c r="G3707" t="n">
        <v>115000</v>
      </c>
    </row>
    <row r="3708">
      <c r="C3708" t="inlineStr">
        <is>
          <t>Freight, 4-story+ (base)</t>
        </is>
      </c>
      <c r="D3708" t="n">
        <v>97500</v>
      </c>
      <c r="E3708" t="n">
        <v>123000</v>
      </c>
      <c r="F3708" t="n">
        <v>157000</v>
      </c>
      <c r="G3708" t="n">
        <v>199000</v>
      </c>
    </row>
    <row r="3709">
      <c r="C3709" t="inlineStr">
        <is>
          <t>Freight, per stop (manual doors)</t>
        </is>
      </c>
      <c r="D3709" t="n">
        <v>12600</v>
      </c>
      <c r="E3709" t="n">
        <v>13700</v>
      </c>
      <c r="F3709" t="n">
        <v>15100</v>
      </c>
      <c r="G3709" t="n">
        <v>16400</v>
      </c>
    </row>
    <row r="3710">
      <c r="C3710" t="inlineStr">
        <is>
          <t>Freight, per stop (power doors)</t>
        </is>
      </c>
      <c r="D3710" t="n">
        <v>22000</v>
      </c>
      <c r="E3710" t="n">
        <v>23900</v>
      </c>
      <c r="F3710" t="n">
        <v>26200</v>
      </c>
      <c r="G3710" t="n">
        <v>28400</v>
      </c>
    </row>
    <row r="3711">
      <c r="C3711" t="inlineStr">
        <is>
          <t>Escalator, per stairway</t>
        </is>
      </c>
      <c r="D3711" t="n">
        <v>262000</v>
      </c>
      <c r="E3711" t="n">
        <v>278000</v>
      </c>
      <c r="F3711" t="n">
        <v>296000</v>
      </c>
      <c r="G3711" t="n">
        <v>315000</v>
      </c>
    </row>
    <row r="3712">
      <c r="C3712" t="inlineStr">
        <is>
          <t>Vertical wheelchair lift, each</t>
        </is>
      </c>
      <c r="D3712" t="n">
        <v>18100</v>
      </c>
      <c r="E3712" t="n">
        <v>23300</v>
      </c>
      <c r="F3712" t="n">
        <v>30300</v>
      </c>
      <c r="G3712" t="n">
        <v>39000</v>
      </c>
    </row>
    <row r="3714">
      <c r="B3714" s="2453" t="inlineStr">
        <is>
          <t>Section 16 -- MVS 16-24</t>
        </is>
      </c>
      <c r="C3714" s="2455" t="inlineStr">
        <is>
          <t>Type</t>
        </is>
      </c>
      <c r="D3714" s="2455" t="inlineStr">
        <is>
          <t>Low</t>
        </is>
      </c>
      <c r="E3714" s="2455" t="inlineStr">
        <is>
          <t>Average</t>
        </is>
      </c>
      <c r="F3714" s="2455" t="inlineStr">
        <is>
          <t>Good</t>
        </is>
      </c>
      <c r="G3714" s="2455" t="inlineStr">
        <is>
          <t>Excellent</t>
        </is>
      </c>
    </row>
    <row r="3715">
      <c r="C3715" t="inlineStr">
        <is>
          <t>Passenger, 2-3 story (base)</t>
        </is>
      </c>
      <c r="D3715" t="n">
        <v>64250</v>
      </c>
      <c r="E3715" t="n">
        <v>76000</v>
      </c>
      <c r="F3715" t="n">
        <v>89000</v>
      </c>
      <c r="G3715" t="n">
        <v>105000</v>
      </c>
    </row>
    <row r="3716">
      <c r="C3716" t="inlineStr">
        <is>
          <t>Passenger, 4-story+ (base)</t>
        </is>
      </c>
      <c r="D3716" t="n">
        <v>110000</v>
      </c>
      <c r="E3716" t="n">
        <v>127000</v>
      </c>
      <c r="F3716" t="n">
        <v>145000</v>
      </c>
      <c r="G3716" t="n">
        <v>167000</v>
      </c>
    </row>
    <row r="3717">
      <c r="C3717" t="inlineStr">
        <is>
          <t>Passenger, per stop</t>
        </is>
      </c>
      <c r="D3717" t="n">
        <v>8850</v>
      </c>
      <c r="E3717" t="n">
        <v>10200</v>
      </c>
      <c r="F3717" t="n">
        <v>11800</v>
      </c>
      <c r="G3717" t="n">
        <v>13500</v>
      </c>
    </row>
    <row r="3718">
      <c r="C3718" t="inlineStr">
        <is>
          <t>Freight, 2-3 story (base)</t>
        </is>
      </c>
      <c r="D3718" t="n">
        <v>46400</v>
      </c>
      <c r="E3718" t="n">
        <v>61250</v>
      </c>
      <c r="F3718" t="n">
        <v>81000</v>
      </c>
      <c r="G3718" t="n">
        <v>107000</v>
      </c>
    </row>
    <row r="3719">
      <c r="C3719" t="inlineStr">
        <is>
          <t>Freight, 4-story+ (base)</t>
        </is>
      </c>
      <c r="D3719" t="n">
        <v>91250</v>
      </c>
      <c r="E3719" t="n">
        <v>115000</v>
      </c>
      <c r="F3719" t="n">
        <v>145000</v>
      </c>
      <c r="G3719" t="n">
        <v>183000</v>
      </c>
    </row>
    <row r="3720">
      <c r="C3720" t="inlineStr">
        <is>
          <t>Freight, per stop (manual doors)</t>
        </is>
      </c>
      <c r="D3720" t="n">
        <v>11800</v>
      </c>
      <c r="E3720" t="n">
        <v>12800</v>
      </c>
      <c r="F3720" t="n">
        <v>13900</v>
      </c>
      <c r="G3720" t="n">
        <v>15200</v>
      </c>
    </row>
    <row r="3721">
      <c r="C3721" t="inlineStr">
        <is>
          <t>Freight, per stop (power doors)</t>
        </is>
      </c>
      <c r="D3721" t="n">
        <v>20400</v>
      </c>
      <c r="E3721" t="n">
        <v>22200</v>
      </c>
      <c r="F3721" t="n">
        <v>24300</v>
      </c>
      <c r="G3721" t="n">
        <v>26300</v>
      </c>
    </row>
    <row r="3722">
      <c r="C3722" t="inlineStr">
        <is>
          <t>Orchestra lifts</t>
        </is>
      </c>
      <c r="D3722" t="n">
        <v>155000</v>
      </c>
      <c r="E3722" t="n">
        <v>193000</v>
      </c>
      <c r="F3722" t="n">
        <v>243000</v>
      </c>
      <c r="G3722" t="n">
        <v>301000</v>
      </c>
    </row>
    <row r="3723">
      <c r="C3723" t="inlineStr">
        <is>
          <t>Escalator, per stairway</t>
        </is>
      </c>
      <c r="D3723" t="n">
        <v>256000</v>
      </c>
      <c r="E3723" t="n">
        <v>274000</v>
      </c>
      <c r="F3723" t="n">
        <v>293000</v>
      </c>
      <c r="G3723" t="n">
        <v>314000</v>
      </c>
    </row>
    <row r="3724">
      <c r="C3724" t="inlineStr">
        <is>
          <t>Vertical wheelchair lift, each</t>
        </is>
      </c>
      <c r="D3724" t="n">
        <v>17100</v>
      </c>
      <c r="E3724" t="n">
        <v>21600</v>
      </c>
      <c r="F3724" t="n">
        <v>27200</v>
      </c>
      <c r="G3724" t="n">
        <v>34400</v>
      </c>
    </row>
    <row r="3726">
      <c r="B3726" s="2453" t="inlineStr">
        <is>
          <t>Section 18 -- MVS 18-35</t>
        </is>
      </c>
      <c r="C3726" s="2455" t="inlineStr">
        <is>
          <t>Type</t>
        </is>
      </c>
      <c r="D3726" s="2455" t="inlineStr">
        <is>
          <t>Low</t>
        </is>
      </c>
      <c r="E3726" s="2455" t="inlineStr">
        <is>
          <t>Average</t>
        </is>
      </c>
      <c r="F3726" s="2455" t="inlineStr">
        <is>
          <t>Good</t>
        </is>
      </c>
      <c r="G3726" s="2455" t="inlineStr">
        <is>
          <t>Excellent</t>
        </is>
      </c>
    </row>
    <row r="3727">
      <c r="C3727" t="inlineStr">
        <is>
          <t>Passenger, 2-3 story (base)</t>
        </is>
      </c>
      <c r="D3727" t="n">
        <v>68750</v>
      </c>
      <c r="E3727" t="n">
        <v>81500</v>
      </c>
      <c r="F3727" t="n">
        <v>95500</v>
      </c>
      <c r="G3727" t="n">
        <v>113000</v>
      </c>
    </row>
    <row r="3728">
      <c r="C3728" t="inlineStr">
        <is>
          <t>Passenger, 4-7 story (base)</t>
        </is>
      </c>
      <c r="D3728" t="n">
        <v>119000</v>
      </c>
      <c r="E3728" t="n">
        <v>137000</v>
      </c>
      <c r="F3728" t="n">
        <v>158000</v>
      </c>
      <c r="G3728" t="n">
        <v>181000</v>
      </c>
    </row>
    <row r="3729">
      <c r="C3729" t="inlineStr">
        <is>
          <t>Passenger, 8-story+ (base)</t>
        </is>
      </c>
      <c r="D3729" t="n">
        <v>183000</v>
      </c>
      <c r="E3729" t="n">
        <v>228000</v>
      </c>
      <c r="F3729" t="n">
        <v>286000</v>
      </c>
      <c r="G3729" t="n">
        <v>361000</v>
      </c>
    </row>
    <row r="3730">
      <c r="C3730" t="inlineStr">
        <is>
          <t>Passenger, per stop</t>
        </is>
      </c>
      <c r="D3730" t="n">
        <v>9650</v>
      </c>
      <c r="E3730" t="n">
        <v>11000</v>
      </c>
      <c r="F3730" t="n">
        <v>12500</v>
      </c>
      <c r="G3730" t="n">
        <v>14300</v>
      </c>
    </row>
    <row r="3731">
      <c r="C3731" t="inlineStr">
        <is>
          <t>Freight, 2-3 story (base)</t>
        </is>
      </c>
      <c r="D3731" t="n">
        <v>49700</v>
      </c>
      <c r="E3731" t="n">
        <v>65500</v>
      </c>
      <c r="F3731" t="n">
        <v>86500</v>
      </c>
      <c r="G3731" t="n">
        <v>114000</v>
      </c>
    </row>
    <row r="3732">
      <c r="C3732" t="inlineStr">
        <is>
          <t>Freight, 4-story+ (base)</t>
        </is>
      </c>
      <c r="D3732" t="n">
        <v>97000</v>
      </c>
      <c r="E3732" t="n">
        <v>123000</v>
      </c>
      <c r="F3732" t="n">
        <v>157000</v>
      </c>
      <c r="G3732" t="n">
        <v>198000</v>
      </c>
    </row>
    <row r="3733">
      <c r="C3733" t="inlineStr">
        <is>
          <t>Freight, per stop (manual doors)</t>
        </is>
      </c>
      <c r="D3733" t="n">
        <v>12400</v>
      </c>
      <c r="E3733" t="n">
        <v>13600</v>
      </c>
      <c r="F3733" t="n">
        <v>14900</v>
      </c>
      <c r="G3733" t="n">
        <v>16300</v>
      </c>
    </row>
    <row r="3734">
      <c r="C3734" t="inlineStr">
        <is>
          <t>Freight, per stop (power doors)</t>
        </is>
      </c>
      <c r="D3734" t="n">
        <v>21900</v>
      </c>
      <c r="E3734" t="n">
        <v>24200</v>
      </c>
      <c r="F3734" t="n">
        <v>27000</v>
      </c>
      <c r="G3734" t="n">
        <v>29900</v>
      </c>
    </row>
    <row r="3735">
      <c r="C3735" t="inlineStr">
        <is>
          <t>Escalator, per stairway</t>
        </is>
      </c>
      <c r="D3735" t="n">
        <v>256000</v>
      </c>
      <c r="E3735" t="n">
        <v>271000</v>
      </c>
      <c r="F3735" t="n">
        <v>286000</v>
      </c>
      <c r="G3735" t="n">
        <v>305000</v>
      </c>
    </row>
    <row r="3736">
      <c r="C3736" t="inlineStr">
        <is>
          <t>Orchestra lifts</t>
        </is>
      </c>
      <c r="D3736" t="n">
        <v>169000</v>
      </c>
      <c r="E3736" t="n">
        <v>210000</v>
      </c>
      <c r="F3736" t="n">
        <v>260000</v>
      </c>
      <c r="G3736" t="n">
        <v>326000</v>
      </c>
    </row>
    <row r="3737">
      <c r="C3737" t="inlineStr">
        <is>
          <t>Vertical wheelchair lift, each</t>
        </is>
      </c>
      <c r="D3737" t="n">
        <v>18600</v>
      </c>
      <c r="E3737" t="n">
        <v>23200</v>
      </c>
      <c r="F3737" t="n">
        <v>28800</v>
      </c>
      <c r="G3737" t="n">
        <v>36100</v>
      </c>
    </row>
    <row r="3739">
      <c r="B3739" s="2454" t="inlineStr">
        <is>
          <t>REFERENCE 8 -- Current Cost Multipliers, by Region x Class x Calculator Section (MVS Sec.99 p.3, Jan 2025 insert). Colorado assumed WESTERN region.</t>
        </is>
      </c>
    </row>
    <row r="3740">
      <c r="B3740" t="inlineStr">
        <is>
          <t>Region</t>
        </is>
      </c>
      <c r="C3740" t="inlineStr">
        <is>
          <t>Class</t>
        </is>
      </c>
      <c r="D3740" t="inlineStr">
        <is>
          <t>Sec.11</t>
        </is>
      </c>
      <c r="E3740" t="inlineStr">
        <is>
          <t>Sec.12</t>
        </is>
      </c>
      <c r="F3740" t="inlineStr">
        <is>
          <t>Sec.13</t>
        </is>
      </c>
      <c r="G3740" t="inlineStr">
        <is>
          <t>Sec.14</t>
        </is>
      </c>
      <c r="H3740" t="inlineStr">
        <is>
          <t>Sec.15</t>
        </is>
      </c>
      <c r="I3740" t="inlineStr">
        <is>
          <t>Sec.16</t>
        </is>
      </c>
      <c r="J3740" t="inlineStr">
        <is>
          <t>Sec.17</t>
        </is>
      </c>
      <c r="K3740" t="inlineStr">
        <is>
          <t>Sec.18</t>
        </is>
      </c>
    </row>
    <row r="3741">
      <c r="B3741" t="inlineStr">
        <is>
          <t>EASTERN</t>
        </is>
      </c>
      <c r="C3741" t="inlineStr">
        <is>
          <t>A</t>
        </is>
      </c>
      <c r="D3741" t="n">
        <v>1.04</v>
      </c>
      <c r="E3741" t="n">
        <v>1.04</v>
      </c>
      <c r="F3741" t="n">
        <v>1.04</v>
      </c>
      <c r="G3741" t="n">
        <v>1.02</v>
      </c>
      <c r="H3741" t="n">
        <v>1.04</v>
      </c>
      <c r="I3741" t="n">
        <v>1.06</v>
      </c>
      <c r="J3741" t="n">
        <v>1.08</v>
      </c>
      <c r="K3741" t="n">
        <v>1.1</v>
      </c>
    </row>
    <row r="3742">
      <c r="B3742" t="inlineStr">
        <is>
          <t>EASTERN</t>
        </is>
      </c>
      <c r="C3742" t="inlineStr">
        <is>
          <t>B</t>
        </is>
      </c>
      <c r="D3742" t="n">
        <v>1.04</v>
      </c>
      <c r="E3742" t="n">
        <v>1.05</v>
      </c>
      <c r="F3742" t="n">
        <v>1.02</v>
      </c>
      <c r="G3742" t="n">
        <v>1.04</v>
      </c>
      <c r="H3742" t="n">
        <v>1.01</v>
      </c>
      <c r="I3742" t="n">
        <v>1.02</v>
      </c>
      <c r="J3742" t="n">
        <v>1.05</v>
      </c>
      <c r="K3742" t="n">
        <v>1.07</v>
      </c>
    </row>
    <row r="3743">
      <c r="B3743" t="inlineStr">
        <is>
          <t>EASTERN</t>
        </is>
      </c>
      <c r="C3743" t="inlineStr">
        <is>
          <t>C</t>
        </is>
      </c>
      <c r="D3743" t="n">
        <v>1.02</v>
      </c>
      <c r="E3743" t="n">
        <v>1.01</v>
      </c>
      <c r="F3743" t="n">
        <v>1.03</v>
      </c>
      <c r="G3743" t="n">
        <v>1.03</v>
      </c>
      <c r="H3743" t="n">
        <v>1.04</v>
      </c>
      <c r="I3743" t="n">
        <v>1.05</v>
      </c>
      <c r="J3743" t="n">
        <v>1.06</v>
      </c>
      <c r="K3743" t="n">
        <v>1.01</v>
      </c>
    </row>
    <row r="3744">
      <c r="B3744" t="inlineStr">
        <is>
          <t>EASTERN</t>
        </is>
      </c>
      <c r="C3744" t="inlineStr">
        <is>
          <t>D</t>
        </is>
      </c>
      <c r="D3744" t="n">
        <v>1.01</v>
      </c>
      <c r="E3744" t="n">
        <v>1.02</v>
      </c>
      <c r="F3744" t="n">
        <v>1.02</v>
      </c>
      <c r="G3744" t="n">
        <v>1.01</v>
      </c>
      <c r="H3744" t="n">
        <v>1.01</v>
      </c>
      <c r="I3744" t="n">
        <v>1.02</v>
      </c>
      <c r="J3744" t="n">
        <v>1</v>
      </c>
      <c r="K3744" t="n">
        <v>0.99</v>
      </c>
    </row>
    <row r="3745">
      <c r="B3745" t="inlineStr">
        <is>
          <t>EASTERN</t>
        </is>
      </c>
      <c r="C3745" t="inlineStr">
        <is>
          <t>S</t>
        </is>
      </c>
      <c r="D3745" t="n">
        <v>1.07</v>
      </c>
      <c r="E3745" t="n">
        <v>1.06</v>
      </c>
      <c r="F3745" t="n">
        <v>1.04</v>
      </c>
      <c r="G3745" t="n">
        <v>1.03</v>
      </c>
      <c r="H3745" t="n">
        <v>1.05</v>
      </c>
      <c r="I3745" t="n">
        <v>1.02</v>
      </c>
      <c r="J3745" t="n">
        <v>1.01</v>
      </c>
      <c r="K3745" t="n">
        <v>1.05</v>
      </c>
    </row>
    <row r="3746">
      <c r="B3746" t="inlineStr">
        <is>
          <t>CENTRAL</t>
        </is>
      </c>
      <c r="C3746" t="inlineStr">
        <is>
          <t>A</t>
        </is>
      </c>
      <c r="D3746" t="n">
        <v>0.99</v>
      </c>
      <c r="E3746" t="n">
        <v>0.98</v>
      </c>
      <c r="F3746" t="n">
        <v>0.98</v>
      </c>
      <c r="G3746" t="n">
        <v>1</v>
      </c>
      <c r="H3746" t="n">
        <v>1</v>
      </c>
      <c r="I3746" t="n">
        <v>1.02</v>
      </c>
      <c r="J3746" t="n">
        <v>1.02</v>
      </c>
      <c r="K3746" t="n">
        <v>1.02</v>
      </c>
    </row>
    <row r="3747">
      <c r="B3747" t="inlineStr">
        <is>
          <t>CENTRAL</t>
        </is>
      </c>
      <c r="C3747" t="inlineStr">
        <is>
          <t>B</t>
        </is>
      </c>
      <c r="D3747" t="n">
        <v>0.98</v>
      </c>
      <c r="E3747" t="n">
        <v>0.99</v>
      </c>
      <c r="F3747" t="n">
        <v>0.98</v>
      </c>
      <c r="G3747" t="n">
        <v>0.99</v>
      </c>
      <c r="H3747" t="n">
        <v>1.01</v>
      </c>
      <c r="I3747" t="n">
        <v>0.99</v>
      </c>
      <c r="J3747" t="n">
        <v>0.98</v>
      </c>
      <c r="K3747" t="n">
        <v>0.99</v>
      </c>
    </row>
    <row r="3748">
      <c r="B3748" t="inlineStr">
        <is>
          <t>CENTRAL</t>
        </is>
      </c>
      <c r="C3748" t="inlineStr">
        <is>
          <t>C</t>
        </is>
      </c>
      <c r="D3748" t="n">
        <v>0.99</v>
      </c>
      <c r="E3748" t="n">
        <v>0.99</v>
      </c>
      <c r="F3748" t="n">
        <v>1</v>
      </c>
      <c r="G3748" t="n">
        <v>0.99</v>
      </c>
      <c r="H3748" t="n">
        <v>1</v>
      </c>
      <c r="I3748" t="n">
        <v>0.98</v>
      </c>
      <c r="J3748" t="n">
        <v>0.99</v>
      </c>
      <c r="K3748" t="n">
        <v>0.98</v>
      </c>
    </row>
    <row r="3749">
      <c r="B3749" t="inlineStr">
        <is>
          <t>CENTRAL</t>
        </is>
      </c>
      <c r="C3749" t="inlineStr">
        <is>
          <t>D</t>
        </is>
      </c>
      <c r="D3749" t="n">
        <v>0.97</v>
      </c>
      <c r="E3749" t="n">
        <v>0.99</v>
      </c>
      <c r="F3749" t="n">
        <v>0.99</v>
      </c>
      <c r="G3749" t="n">
        <v>0.99</v>
      </c>
      <c r="H3749" t="n">
        <v>1.02</v>
      </c>
      <c r="I3749" t="n">
        <v>1.02</v>
      </c>
      <c r="J3749" t="n">
        <v>0.97</v>
      </c>
      <c r="K3749" t="n">
        <v>0.97</v>
      </c>
    </row>
    <row r="3750">
      <c r="B3750" t="inlineStr">
        <is>
          <t>CENTRAL</t>
        </is>
      </c>
      <c r="C3750" t="inlineStr">
        <is>
          <t>S</t>
        </is>
      </c>
      <c r="D3750" t="n">
        <v>0.95</v>
      </c>
      <c r="E3750" t="n">
        <v>0.98</v>
      </c>
      <c r="F3750" t="n">
        <v>0.95</v>
      </c>
      <c r="G3750" t="n">
        <v>0.99</v>
      </c>
      <c r="H3750" t="n">
        <v>0.99</v>
      </c>
      <c r="I3750" t="n">
        <v>0.97</v>
      </c>
      <c r="J3750" t="n">
        <v>1</v>
      </c>
      <c r="K3750" t="n">
        <v>0.97</v>
      </c>
    </row>
    <row r="3751">
      <c r="B3751" t="inlineStr">
        <is>
          <t>WESTERN</t>
        </is>
      </c>
      <c r="C3751" t="inlineStr">
        <is>
          <t>A</t>
        </is>
      </c>
      <c r="D3751" t="n">
        <v>0.99</v>
      </c>
      <c r="E3751" t="n">
        <v>1.03</v>
      </c>
      <c r="F3751" t="n">
        <v>1.05</v>
      </c>
      <c r="G3751" t="n">
        <v>1.07</v>
      </c>
      <c r="H3751" t="n">
        <v>1.06</v>
      </c>
      <c r="I3751" t="n">
        <v>1.05</v>
      </c>
      <c r="J3751" t="n">
        <v>1.05</v>
      </c>
      <c r="K3751" t="n">
        <v>1.01</v>
      </c>
    </row>
    <row r="3752">
      <c r="B3752" t="inlineStr">
        <is>
          <t>WESTERN</t>
        </is>
      </c>
      <c r="C3752" t="inlineStr">
        <is>
          <t>B</t>
        </is>
      </c>
      <c r="D3752" t="n">
        <v>0.99</v>
      </c>
      <c r="E3752" t="n">
        <v>1</v>
      </c>
      <c r="F3752" t="n">
        <v>1.06</v>
      </c>
      <c r="G3752" t="n">
        <v>1.04</v>
      </c>
      <c r="H3752" t="n">
        <v>1.05</v>
      </c>
      <c r="I3752" t="n">
        <v>1.06</v>
      </c>
      <c r="J3752" t="n">
        <v>1.05</v>
      </c>
      <c r="K3752" t="n">
        <v>1.02</v>
      </c>
    </row>
    <row r="3753">
      <c r="B3753" t="inlineStr">
        <is>
          <t>WESTERN</t>
        </is>
      </c>
      <c r="C3753" t="inlineStr">
        <is>
          <t>C</t>
        </is>
      </c>
      <c r="D3753" t="n">
        <v>1</v>
      </c>
      <c r="E3753" t="n">
        <v>1.03</v>
      </c>
      <c r="F3753" t="n">
        <v>1.02</v>
      </c>
      <c r="G3753" t="n">
        <v>1.06</v>
      </c>
      <c r="H3753" t="n">
        <v>1.04</v>
      </c>
      <c r="I3753" t="n">
        <v>1.05</v>
      </c>
      <c r="J3753" t="n">
        <v>1.03</v>
      </c>
      <c r="K3753" t="n">
        <v>1.04</v>
      </c>
    </row>
    <row r="3754">
      <c r="B3754" t="inlineStr">
        <is>
          <t>WESTERN</t>
        </is>
      </c>
      <c r="C3754" t="inlineStr">
        <is>
          <t>D</t>
        </is>
      </c>
      <c r="D3754" t="n">
        <v>1.03</v>
      </c>
      <c r="E3754" t="n">
        <v>1.02</v>
      </c>
      <c r="F3754" t="n">
        <v>1.03</v>
      </c>
      <c r="G3754" t="n">
        <v>1.05</v>
      </c>
      <c r="H3754" t="n">
        <v>1.02</v>
      </c>
      <c r="I3754" t="n">
        <v>1.01</v>
      </c>
      <c r="J3754" t="n">
        <v>1.05</v>
      </c>
      <c r="K3754" t="n">
        <v>1.01</v>
      </c>
    </row>
    <row r="3755">
      <c r="B3755" t="inlineStr">
        <is>
          <t>WESTERN</t>
        </is>
      </c>
      <c r="C3755" t="inlineStr">
        <is>
          <t>S</t>
        </is>
      </c>
      <c r="D3755" t="n">
        <v>1</v>
      </c>
      <c r="E3755" t="n">
        <v>1</v>
      </c>
      <c r="F3755" t="n">
        <v>1.05</v>
      </c>
      <c r="G3755" t="n">
        <v>1.04</v>
      </c>
      <c r="H3755" t="n">
        <v>1.02</v>
      </c>
      <c r="I3755" t="n">
        <v>1.07</v>
      </c>
      <c r="J3755" t="n">
        <v>1.04</v>
      </c>
      <c r="K3755" t="n">
        <v>0.98</v>
      </c>
    </row>
    <row r="3757">
      <c r="B3757" s="2454" t="inlineStr">
        <is>
          <t>REFERENCE 9 -- Local Area Multipliers, Colorado (MVS Sec.99 p.7, Jan 2025 insert)</t>
        </is>
      </c>
    </row>
    <row r="3758">
      <c r="B3758" t="inlineStr">
        <is>
          <t>City / Area</t>
        </is>
      </c>
      <c r="C3758" t="inlineStr">
        <is>
          <t>Class A</t>
        </is>
      </c>
      <c r="D3758" t="inlineStr">
        <is>
          <t>Class B</t>
        </is>
      </c>
      <c r="E3758" t="inlineStr">
        <is>
          <t>Class C</t>
        </is>
      </c>
      <c r="F3758" t="inlineStr">
        <is>
          <t>Class D</t>
        </is>
      </c>
      <c r="G3758" t="inlineStr">
        <is>
          <t>Class S</t>
        </is>
      </c>
    </row>
    <row r="3759">
      <c r="B3759" t="inlineStr">
        <is>
          <t>Colorado (statewide average)</t>
        </is>
      </c>
      <c r="C3759" t="n">
        <v>1</v>
      </c>
      <c r="D3759" t="n">
        <v>1.02</v>
      </c>
      <c r="E3759" t="n">
        <v>1.02</v>
      </c>
      <c r="F3759" t="n">
        <v>1.01</v>
      </c>
      <c r="G3759" t="n">
        <v>1.02</v>
      </c>
    </row>
    <row r="3760">
      <c r="B3760" t="inlineStr">
        <is>
          <t>Aspen</t>
        </is>
      </c>
      <c r="C3760" t="n">
        <v>1.08</v>
      </c>
      <c r="D3760" t="n">
        <v>1.13</v>
      </c>
      <c r="E3760" t="n">
        <v>1.11</v>
      </c>
      <c r="F3760" t="n">
        <v>1.11</v>
      </c>
      <c r="G3760" t="n">
        <v>1.1</v>
      </c>
    </row>
    <row r="3761">
      <c r="B3761" t="inlineStr">
        <is>
          <t>Boulder</t>
        </is>
      </c>
      <c r="C3761" t="n">
        <v>0.98</v>
      </c>
      <c r="D3761" t="n">
        <v>0.98</v>
      </c>
      <c r="E3761" t="n">
        <v>0.98</v>
      </c>
      <c r="F3761" t="n">
        <v>0.97</v>
      </c>
      <c r="G3761" t="n">
        <v>0.99</v>
      </c>
    </row>
    <row r="3762">
      <c r="B3762" t="inlineStr">
        <is>
          <t>Colorado Springs</t>
        </is>
      </c>
      <c r="C3762" t="n">
        <v>0.98</v>
      </c>
      <c r="D3762" t="n">
        <v>0.99</v>
      </c>
      <c r="E3762" t="n">
        <v>0.96</v>
      </c>
      <c r="F3762" t="n">
        <v>0.98</v>
      </c>
      <c r="G3762" t="n">
        <v>1</v>
      </c>
    </row>
    <row r="3763">
      <c r="B3763" t="inlineStr">
        <is>
          <t>Costilla County</t>
        </is>
      </c>
      <c r="C3763" t="n">
        <v>0.86</v>
      </c>
      <c r="D3763" t="n">
        <v>0.88</v>
      </c>
      <c r="E3763" t="n">
        <v>0.88</v>
      </c>
      <c r="F3763" t="n">
        <v>0.87</v>
      </c>
      <c r="G3763" t="n">
        <v>0.89</v>
      </c>
    </row>
    <row r="3764">
      <c r="B3764" t="inlineStr">
        <is>
          <t>Denver</t>
        </is>
      </c>
      <c r="C3764" t="n">
        <v>1.01</v>
      </c>
      <c r="D3764" t="n">
        <v>1</v>
      </c>
      <c r="E3764" t="n">
        <v>1</v>
      </c>
      <c r="F3764" t="n">
        <v>1</v>
      </c>
      <c r="G3764" t="n">
        <v>1.03</v>
      </c>
    </row>
    <row r="3765">
      <c r="B3765" t="inlineStr">
        <is>
          <t>Durango</t>
        </is>
      </c>
      <c r="C3765" t="n">
        <v>0.9</v>
      </c>
      <c r="D3765" t="n">
        <v>0.92</v>
      </c>
      <c r="E3765" t="n">
        <v>0.93</v>
      </c>
      <c r="F3765" t="n">
        <v>0.91</v>
      </c>
      <c r="G3765" t="n">
        <v>0.9399999999999999</v>
      </c>
    </row>
    <row r="3766">
      <c r="B3766" t="inlineStr">
        <is>
          <t>Eagle County (excl. resort areas)</t>
        </is>
      </c>
      <c r="C3766" t="n">
        <v>0.9399999999999999</v>
      </c>
      <c r="D3766" t="n">
        <v>0.95</v>
      </c>
      <c r="E3766" t="n">
        <v>0.9399999999999999</v>
      </c>
      <c r="F3766" t="n">
        <v>0.9399999999999999</v>
      </c>
      <c r="G3766" t="n">
        <v>0.95</v>
      </c>
    </row>
    <row r="3767">
      <c r="B3767" t="inlineStr">
        <is>
          <t>Fort Collins</t>
        </is>
      </c>
      <c r="C3767" t="n">
        <v>0.98</v>
      </c>
      <c r="D3767" t="n">
        <v>1</v>
      </c>
      <c r="E3767" t="n">
        <v>1.01</v>
      </c>
      <c r="F3767" t="n">
        <v>0.99</v>
      </c>
      <c r="G3767" t="n">
        <v>1.01</v>
      </c>
    </row>
    <row r="3768">
      <c r="B3768" t="inlineStr">
        <is>
          <t>Grand Junction</t>
        </is>
      </c>
      <c r="C3768" t="n">
        <v>0.98</v>
      </c>
      <c r="D3768" t="n">
        <v>0.99</v>
      </c>
      <c r="E3768" t="n">
        <v>1</v>
      </c>
      <c r="F3768" t="n">
        <v>1</v>
      </c>
      <c r="G3768" t="n">
        <v>1.02</v>
      </c>
    </row>
    <row r="3769">
      <c r="B3769" t="inlineStr">
        <is>
          <t>Greeley</t>
        </is>
      </c>
      <c r="C3769" t="n">
        <v>0.98</v>
      </c>
      <c r="D3769" t="n">
        <v>1</v>
      </c>
      <c r="E3769" t="n">
        <v>1.01</v>
      </c>
      <c r="F3769" t="n">
        <v>0.99</v>
      </c>
      <c r="G3769" t="n">
        <v>0.99</v>
      </c>
    </row>
    <row r="3770">
      <c r="B3770" t="inlineStr">
        <is>
          <t>Gunnison County</t>
        </is>
      </c>
      <c r="C3770" t="n">
        <v>0.93</v>
      </c>
      <c r="D3770" t="n">
        <v>0.99</v>
      </c>
      <c r="E3770" t="n">
        <v>0.97</v>
      </c>
      <c r="F3770" t="n">
        <v>0.96</v>
      </c>
      <c r="G3770" t="n">
        <v>0.97</v>
      </c>
    </row>
    <row r="3771">
      <c r="B3771" t="inlineStr">
        <is>
          <t>Kit Carson County</t>
        </is>
      </c>
      <c r="C3771" t="n">
        <v>0.89</v>
      </c>
      <c r="D3771" t="n">
        <v>0.89</v>
      </c>
      <c r="E3771" t="n">
        <v>0.9</v>
      </c>
      <c r="F3771" t="n">
        <v>0.89</v>
      </c>
      <c r="G3771" t="n">
        <v>0.91</v>
      </c>
    </row>
    <row r="3772">
      <c r="B3772" t="inlineStr">
        <is>
          <t>Logan County</t>
        </is>
      </c>
      <c r="C3772" t="n">
        <v>0.91</v>
      </c>
      <c r="D3772" t="n">
        <v>0.91</v>
      </c>
      <c r="E3772" t="n">
        <v>0.92</v>
      </c>
      <c r="F3772" t="n">
        <v>0.9</v>
      </c>
      <c r="G3772" t="n">
        <v>0.92</v>
      </c>
    </row>
    <row r="3773">
      <c r="B3773" t="inlineStr">
        <is>
          <t>Longmont</t>
        </is>
      </c>
      <c r="C3773" t="n">
        <v>0.97</v>
      </c>
      <c r="D3773" t="n">
        <v>0.97</v>
      </c>
      <c r="E3773" t="n">
        <v>1</v>
      </c>
      <c r="F3773" t="n">
        <v>0.98</v>
      </c>
      <c r="G3773" t="n">
        <v>1</v>
      </c>
    </row>
    <row r="3774">
      <c r="B3774" t="inlineStr">
        <is>
          <t>Loveland</t>
        </is>
      </c>
      <c r="C3774" t="n">
        <v>0.96</v>
      </c>
      <c r="D3774" t="n">
        <v>0.98</v>
      </c>
      <c r="E3774" t="n">
        <v>1.01</v>
      </c>
      <c r="F3774" t="n">
        <v>0.99</v>
      </c>
      <c r="G3774" t="n">
        <v>0.99</v>
      </c>
    </row>
    <row r="3775">
      <c r="B3775" t="inlineStr">
        <is>
          <t>Moffat County</t>
        </is>
      </c>
      <c r="C3775" t="n">
        <v>0.9</v>
      </c>
      <c r="D3775" t="n">
        <v>0.93</v>
      </c>
      <c r="E3775" t="n">
        <v>0.91</v>
      </c>
      <c r="F3775" t="n">
        <v>0.92</v>
      </c>
      <c r="G3775" t="n">
        <v>0.93</v>
      </c>
    </row>
    <row r="3776">
      <c r="B3776" t="inlineStr">
        <is>
          <t>Montrose County</t>
        </is>
      </c>
      <c r="C3776" t="n">
        <v>0.9</v>
      </c>
      <c r="D3776" t="n">
        <v>0.92</v>
      </c>
      <c r="E3776" t="n">
        <v>0.93</v>
      </c>
      <c r="F3776" t="n">
        <v>0.9</v>
      </c>
      <c r="G3776" t="n">
        <v>0.92</v>
      </c>
    </row>
    <row r="3777">
      <c r="B3777" t="inlineStr">
        <is>
          <t>Prowers County</t>
        </is>
      </c>
      <c r="C3777" t="n">
        <v>0.9</v>
      </c>
      <c r="D3777" t="n">
        <v>0.92</v>
      </c>
      <c r="E3777" t="n">
        <v>0.91</v>
      </c>
      <c r="F3777" t="n">
        <v>0.91</v>
      </c>
      <c r="G3777" t="n">
        <v>0.91</v>
      </c>
    </row>
    <row r="3778">
      <c r="B3778" t="inlineStr">
        <is>
          <t>Pueblo</t>
        </is>
      </c>
      <c r="C3778" t="n">
        <v>0.95</v>
      </c>
      <c r="D3778" t="n">
        <v>0.95</v>
      </c>
      <c r="E3778" t="n">
        <v>0.95</v>
      </c>
      <c r="F3778" t="n">
        <v>0.95</v>
      </c>
      <c r="G3778" t="n">
        <v>0.95</v>
      </c>
    </row>
    <row r="3779">
      <c r="B3779" t="inlineStr">
        <is>
          <t>Steamboat Springs</t>
        </is>
      </c>
      <c r="C3779" t="n">
        <v>1.15</v>
      </c>
      <c r="D3779" t="n">
        <v>1.17</v>
      </c>
      <c r="E3779" t="n">
        <v>1.16</v>
      </c>
      <c r="F3779" t="n">
        <v>1.14</v>
      </c>
      <c r="G3779" t="n">
        <v>1.14</v>
      </c>
    </row>
    <row r="3780">
      <c r="B3780" t="inlineStr">
        <is>
          <t>Vail</t>
        </is>
      </c>
      <c r="C3780" t="n">
        <v>1.13</v>
      </c>
      <c r="D3780" t="n">
        <v>1.16</v>
      </c>
      <c r="E3780" t="n">
        <v>1.14</v>
      </c>
      <c r="F3780" t="n">
        <v>1.13</v>
      </c>
      <c r="G3780" t="n">
        <v>1.13</v>
      </c>
    </row>
    <row r="3782">
      <c r="B3782" s="2454" t="inlineStr">
        <is>
          <t>REFERENCE 10 -- Section 98 Denver-Specific Quarterly Cost Index (for De-Trend to Appraisal Date; Jan 2025 = 1.000)</t>
        </is>
      </c>
    </row>
    <row r="3783">
      <c r="B3783" t="inlineStr">
        <is>
          <t>Do NOT combine with the Local Area Multiplier above -- Sec.98's district/city index is already geographically resolved to Denver (MVS explicit warning, Sec.98 p.1/p.5).</t>
        </is>
      </c>
    </row>
    <row r="3784">
      <c r="B3784" t="inlineStr">
        <is>
          <t>Quarter</t>
        </is>
      </c>
      <c r="C3784" t="inlineStr">
        <is>
          <t>Class A</t>
        </is>
      </c>
      <c r="D3784" t="inlineStr">
        <is>
          <t>Class B</t>
        </is>
      </c>
      <c r="E3784" t="inlineStr">
        <is>
          <t>Class C</t>
        </is>
      </c>
      <c r="F3784" t="inlineStr">
        <is>
          <t>Class D</t>
        </is>
      </c>
      <c r="G3784" t="inlineStr">
        <is>
          <t>Class S</t>
        </is>
      </c>
    </row>
    <row r="3785">
      <c r="B3785" t="inlineStr">
        <is>
          <t>Jan 2025</t>
        </is>
      </c>
      <c r="C3785" t="n">
        <v>1</v>
      </c>
      <c r="D3785" t="n">
        <v>1</v>
      </c>
      <c r="E3785" t="n">
        <v>1</v>
      </c>
      <c r="F3785" t="n">
        <v>1</v>
      </c>
      <c r="G3785" t="n">
        <v>1</v>
      </c>
    </row>
    <row r="3786">
      <c r="B3786" t="inlineStr">
        <is>
          <t>Oct 2024</t>
        </is>
      </c>
      <c r="C3786" t="n">
        <v>1.016</v>
      </c>
      <c r="D3786" t="n">
        <v>1.008</v>
      </c>
      <c r="E3786" t="n">
        <v>0.999</v>
      </c>
      <c r="F3786" t="n">
        <v>1.006</v>
      </c>
      <c r="G3786" t="n">
        <v>1.01</v>
      </c>
    </row>
    <row r="3787">
      <c r="B3787" t="inlineStr">
        <is>
          <t>Jul 2024</t>
        </is>
      </c>
      <c r="C3787" t="n">
        <v>1.017</v>
      </c>
      <c r="D3787" t="n">
        <v>1.014</v>
      </c>
      <c r="E3787" t="n">
        <v>1.004</v>
      </c>
      <c r="F3787" t="n">
        <v>1.008</v>
      </c>
      <c r="G3787" t="n">
        <v>1.014</v>
      </c>
    </row>
    <row r="3788">
      <c r="B3788" t="inlineStr">
        <is>
          <t>Apr 2024</t>
        </is>
      </c>
      <c r="C3788" t="n">
        <v>1.034</v>
      </c>
      <c r="D3788" t="n">
        <v>1.027</v>
      </c>
      <c r="E3788" t="n">
        <v>1.012</v>
      </c>
      <c r="F3788" t="n">
        <v>1.016</v>
      </c>
      <c r="G3788" t="n">
        <v>1.024</v>
      </c>
    </row>
    <row r="3789">
      <c r="B3789" t="inlineStr">
        <is>
          <t>Jan 2024</t>
        </is>
      </c>
      <c r="C3789" t="n">
        <v>1.037</v>
      </c>
      <c r="D3789" t="n">
        <v>1.027</v>
      </c>
      <c r="E3789" t="n">
        <v>1.02</v>
      </c>
      <c r="F3789" t="n">
        <v>1.015</v>
      </c>
      <c r="G3789" t="n">
        <v>1.026</v>
      </c>
    </row>
    <row r="3790">
      <c r="B3790" t="inlineStr">
        <is>
          <t>Oct 2023</t>
        </is>
      </c>
      <c r="C3790" t="n">
        <v>1.046</v>
      </c>
      <c r="D3790" t="n">
        <v>1.025</v>
      </c>
      <c r="E3790" t="n">
        <v>1.021</v>
      </c>
      <c r="F3790" t="n">
        <v>1.015</v>
      </c>
      <c r="G3790" t="n">
        <v>1.029</v>
      </c>
    </row>
    <row r="3791">
      <c r="B3791" t="inlineStr">
        <is>
          <t>Jul 2023</t>
        </is>
      </c>
      <c r="C3791" t="n">
        <v>1.064</v>
      </c>
      <c r="D3791" t="n">
        <v>1.029</v>
      </c>
      <c r="E3791" t="n">
        <v>1.022</v>
      </c>
      <c r="F3791" t="n">
        <v>1.014</v>
      </c>
      <c r="G3791" t="n">
        <v>1.034</v>
      </c>
    </row>
    <row r="3792">
      <c r="B3792" t="inlineStr">
        <is>
          <t>Apr 2023</t>
        </is>
      </c>
      <c r="C3792" t="n">
        <v>1.078</v>
      </c>
      <c r="D3792" t="n">
        <v>1.034</v>
      </c>
      <c r="E3792" t="n">
        <v>1.017</v>
      </c>
      <c r="F3792" t="n">
        <v>1.007</v>
      </c>
      <c r="G3792" t="n">
        <v>1.03</v>
      </c>
    </row>
    <row r="3793">
      <c r="B3793" t="inlineStr">
        <is>
          <t>Jan 2023</t>
        </is>
      </c>
      <c r="C3793" t="n">
        <v>1.076</v>
      </c>
      <c r="D3793" t="n">
        <v>1.033</v>
      </c>
      <c r="E3793" t="n">
        <v>1.011</v>
      </c>
      <c r="F3793" t="n">
        <v>0.998</v>
      </c>
      <c r="G3793" t="n">
        <v>1.023</v>
      </c>
    </row>
    <row r="3794">
      <c r="B3794" t="inlineStr">
        <is>
          <t>Oct 2022</t>
        </is>
      </c>
      <c r="C3794" t="n">
        <v>1.077</v>
      </c>
      <c r="D3794" t="n">
        <v>1.032</v>
      </c>
      <c r="E3794" t="n">
        <v>1.005</v>
      </c>
      <c r="F3794" t="n">
        <v>0.987</v>
      </c>
      <c r="G3794" t="n">
        <v>1.005</v>
      </c>
    </row>
    <row r="3795">
      <c r="B3795" t="inlineStr">
        <is>
          <t>Jul 2022</t>
        </is>
      </c>
      <c r="C3795" t="n">
        <v>1.091</v>
      </c>
      <c r="D3795" t="n">
        <v>1.046</v>
      </c>
      <c r="E3795" t="n">
        <v>1.011</v>
      </c>
      <c r="F3795" t="n">
        <v>0.985</v>
      </c>
      <c r="G3795" t="n">
        <v>1.006</v>
      </c>
    </row>
    <row r="3796">
      <c r="B3796" t="inlineStr">
        <is>
          <t>Apr 2022</t>
        </is>
      </c>
      <c r="C3796" t="n">
        <v>1.156</v>
      </c>
      <c r="D3796" t="n">
        <v>1.134</v>
      </c>
      <c r="E3796" t="n">
        <v>1.103</v>
      </c>
      <c r="F3796" t="n">
        <v>1.089</v>
      </c>
      <c r="G3796" t="n">
        <v>1.108</v>
      </c>
    </row>
    <row r="3797">
      <c r="B3797" t="inlineStr">
        <is>
          <t>Jan 2022</t>
        </is>
      </c>
      <c r="C3797" t="n">
        <v>1.229</v>
      </c>
      <c r="D3797" t="n">
        <v>1.179</v>
      </c>
      <c r="E3797" t="n">
        <v>1.148</v>
      </c>
      <c r="F3797" t="n">
        <v>1.123</v>
      </c>
      <c r="G3797" t="n">
        <v>1.158</v>
      </c>
    </row>
    <row r="3799">
      <c r="B3799" s="2454" t="inlineStr">
        <is>
          <t>REFERENCE 11 -- Typical Building Life Expectancy, Years (MVS Sec.97 pp.10-16, full transcription mapped to every occupancy above). Where the manual prints joint tiers (e.g. "good and excellent"), each selectable Quality gets its bucket's values. Blank = not tabulated for that class.</t>
        </is>
      </c>
    </row>
    <row r="3800">
      <c r="B3800" s="2455" t="inlineStr">
        <is>
          <t>Occupancy Name</t>
        </is>
      </c>
      <c r="C3800" s="2455" t="inlineStr">
        <is>
          <t>Quality</t>
        </is>
      </c>
      <c r="D3800" s="2455" t="inlineStr">
        <is>
          <t>Class A</t>
        </is>
      </c>
      <c r="E3800" s="2455" t="inlineStr">
        <is>
          <t>Class B</t>
        </is>
      </c>
      <c r="F3800" s="2455" t="inlineStr">
        <is>
          <t>Class C</t>
        </is>
      </c>
      <c r="G3800" s="2455" t="inlineStr">
        <is>
          <t>Class D</t>
        </is>
      </c>
      <c r="H3800" s="2455" t="inlineStr">
        <is>
          <t>Class S</t>
        </is>
      </c>
      <c r="I3800" s="2455" t="inlineStr">
        <is>
          <t>Key</t>
        </is>
      </c>
      <c r="J3800" s="2455" t="inlineStr">
        <is>
          <t>MVS bucket used</t>
        </is>
      </c>
    </row>
    <row r="3801">
      <c r="B3801" t="inlineStr">
        <is>
          <t>Homes For the Elderly</t>
        </is>
      </c>
      <c r="C3801" t="inlineStr">
        <is>
          <t>Good</t>
        </is>
      </c>
      <c r="D3801" t="n">
        <v>60</v>
      </c>
      <c r="E3801" t="n">
        <v>60</v>
      </c>
      <c r="F3801" t="n">
        <v>50</v>
      </c>
      <c r="G3801" t="n">
        <v>45</v>
      </c>
      <c r="H3801" t="n">
        <v>45</v>
      </c>
      <c r="I3801">
        <f>B3801&amp;"~"&amp;C3801</f>
        <v/>
      </c>
      <c r="J3801" t="inlineStr">
        <is>
          <t>Homes for the elderly, good</t>
        </is>
      </c>
    </row>
    <row r="3802">
      <c r="B3802" t="inlineStr">
        <is>
          <t>Homes For the Elderly</t>
        </is>
      </c>
      <c r="C3802" t="inlineStr">
        <is>
          <t>Average</t>
        </is>
      </c>
      <c r="D3802" t="n">
        <v>50</v>
      </c>
      <c r="E3802" t="n">
        <v>50</v>
      </c>
      <c r="F3802" t="n">
        <v>45</v>
      </c>
      <c r="G3802" t="n">
        <v>40</v>
      </c>
      <c r="H3802" t="n">
        <v>40</v>
      </c>
      <c r="I3802">
        <f>B3802&amp;"~"&amp;C3802</f>
        <v/>
      </c>
      <c r="J3802" t="inlineStr">
        <is>
          <t>low cost and average</t>
        </is>
      </c>
    </row>
    <row r="3803">
      <c r="B3803" t="inlineStr">
        <is>
          <t>Homes For the Elderly</t>
        </is>
      </c>
      <c r="C3803" t="inlineStr">
        <is>
          <t>Low Cost</t>
        </is>
      </c>
      <c r="D3803" t="n">
        <v>50</v>
      </c>
      <c r="E3803" t="n">
        <v>50</v>
      </c>
      <c r="F3803" t="n">
        <v>45</v>
      </c>
      <c r="G3803" t="n">
        <v>40</v>
      </c>
      <c r="H3803" t="n">
        <v>40</v>
      </c>
      <c r="I3803">
        <f>B3803&amp;"~"&amp;C3803</f>
        <v/>
      </c>
      <c r="J3803" t="inlineStr">
        <is>
          <t>low cost and average</t>
        </is>
      </c>
    </row>
    <row r="3804">
      <c r="B3804" t="inlineStr">
        <is>
          <t>Dormitories</t>
        </is>
      </c>
      <c r="C3804" t="inlineStr">
        <is>
          <t>Excellent</t>
        </is>
      </c>
      <c r="D3804" t="n">
        <v>60</v>
      </c>
      <c r="E3804" t="n">
        <v>60</v>
      </c>
      <c r="F3804" t="n">
        <v>55</v>
      </c>
      <c r="G3804" t="n">
        <v>50</v>
      </c>
      <c r="I3804">
        <f>B3804&amp;"~"&amp;C3804</f>
        <v/>
      </c>
      <c r="J3804" t="inlineStr">
        <is>
          <t>Dormitories, good and excellent</t>
        </is>
      </c>
    </row>
    <row r="3805">
      <c r="B3805" t="inlineStr">
        <is>
          <t>Dormitories</t>
        </is>
      </c>
      <c r="C3805" t="inlineStr">
        <is>
          <t>Very Good</t>
        </is>
      </c>
      <c r="D3805" t="n">
        <v>60</v>
      </c>
      <c r="E3805" t="n">
        <v>60</v>
      </c>
      <c r="F3805" t="n">
        <v>55</v>
      </c>
      <c r="G3805" t="n">
        <v>50</v>
      </c>
      <c r="I3805">
        <f>B3805&amp;"~"&amp;C3805</f>
        <v/>
      </c>
      <c r="J3805" t="inlineStr">
        <is>
          <t>Dormitories, good and excellent</t>
        </is>
      </c>
    </row>
    <row r="3806">
      <c r="B3806" t="inlineStr">
        <is>
          <t>Dormitories</t>
        </is>
      </c>
      <c r="C3806" t="inlineStr">
        <is>
          <t>Good</t>
        </is>
      </c>
      <c r="D3806" t="n">
        <v>60</v>
      </c>
      <c r="E3806" t="n">
        <v>60</v>
      </c>
      <c r="F3806" t="n">
        <v>55</v>
      </c>
      <c r="G3806" t="n">
        <v>50</v>
      </c>
      <c r="I3806">
        <f>B3806&amp;"~"&amp;C3806</f>
        <v/>
      </c>
      <c r="J3806" t="inlineStr">
        <is>
          <t>Dormitories, good and excellent</t>
        </is>
      </c>
    </row>
    <row r="3807">
      <c r="B3807" t="inlineStr">
        <is>
          <t>Dormitories</t>
        </is>
      </c>
      <c r="C3807" t="inlineStr">
        <is>
          <t>Average</t>
        </is>
      </c>
      <c r="D3807" t="n">
        <v>50</v>
      </c>
      <c r="E3807" t="n">
        <v>50</v>
      </c>
      <c r="F3807" t="n">
        <v>45</v>
      </c>
      <c r="G3807" t="n">
        <v>40</v>
      </c>
      <c r="H3807" t="n">
        <v>40</v>
      </c>
      <c r="I3807">
        <f>B3807&amp;"~"&amp;C3807</f>
        <v/>
      </c>
      <c r="J3807" t="inlineStr">
        <is>
          <t>low cost and average</t>
        </is>
      </c>
    </row>
    <row r="3808">
      <c r="B3808" t="inlineStr">
        <is>
          <t>Dormitories</t>
        </is>
      </c>
      <c r="C3808" t="inlineStr">
        <is>
          <t>Low Cost</t>
        </is>
      </c>
      <c r="D3808" t="n">
        <v>50</v>
      </c>
      <c r="E3808" t="n">
        <v>50</v>
      </c>
      <c r="F3808" t="n">
        <v>45</v>
      </c>
      <c r="G3808" t="n">
        <v>40</v>
      </c>
      <c r="H3808" t="n">
        <v>40</v>
      </c>
      <c r="I3808">
        <f>B3808&amp;"~"&amp;C3808</f>
        <v/>
      </c>
      <c r="J3808" t="inlineStr">
        <is>
          <t>low cost and average</t>
        </is>
      </c>
    </row>
    <row r="3809">
      <c r="B3809" t="inlineStr">
        <is>
          <t>Luxury Apartments (High-Rise)</t>
        </is>
      </c>
      <c r="C3809" t="inlineStr">
        <is>
          <t>Good</t>
        </is>
      </c>
      <c r="D3809" t="n">
        <v>60</v>
      </c>
      <c r="E3809" t="n">
        <v>60</v>
      </c>
      <c r="F3809" t="n">
        <v>55</v>
      </c>
      <c r="G3809" t="n">
        <v>50</v>
      </c>
      <c r="H3809" t="n">
        <v>50</v>
      </c>
      <c r="I3809">
        <f>B3809&amp;"~"&amp;C3809</f>
        <v/>
      </c>
      <c r="J3809" t="inlineStr">
        <is>
          <t>Apartments, mid-, high-rise, good, excellent and luxury</t>
        </is>
      </c>
    </row>
    <row r="3810">
      <c r="B3810" t="inlineStr">
        <is>
          <t>Luxury Apartments (High-Rise)</t>
        </is>
      </c>
      <c r="C3810" t="inlineStr">
        <is>
          <t>Average</t>
        </is>
      </c>
      <c r="D3810" t="n">
        <v>55</v>
      </c>
      <c r="E3810" t="n">
        <v>55</v>
      </c>
      <c r="F3810" t="n">
        <v>50</v>
      </c>
      <c r="G3810" t="n">
        <v>45</v>
      </c>
      <c r="H3810" t="n">
        <v>45</v>
      </c>
      <c r="I3810">
        <f>B3810&amp;"~"&amp;C3810</f>
        <v/>
      </c>
      <c r="J3810" t="inlineStr">
        <is>
          <t>low cost and average</t>
        </is>
      </c>
    </row>
    <row r="3811">
      <c r="B3811" t="inlineStr">
        <is>
          <t>Luxury Apartments (High-Rise)</t>
        </is>
      </c>
      <c r="C3811" t="inlineStr">
        <is>
          <t>Excellent</t>
        </is>
      </c>
      <c r="D3811" t="n">
        <v>60</v>
      </c>
      <c r="E3811" t="n">
        <v>60</v>
      </c>
      <c r="F3811" t="n">
        <v>55</v>
      </c>
      <c r="G3811" t="n">
        <v>50</v>
      </c>
      <c r="H3811" t="n">
        <v>50</v>
      </c>
      <c r="I3811">
        <f>B3811&amp;"~"&amp;C3811</f>
        <v/>
      </c>
      <c r="J3811" t="inlineStr">
        <is>
          <t>Apartments, mid-, high-rise, good, excellent and luxury</t>
        </is>
      </c>
    </row>
    <row r="3812">
      <c r="B3812" t="inlineStr">
        <is>
          <t>Shell Luxury Apartment Buildings</t>
        </is>
      </c>
      <c r="C3812" t="inlineStr">
        <is>
          <t>Good</t>
        </is>
      </c>
      <c r="D3812" t="n">
        <v>60</v>
      </c>
      <c r="E3812" t="n">
        <v>60</v>
      </c>
      <c r="F3812" t="n">
        <v>55</v>
      </c>
      <c r="G3812" t="n">
        <v>50</v>
      </c>
      <c r="H3812" t="n">
        <v>50</v>
      </c>
      <c r="I3812">
        <f>B3812&amp;"~"&amp;C3812</f>
        <v/>
      </c>
      <c r="J3812" t="inlineStr">
        <is>
          <t>Apartments, mid-, high-rise, good, excellent and luxury</t>
        </is>
      </c>
    </row>
    <row r="3813">
      <c r="B3813" t="inlineStr">
        <is>
          <t>Shell Luxury Apartment Buildings</t>
        </is>
      </c>
      <c r="C3813" t="inlineStr">
        <is>
          <t>Average</t>
        </is>
      </c>
      <c r="D3813" t="n">
        <v>55</v>
      </c>
      <c r="E3813" t="n">
        <v>55</v>
      </c>
      <c r="F3813" t="n">
        <v>50</v>
      </c>
      <c r="G3813" t="n">
        <v>45</v>
      </c>
      <c r="H3813" t="n">
        <v>45</v>
      </c>
      <c r="I3813">
        <f>B3813&amp;"~"&amp;C3813</f>
        <v/>
      </c>
      <c r="J3813" t="inlineStr">
        <is>
          <t>low cost and average</t>
        </is>
      </c>
    </row>
    <row r="3814">
      <c r="B3814" t="inlineStr">
        <is>
          <t>Shell Luxury Apartment Buildings</t>
        </is>
      </c>
      <c r="C3814" t="inlineStr">
        <is>
          <t>Excellent</t>
        </is>
      </c>
      <c r="D3814" t="n">
        <v>60</v>
      </c>
      <c r="E3814" t="n">
        <v>60</v>
      </c>
      <c r="F3814" t="n">
        <v>55</v>
      </c>
      <c r="G3814" t="n">
        <v>50</v>
      </c>
      <c r="H3814" t="n">
        <v>50</v>
      </c>
      <c r="I3814">
        <f>B3814&amp;"~"&amp;C3814</f>
        <v/>
      </c>
      <c r="J3814" t="inlineStr">
        <is>
          <t>Apartments, mid-, high-rise, good, excellent and luxury</t>
        </is>
      </c>
    </row>
    <row r="3815">
      <c r="B3815" t="inlineStr">
        <is>
          <t>Apartments (High-Rise)</t>
        </is>
      </c>
      <c r="C3815" t="inlineStr">
        <is>
          <t>Good</t>
        </is>
      </c>
      <c r="D3815" t="n">
        <v>60</v>
      </c>
      <c r="E3815" t="n">
        <v>60</v>
      </c>
      <c r="F3815" t="n">
        <v>55</v>
      </c>
      <c r="G3815" t="n">
        <v>50</v>
      </c>
      <c r="H3815" t="n">
        <v>50</v>
      </c>
      <c r="I3815">
        <f>B3815&amp;"~"&amp;C3815</f>
        <v/>
      </c>
      <c r="J3815" t="inlineStr">
        <is>
          <t>Apartments, mid-, high-rise, good, excellent and luxury</t>
        </is>
      </c>
    </row>
    <row r="3816">
      <c r="B3816" t="inlineStr">
        <is>
          <t>Apartments (High-Rise)</t>
        </is>
      </c>
      <c r="C3816" t="inlineStr">
        <is>
          <t>Average</t>
        </is>
      </c>
      <c r="D3816" t="n">
        <v>55</v>
      </c>
      <c r="E3816" t="n">
        <v>55</v>
      </c>
      <c r="F3816" t="n">
        <v>50</v>
      </c>
      <c r="G3816" t="n">
        <v>45</v>
      </c>
      <c r="H3816" t="n">
        <v>45</v>
      </c>
      <c r="I3816">
        <f>B3816&amp;"~"&amp;C3816</f>
        <v/>
      </c>
      <c r="J3816" t="inlineStr">
        <is>
          <t>low cost and average</t>
        </is>
      </c>
    </row>
    <row r="3817">
      <c r="B3817" t="inlineStr">
        <is>
          <t>Apartments (High-Rise)</t>
        </is>
      </c>
      <c r="C3817" t="inlineStr">
        <is>
          <t>Low Cost</t>
        </is>
      </c>
      <c r="D3817" t="n">
        <v>55</v>
      </c>
      <c r="E3817" t="n">
        <v>55</v>
      </c>
      <c r="F3817" t="n">
        <v>50</v>
      </c>
      <c r="G3817" t="n">
        <v>45</v>
      </c>
      <c r="H3817" t="n">
        <v>45</v>
      </c>
      <c r="I3817">
        <f>B3817&amp;"~"&amp;C3817</f>
        <v/>
      </c>
      <c r="J3817" t="inlineStr">
        <is>
          <t>low cost and average</t>
        </is>
      </c>
    </row>
    <row r="3818">
      <c r="B3818" t="inlineStr">
        <is>
          <t>City Clubs</t>
        </is>
      </c>
      <c r="C3818" t="inlineStr">
        <is>
          <t>Good</t>
        </is>
      </c>
      <c r="D3818" t="n">
        <v>60</v>
      </c>
      <c r="E3818" t="n">
        <v>60</v>
      </c>
      <c r="F3818" t="n">
        <v>50</v>
      </c>
      <c r="I3818">
        <f>B3818&amp;"~"&amp;C3818</f>
        <v/>
      </c>
      <c r="J3818" t="inlineStr">
        <is>
          <t>City clubs, good</t>
        </is>
      </c>
    </row>
    <row r="3819">
      <c r="B3819" t="inlineStr">
        <is>
          <t>City Clubs</t>
        </is>
      </c>
      <c r="C3819" t="inlineStr">
        <is>
          <t>Average</t>
        </is>
      </c>
      <c r="D3819" t="n">
        <v>50</v>
      </c>
      <c r="E3819" t="n">
        <v>50</v>
      </c>
      <c r="F3819" t="n">
        <v>45</v>
      </c>
      <c r="I3819">
        <f>B3819&amp;"~"&amp;C3819</f>
        <v/>
      </c>
      <c r="J3819" t="inlineStr">
        <is>
          <t>average</t>
        </is>
      </c>
    </row>
    <row r="3820">
      <c r="B3820" t="inlineStr">
        <is>
          <t>Shell Apartment Buildings</t>
        </is>
      </c>
      <c r="C3820" t="inlineStr">
        <is>
          <t>Good</t>
        </is>
      </c>
      <c r="D3820" t="n">
        <v>60</v>
      </c>
      <c r="E3820" t="n">
        <v>60</v>
      </c>
      <c r="F3820" t="n">
        <v>55</v>
      </c>
      <c r="G3820" t="n">
        <v>50</v>
      </c>
      <c r="H3820" t="n">
        <v>50</v>
      </c>
      <c r="I3820">
        <f>B3820&amp;"~"&amp;C3820</f>
        <v/>
      </c>
      <c r="J3820" t="inlineStr">
        <is>
          <t>Apartments, mid-, high-rise, good, excellent and luxury</t>
        </is>
      </c>
    </row>
    <row r="3821">
      <c r="B3821" t="inlineStr">
        <is>
          <t>Shell Apartment Buildings</t>
        </is>
      </c>
      <c r="C3821" t="inlineStr">
        <is>
          <t>Average</t>
        </is>
      </c>
      <c r="D3821" t="n">
        <v>55</v>
      </c>
      <c r="E3821" t="n">
        <v>55</v>
      </c>
      <c r="F3821" t="n">
        <v>50</v>
      </c>
      <c r="G3821" t="n">
        <v>45</v>
      </c>
      <c r="H3821" t="n">
        <v>45</v>
      </c>
      <c r="I3821">
        <f>B3821&amp;"~"&amp;C3821</f>
        <v/>
      </c>
      <c r="J3821" t="inlineStr">
        <is>
          <t>low cost and average</t>
        </is>
      </c>
    </row>
    <row r="3822">
      <c r="B3822" t="inlineStr">
        <is>
          <t>Shell Apartment Buildings</t>
        </is>
      </c>
      <c r="C3822" t="inlineStr">
        <is>
          <t>Low Cost</t>
        </is>
      </c>
      <c r="D3822" t="n">
        <v>55</v>
      </c>
      <c r="E3822" t="n">
        <v>55</v>
      </c>
      <c r="F3822" t="n">
        <v>50</v>
      </c>
      <c r="G3822" t="n">
        <v>45</v>
      </c>
      <c r="H3822" t="n">
        <v>45</v>
      </c>
      <c r="I3822">
        <f>B3822&amp;"~"&amp;C3822</f>
        <v/>
      </c>
      <c r="J3822" t="inlineStr">
        <is>
          <t>low cost and average</t>
        </is>
      </c>
    </row>
    <row r="3823">
      <c r="B3823" t="inlineStr">
        <is>
          <t>Hotels, Limited Service</t>
        </is>
      </c>
      <c r="C3823" t="inlineStr">
        <is>
          <t>Excellent</t>
        </is>
      </c>
      <c r="D3823" t="n">
        <v>60</v>
      </c>
      <c r="E3823" t="n">
        <v>60</v>
      </c>
      <c r="F3823" t="n">
        <v>50</v>
      </c>
      <c r="I3823">
        <f>B3823&amp;"~"&amp;C3823</f>
        <v/>
      </c>
      <c r="J3823" t="inlineStr">
        <is>
          <t>limited service, excellent</t>
        </is>
      </c>
    </row>
    <row r="3824">
      <c r="B3824" t="inlineStr">
        <is>
          <t>Hotels, Limited Service</t>
        </is>
      </c>
      <c r="C3824" t="inlineStr">
        <is>
          <t>Good</t>
        </is>
      </c>
      <c r="D3824" t="n">
        <v>55</v>
      </c>
      <c r="E3824" t="n">
        <v>55</v>
      </c>
      <c r="F3824" t="n">
        <v>50</v>
      </c>
      <c r="G3824" t="n">
        <v>45</v>
      </c>
      <c r="I3824">
        <f>B3824&amp;"~"&amp;C3824</f>
        <v/>
      </c>
      <c r="J3824" t="inlineStr">
        <is>
          <t>good</t>
        </is>
      </c>
    </row>
    <row r="3825">
      <c r="B3825" t="inlineStr">
        <is>
          <t>Hotels, Limited Service</t>
        </is>
      </c>
      <c r="C3825" t="inlineStr">
        <is>
          <t>Average</t>
        </is>
      </c>
      <c r="D3825" t="n">
        <v>50</v>
      </c>
      <c r="E3825" t="n">
        <v>50</v>
      </c>
      <c r="F3825" t="n">
        <v>45</v>
      </c>
      <c r="G3825" t="n">
        <v>40</v>
      </c>
      <c r="H3825" t="n">
        <v>40</v>
      </c>
      <c r="I3825">
        <f>B3825&amp;"~"&amp;C3825</f>
        <v/>
      </c>
      <c r="J3825" t="inlineStr">
        <is>
          <t>low cost and average</t>
        </is>
      </c>
    </row>
    <row r="3826">
      <c r="B3826" t="inlineStr">
        <is>
          <t>Hotels, Limited Service</t>
        </is>
      </c>
      <c r="C3826" t="inlineStr">
        <is>
          <t>Low Cost</t>
        </is>
      </c>
      <c r="D3826" t="n">
        <v>50</v>
      </c>
      <c r="E3826" t="n">
        <v>50</v>
      </c>
      <c r="F3826" t="n">
        <v>45</v>
      </c>
      <c r="G3826" t="n">
        <v>40</v>
      </c>
      <c r="H3826" t="n">
        <v>40</v>
      </c>
      <c r="I3826">
        <f>B3826&amp;"~"&amp;C3826</f>
        <v/>
      </c>
      <c r="J3826" t="inlineStr">
        <is>
          <t>low cost and average</t>
        </is>
      </c>
    </row>
    <row r="3827">
      <c r="B3827" t="inlineStr">
        <is>
          <t>Shell Hotels: Limited Service Buildings</t>
        </is>
      </c>
      <c r="C3827" t="inlineStr">
        <is>
          <t>Excellent</t>
        </is>
      </c>
      <c r="D3827" t="n">
        <v>60</v>
      </c>
      <c r="E3827" t="n">
        <v>60</v>
      </c>
      <c r="F3827" t="n">
        <v>50</v>
      </c>
      <c r="I3827">
        <f>B3827&amp;"~"&amp;C3827</f>
        <v/>
      </c>
      <c r="J3827" t="inlineStr">
        <is>
          <t>limited service, excellent</t>
        </is>
      </c>
    </row>
    <row r="3828">
      <c r="B3828" t="inlineStr">
        <is>
          <t>Shell Hotels: Limited Service Buildings</t>
        </is>
      </c>
      <c r="C3828" t="inlineStr">
        <is>
          <t>Good</t>
        </is>
      </c>
      <c r="D3828" t="n">
        <v>55</v>
      </c>
      <c r="E3828" t="n">
        <v>55</v>
      </c>
      <c r="F3828" t="n">
        <v>50</v>
      </c>
      <c r="G3828" t="n">
        <v>45</v>
      </c>
      <c r="I3828">
        <f>B3828&amp;"~"&amp;C3828</f>
        <v/>
      </c>
      <c r="J3828" t="inlineStr">
        <is>
          <t>good</t>
        </is>
      </c>
    </row>
    <row r="3829">
      <c r="B3829" t="inlineStr">
        <is>
          <t>Shell Hotels: Limited Service Buildings</t>
        </is>
      </c>
      <c r="C3829" t="inlineStr">
        <is>
          <t>Average</t>
        </is>
      </c>
      <c r="D3829" t="n">
        <v>50</v>
      </c>
      <c r="E3829" t="n">
        <v>50</v>
      </c>
      <c r="F3829" t="n">
        <v>45</v>
      </c>
      <c r="G3829" t="n">
        <v>40</v>
      </c>
      <c r="H3829" t="n">
        <v>40</v>
      </c>
      <c r="I3829">
        <f>B3829&amp;"~"&amp;C3829</f>
        <v/>
      </c>
      <c r="J3829" t="inlineStr">
        <is>
          <t>low cost and average</t>
        </is>
      </c>
    </row>
    <row r="3830">
      <c r="B3830" t="inlineStr">
        <is>
          <t>Shell Hotels: Limited Service Buildings</t>
        </is>
      </c>
      <c r="C3830" t="inlineStr">
        <is>
          <t>Low Cost</t>
        </is>
      </c>
      <c r="D3830" t="n">
        <v>50</v>
      </c>
      <c r="E3830" t="n">
        <v>50</v>
      </c>
      <c r="F3830" t="n">
        <v>45</v>
      </c>
      <c r="G3830" t="n">
        <v>40</v>
      </c>
      <c r="H3830" t="n">
        <v>40</v>
      </c>
      <c r="I3830">
        <f>B3830&amp;"~"&amp;C3830</f>
        <v/>
      </c>
      <c r="J3830" t="inlineStr">
        <is>
          <t>low cost and average</t>
        </is>
      </c>
    </row>
    <row r="3831">
      <c r="B3831" t="inlineStr">
        <is>
          <t>Hotels, Full Service</t>
        </is>
      </c>
      <c r="C3831" t="inlineStr">
        <is>
          <t>Excellent</t>
        </is>
      </c>
      <c r="D3831" t="n">
        <v>60</v>
      </c>
      <c r="E3831" t="n">
        <v>60</v>
      </c>
      <c r="F3831" t="n">
        <v>50</v>
      </c>
      <c r="G3831" t="n">
        <v>45</v>
      </c>
      <c r="I3831">
        <f>B3831&amp;"~"&amp;C3831</f>
        <v/>
      </c>
      <c r="J3831" t="inlineStr">
        <is>
          <t>Hotels, full service, good and excellent</t>
        </is>
      </c>
    </row>
    <row r="3832">
      <c r="B3832" t="inlineStr">
        <is>
          <t>Hotels, Full Service</t>
        </is>
      </c>
      <c r="C3832" t="inlineStr">
        <is>
          <t>Good</t>
        </is>
      </c>
      <c r="D3832" t="n">
        <v>60</v>
      </c>
      <c r="E3832" t="n">
        <v>60</v>
      </c>
      <c r="F3832" t="n">
        <v>50</v>
      </c>
      <c r="G3832" t="n">
        <v>45</v>
      </c>
      <c r="I3832">
        <f>B3832&amp;"~"&amp;C3832</f>
        <v/>
      </c>
      <c r="J3832" t="inlineStr">
        <is>
          <t>Hotels, full service, good and excellent</t>
        </is>
      </c>
    </row>
    <row r="3833">
      <c r="B3833" t="inlineStr">
        <is>
          <t>Hotels, Full Service</t>
        </is>
      </c>
      <c r="C3833" t="inlineStr">
        <is>
          <t>Average</t>
        </is>
      </c>
      <c r="D3833" t="n">
        <v>55</v>
      </c>
      <c r="E3833" t="n">
        <v>55</v>
      </c>
      <c r="F3833" t="n">
        <v>50</v>
      </c>
      <c r="G3833" t="n">
        <v>45</v>
      </c>
      <c r="I3833">
        <f>B3833&amp;"~"&amp;C3833</f>
        <v/>
      </c>
      <c r="J3833" t="inlineStr">
        <is>
          <t>average</t>
        </is>
      </c>
    </row>
    <row r="3834">
      <c r="B3834" t="inlineStr">
        <is>
          <t>Hotels, Full Service</t>
        </is>
      </c>
      <c r="C3834" t="inlineStr">
        <is>
          <t>Low Cost</t>
        </is>
      </c>
      <c r="D3834" t="n">
        <v>50</v>
      </c>
      <c r="E3834" t="n">
        <v>50</v>
      </c>
      <c r="F3834" t="n">
        <v>45</v>
      </c>
      <c r="G3834" t="n">
        <v>40</v>
      </c>
      <c r="I3834">
        <f>B3834&amp;"~"&amp;C3834</f>
        <v/>
      </c>
      <c r="J3834" t="inlineStr">
        <is>
          <t>low cost</t>
        </is>
      </c>
    </row>
    <row r="3835">
      <c r="B3835" t="inlineStr">
        <is>
          <t>Shell Hotels: Full Service Buildings</t>
        </is>
      </c>
      <c r="C3835" t="inlineStr">
        <is>
          <t>Excellent</t>
        </is>
      </c>
      <c r="D3835" t="n">
        <v>60</v>
      </c>
      <c r="E3835" t="n">
        <v>60</v>
      </c>
      <c r="F3835" t="n">
        <v>50</v>
      </c>
      <c r="G3835" t="n">
        <v>45</v>
      </c>
      <c r="I3835">
        <f>B3835&amp;"~"&amp;C3835</f>
        <v/>
      </c>
      <c r="J3835" t="inlineStr">
        <is>
          <t>Hotels, full service, good and excellent</t>
        </is>
      </c>
    </row>
    <row r="3836">
      <c r="B3836" t="inlineStr">
        <is>
          <t>Shell Hotels: Full Service Buildings</t>
        </is>
      </c>
      <c r="C3836" t="inlineStr">
        <is>
          <t>Good</t>
        </is>
      </c>
      <c r="D3836" t="n">
        <v>60</v>
      </c>
      <c r="E3836" t="n">
        <v>60</v>
      </c>
      <c r="F3836" t="n">
        <v>50</v>
      </c>
      <c r="G3836" t="n">
        <v>45</v>
      </c>
      <c r="I3836">
        <f>B3836&amp;"~"&amp;C3836</f>
        <v/>
      </c>
      <c r="J3836" t="inlineStr">
        <is>
          <t>Hotels, full service, good and excellent</t>
        </is>
      </c>
    </row>
    <row r="3837">
      <c r="B3837" t="inlineStr">
        <is>
          <t>Shell Hotels: Full Service Buildings</t>
        </is>
      </c>
      <c r="C3837" t="inlineStr">
        <is>
          <t>Average</t>
        </is>
      </c>
      <c r="D3837" t="n">
        <v>55</v>
      </c>
      <c r="E3837" t="n">
        <v>55</v>
      </c>
      <c r="F3837" t="n">
        <v>50</v>
      </c>
      <c r="G3837" t="n">
        <v>45</v>
      </c>
      <c r="I3837">
        <f>B3837&amp;"~"&amp;C3837</f>
        <v/>
      </c>
      <c r="J3837" t="inlineStr">
        <is>
          <t>average</t>
        </is>
      </c>
    </row>
    <row r="3838">
      <c r="B3838" t="inlineStr">
        <is>
          <t>Shell Hotels: Full Service Buildings</t>
        </is>
      </c>
      <c r="C3838" t="inlineStr">
        <is>
          <t>Low Cost</t>
        </is>
      </c>
      <c r="D3838" t="n">
        <v>50</v>
      </c>
      <c r="E3838" t="n">
        <v>50</v>
      </c>
      <c r="F3838" t="n">
        <v>45</v>
      </c>
      <c r="G3838" t="n">
        <v>40</v>
      </c>
      <c r="I3838">
        <f>B3838&amp;"~"&amp;C3838</f>
        <v/>
      </c>
      <c r="J3838" t="inlineStr">
        <is>
          <t>low cost</t>
        </is>
      </c>
    </row>
    <row r="3839">
      <c r="B3839" t="inlineStr">
        <is>
          <t>Rooming Houses</t>
        </is>
      </c>
      <c r="C3839" t="inlineStr">
        <is>
          <t>Good</t>
        </is>
      </c>
      <c r="F3839" t="n">
        <v>55</v>
      </c>
      <c r="G3839" t="n">
        <v>50</v>
      </c>
      <c r="I3839">
        <f>B3839&amp;"~"&amp;C3839</f>
        <v/>
      </c>
      <c r="J3839" t="inlineStr">
        <is>
          <t>Rooming houses, good</t>
        </is>
      </c>
    </row>
    <row r="3840">
      <c r="B3840" t="inlineStr">
        <is>
          <t>Rooming Houses</t>
        </is>
      </c>
      <c r="C3840" t="inlineStr">
        <is>
          <t>Average</t>
        </is>
      </c>
      <c r="F3840" t="n">
        <v>50</v>
      </c>
      <c r="G3840" t="n">
        <v>45</v>
      </c>
      <c r="I3840">
        <f>B3840&amp;"~"&amp;C3840</f>
        <v/>
      </c>
      <c r="J3840" t="inlineStr">
        <is>
          <t>average</t>
        </is>
      </c>
    </row>
    <row r="3841">
      <c r="B3841" t="inlineStr">
        <is>
          <t>Rooming Houses</t>
        </is>
      </c>
      <c r="C3841" t="inlineStr">
        <is>
          <t>Fair</t>
        </is>
      </c>
      <c r="F3841" t="n">
        <v>45</v>
      </c>
      <c r="G3841" t="n">
        <v>40</v>
      </c>
      <c r="I3841">
        <f>B3841&amp;"~"&amp;C3841</f>
        <v/>
      </c>
      <c r="J3841" t="inlineStr">
        <is>
          <t>low cost and fair</t>
        </is>
      </c>
    </row>
    <row r="3842">
      <c r="B3842" t="inlineStr">
        <is>
          <t>Rooming Houses</t>
        </is>
      </c>
      <c r="C3842" t="inlineStr">
        <is>
          <t>Low Cost</t>
        </is>
      </c>
      <c r="F3842" t="n">
        <v>45</v>
      </c>
      <c r="G3842" t="n">
        <v>40</v>
      </c>
      <c r="I3842">
        <f>B3842&amp;"~"&amp;C3842</f>
        <v/>
      </c>
      <c r="J3842" t="inlineStr">
        <is>
          <t>low cost and fair</t>
        </is>
      </c>
    </row>
    <row r="3843">
      <c r="B3843" t="inlineStr">
        <is>
          <t>Rectories</t>
        </is>
      </c>
      <c r="C3843" t="inlineStr">
        <is>
          <t>Excellent</t>
        </is>
      </c>
      <c r="F3843" t="n">
        <v>55</v>
      </c>
      <c r="G3843" t="n">
        <v>50</v>
      </c>
      <c r="I3843">
        <f>B3843&amp;"~"&amp;C3843</f>
        <v/>
      </c>
      <c r="J3843" t="inlineStr">
        <is>
          <t>Rectories, good and excellent</t>
        </is>
      </c>
    </row>
    <row r="3844">
      <c r="B3844" t="inlineStr">
        <is>
          <t>Rectories</t>
        </is>
      </c>
      <c r="C3844" t="inlineStr">
        <is>
          <t>Good</t>
        </is>
      </c>
      <c r="F3844" t="n">
        <v>55</v>
      </c>
      <c r="G3844" t="n">
        <v>50</v>
      </c>
      <c r="I3844">
        <f>B3844&amp;"~"&amp;C3844</f>
        <v/>
      </c>
      <c r="J3844" t="inlineStr">
        <is>
          <t>Rectories, good and excellent</t>
        </is>
      </c>
    </row>
    <row r="3845">
      <c r="B3845" t="inlineStr">
        <is>
          <t>Rectories</t>
        </is>
      </c>
      <c r="C3845" t="inlineStr">
        <is>
          <t>Average</t>
        </is>
      </c>
      <c r="F3845" t="n">
        <v>50</v>
      </c>
      <c r="G3845" t="n">
        <v>45</v>
      </c>
      <c r="I3845">
        <f>B3845&amp;"~"&amp;C3845</f>
        <v/>
      </c>
      <c r="J3845" t="inlineStr">
        <is>
          <t>average</t>
        </is>
      </c>
    </row>
    <row r="3846">
      <c r="B3846" t="inlineStr">
        <is>
          <t>Rectories</t>
        </is>
      </c>
      <c r="C3846" t="inlineStr">
        <is>
          <t>Low Cost</t>
        </is>
      </c>
      <c r="F3846" t="n">
        <v>45</v>
      </c>
      <c r="G3846" t="n">
        <v>40</v>
      </c>
      <c r="I3846">
        <f>B3846&amp;"~"&amp;C3846</f>
        <v/>
      </c>
      <c r="J3846" t="inlineStr">
        <is>
          <t>low cost</t>
        </is>
      </c>
    </row>
    <row r="3847">
      <c r="B3847" t="inlineStr">
        <is>
          <t>Fraternity Housing</t>
        </is>
      </c>
      <c r="C3847" t="inlineStr">
        <is>
          <t>Excellent</t>
        </is>
      </c>
      <c r="F3847" t="n">
        <v>55</v>
      </c>
      <c r="G3847" t="n">
        <v>50</v>
      </c>
      <c r="I3847">
        <f>B3847&amp;"~"&amp;C3847</f>
        <v/>
      </c>
      <c r="J3847" t="inlineStr">
        <is>
          <t>Fraternity houses, good and excellent</t>
        </is>
      </c>
    </row>
    <row r="3848">
      <c r="B3848" t="inlineStr">
        <is>
          <t>Fraternity Housing</t>
        </is>
      </c>
      <c r="C3848" t="inlineStr">
        <is>
          <t>Good</t>
        </is>
      </c>
      <c r="F3848" t="n">
        <v>55</v>
      </c>
      <c r="G3848" t="n">
        <v>50</v>
      </c>
      <c r="I3848">
        <f>B3848&amp;"~"&amp;C3848</f>
        <v/>
      </c>
      <c r="J3848" t="inlineStr">
        <is>
          <t>Fraternity houses, good and excellent</t>
        </is>
      </c>
    </row>
    <row r="3849">
      <c r="B3849" t="inlineStr">
        <is>
          <t>Fraternity Housing</t>
        </is>
      </c>
      <c r="C3849" t="inlineStr">
        <is>
          <t>Average</t>
        </is>
      </c>
      <c r="F3849" t="n">
        <v>50</v>
      </c>
      <c r="G3849" t="n">
        <v>45</v>
      </c>
      <c r="I3849">
        <f>B3849&amp;"~"&amp;C3849</f>
        <v/>
      </c>
      <c r="J3849" t="inlineStr">
        <is>
          <t>average</t>
        </is>
      </c>
    </row>
    <row r="3850">
      <c r="B3850" t="inlineStr">
        <is>
          <t>Group Care Homes</t>
        </is>
      </c>
      <c r="C3850" t="inlineStr">
        <is>
          <t>Excellent</t>
        </is>
      </c>
      <c r="F3850" t="n">
        <v>55</v>
      </c>
      <c r="G3850" t="n">
        <v>50</v>
      </c>
      <c r="I3850">
        <f>B3850&amp;"~"&amp;C3850</f>
        <v/>
      </c>
      <c r="J3850" t="inlineStr">
        <is>
          <t>Group care homes, good, very good and excellent</t>
        </is>
      </c>
    </row>
    <row r="3851">
      <c r="B3851" t="inlineStr">
        <is>
          <t>Group Care Homes</t>
        </is>
      </c>
      <c r="C3851" t="inlineStr">
        <is>
          <t>Very Good</t>
        </is>
      </c>
      <c r="F3851" t="n">
        <v>55</v>
      </c>
      <c r="G3851" t="n">
        <v>50</v>
      </c>
      <c r="I3851">
        <f>B3851&amp;"~"&amp;C3851</f>
        <v/>
      </c>
      <c r="J3851" t="inlineStr">
        <is>
          <t>Group care homes, good, very good and excellent</t>
        </is>
      </c>
    </row>
    <row r="3852">
      <c r="B3852" t="inlineStr">
        <is>
          <t>Group Care Homes</t>
        </is>
      </c>
      <c r="C3852" t="inlineStr">
        <is>
          <t>Good</t>
        </is>
      </c>
      <c r="F3852" t="n">
        <v>55</v>
      </c>
      <c r="G3852" t="n">
        <v>50</v>
      </c>
      <c r="I3852">
        <f>B3852&amp;"~"&amp;C3852</f>
        <v/>
      </c>
      <c r="J3852" t="inlineStr">
        <is>
          <t>Group care homes, good, very good and excellent</t>
        </is>
      </c>
    </row>
    <row r="3853">
      <c r="B3853" t="inlineStr">
        <is>
          <t>Group Care Homes</t>
        </is>
      </c>
      <c r="C3853" t="inlineStr">
        <is>
          <t>Average</t>
        </is>
      </c>
      <c r="F3853" t="n">
        <v>50</v>
      </c>
      <c r="G3853" t="n">
        <v>45</v>
      </c>
      <c r="I3853">
        <f>B3853&amp;"~"&amp;C3853</f>
        <v/>
      </c>
      <c r="J3853" t="inlineStr">
        <is>
          <t>average</t>
        </is>
      </c>
    </row>
    <row r="3854">
      <c r="B3854" t="inlineStr">
        <is>
          <t>Group Care Homes</t>
        </is>
      </c>
      <c r="C3854" t="inlineStr">
        <is>
          <t>Low Cost</t>
        </is>
      </c>
      <c r="F3854" t="n">
        <v>45</v>
      </c>
      <c r="G3854" t="n">
        <v>40</v>
      </c>
      <c r="I3854">
        <f>B3854&amp;"~"&amp;C3854</f>
        <v/>
      </c>
      <c r="J3854" t="inlineStr">
        <is>
          <t>low cost</t>
        </is>
      </c>
    </row>
    <row r="3855">
      <c r="B3855" t="inlineStr">
        <is>
          <t>Recreational (Pool) Enclosures</t>
        </is>
      </c>
      <c r="C3855" t="inlineStr">
        <is>
          <t>Good</t>
        </is>
      </c>
      <c r="F3855" t="n">
        <v>45</v>
      </c>
      <c r="G3855" t="n">
        <v>40</v>
      </c>
      <c r="H3855" t="n">
        <v>40</v>
      </c>
      <c r="I3855">
        <f>B3855&amp;"~"&amp;C3855</f>
        <v/>
      </c>
      <c r="J3855" t="inlineStr">
        <is>
          <t>Recreational (pool) enclosures, good</t>
        </is>
      </c>
    </row>
    <row r="3856">
      <c r="B3856" t="inlineStr">
        <is>
          <t>Recreational (Pool) Enclosures</t>
        </is>
      </c>
      <c r="C3856" t="inlineStr">
        <is>
          <t>Average</t>
        </is>
      </c>
      <c r="F3856" t="n">
        <v>40</v>
      </c>
      <c r="G3856" t="n">
        <v>35</v>
      </c>
      <c r="H3856" t="n">
        <v>35</v>
      </c>
      <c r="I3856">
        <f>B3856&amp;"~"&amp;C3856</f>
        <v/>
      </c>
      <c r="J3856" t="inlineStr">
        <is>
          <t>average</t>
        </is>
      </c>
    </row>
    <row r="3857">
      <c r="B3857" t="inlineStr">
        <is>
          <t>Recreational (Pool) Enclosures</t>
        </is>
      </c>
      <c r="C3857" t="inlineStr">
        <is>
          <t>Low Cost</t>
        </is>
      </c>
      <c r="F3857" t="n">
        <v>35</v>
      </c>
      <c r="G3857" t="n">
        <v>25</v>
      </c>
      <c r="H3857" t="n">
        <v>20</v>
      </c>
      <c r="I3857">
        <f>B3857&amp;"~"&amp;C3857</f>
        <v/>
      </c>
      <c r="J3857" t="inlineStr">
        <is>
          <t>low cost</t>
        </is>
      </c>
    </row>
    <row r="3858">
      <c r="B3858" t="inlineStr">
        <is>
          <t>Recreational (Pool) Enclosures</t>
        </is>
      </c>
      <c r="C3858" t="inlineStr">
        <is>
          <t>Cheap</t>
        </is>
      </c>
      <c r="H3858" t="n">
        <v>10</v>
      </c>
      <c r="I3858">
        <f>B3858&amp;"~"&amp;C3858</f>
        <v/>
      </c>
      <c r="J3858" t="inlineStr">
        <is>
          <t>cheap</t>
        </is>
      </c>
    </row>
    <row r="3859">
      <c r="B3859" t="inlineStr">
        <is>
          <t>Clubhouses</t>
        </is>
      </c>
      <c r="C3859" t="inlineStr">
        <is>
          <t>Excellent</t>
        </is>
      </c>
      <c r="F3859" t="n">
        <v>45</v>
      </c>
      <c r="G3859" t="n">
        <v>40</v>
      </c>
      <c r="H3859" t="n">
        <v>40</v>
      </c>
      <c r="I3859">
        <f>B3859&amp;"~"&amp;C3859</f>
        <v/>
      </c>
      <c r="J3859" t="inlineStr">
        <is>
          <t>Clubhouses and senior centers, good and excellent</t>
        </is>
      </c>
    </row>
    <row r="3860">
      <c r="B3860" t="inlineStr">
        <is>
          <t>Clubhouses</t>
        </is>
      </c>
      <c r="C3860" t="inlineStr">
        <is>
          <t>Good</t>
        </is>
      </c>
      <c r="F3860" t="n">
        <v>45</v>
      </c>
      <c r="G3860" t="n">
        <v>40</v>
      </c>
      <c r="H3860" t="n">
        <v>40</v>
      </c>
      <c r="I3860">
        <f>B3860&amp;"~"&amp;C3860</f>
        <v/>
      </c>
      <c r="J3860" t="inlineStr">
        <is>
          <t>Clubhouses and senior centers, good and excellent</t>
        </is>
      </c>
    </row>
    <row r="3861">
      <c r="B3861" t="inlineStr">
        <is>
          <t>Clubhouses</t>
        </is>
      </c>
      <c r="C3861" t="inlineStr">
        <is>
          <t>Average</t>
        </is>
      </c>
      <c r="F3861" t="n">
        <v>40</v>
      </c>
      <c r="G3861" t="n">
        <v>35</v>
      </c>
      <c r="H3861" t="n">
        <v>35</v>
      </c>
      <c r="I3861">
        <f>B3861&amp;"~"&amp;C3861</f>
        <v/>
      </c>
      <c r="J3861" t="inlineStr">
        <is>
          <t>low cost and average</t>
        </is>
      </c>
    </row>
    <row r="3862">
      <c r="B3862" t="inlineStr">
        <is>
          <t>Clubhouses</t>
        </is>
      </c>
      <c r="C3862" t="inlineStr">
        <is>
          <t>Low Cost</t>
        </is>
      </c>
      <c r="F3862" t="n">
        <v>40</v>
      </c>
      <c r="G3862" t="n">
        <v>35</v>
      </c>
      <c r="H3862" t="n">
        <v>35</v>
      </c>
      <c r="I3862">
        <f>B3862&amp;"~"&amp;C3862</f>
        <v/>
      </c>
      <c r="J3862" t="inlineStr">
        <is>
          <t>low cost and average</t>
        </is>
      </c>
    </row>
    <row r="3863">
      <c r="B3863" t="inlineStr">
        <is>
          <t>Senior (Clubhouse) Centers</t>
        </is>
      </c>
      <c r="C3863" t="inlineStr">
        <is>
          <t>Excellent</t>
        </is>
      </c>
      <c r="F3863" t="n">
        <v>45</v>
      </c>
      <c r="G3863" t="n">
        <v>40</v>
      </c>
      <c r="H3863" t="n">
        <v>40</v>
      </c>
      <c r="I3863">
        <f>B3863&amp;"~"&amp;C3863</f>
        <v/>
      </c>
      <c r="J3863" t="inlineStr">
        <is>
          <t>Clubhouses and senior centers, good and excellent</t>
        </is>
      </c>
    </row>
    <row r="3864">
      <c r="B3864" t="inlineStr">
        <is>
          <t>Senior (Clubhouse) Centers</t>
        </is>
      </c>
      <c r="C3864" t="inlineStr">
        <is>
          <t>Good</t>
        </is>
      </c>
      <c r="F3864" t="n">
        <v>45</v>
      </c>
      <c r="G3864" t="n">
        <v>40</v>
      </c>
      <c r="H3864" t="n">
        <v>40</v>
      </c>
      <c r="I3864">
        <f>B3864&amp;"~"&amp;C3864</f>
        <v/>
      </c>
      <c r="J3864" t="inlineStr">
        <is>
          <t>Clubhouses and senior centers, good and excellent</t>
        </is>
      </c>
    </row>
    <row r="3865">
      <c r="B3865" t="inlineStr">
        <is>
          <t>Senior (Clubhouse) Centers</t>
        </is>
      </c>
      <c r="C3865" t="inlineStr">
        <is>
          <t>Average</t>
        </is>
      </c>
      <c r="F3865" t="n">
        <v>40</v>
      </c>
      <c r="G3865" t="n">
        <v>35</v>
      </c>
      <c r="H3865" t="n">
        <v>35</v>
      </c>
      <c r="I3865">
        <f>B3865&amp;"~"&amp;C3865</f>
        <v/>
      </c>
      <c r="J3865" t="inlineStr">
        <is>
          <t>low cost and average</t>
        </is>
      </c>
    </row>
    <row r="3866">
      <c r="B3866" t="inlineStr">
        <is>
          <t>Senior (Clubhouse) Centers</t>
        </is>
      </c>
      <c r="C3866" t="inlineStr">
        <is>
          <t>Low Cost</t>
        </is>
      </c>
      <c r="F3866" t="n">
        <v>40</v>
      </c>
      <c r="G3866" t="n">
        <v>35</v>
      </c>
      <c r="H3866" t="n">
        <v>35</v>
      </c>
      <c r="I3866">
        <f>B3866&amp;"~"&amp;C3866</f>
        <v/>
      </c>
      <c r="J3866" t="inlineStr">
        <is>
          <t>low cost and average</t>
        </is>
      </c>
    </row>
    <row r="3867">
      <c r="B3867" t="inlineStr">
        <is>
          <t>Country Clubs</t>
        </is>
      </c>
      <c r="C3867" t="inlineStr">
        <is>
          <t>Excellent</t>
        </is>
      </c>
      <c r="F3867" t="n">
        <v>50</v>
      </c>
      <c r="G3867" t="n">
        <v>45</v>
      </c>
      <c r="I3867">
        <f>B3867&amp;"~"&amp;C3867</f>
        <v/>
      </c>
      <c r="J3867" t="inlineStr">
        <is>
          <t>Country clubs, good and excellent</t>
        </is>
      </c>
    </row>
    <row r="3868">
      <c r="B3868" t="inlineStr">
        <is>
          <t>Country Clubs</t>
        </is>
      </c>
      <c r="C3868" t="inlineStr">
        <is>
          <t>Good</t>
        </is>
      </c>
      <c r="F3868" t="n">
        <v>50</v>
      </c>
      <c r="G3868" t="n">
        <v>45</v>
      </c>
      <c r="I3868">
        <f>B3868&amp;"~"&amp;C3868</f>
        <v/>
      </c>
      <c r="J3868" t="inlineStr">
        <is>
          <t>Country clubs, good and excellent</t>
        </is>
      </c>
    </row>
    <row r="3869">
      <c r="B3869" t="inlineStr">
        <is>
          <t>Country Clubs</t>
        </is>
      </c>
      <c r="C3869" t="inlineStr">
        <is>
          <t>Average</t>
        </is>
      </c>
      <c r="F3869" t="n">
        <v>45</v>
      </c>
      <c r="G3869" t="n">
        <v>40</v>
      </c>
      <c r="H3869" t="n">
        <v>40</v>
      </c>
      <c r="I3869">
        <f>B3869&amp;"~"&amp;C3869</f>
        <v/>
      </c>
      <c r="J3869" t="inlineStr">
        <is>
          <t>low cost and average</t>
        </is>
      </c>
    </row>
    <row r="3870">
      <c r="B3870" t="inlineStr">
        <is>
          <t>Country Clubs</t>
        </is>
      </c>
      <c r="C3870" t="inlineStr">
        <is>
          <t>Low Cost</t>
        </is>
      </c>
      <c r="F3870" t="n">
        <v>45</v>
      </c>
      <c r="G3870" t="n">
        <v>40</v>
      </c>
      <c r="H3870" t="n">
        <v>40</v>
      </c>
      <c r="I3870">
        <f>B3870&amp;"~"&amp;C3870</f>
        <v/>
      </c>
      <c r="J3870" t="inlineStr">
        <is>
          <t>low cost and average</t>
        </is>
      </c>
    </row>
    <row r="3871">
      <c r="B3871" t="inlineStr">
        <is>
          <t>Health Clubs (Spas)</t>
        </is>
      </c>
      <c r="C3871" t="inlineStr">
        <is>
          <t>Good</t>
        </is>
      </c>
      <c r="F3871" t="n">
        <v>45</v>
      </c>
      <c r="G3871" t="n">
        <v>40</v>
      </c>
      <c r="H3871" t="n">
        <v>40</v>
      </c>
      <c r="I3871">
        <f>B3871&amp;"~"&amp;C3871</f>
        <v/>
      </c>
      <c r="J3871" t="inlineStr">
        <is>
          <t>Health clubs and spas, good and excellent</t>
        </is>
      </c>
    </row>
    <row r="3872">
      <c r="B3872" t="inlineStr">
        <is>
          <t>Health Clubs (Spas)</t>
        </is>
      </c>
      <c r="C3872" t="inlineStr">
        <is>
          <t>Average</t>
        </is>
      </c>
      <c r="F3872" t="n">
        <v>40</v>
      </c>
      <c r="G3872" t="n">
        <v>35</v>
      </c>
      <c r="H3872" t="n">
        <v>35</v>
      </c>
      <c r="I3872">
        <f>B3872&amp;"~"&amp;C3872</f>
        <v/>
      </c>
      <c r="J3872" t="inlineStr">
        <is>
          <t>low cost and average</t>
        </is>
      </c>
    </row>
    <row r="3873">
      <c r="B3873" t="inlineStr">
        <is>
          <t>Health Clubs (Spas)</t>
        </is>
      </c>
      <c r="C3873" t="inlineStr">
        <is>
          <t>Low Cost</t>
        </is>
      </c>
      <c r="F3873" t="n">
        <v>40</v>
      </c>
      <c r="G3873" t="n">
        <v>35</v>
      </c>
      <c r="H3873" t="n">
        <v>35</v>
      </c>
      <c r="I3873">
        <f>B3873&amp;"~"&amp;C3873</f>
        <v/>
      </c>
      <c r="J3873" t="inlineStr">
        <is>
          <t>low cost and average</t>
        </is>
      </c>
    </row>
    <row r="3874">
      <c r="B3874" t="inlineStr">
        <is>
          <t>Mortuaries / Funeral Homes</t>
        </is>
      </c>
      <c r="C3874" t="inlineStr">
        <is>
          <t>Good</t>
        </is>
      </c>
      <c r="D3874" t="n">
        <v>50</v>
      </c>
      <c r="E3874" t="n">
        <v>50</v>
      </c>
      <c r="F3874" t="n">
        <v>45</v>
      </c>
      <c r="G3874" t="n">
        <v>45</v>
      </c>
      <c r="H3874" t="n">
        <v>45</v>
      </c>
      <c r="I3874">
        <f>B3874&amp;"~"&amp;C3874</f>
        <v/>
      </c>
      <c r="J3874" t="inlineStr">
        <is>
          <t>average and good</t>
        </is>
      </c>
    </row>
    <row r="3875">
      <c r="B3875" t="inlineStr">
        <is>
          <t>Mortuaries / Funeral Homes</t>
        </is>
      </c>
      <c r="C3875" t="inlineStr">
        <is>
          <t>Average</t>
        </is>
      </c>
      <c r="D3875" t="n">
        <v>50</v>
      </c>
      <c r="E3875" t="n">
        <v>50</v>
      </c>
      <c r="F3875" t="n">
        <v>45</v>
      </c>
      <c r="G3875" t="n">
        <v>45</v>
      </c>
      <c r="H3875" t="n">
        <v>45</v>
      </c>
      <c r="I3875">
        <f>B3875&amp;"~"&amp;C3875</f>
        <v/>
      </c>
      <c r="J3875" t="inlineStr">
        <is>
          <t>average and good</t>
        </is>
      </c>
    </row>
    <row r="3876">
      <c r="B3876" t="inlineStr">
        <is>
          <t>Mortuaries / Funeral Homes</t>
        </is>
      </c>
      <c r="C3876" t="inlineStr">
        <is>
          <t>Excellent</t>
        </is>
      </c>
      <c r="F3876" t="n">
        <v>50</v>
      </c>
      <c r="G3876" t="n">
        <v>50</v>
      </c>
      <c r="I3876">
        <f>B3876&amp;"~"&amp;C3876</f>
        <v/>
      </c>
      <c r="J3876" t="inlineStr">
        <is>
          <t>Mortuaries, excellent</t>
        </is>
      </c>
    </row>
    <row r="3877">
      <c r="B3877" t="inlineStr">
        <is>
          <t>Mortuaries / Funeral Homes</t>
        </is>
      </c>
      <c r="C3877" t="inlineStr">
        <is>
          <t>Low Cost</t>
        </is>
      </c>
      <c r="F3877" t="n">
        <v>40</v>
      </c>
      <c r="G3877" t="n">
        <v>35</v>
      </c>
      <c r="H3877" t="n">
        <v>35</v>
      </c>
      <c r="I3877">
        <f>B3877&amp;"~"&amp;C3877</f>
        <v/>
      </c>
      <c r="J3877" t="inlineStr">
        <is>
          <t>low cost</t>
        </is>
      </c>
    </row>
    <row r="3878">
      <c r="B3878" t="inlineStr">
        <is>
          <t>High-Rise Row (Town) Houses</t>
        </is>
      </c>
      <c r="C3878" t="inlineStr">
        <is>
          <t>Excellent</t>
        </is>
      </c>
      <c r="F3878" t="n">
        <v>60</v>
      </c>
      <c r="G3878" t="n">
        <v>55</v>
      </c>
      <c r="I3878">
        <f>B3878&amp;"~"&amp;C3878</f>
        <v/>
      </c>
      <c r="J3878" t="inlineStr">
        <is>
          <t>Row houses, high-rise, good and excellent</t>
        </is>
      </c>
    </row>
    <row r="3879">
      <c r="B3879" t="inlineStr">
        <is>
          <t>High-Rise Row (Town) Houses</t>
        </is>
      </c>
      <c r="C3879" t="inlineStr">
        <is>
          <t>Good</t>
        </is>
      </c>
      <c r="F3879" t="n">
        <v>60</v>
      </c>
      <c r="G3879" t="n">
        <v>55</v>
      </c>
      <c r="I3879">
        <f>B3879&amp;"~"&amp;C3879</f>
        <v/>
      </c>
      <c r="J3879" t="inlineStr">
        <is>
          <t>Row houses, high-rise, good and excellent</t>
        </is>
      </c>
    </row>
    <row r="3880">
      <c r="B3880" t="inlineStr">
        <is>
          <t>High-Rise Row (Town) Houses</t>
        </is>
      </c>
      <c r="C3880" t="inlineStr">
        <is>
          <t>Average</t>
        </is>
      </c>
      <c r="F3880" t="n">
        <v>55</v>
      </c>
      <c r="G3880" t="n">
        <v>50</v>
      </c>
      <c r="I3880">
        <f>B3880&amp;"~"&amp;C3880</f>
        <v/>
      </c>
      <c r="J3880" t="inlineStr">
        <is>
          <t>low cost and average</t>
        </is>
      </c>
    </row>
    <row r="3881">
      <c r="B3881" t="inlineStr">
        <is>
          <t>Motels</t>
        </is>
      </c>
      <c r="C3881" t="inlineStr">
        <is>
          <t>Excellent</t>
        </is>
      </c>
      <c r="F3881" t="n">
        <v>45</v>
      </c>
      <c r="G3881" t="n">
        <v>40</v>
      </c>
      <c r="I3881">
        <f>B3881&amp;"~"&amp;C3881</f>
        <v/>
      </c>
      <c r="J3881" t="inlineStr">
        <is>
          <t>Motels and extended-stay motels, good and excellent</t>
        </is>
      </c>
    </row>
    <row r="3882">
      <c r="B3882" t="inlineStr">
        <is>
          <t>Motels</t>
        </is>
      </c>
      <c r="C3882" t="inlineStr">
        <is>
          <t>Good</t>
        </is>
      </c>
      <c r="F3882" t="n">
        <v>45</v>
      </c>
      <c r="G3882" t="n">
        <v>40</v>
      </c>
      <c r="I3882">
        <f>B3882&amp;"~"&amp;C3882</f>
        <v/>
      </c>
      <c r="J3882" t="inlineStr">
        <is>
          <t>Motels and extended-stay motels, good and excellent</t>
        </is>
      </c>
    </row>
    <row r="3883">
      <c r="B3883" t="inlineStr">
        <is>
          <t>Motels</t>
        </is>
      </c>
      <c r="C3883" t="inlineStr">
        <is>
          <t>Average</t>
        </is>
      </c>
      <c r="F3883" t="n">
        <v>40</v>
      </c>
      <c r="G3883" t="n">
        <v>35</v>
      </c>
      <c r="H3883" t="n">
        <v>35</v>
      </c>
      <c r="I3883">
        <f>B3883&amp;"~"&amp;C3883</f>
        <v/>
      </c>
      <c r="J3883" t="inlineStr">
        <is>
          <t>average</t>
        </is>
      </c>
    </row>
    <row r="3884">
      <c r="B3884" t="inlineStr">
        <is>
          <t>Motels</t>
        </is>
      </c>
      <c r="C3884" t="inlineStr">
        <is>
          <t>Fair</t>
        </is>
      </c>
      <c r="F3884" t="n">
        <v>35</v>
      </c>
      <c r="G3884" t="n">
        <v>30</v>
      </c>
      <c r="I3884">
        <f>B3884&amp;"~"&amp;C3884</f>
        <v/>
      </c>
      <c r="J3884" t="inlineStr">
        <is>
          <t>fair, low cost and cheap</t>
        </is>
      </c>
    </row>
    <row r="3885">
      <c r="B3885" t="inlineStr">
        <is>
          <t>Motels</t>
        </is>
      </c>
      <c r="C3885" t="inlineStr">
        <is>
          <t>Low Cost</t>
        </is>
      </c>
      <c r="F3885" t="n">
        <v>35</v>
      </c>
      <c r="G3885" t="n">
        <v>30</v>
      </c>
      <c r="I3885">
        <f>B3885&amp;"~"&amp;C3885</f>
        <v/>
      </c>
      <c r="J3885" t="inlineStr">
        <is>
          <t>fair, low cost and cheap</t>
        </is>
      </c>
    </row>
    <row r="3886">
      <c r="B3886" t="inlineStr">
        <is>
          <t>Motels</t>
        </is>
      </c>
      <c r="C3886" t="inlineStr">
        <is>
          <t>Cheap</t>
        </is>
      </c>
      <c r="F3886" t="n">
        <v>35</v>
      </c>
      <c r="G3886" t="n">
        <v>30</v>
      </c>
      <c r="I3886">
        <f>B3886&amp;"~"&amp;C3886</f>
        <v/>
      </c>
      <c r="J3886" t="inlineStr">
        <is>
          <t>fair, low cost and cheap</t>
        </is>
      </c>
    </row>
    <row r="3887">
      <c r="B3887" t="inlineStr">
        <is>
          <t>Shell Motels</t>
        </is>
      </c>
      <c r="C3887" t="inlineStr">
        <is>
          <t>Excellent</t>
        </is>
      </c>
      <c r="F3887" t="n">
        <v>45</v>
      </c>
      <c r="G3887" t="n">
        <v>40</v>
      </c>
      <c r="I3887">
        <f>B3887&amp;"~"&amp;C3887</f>
        <v/>
      </c>
      <c r="J3887" t="inlineStr">
        <is>
          <t>Motels and extended-stay motels, good and excellent</t>
        </is>
      </c>
    </row>
    <row r="3888">
      <c r="B3888" t="inlineStr">
        <is>
          <t>Shell Motels</t>
        </is>
      </c>
      <c r="C3888" t="inlineStr">
        <is>
          <t>Good</t>
        </is>
      </c>
      <c r="F3888" t="n">
        <v>45</v>
      </c>
      <c r="G3888" t="n">
        <v>40</v>
      </c>
      <c r="I3888">
        <f>B3888&amp;"~"&amp;C3888</f>
        <v/>
      </c>
      <c r="J3888" t="inlineStr">
        <is>
          <t>Motels and extended-stay motels, good and excellent</t>
        </is>
      </c>
    </row>
    <row r="3889">
      <c r="B3889" t="inlineStr">
        <is>
          <t>Shell Motels</t>
        </is>
      </c>
      <c r="C3889" t="inlineStr">
        <is>
          <t>Average</t>
        </is>
      </c>
      <c r="F3889" t="n">
        <v>40</v>
      </c>
      <c r="G3889" t="n">
        <v>35</v>
      </c>
      <c r="H3889" t="n">
        <v>35</v>
      </c>
      <c r="I3889">
        <f>B3889&amp;"~"&amp;C3889</f>
        <v/>
      </c>
      <c r="J3889" t="inlineStr">
        <is>
          <t>average</t>
        </is>
      </c>
    </row>
    <row r="3890">
      <c r="B3890" t="inlineStr">
        <is>
          <t>Shell Motels</t>
        </is>
      </c>
      <c r="C3890" t="inlineStr">
        <is>
          <t>Fair</t>
        </is>
      </c>
      <c r="F3890" t="n">
        <v>35</v>
      </c>
      <c r="G3890" t="n">
        <v>30</v>
      </c>
      <c r="I3890">
        <f>B3890&amp;"~"&amp;C3890</f>
        <v/>
      </c>
      <c r="J3890" t="inlineStr">
        <is>
          <t>fair, low cost and cheap</t>
        </is>
      </c>
    </row>
    <row r="3891">
      <c r="B3891" t="inlineStr">
        <is>
          <t>Shell Motels</t>
        </is>
      </c>
      <c r="C3891" t="inlineStr">
        <is>
          <t>Low Cost</t>
        </is>
      </c>
      <c r="F3891" t="n">
        <v>35</v>
      </c>
      <c r="G3891" t="n">
        <v>30</v>
      </c>
      <c r="I3891">
        <f>B3891&amp;"~"&amp;C3891</f>
        <v/>
      </c>
      <c r="J3891" t="inlineStr">
        <is>
          <t>fair, low cost and cheap</t>
        </is>
      </c>
    </row>
    <row r="3892">
      <c r="B3892" t="inlineStr">
        <is>
          <t>Shell Motels</t>
        </is>
      </c>
      <c r="C3892" t="inlineStr">
        <is>
          <t>Cheap</t>
        </is>
      </c>
      <c r="F3892" t="n">
        <v>35</v>
      </c>
      <c r="G3892" t="n">
        <v>30</v>
      </c>
      <c r="I3892">
        <f>B3892&amp;"~"&amp;C3892</f>
        <v/>
      </c>
      <c r="J3892" t="inlineStr">
        <is>
          <t>fair, low cost and cheap</t>
        </is>
      </c>
    </row>
    <row r="3893">
      <c r="B3893" t="inlineStr">
        <is>
          <t>Extended-Stay Motels</t>
        </is>
      </c>
      <c r="C3893" t="inlineStr">
        <is>
          <t>Excellent</t>
        </is>
      </c>
      <c r="F3893" t="n">
        <v>45</v>
      </c>
      <c r="G3893" t="n">
        <v>40</v>
      </c>
      <c r="I3893">
        <f>B3893&amp;"~"&amp;C3893</f>
        <v/>
      </c>
      <c r="J3893" t="inlineStr">
        <is>
          <t>Motels and extended-stay motels, good and excellent</t>
        </is>
      </c>
    </row>
    <row r="3894">
      <c r="B3894" t="inlineStr">
        <is>
          <t>Extended-Stay Motels</t>
        </is>
      </c>
      <c r="C3894" t="inlineStr">
        <is>
          <t>Good</t>
        </is>
      </c>
      <c r="F3894" t="n">
        <v>45</v>
      </c>
      <c r="G3894" t="n">
        <v>40</v>
      </c>
      <c r="I3894">
        <f>B3894&amp;"~"&amp;C3894</f>
        <v/>
      </c>
      <c r="J3894" t="inlineStr">
        <is>
          <t>Motels and extended-stay motels, good and excellent</t>
        </is>
      </c>
    </row>
    <row r="3895">
      <c r="B3895" t="inlineStr">
        <is>
          <t>Extended-Stay Motels</t>
        </is>
      </c>
      <c r="C3895" t="inlineStr">
        <is>
          <t>Average</t>
        </is>
      </c>
      <c r="F3895" t="n">
        <v>40</v>
      </c>
      <c r="G3895" t="n">
        <v>35</v>
      </c>
      <c r="H3895" t="n">
        <v>35</v>
      </c>
      <c r="I3895">
        <f>B3895&amp;"~"&amp;C3895</f>
        <v/>
      </c>
      <c r="J3895" t="inlineStr">
        <is>
          <t>average</t>
        </is>
      </c>
    </row>
    <row r="3896">
      <c r="B3896" t="inlineStr">
        <is>
          <t>Extended-Stay Motels</t>
        </is>
      </c>
      <c r="C3896" t="inlineStr">
        <is>
          <t>Fair</t>
        </is>
      </c>
      <c r="F3896" t="n">
        <v>35</v>
      </c>
      <c r="G3896" t="n">
        <v>30</v>
      </c>
      <c r="I3896">
        <f>B3896&amp;"~"&amp;C3896</f>
        <v/>
      </c>
      <c r="J3896" t="inlineStr">
        <is>
          <t>fair, low cost and cheap</t>
        </is>
      </c>
    </row>
    <row r="3897">
      <c r="B3897" t="inlineStr">
        <is>
          <t>Extended-Stay Motels</t>
        </is>
      </c>
      <c r="C3897" t="inlineStr">
        <is>
          <t>Low Cost</t>
        </is>
      </c>
      <c r="F3897" t="n">
        <v>35</v>
      </c>
      <c r="G3897" t="n">
        <v>30</v>
      </c>
      <c r="I3897">
        <f>B3897&amp;"~"&amp;C3897</f>
        <v/>
      </c>
      <c r="J3897" t="inlineStr">
        <is>
          <t>fair, low cost and cheap</t>
        </is>
      </c>
    </row>
    <row r="3898">
      <c r="B3898" t="inlineStr">
        <is>
          <t>Shell Extended Stay - Motels</t>
        </is>
      </c>
      <c r="C3898" t="inlineStr">
        <is>
          <t>Excellent</t>
        </is>
      </c>
      <c r="F3898" t="n">
        <v>45</v>
      </c>
      <c r="G3898" t="n">
        <v>40</v>
      </c>
      <c r="I3898">
        <f>B3898&amp;"~"&amp;C3898</f>
        <v/>
      </c>
      <c r="J3898" t="inlineStr">
        <is>
          <t>Motels and extended-stay motels, good and excellent</t>
        </is>
      </c>
    </row>
    <row r="3899">
      <c r="B3899" t="inlineStr">
        <is>
          <t>Shell Extended Stay - Motels</t>
        </is>
      </c>
      <c r="C3899" t="inlineStr">
        <is>
          <t>Good</t>
        </is>
      </c>
      <c r="F3899" t="n">
        <v>45</v>
      </c>
      <c r="G3899" t="n">
        <v>40</v>
      </c>
      <c r="I3899">
        <f>B3899&amp;"~"&amp;C3899</f>
        <v/>
      </c>
      <c r="J3899" t="inlineStr">
        <is>
          <t>Motels and extended-stay motels, good and excellent</t>
        </is>
      </c>
    </row>
    <row r="3900">
      <c r="B3900" t="inlineStr">
        <is>
          <t>Shell Extended Stay - Motels</t>
        </is>
      </c>
      <c r="C3900" t="inlineStr">
        <is>
          <t>Average</t>
        </is>
      </c>
      <c r="F3900" t="n">
        <v>40</v>
      </c>
      <c r="G3900" t="n">
        <v>35</v>
      </c>
      <c r="H3900" t="n">
        <v>35</v>
      </c>
      <c r="I3900">
        <f>B3900&amp;"~"&amp;C3900</f>
        <v/>
      </c>
      <c r="J3900" t="inlineStr">
        <is>
          <t>average</t>
        </is>
      </c>
    </row>
    <row r="3901">
      <c r="B3901" t="inlineStr">
        <is>
          <t>Shell Extended Stay - Motels</t>
        </is>
      </c>
      <c r="C3901" t="inlineStr">
        <is>
          <t>Fair</t>
        </is>
      </c>
      <c r="F3901" t="n">
        <v>35</v>
      </c>
      <c r="G3901" t="n">
        <v>30</v>
      </c>
      <c r="I3901">
        <f>B3901&amp;"~"&amp;C3901</f>
        <v/>
      </c>
      <c r="J3901" t="inlineStr">
        <is>
          <t>fair, low cost and cheap</t>
        </is>
      </c>
    </row>
    <row r="3902">
      <c r="B3902" t="inlineStr">
        <is>
          <t>Shell Extended Stay - Motels</t>
        </is>
      </c>
      <c r="C3902" t="inlineStr">
        <is>
          <t>Low Cost</t>
        </is>
      </c>
      <c r="F3902" t="n">
        <v>35</v>
      </c>
      <c r="G3902" t="n">
        <v>30</v>
      </c>
      <c r="I3902">
        <f>B3902&amp;"~"&amp;C3902</f>
        <v/>
      </c>
      <c r="J3902" t="inlineStr">
        <is>
          <t>fair, low cost and cheap</t>
        </is>
      </c>
    </row>
    <row r="3903">
      <c r="B3903" t="inlineStr">
        <is>
          <t>Office-Apartments</t>
        </is>
      </c>
      <c r="C3903" t="inlineStr">
        <is>
          <t>Excellent</t>
        </is>
      </c>
      <c r="F3903" t="n">
        <v>45</v>
      </c>
      <c r="G3903" t="n">
        <v>40</v>
      </c>
      <c r="I3903">
        <f>B3903&amp;"~"&amp;C3903</f>
        <v/>
      </c>
      <c r="J3903" t="inlineStr">
        <is>
          <t>Office apartments, good and excellent</t>
        </is>
      </c>
    </row>
    <row r="3904">
      <c r="B3904" t="inlineStr">
        <is>
          <t>Office-Apartments</t>
        </is>
      </c>
      <c r="C3904" t="inlineStr">
        <is>
          <t>Good</t>
        </is>
      </c>
      <c r="F3904" t="n">
        <v>45</v>
      </c>
      <c r="G3904" t="n">
        <v>40</v>
      </c>
      <c r="I3904">
        <f>B3904&amp;"~"&amp;C3904</f>
        <v/>
      </c>
      <c r="J3904" t="inlineStr">
        <is>
          <t>Office apartments, good and excellent</t>
        </is>
      </c>
    </row>
    <row r="3905">
      <c r="B3905" t="inlineStr">
        <is>
          <t>Office-Apartments</t>
        </is>
      </c>
      <c r="C3905" t="inlineStr">
        <is>
          <t>Average</t>
        </is>
      </c>
      <c r="F3905" t="n">
        <v>40</v>
      </c>
      <c r="G3905" t="n">
        <v>35</v>
      </c>
      <c r="H3905" t="n">
        <v>35</v>
      </c>
      <c r="I3905">
        <f>B3905&amp;"~"&amp;C3905</f>
        <v/>
      </c>
      <c r="J3905" t="inlineStr">
        <is>
          <t>average</t>
        </is>
      </c>
    </row>
    <row r="3906">
      <c r="B3906" t="inlineStr">
        <is>
          <t>Office-Apartments</t>
        </is>
      </c>
      <c r="C3906" t="inlineStr">
        <is>
          <t>Low Cost</t>
        </is>
      </c>
      <c r="F3906" t="n">
        <v>35</v>
      </c>
      <c r="G3906" t="n">
        <v>30</v>
      </c>
      <c r="I3906">
        <f>B3906&amp;"~"&amp;C3906</f>
        <v/>
      </c>
      <c r="J3906" t="inlineStr">
        <is>
          <t>low cost</t>
        </is>
      </c>
    </row>
    <row r="3907">
      <c r="B3907" t="inlineStr">
        <is>
          <t>Office-Apartments</t>
        </is>
      </c>
      <c r="C3907" t="inlineStr">
        <is>
          <t>Cheap</t>
        </is>
      </c>
      <c r="F3907" t="n">
        <v>35</v>
      </c>
      <c r="G3907" t="n">
        <v>30</v>
      </c>
      <c r="I3907">
        <f>B3907&amp;"~"&amp;C3907</f>
        <v/>
      </c>
      <c r="J3907" t="inlineStr">
        <is>
          <t>cheap</t>
        </is>
      </c>
    </row>
    <row r="3908">
      <c r="B3908" t="inlineStr">
        <is>
          <t>Motel Guest Rooms</t>
        </is>
      </c>
      <c r="C3908" t="inlineStr">
        <is>
          <t>Excellent</t>
        </is>
      </c>
      <c r="F3908" t="n">
        <v>45</v>
      </c>
      <c r="G3908" t="n">
        <v>40</v>
      </c>
      <c r="I3908">
        <f>B3908&amp;"~"&amp;C3908</f>
        <v/>
      </c>
      <c r="J3908" t="inlineStr">
        <is>
          <t>Motels and extended-stay motels, good and excellent</t>
        </is>
      </c>
    </row>
    <row r="3909">
      <c r="B3909" t="inlineStr">
        <is>
          <t>Motel Guest Rooms</t>
        </is>
      </c>
      <c r="C3909" t="inlineStr">
        <is>
          <t>Good</t>
        </is>
      </c>
      <c r="F3909" t="n">
        <v>45</v>
      </c>
      <c r="G3909" t="n">
        <v>40</v>
      </c>
      <c r="I3909">
        <f>B3909&amp;"~"&amp;C3909</f>
        <v/>
      </c>
      <c r="J3909" t="inlineStr">
        <is>
          <t>Motels and extended-stay motels, good and excellent</t>
        </is>
      </c>
    </row>
    <row r="3910">
      <c r="B3910" t="inlineStr">
        <is>
          <t>Motel Guest Rooms</t>
        </is>
      </c>
      <c r="C3910" t="inlineStr">
        <is>
          <t>Average</t>
        </is>
      </c>
      <c r="F3910" t="n">
        <v>40</v>
      </c>
      <c r="G3910" t="n">
        <v>35</v>
      </c>
      <c r="H3910" t="n">
        <v>35</v>
      </c>
      <c r="I3910">
        <f>B3910&amp;"~"&amp;C3910</f>
        <v/>
      </c>
      <c r="J3910" t="inlineStr">
        <is>
          <t>average</t>
        </is>
      </c>
    </row>
    <row r="3911">
      <c r="B3911" t="inlineStr">
        <is>
          <t>Motel Guest Rooms</t>
        </is>
      </c>
      <c r="C3911" t="inlineStr">
        <is>
          <t>Low Cost</t>
        </is>
      </c>
      <c r="F3911" t="n">
        <v>35</v>
      </c>
      <c r="G3911" t="n">
        <v>30</v>
      </c>
      <c r="I3911">
        <f>B3911&amp;"~"&amp;C3911</f>
        <v/>
      </c>
      <c r="J3911" t="inlineStr">
        <is>
          <t>fair, low cost and cheap</t>
        </is>
      </c>
    </row>
    <row r="3912">
      <c r="B3912" t="inlineStr">
        <is>
          <t>Motel Guest Rooms</t>
        </is>
      </c>
      <c r="C3912" t="inlineStr">
        <is>
          <t>Cheap</t>
        </is>
      </c>
      <c r="F3912" t="n">
        <v>35</v>
      </c>
      <c r="G3912" t="n">
        <v>30</v>
      </c>
      <c r="I3912">
        <f>B3912&amp;"~"&amp;C3912</f>
        <v/>
      </c>
      <c r="J3912" t="inlineStr">
        <is>
          <t>fair, low cost and cheap</t>
        </is>
      </c>
    </row>
    <row r="3913">
      <c r="B3913" t="inlineStr">
        <is>
          <t>Lodges</t>
        </is>
      </c>
      <c r="C3913" t="inlineStr">
        <is>
          <t>Excellent</t>
        </is>
      </c>
      <c r="F3913" t="n">
        <v>50</v>
      </c>
      <c r="G3913" t="n">
        <v>45</v>
      </c>
      <c r="I3913">
        <f>B3913&amp;"~"&amp;C3913</f>
        <v/>
      </c>
      <c r="J3913" t="inlineStr">
        <is>
          <t>Lodges, very good and excellent</t>
        </is>
      </c>
    </row>
    <row r="3914">
      <c r="B3914" t="inlineStr">
        <is>
          <t>Lodges</t>
        </is>
      </c>
      <c r="C3914" t="inlineStr">
        <is>
          <t>Very Good</t>
        </is>
      </c>
      <c r="F3914" t="n">
        <v>50</v>
      </c>
      <c r="G3914" t="n">
        <v>45</v>
      </c>
      <c r="I3914">
        <f>B3914&amp;"~"&amp;C3914</f>
        <v/>
      </c>
      <c r="J3914" t="inlineStr">
        <is>
          <t>Lodges, very good and excellent</t>
        </is>
      </c>
    </row>
    <row r="3915">
      <c r="B3915" t="inlineStr">
        <is>
          <t>Lodges</t>
        </is>
      </c>
      <c r="C3915" t="inlineStr">
        <is>
          <t>Good</t>
        </is>
      </c>
      <c r="F3915" t="n">
        <v>45</v>
      </c>
      <c r="G3915" t="n">
        <v>40</v>
      </c>
      <c r="I3915">
        <f>B3915&amp;"~"&amp;C3915</f>
        <v/>
      </c>
      <c r="J3915" t="inlineStr">
        <is>
          <t>good</t>
        </is>
      </c>
    </row>
    <row r="3916">
      <c r="B3916" t="inlineStr">
        <is>
          <t>Lodges</t>
        </is>
      </c>
      <c r="C3916" t="inlineStr">
        <is>
          <t>Average</t>
        </is>
      </c>
      <c r="F3916" t="n">
        <v>40</v>
      </c>
      <c r="G3916" t="n">
        <v>35</v>
      </c>
      <c r="I3916">
        <f>B3916&amp;"~"&amp;C3916</f>
        <v/>
      </c>
      <c r="J3916" t="inlineStr">
        <is>
          <t>average</t>
        </is>
      </c>
    </row>
    <row r="3917">
      <c r="B3917" t="inlineStr">
        <is>
          <t>Lodges</t>
        </is>
      </c>
      <c r="C3917" t="inlineStr">
        <is>
          <t>Fair</t>
        </is>
      </c>
      <c r="F3917" t="n">
        <v>35</v>
      </c>
      <c r="G3917" t="n">
        <v>30</v>
      </c>
      <c r="I3917">
        <f>B3917&amp;"~"&amp;C3917</f>
        <v/>
      </c>
      <c r="J3917" t="inlineStr">
        <is>
          <t>low cost and fair</t>
        </is>
      </c>
    </row>
    <row r="3918">
      <c r="B3918" t="inlineStr">
        <is>
          <t>Lodges</t>
        </is>
      </c>
      <c r="C3918" t="inlineStr">
        <is>
          <t>Low Cost</t>
        </is>
      </c>
      <c r="F3918" t="n">
        <v>35</v>
      </c>
      <c r="G3918" t="n">
        <v>30</v>
      </c>
      <c r="I3918">
        <f>B3918&amp;"~"&amp;C3918</f>
        <v/>
      </c>
      <c r="J3918" t="inlineStr">
        <is>
          <t>low cost and fair</t>
        </is>
      </c>
    </row>
    <row r="3919">
      <c r="B3919" t="inlineStr">
        <is>
          <t>Lodges</t>
        </is>
      </c>
      <c r="C3919" t="inlineStr">
        <is>
          <t>Cheap</t>
        </is>
      </c>
      <c r="F3919" t="n">
        <v>35</v>
      </c>
      <c r="G3919" t="n">
        <v>30</v>
      </c>
      <c r="I3919">
        <f>B3919&amp;"~"&amp;C3919</f>
        <v/>
      </c>
      <c r="J3919" t="inlineStr">
        <is>
          <t>cheap</t>
        </is>
      </c>
    </row>
    <row r="3920">
      <c r="B3920" t="inlineStr">
        <is>
          <t>Guest Cottages</t>
        </is>
      </c>
      <c r="C3920" t="inlineStr">
        <is>
          <t>Excellent</t>
        </is>
      </c>
      <c r="F3920" t="n">
        <v>50</v>
      </c>
      <c r="G3920" t="n">
        <v>45</v>
      </c>
      <c r="I3920">
        <f>B3920&amp;"~"&amp;C3920</f>
        <v/>
      </c>
      <c r="J3920" t="inlineStr">
        <is>
          <t>Guest cottages, excellent</t>
        </is>
      </c>
    </row>
    <row r="3921">
      <c r="B3921" t="inlineStr">
        <is>
          <t>Guest Cottages</t>
        </is>
      </c>
      <c r="C3921" t="inlineStr">
        <is>
          <t>Good</t>
        </is>
      </c>
      <c r="F3921" t="n">
        <v>45</v>
      </c>
      <c r="G3921" t="n">
        <v>40</v>
      </c>
      <c r="I3921">
        <f>B3921&amp;"~"&amp;C3921</f>
        <v/>
      </c>
      <c r="J3921" t="inlineStr">
        <is>
          <t>good</t>
        </is>
      </c>
    </row>
    <row r="3922">
      <c r="B3922" t="inlineStr">
        <is>
          <t>Guest Cottages</t>
        </is>
      </c>
      <c r="C3922" t="inlineStr">
        <is>
          <t>Average</t>
        </is>
      </c>
      <c r="F3922" t="n">
        <v>40</v>
      </c>
      <c r="G3922" t="n">
        <v>35</v>
      </c>
      <c r="I3922">
        <f>B3922&amp;"~"&amp;C3922</f>
        <v/>
      </c>
      <c r="J3922" t="inlineStr">
        <is>
          <t>average</t>
        </is>
      </c>
    </row>
    <row r="3923">
      <c r="B3923" t="inlineStr">
        <is>
          <t>Guest Cottages</t>
        </is>
      </c>
      <c r="C3923" t="inlineStr">
        <is>
          <t>Fair</t>
        </is>
      </c>
      <c r="F3923" t="n">
        <v>35</v>
      </c>
      <c r="G3923" t="n">
        <v>30</v>
      </c>
      <c r="I3923">
        <f>B3923&amp;"~"&amp;C3923</f>
        <v/>
      </c>
      <c r="J3923" t="inlineStr">
        <is>
          <t>low cost and fair</t>
        </is>
      </c>
    </row>
    <row r="3924">
      <c r="B3924" t="inlineStr">
        <is>
          <t>Guest Cottages</t>
        </is>
      </c>
      <c r="C3924" t="inlineStr">
        <is>
          <t>Low Cost</t>
        </is>
      </c>
      <c r="F3924" t="n">
        <v>35</v>
      </c>
      <c r="G3924" t="n">
        <v>30</v>
      </c>
      <c r="I3924">
        <f>B3924&amp;"~"&amp;C3924</f>
        <v/>
      </c>
      <c r="J3924" t="inlineStr">
        <is>
          <t>low cost and fair</t>
        </is>
      </c>
    </row>
    <row r="3925">
      <c r="B3925" t="inlineStr">
        <is>
          <t>Guest Cottages</t>
        </is>
      </c>
      <c r="C3925" t="inlineStr">
        <is>
          <t>Cheap</t>
        </is>
      </c>
      <c r="G3925" t="n">
        <v>25</v>
      </c>
      <c r="I3925">
        <f>B3925&amp;"~"&amp;C3925</f>
        <v/>
      </c>
      <c r="J3925" t="inlineStr">
        <is>
          <t>cheap</t>
        </is>
      </c>
    </row>
    <row r="3926">
      <c r="B3926" t="inlineStr">
        <is>
          <t>Bed and Breakfast Inns</t>
        </is>
      </c>
      <c r="C3926" t="inlineStr">
        <is>
          <t>Excellent</t>
        </is>
      </c>
      <c r="F3926" t="n">
        <v>65</v>
      </c>
      <c r="G3926" t="n">
        <v>60</v>
      </c>
      <c r="I3926">
        <f>B3926&amp;"~"&amp;C3926</f>
        <v/>
      </c>
      <c r="J3926" t="inlineStr">
        <is>
          <t>Bed and breakfast inns, excellent</t>
        </is>
      </c>
    </row>
    <row r="3927">
      <c r="B3927" t="inlineStr">
        <is>
          <t>Bed and Breakfast Inns</t>
        </is>
      </c>
      <c r="C3927" t="inlineStr">
        <is>
          <t>Good</t>
        </is>
      </c>
      <c r="F3927" t="n">
        <v>60</v>
      </c>
      <c r="G3927" t="n">
        <v>55</v>
      </c>
      <c r="I3927">
        <f>B3927&amp;"~"&amp;C3927</f>
        <v/>
      </c>
      <c r="J3927" t="inlineStr">
        <is>
          <t>good</t>
        </is>
      </c>
    </row>
    <row r="3928">
      <c r="B3928" t="inlineStr">
        <is>
          <t>Bed and Breakfast Inns</t>
        </is>
      </c>
      <c r="C3928" t="inlineStr">
        <is>
          <t>Average</t>
        </is>
      </c>
      <c r="F3928" t="n">
        <v>55</v>
      </c>
      <c r="G3928" t="n">
        <v>50</v>
      </c>
      <c r="I3928">
        <f>B3928&amp;"~"&amp;C3928</f>
        <v/>
      </c>
      <c r="J3928" t="inlineStr">
        <is>
          <t>average</t>
        </is>
      </c>
    </row>
    <row r="3929">
      <c r="B3929" t="inlineStr">
        <is>
          <t>Bed and Breakfast Inns</t>
        </is>
      </c>
      <c r="C3929" t="inlineStr">
        <is>
          <t>Low Cost</t>
        </is>
      </c>
      <c r="F3929" t="n">
        <v>50</v>
      </c>
      <c r="G3929" t="n">
        <v>45</v>
      </c>
      <c r="I3929">
        <f>B3929&amp;"~"&amp;C3929</f>
        <v/>
      </c>
      <c r="J3929" t="inlineStr">
        <is>
          <t>low cost</t>
        </is>
      </c>
    </row>
    <row r="3930">
      <c r="B3930" t="inlineStr">
        <is>
          <t>Multiple Residences</t>
        </is>
      </c>
      <c r="C3930" t="inlineStr">
        <is>
          <t>Excellent</t>
        </is>
      </c>
      <c r="F3930" t="n">
        <v>60</v>
      </c>
      <c r="G3930" t="n">
        <v>55</v>
      </c>
      <c r="I3930">
        <f>B3930&amp;"~"&amp;C3930</f>
        <v/>
      </c>
      <c r="J3930" t="inlineStr">
        <is>
          <t>Multiple residences, excellent</t>
        </is>
      </c>
    </row>
    <row r="3931">
      <c r="B3931" t="inlineStr">
        <is>
          <t>Multiple Residences</t>
        </is>
      </c>
      <c r="C3931" t="inlineStr">
        <is>
          <t>Good</t>
        </is>
      </c>
      <c r="F3931" t="n">
        <v>55</v>
      </c>
      <c r="G3931" t="n">
        <v>50</v>
      </c>
      <c r="H3931" t="n">
        <v>50</v>
      </c>
      <c r="I3931">
        <f>B3931&amp;"~"&amp;C3931</f>
        <v/>
      </c>
      <c r="J3931" t="inlineStr">
        <is>
          <t>good</t>
        </is>
      </c>
    </row>
    <row r="3932">
      <c r="B3932" t="inlineStr">
        <is>
          <t>Multiple Residences</t>
        </is>
      </c>
      <c r="C3932" t="inlineStr">
        <is>
          <t>Average</t>
        </is>
      </c>
      <c r="F3932" t="n">
        <v>55</v>
      </c>
      <c r="G3932" t="n">
        <v>50</v>
      </c>
      <c r="H3932" t="n">
        <v>50</v>
      </c>
      <c r="I3932">
        <f>B3932&amp;"~"&amp;C3932</f>
        <v/>
      </c>
      <c r="J3932" t="inlineStr">
        <is>
          <t>average</t>
        </is>
      </c>
    </row>
    <row r="3933">
      <c r="B3933" t="inlineStr">
        <is>
          <t>Multiple Residences</t>
        </is>
      </c>
      <c r="C3933" t="inlineStr">
        <is>
          <t>Fair</t>
        </is>
      </c>
      <c r="F3933" t="n">
        <v>50</v>
      </c>
      <c r="G3933" t="n">
        <v>45</v>
      </c>
      <c r="I3933">
        <f>B3933&amp;"~"&amp;C3933</f>
        <v/>
      </c>
      <c r="J3933" t="inlineStr">
        <is>
          <t>low cost and fair</t>
        </is>
      </c>
    </row>
    <row r="3934">
      <c r="B3934" t="inlineStr">
        <is>
          <t>Multiple Residences</t>
        </is>
      </c>
      <c r="C3934" t="inlineStr">
        <is>
          <t>Low Cost</t>
        </is>
      </c>
      <c r="F3934" t="n">
        <v>50</v>
      </c>
      <c r="G3934" t="n">
        <v>45</v>
      </c>
      <c r="I3934">
        <f>B3934&amp;"~"&amp;C3934</f>
        <v/>
      </c>
      <c r="J3934" t="inlineStr">
        <is>
          <t>low cost and fair</t>
        </is>
      </c>
    </row>
    <row r="3935">
      <c r="B3935" t="inlineStr">
        <is>
          <t>Shell Multiple Residence Buildings</t>
        </is>
      </c>
      <c r="C3935" t="inlineStr">
        <is>
          <t>Excellent</t>
        </is>
      </c>
      <c r="F3935" t="n">
        <v>60</v>
      </c>
      <c r="G3935" t="n">
        <v>55</v>
      </c>
      <c r="I3935">
        <f>B3935&amp;"~"&amp;C3935</f>
        <v/>
      </c>
      <c r="J3935" t="inlineStr">
        <is>
          <t>Multiple residences, excellent</t>
        </is>
      </c>
    </row>
    <row r="3936">
      <c r="B3936" t="inlineStr">
        <is>
          <t>Shell Multiple Residence Buildings</t>
        </is>
      </c>
      <c r="C3936" t="inlineStr">
        <is>
          <t>Good</t>
        </is>
      </c>
      <c r="F3936" t="n">
        <v>55</v>
      </c>
      <c r="G3936" t="n">
        <v>50</v>
      </c>
      <c r="H3936" t="n">
        <v>50</v>
      </c>
      <c r="I3936">
        <f>B3936&amp;"~"&amp;C3936</f>
        <v/>
      </c>
      <c r="J3936" t="inlineStr">
        <is>
          <t>good</t>
        </is>
      </c>
    </row>
    <row r="3937">
      <c r="B3937" t="inlineStr">
        <is>
          <t>Shell Multiple Residence Buildings</t>
        </is>
      </c>
      <c r="C3937" t="inlineStr">
        <is>
          <t>Average</t>
        </is>
      </c>
      <c r="F3937" t="n">
        <v>55</v>
      </c>
      <c r="G3937" t="n">
        <v>50</v>
      </c>
      <c r="H3937" t="n">
        <v>50</v>
      </c>
      <c r="I3937">
        <f>B3937&amp;"~"&amp;C3937</f>
        <v/>
      </c>
      <c r="J3937" t="inlineStr">
        <is>
          <t>average</t>
        </is>
      </c>
    </row>
    <row r="3938">
      <c r="B3938" t="inlineStr">
        <is>
          <t>Shell Multiple Residence Buildings</t>
        </is>
      </c>
      <c r="C3938" t="inlineStr">
        <is>
          <t>Fair</t>
        </is>
      </c>
      <c r="F3938" t="n">
        <v>50</v>
      </c>
      <c r="G3938" t="n">
        <v>45</v>
      </c>
      <c r="I3938">
        <f>B3938&amp;"~"&amp;C3938</f>
        <v/>
      </c>
      <c r="J3938" t="inlineStr">
        <is>
          <t>low cost and fair</t>
        </is>
      </c>
    </row>
    <row r="3939">
      <c r="B3939" t="inlineStr">
        <is>
          <t>Multiple Residences – Senior Citizen</t>
        </is>
      </c>
      <c r="C3939" t="inlineStr">
        <is>
          <t>Excellent</t>
        </is>
      </c>
      <c r="F3939" t="n">
        <v>60</v>
      </c>
      <c r="G3939" t="n">
        <v>55</v>
      </c>
      <c r="I3939">
        <f>B3939&amp;"~"&amp;C3939</f>
        <v/>
      </c>
      <c r="J3939" t="inlineStr">
        <is>
          <t>Multiple residences, excellent</t>
        </is>
      </c>
    </row>
    <row r="3940">
      <c r="B3940" t="inlineStr">
        <is>
          <t>Multiple Residences – Senior Citizen</t>
        </is>
      </c>
      <c r="C3940" t="inlineStr">
        <is>
          <t>Good</t>
        </is>
      </c>
      <c r="F3940" t="n">
        <v>55</v>
      </c>
      <c r="G3940" t="n">
        <v>50</v>
      </c>
      <c r="H3940" t="n">
        <v>50</v>
      </c>
      <c r="I3940">
        <f>B3940&amp;"~"&amp;C3940</f>
        <v/>
      </c>
      <c r="J3940" t="inlineStr">
        <is>
          <t>good</t>
        </is>
      </c>
    </row>
    <row r="3941">
      <c r="B3941" t="inlineStr">
        <is>
          <t>Multiple Residences – Senior Citizen</t>
        </is>
      </c>
      <c r="C3941" t="inlineStr">
        <is>
          <t>Average</t>
        </is>
      </c>
      <c r="F3941" t="n">
        <v>55</v>
      </c>
      <c r="G3941" t="n">
        <v>50</v>
      </c>
      <c r="H3941" t="n">
        <v>50</v>
      </c>
      <c r="I3941">
        <f>B3941&amp;"~"&amp;C3941</f>
        <v/>
      </c>
      <c r="J3941" t="inlineStr">
        <is>
          <t>average</t>
        </is>
      </c>
    </row>
    <row r="3942">
      <c r="B3942" t="inlineStr">
        <is>
          <t>Multiple Residences – Senior Citizen</t>
        </is>
      </c>
      <c r="C3942" t="inlineStr">
        <is>
          <t>Fair</t>
        </is>
      </c>
      <c r="F3942" t="n">
        <v>50</v>
      </c>
      <c r="G3942" t="n">
        <v>45</v>
      </c>
      <c r="I3942">
        <f>B3942&amp;"~"&amp;C3942</f>
        <v/>
      </c>
      <c r="J3942" t="inlineStr">
        <is>
          <t>low cost and fair</t>
        </is>
      </c>
    </row>
    <row r="3943">
      <c r="B3943" t="inlineStr">
        <is>
          <t>Multiple Residences – Senior Citizen</t>
        </is>
      </c>
      <c r="C3943" t="inlineStr">
        <is>
          <t>Low Cost</t>
        </is>
      </c>
      <c r="F3943" t="n">
        <v>50</v>
      </c>
      <c r="G3943" t="n">
        <v>45</v>
      </c>
      <c r="I3943">
        <f>B3943&amp;"~"&amp;C3943</f>
        <v/>
      </c>
      <c r="J3943" t="inlineStr">
        <is>
          <t>low cost and fair</t>
        </is>
      </c>
    </row>
    <row r="3944">
      <c r="B3944" t="inlineStr">
        <is>
          <t>Shell Multiple Residences - Senior Citizen</t>
        </is>
      </c>
      <c r="C3944" t="inlineStr">
        <is>
          <t>Excellent</t>
        </is>
      </c>
      <c r="F3944" t="n">
        <v>60</v>
      </c>
      <c r="G3944" t="n">
        <v>55</v>
      </c>
      <c r="I3944">
        <f>B3944&amp;"~"&amp;C3944</f>
        <v/>
      </c>
      <c r="J3944" t="inlineStr">
        <is>
          <t>Multiple residences, excellent</t>
        </is>
      </c>
    </row>
    <row r="3945">
      <c r="B3945" t="inlineStr">
        <is>
          <t>Shell Multiple Residences - Senior Citizen</t>
        </is>
      </c>
      <c r="C3945" t="inlineStr">
        <is>
          <t>Good</t>
        </is>
      </c>
      <c r="F3945" t="n">
        <v>55</v>
      </c>
      <c r="G3945" t="n">
        <v>50</v>
      </c>
      <c r="H3945" t="n">
        <v>50</v>
      </c>
      <c r="I3945">
        <f>B3945&amp;"~"&amp;C3945</f>
        <v/>
      </c>
      <c r="J3945" t="inlineStr">
        <is>
          <t>good</t>
        </is>
      </c>
    </row>
    <row r="3946">
      <c r="B3946" t="inlineStr">
        <is>
          <t>Shell Multiple Residences - Senior Citizen</t>
        </is>
      </c>
      <c r="C3946" t="inlineStr">
        <is>
          <t>Average</t>
        </is>
      </c>
      <c r="F3946" t="n">
        <v>55</v>
      </c>
      <c r="G3946" t="n">
        <v>50</v>
      </c>
      <c r="H3946" t="n">
        <v>50</v>
      </c>
      <c r="I3946">
        <f>B3946&amp;"~"&amp;C3946</f>
        <v/>
      </c>
      <c r="J3946" t="inlineStr">
        <is>
          <t>average</t>
        </is>
      </c>
    </row>
    <row r="3947">
      <c r="B3947" t="inlineStr">
        <is>
          <t>Shell Multiple Residences - Senior Citizen</t>
        </is>
      </c>
      <c r="C3947" t="inlineStr">
        <is>
          <t>Fair</t>
        </is>
      </c>
      <c r="F3947" t="n">
        <v>50</v>
      </c>
      <c r="G3947" t="n">
        <v>45</v>
      </c>
      <c r="I3947">
        <f>B3947&amp;"~"&amp;C3947</f>
        <v/>
      </c>
      <c r="J3947" t="inlineStr">
        <is>
          <t>low cost and fair</t>
        </is>
      </c>
    </row>
    <row r="3948">
      <c r="B3948" t="inlineStr">
        <is>
          <t>Shell Multiple Residences - Senior Citizen</t>
        </is>
      </c>
      <c r="C3948" t="inlineStr">
        <is>
          <t>Low Cost</t>
        </is>
      </c>
      <c r="F3948" t="n">
        <v>50</v>
      </c>
      <c r="G3948" t="n">
        <v>45</v>
      </c>
      <c r="I3948">
        <f>B3948&amp;"~"&amp;C3948</f>
        <v/>
      </c>
      <c r="J3948" t="inlineStr">
        <is>
          <t>low cost and fair</t>
        </is>
      </c>
    </row>
    <row r="3949">
      <c r="B3949" t="inlineStr">
        <is>
          <t>Multiple Residences – Elderly Assisted Living</t>
        </is>
      </c>
      <c r="C3949" t="inlineStr">
        <is>
          <t>Excellent</t>
        </is>
      </c>
      <c r="F3949" t="n">
        <v>60</v>
      </c>
      <c r="G3949" t="n">
        <v>55</v>
      </c>
      <c r="I3949">
        <f>B3949&amp;"~"&amp;C3949</f>
        <v/>
      </c>
      <c r="J3949" t="inlineStr">
        <is>
          <t>Assisted living/retirement complexes, excellent</t>
        </is>
      </c>
    </row>
    <row r="3950">
      <c r="B3950" t="inlineStr">
        <is>
          <t>Multiple Residences – Elderly Assisted Living</t>
        </is>
      </c>
      <c r="C3950" t="inlineStr">
        <is>
          <t>Good</t>
        </is>
      </c>
      <c r="F3950" t="n">
        <v>55</v>
      </c>
      <c r="G3950" t="n">
        <v>50</v>
      </c>
      <c r="H3950" t="n">
        <v>50</v>
      </c>
      <c r="I3950">
        <f>B3950&amp;"~"&amp;C3950</f>
        <v/>
      </c>
      <c r="J3950" t="inlineStr">
        <is>
          <t>average and good</t>
        </is>
      </c>
    </row>
    <row r="3951">
      <c r="B3951" t="inlineStr">
        <is>
          <t>Multiple Residences – Elderly Assisted Living</t>
        </is>
      </c>
      <c r="C3951" t="inlineStr">
        <is>
          <t>Average</t>
        </is>
      </c>
      <c r="F3951" t="n">
        <v>55</v>
      </c>
      <c r="G3951" t="n">
        <v>50</v>
      </c>
      <c r="H3951" t="n">
        <v>50</v>
      </c>
      <c r="I3951">
        <f>B3951&amp;"~"&amp;C3951</f>
        <v/>
      </c>
      <c r="J3951" t="inlineStr">
        <is>
          <t>average and good</t>
        </is>
      </c>
    </row>
    <row r="3952">
      <c r="B3952" t="inlineStr">
        <is>
          <t>Multiple Residences – Elderly Assisted Living</t>
        </is>
      </c>
      <c r="C3952" t="inlineStr">
        <is>
          <t>Fair</t>
        </is>
      </c>
      <c r="F3952" t="n">
        <v>50</v>
      </c>
      <c r="G3952" t="n">
        <v>45</v>
      </c>
      <c r="H3952" t="n">
        <v>45</v>
      </c>
      <c r="I3952">
        <f>B3952&amp;"~"&amp;C3952</f>
        <v/>
      </c>
      <c r="J3952" t="inlineStr">
        <is>
          <t>low cost and fair</t>
        </is>
      </c>
    </row>
    <row r="3953">
      <c r="B3953" t="inlineStr">
        <is>
          <t>Multiple Residences – Elderly Assisted Living</t>
        </is>
      </c>
      <c r="C3953" t="inlineStr">
        <is>
          <t>Low Cost</t>
        </is>
      </c>
      <c r="F3953" t="n">
        <v>50</v>
      </c>
      <c r="G3953" t="n">
        <v>45</v>
      </c>
      <c r="H3953" t="n">
        <v>45</v>
      </c>
      <c r="I3953">
        <f>B3953&amp;"~"&amp;C3953</f>
        <v/>
      </c>
      <c r="J3953" t="inlineStr">
        <is>
          <t>low cost and fair</t>
        </is>
      </c>
    </row>
    <row r="3954">
      <c r="B3954" t="inlineStr">
        <is>
          <t>Shell Multiple Residences - Elderly Assisted Living</t>
        </is>
      </c>
      <c r="C3954" t="inlineStr">
        <is>
          <t>Excellent</t>
        </is>
      </c>
      <c r="F3954" t="n">
        <v>60</v>
      </c>
      <c r="G3954" t="n">
        <v>55</v>
      </c>
      <c r="I3954">
        <f>B3954&amp;"~"&amp;C3954</f>
        <v/>
      </c>
      <c r="J3954" t="inlineStr">
        <is>
          <t>Assisted living/retirement complexes, excellent</t>
        </is>
      </c>
    </row>
    <row r="3955">
      <c r="B3955" t="inlineStr">
        <is>
          <t>Shell Multiple Residences - Elderly Assisted Living</t>
        </is>
      </c>
      <c r="C3955" t="inlineStr">
        <is>
          <t>Good</t>
        </is>
      </c>
      <c r="F3955" t="n">
        <v>55</v>
      </c>
      <c r="G3955" t="n">
        <v>50</v>
      </c>
      <c r="H3955" t="n">
        <v>50</v>
      </c>
      <c r="I3955">
        <f>B3955&amp;"~"&amp;C3955</f>
        <v/>
      </c>
      <c r="J3955" t="inlineStr">
        <is>
          <t>average and good</t>
        </is>
      </c>
    </row>
    <row r="3956">
      <c r="B3956" t="inlineStr">
        <is>
          <t>Shell Multiple Residences - Elderly Assisted Living</t>
        </is>
      </c>
      <c r="C3956" t="inlineStr">
        <is>
          <t>Average</t>
        </is>
      </c>
      <c r="F3956" t="n">
        <v>55</v>
      </c>
      <c r="G3956" t="n">
        <v>50</v>
      </c>
      <c r="H3956" t="n">
        <v>50</v>
      </c>
      <c r="I3956">
        <f>B3956&amp;"~"&amp;C3956</f>
        <v/>
      </c>
      <c r="J3956" t="inlineStr">
        <is>
          <t>average and good</t>
        </is>
      </c>
    </row>
    <row r="3957">
      <c r="B3957" t="inlineStr">
        <is>
          <t>Shell Multiple Residences - Elderly Assisted Living</t>
        </is>
      </c>
      <c r="C3957" t="inlineStr">
        <is>
          <t>Fair</t>
        </is>
      </c>
      <c r="F3957" t="n">
        <v>50</v>
      </c>
      <c r="G3957" t="n">
        <v>45</v>
      </c>
      <c r="H3957" t="n">
        <v>45</v>
      </c>
      <c r="I3957">
        <f>B3957&amp;"~"&amp;C3957</f>
        <v/>
      </c>
      <c r="J3957" t="inlineStr">
        <is>
          <t>low cost and fair</t>
        </is>
      </c>
    </row>
    <row r="3958">
      <c r="B3958" t="inlineStr">
        <is>
          <t>Shell Multiple Residences - Elderly Assisted Living</t>
        </is>
      </c>
      <c r="C3958" t="inlineStr">
        <is>
          <t>Low Cost</t>
        </is>
      </c>
      <c r="F3958" t="n">
        <v>50</v>
      </c>
      <c r="G3958" t="n">
        <v>45</v>
      </c>
      <c r="H3958" t="n">
        <v>45</v>
      </c>
      <c r="I3958">
        <f>B3958&amp;"~"&amp;C3958</f>
        <v/>
      </c>
      <c r="J3958" t="inlineStr">
        <is>
          <t>low cost and fair</t>
        </is>
      </c>
    </row>
    <row r="3959">
      <c r="B3959" t="inlineStr">
        <is>
          <t>Multiple Residences – Retirement Community Complex</t>
        </is>
      </c>
      <c r="C3959" t="inlineStr">
        <is>
          <t>Good</t>
        </is>
      </c>
      <c r="F3959" t="n">
        <v>55</v>
      </c>
      <c r="G3959" t="n">
        <v>50</v>
      </c>
      <c r="H3959" t="n">
        <v>50</v>
      </c>
      <c r="I3959">
        <f>B3959&amp;"~"&amp;C3959</f>
        <v/>
      </c>
      <c r="J3959" t="inlineStr">
        <is>
          <t>average and good</t>
        </is>
      </c>
    </row>
    <row r="3960">
      <c r="B3960" t="inlineStr">
        <is>
          <t>Multiple Residences – Retirement Community Complex</t>
        </is>
      </c>
      <c r="C3960" t="inlineStr">
        <is>
          <t>Average</t>
        </is>
      </c>
      <c r="F3960" t="n">
        <v>55</v>
      </c>
      <c r="G3960" t="n">
        <v>50</v>
      </c>
      <c r="H3960" t="n">
        <v>50</v>
      </c>
      <c r="I3960">
        <f>B3960&amp;"~"&amp;C3960</f>
        <v/>
      </c>
      <c r="J3960" t="inlineStr">
        <is>
          <t>average and good</t>
        </is>
      </c>
    </row>
    <row r="3961">
      <c r="B3961" t="inlineStr">
        <is>
          <t>Multiple Residences – Retirement Community Complex</t>
        </is>
      </c>
      <c r="C3961" t="inlineStr">
        <is>
          <t>Fair</t>
        </is>
      </c>
      <c r="F3961" t="n">
        <v>50</v>
      </c>
      <c r="G3961" t="n">
        <v>45</v>
      </c>
      <c r="H3961" t="n">
        <v>45</v>
      </c>
      <c r="I3961">
        <f>B3961&amp;"~"&amp;C3961</f>
        <v/>
      </c>
      <c r="J3961" t="inlineStr">
        <is>
          <t>low cost and fair</t>
        </is>
      </c>
    </row>
    <row r="3962">
      <c r="B3962" t="inlineStr">
        <is>
          <t>Multiple Residences – Retirement Community Complex</t>
        </is>
      </c>
      <c r="C3962" t="inlineStr">
        <is>
          <t>Low Cost</t>
        </is>
      </c>
      <c r="F3962" t="n">
        <v>50</v>
      </c>
      <c r="G3962" t="n">
        <v>45</v>
      </c>
      <c r="H3962" t="n">
        <v>45</v>
      </c>
      <c r="I3962">
        <f>B3962&amp;"~"&amp;C3962</f>
        <v/>
      </c>
      <c r="J3962" t="inlineStr">
        <is>
          <t>low cost and fair</t>
        </is>
      </c>
    </row>
    <row r="3963">
      <c r="B3963" t="inlineStr">
        <is>
          <t>Shell Multiple Residences - Retirement Community Complex</t>
        </is>
      </c>
      <c r="C3963" t="inlineStr">
        <is>
          <t>Good</t>
        </is>
      </c>
      <c r="F3963" t="n">
        <v>55</v>
      </c>
      <c r="G3963" t="n">
        <v>50</v>
      </c>
      <c r="H3963" t="n">
        <v>50</v>
      </c>
      <c r="I3963">
        <f>B3963&amp;"~"&amp;C3963</f>
        <v/>
      </c>
      <c r="J3963" t="inlineStr">
        <is>
          <t>average and good</t>
        </is>
      </c>
    </row>
    <row r="3964">
      <c r="B3964" t="inlineStr">
        <is>
          <t>Shell Multiple Residences - Retirement Community Complex</t>
        </is>
      </c>
      <c r="C3964" t="inlineStr">
        <is>
          <t>Average</t>
        </is>
      </c>
      <c r="F3964" t="n">
        <v>55</v>
      </c>
      <c r="G3964" t="n">
        <v>50</v>
      </c>
      <c r="H3964" t="n">
        <v>50</v>
      </c>
      <c r="I3964">
        <f>B3964&amp;"~"&amp;C3964</f>
        <v/>
      </c>
      <c r="J3964" t="inlineStr">
        <is>
          <t>average and good</t>
        </is>
      </c>
    </row>
    <row r="3965">
      <c r="B3965" t="inlineStr">
        <is>
          <t>Shell Multiple Residences - Retirement Community Complex</t>
        </is>
      </c>
      <c r="C3965" t="inlineStr">
        <is>
          <t>Fair</t>
        </is>
      </c>
      <c r="F3965" t="n">
        <v>50</v>
      </c>
      <c r="G3965" t="n">
        <v>45</v>
      </c>
      <c r="H3965" t="n">
        <v>45</v>
      </c>
      <c r="I3965">
        <f>B3965&amp;"~"&amp;C3965</f>
        <v/>
      </c>
      <c r="J3965" t="inlineStr">
        <is>
          <t>low cost and fair</t>
        </is>
      </c>
    </row>
    <row r="3966">
      <c r="B3966" t="inlineStr">
        <is>
          <t>Shell Multiple Residences - Retirement Community Complex</t>
        </is>
      </c>
      <c r="C3966" t="inlineStr">
        <is>
          <t>Low Cost</t>
        </is>
      </c>
      <c r="F3966" t="n">
        <v>50</v>
      </c>
      <c r="G3966" t="n">
        <v>45</v>
      </c>
      <c r="H3966" t="n">
        <v>45</v>
      </c>
      <c r="I3966">
        <f>B3966&amp;"~"&amp;C3966</f>
        <v/>
      </c>
      <c r="J3966" t="inlineStr">
        <is>
          <t>low cost and fair</t>
        </is>
      </c>
    </row>
    <row r="3967">
      <c r="B3967" t="inlineStr">
        <is>
          <t>Single-Family Residences</t>
        </is>
      </c>
      <c r="C3967" t="inlineStr">
        <is>
          <t>Excellent</t>
        </is>
      </c>
      <c r="F3967" t="n">
        <v>65</v>
      </c>
      <c r="G3967" t="n">
        <v>60</v>
      </c>
      <c r="I3967">
        <f>B3967&amp;"~"&amp;C3967</f>
        <v/>
      </c>
      <c r="J3967" t="inlineStr">
        <is>
          <t>Single-family and guest houses, excellent and high value</t>
        </is>
      </c>
    </row>
    <row r="3968">
      <c r="B3968" t="inlineStr">
        <is>
          <t>Single-Family Residences</t>
        </is>
      </c>
      <c r="C3968" t="inlineStr">
        <is>
          <t>Very Good</t>
        </is>
      </c>
      <c r="F3968" t="n">
        <v>60</v>
      </c>
      <c r="G3968" t="n">
        <v>55</v>
      </c>
      <c r="H3968" t="n">
        <v>55</v>
      </c>
      <c r="I3968">
        <f>B3968&amp;"~"&amp;C3968</f>
        <v/>
      </c>
      <c r="J3968" t="inlineStr">
        <is>
          <t>average, good and very good</t>
        </is>
      </c>
    </row>
    <row r="3969">
      <c r="B3969" t="inlineStr">
        <is>
          <t>Single-Family Residences</t>
        </is>
      </c>
      <c r="C3969" t="inlineStr">
        <is>
          <t>Good</t>
        </is>
      </c>
      <c r="F3969" t="n">
        <v>60</v>
      </c>
      <c r="G3969" t="n">
        <v>55</v>
      </c>
      <c r="H3969" t="n">
        <v>55</v>
      </c>
      <c r="I3969">
        <f>B3969&amp;"~"&amp;C3969</f>
        <v/>
      </c>
      <c r="J3969" t="inlineStr">
        <is>
          <t>average, good and very good</t>
        </is>
      </c>
    </row>
    <row r="3970">
      <c r="B3970" t="inlineStr">
        <is>
          <t>Single-Family Residences</t>
        </is>
      </c>
      <c r="C3970" t="inlineStr">
        <is>
          <t>Average</t>
        </is>
      </c>
      <c r="F3970" t="n">
        <v>60</v>
      </c>
      <c r="G3970" t="n">
        <v>55</v>
      </c>
      <c r="H3970" t="n">
        <v>55</v>
      </c>
      <c r="I3970">
        <f>B3970&amp;"~"&amp;C3970</f>
        <v/>
      </c>
      <c r="J3970" t="inlineStr">
        <is>
          <t>average, good and very good</t>
        </is>
      </c>
    </row>
    <row r="3971">
      <c r="B3971" t="inlineStr">
        <is>
          <t>Single-Family Residences</t>
        </is>
      </c>
      <c r="C3971" t="inlineStr">
        <is>
          <t>Fair</t>
        </is>
      </c>
      <c r="F3971" t="n">
        <v>55</v>
      </c>
      <c r="G3971" t="n">
        <v>50</v>
      </c>
      <c r="I3971">
        <f>B3971&amp;"~"&amp;C3971</f>
        <v/>
      </c>
      <c r="J3971" t="inlineStr">
        <is>
          <t>fair quality</t>
        </is>
      </c>
    </row>
    <row r="3972">
      <c r="B3972" t="inlineStr">
        <is>
          <t>Single-Family Residences</t>
        </is>
      </c>
      <c r="C3972" t="inlineStr">
        <is>
          <t>Low Cost</t>
        </is>
      </c>
      <c r="F3972" t="n">
        <v>50</v>
      </c>
      <c r="G3972" t="n">
        <v>45</v>
      </c>
      <c r="I3972">
        <f>B3972&amp;"~"&amp;C3972</f>
        <v/>
      </c>
      <c r="J3972" t="inlineStr">
        <is>
          <t>low cost</t>
        </is>
      </c>
    </row>
    <row r="3973">
      <c r="B3973" t="inlineStr">
        <is>
          <t>Single-Family Residences</t>
        </is>
      </c>
      <c r="C3973" t="inlineStr">
        <is>
          <t>Cheap</t>
        </is>
      </c>
      <c r="F3973" t="n">
        <v>35</v>
      </c>
      <c r="G3973" t="n">
        <v>30</v>
      </c>
      <c r="I3973">
        <f>B3973&amp;"~"&amp;C3973</f>
        <v/>
      </c>
      <c r="J3973" t="inlineStr">
        <is>
          <t>substandard</t>
        </is>
      </c>
    </row>
    <row r="3974">
      <c r="B3974" t="inlineStr">
        <is>
          <t>Guest Houses</t>
        </is>
      </c>
      <c r="C3974" t="inlineStr">
        <is>
          <t>Excellent</t>
        </is>
      </c>
      <c r="F3974" t="n">
        <v>65</v>
      </c>
      <c r="G3974" t="n">
        <v>60</v>
      </c>
      <c r="I3974">
        <f>B3974&amp;"~"&amp;C3974</f>
        <v/>
      </c>
      <c r="J3974" t="inlineStr">
        <is>
          <t>Single-family and guest houses, excellent and high value</t>
        </is>
      </c>
    </row>
    <row r="3975">
      <c r="B3975" t="inlineStr">
        <is>
          <t>Guest Houses</t>
        </is>
      </c>
      <c r="C3975" t="inlineStr">
        <is>
          <t>Very Good</t>
        </is>
      </c>
      <c r="F3975" t="n">
        <v>60</v>
      </c>
      <c r="G3975" t="n">
        <v>55</v>
      </c>
      <c r="H3975" t="n">
        <v>55</v>
      </c>
      <c r="I3975">
        <f>B3975&amp;"~"&amp;C3975</f>
        <v/>
      </c>
      <c r="J3975" t="inlineStr">
        <is>
          <t>average, good and very good</t>
        </is>
      </c>
    </row>
    <row r="3976">
      <c r="B3976" t="inlineStr">
        <is>
          <t>Guest Houses</t>
        </is>
      </c>
      <c r="C3976" t="inlineStr">
        <is>
          <t>Good</t>
        </is>
      </c>
      <c r="F3976" t="n">
        <v>60</v>
      </c>
      <c r="G3976" t="n">
        <v>55</v>
      </c>
      <c r="H3976" t="n">
        <v>55</v>
      </c>
      <c r="I3976">
        <f>B3976&amp;"~"&amp;C3976</f>
        <v/>
      </c>
      <c r="J3976" t="inlineStr">
        <is>
          <t>average, good and very good</t>
        </is>
      </c>
    </row>
    <row r="3977">
      <c r="B3977" t="inlineStr">
        <is>
          <t>Guest Houses</t>
        </is>
      </c>
      <c r="C3977" t="inlineStr">
        <is>
          <t>Average</t>
        </is>
      </c>
      <c r="F3977" t="n">
        <v>60</v>
      </c>
      <c r="G3977" t="n">
        <v>55</v>
      </c>
      <c r="H3977" t="n">
        <v>55</v>
      </c>
      <c r="I3977">
        <f>B3977&amp;"~"&amp;C3977</f>
        <v/>
      </c>
      <c r="J3977" t="inlineStr">
        <is>
          <t>average, good and very good</t>
        </is>
      </c>
    </row>
    <row r="3978">
      <c r="B3978" t="inlineStr">
        <is>
          <t>Guest Houses</t>
        </is>
      </c>
      <c r="C3978" t="inlineStr">
        <is>
          <t>Low Cost</t>
        </is>
      </c>
      <c r="F3978" t="n">
        <v>50</v>
      </c>
      <c r="G3978" t="n">
        <v>45</v>
      </c>
      <c r="I3978">
        <f>B3978&amp;"~"&amp;C3978</f>
        <v/>
      </c>
      <c r="J3978" t="inlineStr">
        <is>
          <t>low cost</t>
        </is>
      </c>
    </row>
    <row r="3979">
      <c r="B3979" t="inlineStr">
        <is>
          <t>Guest Houses</t>
        </is>
      </c>
      <c r="C3979" t="inlineStr">
        <is>
          <t>Cheap</t>
        </is>
      </c>
      <c r="F3979" t="n">
        <v>35</v>
      </c>
      <c r="G3979" t="n">
        <v>30</v>
      </c>
      <c r="I3979">
        <f>B3979&amp;"~"&amp;C3979</f>
        <v/>
      </c>
      <c r="J3979" t="inlineStr">
        <is>
          <t>substandard</t>
        </is>
      </c>
    </row>
    <row r="3980">
      <c r="B3980" t="inlineStr">
        <is>
          <t>Log Homes</t>
        </is>
      </c>
      <c r="C3980" t="inlineStr">
        <is>
          <t>Excellent</t>
        </is>
      </c>
      <c r="G3980" t="n">
        <v>55</v>
      </c>
      <c r="I3980">
        <f>B3980&amp;"~"&amp;C3980</f>
        <v/>
      </c>
      <c r="J3980" t="inlineStr">
        <is>
          <t>Log homes, excellent</t>
        </is>
      </c>
    </row>
    <row r="3981">
      <c r="B3981" t="inlineStr">
        <is>
          <t>Log Homes</t>
        </is>
      </c>
      <c r="C3981" t="inlineStr">
        <is>
          <t>Good</t>
        </is>
      </c>
      <c r="G3981" t="n">
        <v>50</v>
      </c>
      <c r="I3981">
        <f>B3981&amp;"~"&amp;C3981</f>
        <v/>
      </c>
      <c r="J3981" t="inlineStr">
        <is>
          <t>average and good</t>
        </is>
      </c>
    </row>
    <row r="3982">
      <c r="B3982" t="inlineStr">
        <is>
          <t>Log Homes</t>
        </is>
      </c>
      <c r="C3982" t="inlineStr">
        <is>
          <t>Average</t>
        </is>
      </c>
      <c r="G3982" t="n">
        <v>50</v>
      </c>
      <c r="I3982">
        <f>B3982&amp;"~"&amp;C3982</f>
        <v/>
      </c>
      <c r="J3982" t="inlineStr">
        <is>
          <t>average and good</t>
        </is>
      </c>
    </row>
    <row r="3983">
      <c r="B3983" t="inlineStr">
        <is>
          <t>Log Homes</t>
        </is>
      </c>
      <c r="C3983" t="inlineStr">
        <is>
          <t>Low Cost</t>
        </is>
      </c>
      <c r="G3983" t="n">
        <v>45</v>
      </c>
      <c r="I3983">
        <f>B3983&amp;"~"&amp;C3983</f>
        <v/>
      </c>
      <c r="J3983" t="inlineStr">
        <is>
          <t>low cost</t>
        </is>
      </c>
    </row>
    <row r="3984">
      <c r="B3984" t="inlineStr">
        <is>
          <t>Town Houses</t>
        </is>
      </c>
      <c r="C3984" t="inlineStr">
        <is>
          <t>Excellent</t>
        </is>
      </c>
      <c r="F3984" t="n">
        <v>60</v>
      </c>
      <c r="G3984" t="n">
        <v>55</v>
      </c>
      <c r="I3984">
        <f>B3984&amp;"~"&amp;C3984</f>
        <v/>
      </c>
      <c r="J3984" t="inlineStr">
        <is>
          <t>Town and row houses, excellent</t>
        </is>
      </c>
    </row>
    <row r="3985">
      <c r="B3985" t="inlineStr">
        <is>
          <t>Town Houses</t>
        </is>
      </c>
      <c r="C3985" t="inlineStr">
        <is>
          <t>Good</t>
        </is>
      </c>
      <c r="F3985" t="n">
        <v>55</v>
      </c>
      <c r="G3985" t="n">
        <v>50</v>
      </c>
      <c r="H3985" t="n">
        <v>50</v>
      </c>
      <c r="I3985">
        <f>B3985&amp;"~"&amp;C3985</f>
        <v/>
      </c>
      <c r="J3985" t="inlineStr">
        <is>
          <t>good</t>
        </is>
      </c>
    </row>
    <row r="3986">
      <c r="B3986" t="inlineStr">
        <is>
          <t>Town Houses</t>
        </is>
      </c>
      <c r="C3986" t="inlineStr">
        <is>
          <t>Average</t>
        </is>
      </c>
      <c r="F3986" t="n">
        <v>55</v>
      </c>
      <c r="G3986" t="n">
        <v>50</v>
      </c>
      <c r="H3986" t="n">
        <v>50</v>
      </c>
      <c r="I3986">
        <f>B3986&amp;"~"&amp;C3986</f>
        <v/>
      </c>
      <c r="J3986" t="inlineStr">
        <is>
          <t>average</t>
        </is>
      </c>
    </row>
    <row r="3987">
      <c r="B3987" t="inlineStr">
        <is>
          <t>Town Houses</t>
        </is>
      </c>
      <c r="C3987" t="inlineStr">
        <is>
          <t>Fair</t>
        </is>
      </c>
      <c r="F3987" t="n">
        <v>50</v>
      </c>
      <c r="G3987" t="n">
        <v>45</v>
      </c>
      <c r="I3987">
        <f>B3987&amp;"~"&amp;C3987</f>
        <v/>
      </c>
      <c r="J3987" t="inlineStr">
        <is>
          <t>low cost and fair</t>
        </is>
      </c>
    </row>
    <row r="3988">
      <c r="B3988" t="inlineStr">
        <is>
          <t>Town Houses</t>
        </is>
      </c>
      <c r="C3988" t="inlineStr">
        <is>
          <t>Low Cost</t>
        </is>
      </c>
      <c r="F3988" t="n">
        <v>50</v>
      </c>
      <c r="G3988" t="n">
        <v>45</v>
      </c>
      <c r="I3988">
        <f>B3988&amp;"~"&amp;C3988</f>
        <v/>
      </c>
      <c r="J3988" t="inlineStr">
        <is>
          <t>low cost and fair</t>
        </is>
      </c>
    </row>
    <row r="3989">
      <c r="B3989" t="inlineStr">
        <is>
          <t>Senior Citizen Town Houses</t>
        </is>
      </c>
      <c r="C3989" t="inlineStr">
        <is>
          <t>Excellent</t>
        </is>
      </c>
      <c r="F3989" t="n">
        <v>60</v>
      </c>
      <c r="G3989" t="n">
        <v>55</v>
      </c>
      <c r="I3989">
        <f>B3989&amp;"~"&amp;C3989</f>
        <v/>
      </c>
      <c r="J3989" t="inlineStr">
        <is>
          <t>Town and row houses, excellent</t>
        </is>
      </c>
    </row>
    <row r="3990">
      <c r="B3990" t="inlineStr">
        <is>
          <t>Senior Citizen Town Houses</t>
        </is>
      </c>
      <c r="C3990" t="inlineStr">
        <is>
          <t>Good</t>
        </is>
      </c>
      <c r="F3990" t="n">
        <v>55</v>
      </c>
      <c r="G3990" t="n">
        <v>50</v>
      </c>
      <c r="H3990" t="n">
        <v>50</v>
      </c>
      <c r="I3990">
        <f>B3990&amp;"~"&amp;C3990</f>
        <v/>
      </c>
      <c r="J3990" t="inlineStr">
        <is>
          <t>good</t>
        </is>
      </c>
    </row>
    <row r="3991">
      <c r="B3991" t="inlineStr">
        <is>
          <t>Senior Citizen Town Houses</t>
        </is>
      </c>
      <c r="C3991" t="inlineStr">
        <is>
          <t>Average</t>
        </is>
      </c>
      <c r="F3991" t="n">
        <v>55</v>
      </c>
      <c r="G3991" t="n">
        <v>50</v>
      </c>
      <c r="H3991" t="n">
        <v>50</v>
      </c>
      <c r="I3991">
        <f>B3991&amp;"~"&amp;C3991</f>
        <v/>
      </c>
      <c r="J3991" t="inlineStr">
        <is>
          <t>average</t>
        </is>
      </c>
    </row>
    <row r="3992">
      <c r="B3992" t="inlineStr">
        <is>
          <t>Senior Citizen Town Houses</t>
        </is>
      </c>
      <c r="C3992" t="inlineStr">
        <is>
          <t>Fair</t>
        </is>
      </c>
      <c r="F3992" t="n">
        <v>50</v>
      </c>
      <c r="G3992" t="n">
        <v>45</v>
      </c>
      <c r="I3992">
        <f>B3992&amp;"~"&amp;C3992</f>
        <v/>
      </c>
      <c r="J3992" t="inlineStr">
        <is>
          <t>low cost and fair</t>
        </is>
      </c>
    </row>
    <row r="3993">
      <c r="B3993" t="inlineStr">
        <is>
          <t>Urban Row (Town) Houses</t>
        </is>
      </c>
      <c r="C3993" t="inlineStr">
        <is>
          <t>Excellent</t>
        </is>
      </c>
      <c r="F3993" t="n">
        <v>60</v>
      </c>
      <c r="G3993" t="n">
        <v>55</v>
      </c>
      <c r="I3993">
        <f>B3993&amp;"~"&amp;C3993</f>
        <v/>
      </c>
      <c r="J3993" t="inlineStr">
        <is>
          <t>Town and row houses, excellent</t>
        </is>
      </c>
    </row>
    <row r="3994">
      <c r="B3994" t="inlineStr">
        <is>
          <t>Urban Row (Town) Houses</t>
        </is>
      </c>
      <c r="C3994" t="inlineStr">
        <is>
          <t>Good</t>
        </is>
      </c>
      <c r="F3994" t="n">
        <v>55</v>
      </c>
      <c r="G3994" t="n">
        <v>50</v>
      </c>
      <c r="H3994" t="n">
        <v>50</v>
      </c>
      <c r="I3994">
        <f>B3994&amp;"~"&amp;C3994</f>
        <v/>
      </c>
      <c r="J3994" t="inlineStr">
        <is>
          <t>good</t>
        </is>
      </c>
    </row>
    <row r="3995">
      <c r="B3995" t="inlineStr">
        <is>
          <t>Urban Row (Town) Houses</t>
        </is>
      </c>
      <c r="C3995" t="inlineStr">
        <is>
          <t>Average</t>
        </is>
      </c>
      <c r="F3995" t="n">
        <v>55</v>
      </c>
      <c r="G3995" t="n">
        <v>50</v>
      </c>
      <c r="H3995" t="n">
        <v>50</v>
      </c>
      <c r="I3995">
        <f>B3995&amp;"~"&amp;C3995</f>
        <v/>
      </c>
      <c r="J3995" t="inlineStr">
        <is>
          <t>average</t>
        </is>
      </c>
    </row>
    <row r="3996">
      <c r="B3996" t="inlineStr">
        <is>
          <t>Urban Row (Town) Houses</t>
        </is>
      </c>
      <c r="C3996" t="inlineStr">
        <is>
          <t>Fair</t>
        </is>
      </c>
      <c r="F3996" t="n">
        <v>50</v>
      </c>
      <c r="G3996" t="n">
        <v>45</v>
      </c>
      <c r="I3996">
        <f>B3996&amp;"~"&amp;C3996</f>
        <v/>
      </c>
      <c r="J3996" t="inlineStr">
        <is>
          <t>low cost and fair</t>
        </is>
      </c>
    </row>
    <row r="3997">
      <c r="B3997" t="inlineStr">
        <is>
          <t>Shell Town House Buildings</t>
        </is>
      </c>
      <c r="C3997" t="inlineStr">
        <is>
          <t>Excellent</t>
        </is>
      </c>
      <c r="F3997" t="n">
        <v>60</v>
      </c>
      <c r="G3997" t="n">
        <v>55</v>
      </c>
      <c r="I3997">
        <f>B3997&amp;"~"&amp;C3997</f>
        <v/>
      </c>
      <c r="J3997" t="inlineStr">
        <is>
          <t>Town and row houses, excellent</t>
        </is>
      </c>
    </row>
    <row r="3998">
      <c r="B3998" t="inlineStr">
        <is>
          <t>Shell Town House Buildings</t>
        </is>
      </c>
      <c r="C3998" t="inlineStr">
        <is>
          <t>Good</t>
        </is>
      </c>
      <c r="F3998" t="n">
        <v>55</v>
      </c>
      <c r="G3998" t="n">
        <v>50</v>
      </c>
      <c r="H3998" t="n">
        <v>50</v>
      </c>
      <c r="I3998">
        <f>B3998&amp;"~"&amp;C3998</f>
        <v/>
      </c>
      <c r="J3998" t="inlineStr">
        <is>
          <t>good</t>
        </is>
      </c>
    </row>
    <row r="3999">
      <c r="B3999" t="inlineStr">
        <is>
          <t>Shell Town House Buildings</t>
        </is>
      </c>
      <c r="C3999" t="inlineStr">
        <is>
          <t>Average</t>
        </is>
      </c>
      <c r="F3999" t="n">
        <v>55</v>
      </c>
      <c r="G3999" t="n">
        <v>50</v>
      </c>
      <c r="H3999" t="n">
        <v>50</v>
      </c>
      <c r="I3999">
        <f>B3999&amp;"~"&amp;C3999</f>
        <v/>
      </c>
      <c r="J3999" t="inlineStr">
        <is>
          <t>average</t>
        </is>
      </c>
    </row>
    <row r="4000">
      <c r="B4000" t="inlineStr">
        <is>
          <t>Shell Town House Buildings</t>
        </is>
      </c>
      <c r="C4000" t="inlineStr">
        <is>
          <t>Fair</t>
        </is>
      </c>
      <c r="F4000" t="n">
        <v>50</v>
      </c>
      <c r="G4000" t="n">
        <v>45</v>
      </c>
      <c r="I4000">
        <f>B4000&amp;"~"&amp;C4000</f>
        <v/>
      </c>
      <c r="J4000" t="inlineStr">
        <is>
          <t>low cost and fair</t>
        </is>
      </c>
    </row>
    <row r="4001">
      <c r="B4001" t="inlineStr">
        <is>
          <t>Bars/Taverns</t>
        </is>
      </c>
      <c r="C4001" t="inlineStr">
        <is>
          <t>Average</t>
        </is>
      </c>
      <c r="D4001" t="n">
        <v>45</v>
      </c>
      <c r="E4001" t="n">
        <v>45</v>
      </c>
      <c r="F4001" t="n">
        <v>40</v>
      </c>
      <c r="G4001" t="n">
        <v>40</v>
      </c>
      <c r="H4001" t="n">
        <v>40</v>
      </c>
      <c r="I4001">
        <f>B4001&amp;"~"&amp;C4001</f>
        <v/>
      </c>
      <c r="J4001" t="inlineStr">
        <is>
          <t>average</t>
        </is>
      </c>
    </row>
    <row r="4002">
      <c r="B4002" t="inlineStr">
        <is>
          <t>Bars/Taverns</t>
        </is>
      </c>
      <c r="C4002" t="inlineStr">
        <is>
          <t>Good</t>
        </is>
      </c>
      <c r="F4002" t="n">
        <v>45</v>
      </c>
      <c r="G4002" t="n">
        <v>40</v>
      </c>
      <c r="I4002">
        <f>B4002&amp;"~"&amp;C4002</f>
        <v/>
      </c>
      <c r="J4002" t="inlineStr">
        <is>
          <t>Bars and taverns, good</t>
        </is>
      </c>
    </row>
    <row r="4003">
      <c r="B4003" t="inlineStr">
        <is>
          <t>Bars/Taverns</t>
        </is>
      </c>
      <c r="C4003" t="inlineStr">
        <is>
          <t>Low Cost</t>
        </is>
      </c>
      <c r="F4003" t="n">
        <v>40</v>
      </c>
      <c r="G4003" t="n">
        <v>35</v>
      </c>
      <c r="H4003" t="n">
        <v>35</v>
      </c>
      <c r="I4003">
        <f>B4003&amp;"~"&amp;C4003</f>
        <v/>
      </c>
      <c r="J4003" t="inlineStr">
        <is>
          <t>low cost</t>
        </is>
      </c>
    </row>
    <row r="4004">
      <c r="B4004" t="inlineStr">
        <is>
          <t>Cocktail Lounges</t>
        </is>
      </c>
      <c r="C4004" t="inlineStr">
        <is>
          <t>Good</t>
        </is>
      </c>
      <c r="D4004" t="n">
        <v>45</v>
      </c>
      <c r="E4004" t="n">
        <v>45</v>
      </c>
      <c r="F4004" t="n">
        <v>40</v>
      </c>
      <c r="G4004" t="n">
        <v>40</v>
      </c>
      <c r="H4004" t="n">
        <v>40</v>
      </c>
      <c r="I4004">
        <f>B4004&amp;"~"&amp;C4004</f>
        <v/>
      </c>
      <c r="J4004" t="inlineStr">
        <is>
          <t>Cocktail lounges, good and excellent</t>
        </is>
      </c>
    </row>
    <row r="4005">
      <c r="B4005" t="inlineStr">
        <is>
          <t>Cocktail Lounges</t>
        </is>
      </c>
      <c r="C4005" t="inlineStr">
        <is>
          <t>Average</t>
        </is>
      </c>
      <c r="D4005" t="n">
        <v>40</v>
      </c>
      <c r="E4005" t="n">
        <v>40</v>
      </c>
      <c r="F4005" t="n">
        <v>40</v>
      </c>
      <c r="G4005" t="n">
        <v>35</v>
      </c>
      <c r="H4005" t="n">
        <v>35</v>
      </c>
      <c r="I4005">
        <f>B4005&amp;"~"&amp;C4005</f>
        <v/>
      </c>
      <c r="J4005" t="inlineStr">
        <is>
          <t>average</t>
        </is>
      </c>
    </row>
    <row r="4006">
      <c r="B4006" t="inlineStr">
        <is>
          <t>Cocktail Lounges</t>
        </is>
      </c>
      <c r="C4006" t="inlineStr">
        <is>
          <t>Excellent</t>
        </is>
      </c>
      <c r="D4006" t="n">
        <v>45</v>
      </c>
      <c r="E4006" t="n">
        <v>45</v>
      </c>
      <c r="F4006" t="n">
        <v>40</v>
      </c>
      <c r="G4006" t="n">
        <v>40</v>
      </c>
      <c r="H4006" t="n">
        <v>40</v>
      </c>
      <c r="I4006">
        <f>B4006&amp;"~"&amp;C4006</f>
        <v/>
      </c>
      <c r="J4006" t="inlineStr">
        <is>
          <t>Cocktail lounges, good and excellent</t>
        </is>
      </c>
    </row>
    <row r="4007">
      <c r="B4007" t="inlineStr">
        <is>
          <t>Cocktail Lounges</t>
        </is>
      </c>
      <c r="C4007" t="inlineStr">
        <is>
          <t>Low Cost</t>
        </is>
      </c>
      <c r="F4007" t="n">
        <v>35</v>
      </c>
      <c r="G4007" t="n">
        <v>35</v>
      </c>
      <c r="H4007" t="n">
        <v>35</v>
      </c>
      <c r="I4007">
        <f>B4007&amp;"~"&amp;C4007</f>
        <v/>
      </c>
      <c r="J4007" t="inlineStr">
        <is>
          <t>low cost</t>
        </is>
      </c>
    </row>
    <row r="4008">
      <c r="B4008" t="inlineStr">
        <is>
          <t>Restaurants</t>
        </is>
      </c>
      <c r="C4008" t="inlineStr">
        <is>
          <t>Excellent</t>
        </is>
      </c>
      <c r="D4008" t="n">
        <v>45</v>
      </c>
      <c r="E4008" t="n">
        <v>45</v>
      </c>
      <c r="F4008" t="n">
        <v>40</v>
      </c>
      <c r="G4008" t="n">
        <v>40</v>
      </c>
      <c r="H4008" t="n">
        <v>40</v>
      </c>
      <c r="I4008">
        <f>B4008&amp;"~"&amp;C4008</f>
        <v/>
      </c>
      <c r="J4008" t="inlineStr">
        <is>
          <t>Restaurants, very good and excellent</t>
        </is>
      </c>
    </row>
    <row r="4009">
      <c r="B4009" t="inlineStr">
        <is>
          <t>Restaurants</t>
        </is>
      </c>
      <c r="C4009" t="inlineStr">
        <is>
          <t>Good</t>
        </is>
      </c>
      <c r="D4009" t="n">
        <v>40</v>
      </c>
      <c r="E4009" t="n">
        <v>40</v>
      </c>
      <c r="F4009" t="n">
        <v>35</v>
      </c>
      <c r="G4009" t="n">
        <v>35</v>
      </c>
      <c r="H4009" t="n">
        <v>35</v>
      </c>
      <c r="I4009">
        <f>B4009&amp;"~"&amp;C4009</f>
        <v/>
      </c>
      <c r="J4009" t="inlineStr">
        <is>
          <t>average and good</t>
        </is>
      </c>
    </row>
    <row r="4010">
      <c r="B4010" t="inlineStr">
        <is>
          <t>Restaurants</t>
        </is>
      </c>
      <c r="C4010" t="inlineStr">
        <is>
          <t>Average</t>
        </is>
      </c>
      <c r="D4010" t="n">
        <v>40</v>
      </c>
      <c r="E4010" t="n">
        <v>40</v>
      </c>
      <c r="F4010" t="n">
        <v>35</v>
      </c>
      <c r="G4010" t="n">
        <v>35</v>
      </c>
      <c r="H4010" t="n">
        <v>35</v>
      </c>
      <c r="I4010">
        <f>B4010&amp;"~"&amp;C4010</f>
        <v/>
      </c>
      <c r="J4010" t="inlineStr">
        <is>
          <t>average and good</t>
        </is>
      </c>
    </row>
    <row r="4011">
      <c r="B4011" t="inlineStr">
        <is>
          <t>Restaurants</t>
        </is>
      </c>
      <c r="C4011" t="inlineStr">
        <is>
          <t>Very Good</t>
        </is>
      </c>
      <c r="D4011" t="n">
        <v>45</v>
      </c>
      <c r="E4011" t="n">
        <v>45</v>
      </c>
      <c r="F4011" t="n">
        <v>40</v>
      </c>
      <c r="G4011" t="n">
        <v>40</v>
      </c>
      <c r="H4011" t="n">
        <v>40</v>
      </c>
      <c r="I4011">
        <f>B4011&amp;"~"&amp;C4011</f>
        <v/>
      </c>
      <c r="J4011" t="inlineStr">
        <is>
          <t>Restaurants, very good and excellent</t>
        </is>
      </c>
    </row>
    <row r="4012">
      <c r="B4012" t="inlineStr">
        <is>
          <t>Restaurants</t>
        </is>
      </c>
      <c r="C4012" t="inlineStr">
        <is>
          <t>Low Cost</t>
        </is>
      </c>
      <c r="F4012" t="n">
        <v>30</v>
      </c>
      <c r="G4012" t="n">
        <v>30</v>
      </c>
      <c r="H4012" t="n">
        <v>30</v>
      </c>
      <c r="I4012">
        <f>B4012&amp;"~"&amp;C4012</f>
        <v/>
      </c>
      <c r="J4012" t="inlineStr">
        <is>
          <t>low cost</t>
        </is>
      </c>
    </row>
    <row r="4013">
      <c r="B4013" t="inlineStr">
        <is>
          <t>Restaurants – Cafeterias</t>
        </is>
      </c>
      <c r="C4013" t="inlineStr">
        <is>
          <t>Good</t>
        </is>
      </c>
      <c r="D4013" t="n">
        <v>45</v>
      </c>
      <c r="E4013" t="n">
        <v>45</v>
      </c>
      <c r="F4013" t="n">
        <v>35</v>
      </c>
      <c r="G4013" t="n">
        <v>35</v>
      </c>
      <c r="H4013" t="n">
        <v>35</v>
      </c>
      <c r="I4013">
        <f>B4013&amp;"~"&amp;C4013</f>
        <v/>
      </c>
      <c r="J4013" t="inlineStr">
        <is>
          <t>good</t>
        </is>
      </c>
    </row>
    <row r="4014">
      <c r="B4014" t="inlineStr">
        <is>
          <t>Restaurants – Cafeterias</t>
        </is>
      </c>
      <c r="C4014" t="inlineStr">
        <is>
          <t>Average</t>
        </is>
      </c>
      <c r="D4014" t="n">
        <v>40</v>
      </c>
      <c r="E4014" t="n">
        <v>40</v>
      </c>
      <c r="F4014" t="n">
        <v>35</v>
      </c>
      <c r="G4014" t="n">
        <v>30</v>
      </c>
      <c r="H4014" t="n">
        <v>30</v>
      </c>
      <c r="I4014">
        <f>B4014&amp;"~"&amp;C4014</f>
        <v/>
      </c>
      <c r="J4014" t="inlineStr">
        <is>
          <t>low cost and average</t>
        </is>
      </c>
    </row>
    <row r="4015">
      <c r="B4015" t="inlineStr">
        <is>
          <t>Restaurants – Cafeterias</t>
        </is>
      </c>
      <c r="C4015" t="inlineStr">
        <is>
          <t>Excellent</t>
        </is>
      </c>
      <c r="F4015" t="n">
        <v>45</v>
      </c>
      <c r="G4015" t="n">
        <v>40</v>
      </c>
      <c r="I4015">
        <f>B4015&amp;"~"&amp;C4015</f>
        <v/>
      </c>
      <c r="J4015" t="inlineStr">
        <is>
          <t>Cafeterias, excellent</t>
        </is>
      </c>
    </row>
    <row r="4016">
      <c r="B4016" t="inlineStr">
        <is>
          <t>Restaurants – Cafeterias</t>
        </is>
      </c>
      <c r="C4016" t="inlineStr">
        <is>
          <t>Low Cost</t>
        </is>
      </c>
      <c r="D4016" t="n">
        <v>40</v>
      </c>
      <c r="E4016" t="n">
        <v>40</v>
      </c>
      <c r="F4016" t="n">
        <v>35</v>
      </c>
      <c r="G4016" t="n">
        <v>30</v>
      </c>
      <c r="H4016" t="n">
        <v>30</v>
      </c>
      <c r="I4016">
        <f>B4016&amp;"~"&amp;C4016</f>
        <v/>
      </c>
      <c r="J4016" t="inlineStr">
        <is>
          <t>low cost and average</t>
        </is>
      </c>
    </row>
    <row r="4017">
      <c r="B4017" t="inlineStr">
        <is>
          <t>Truck Stop Restaurants</t>
        </is>
      </c>
      <c r="C4017" t="inlineStr">
        <is>
          <t>Excellent</t>
        </is>
      </c>
      <c r="F4017" t="n">
        <v>35</v>
      </c>
      <c r="G4017" t="n">
        <v>35</v>
      </c>
      <c r="H4017" t="n">
        <v>35</v>
      </c>
      <c r="I4017">
        <f>B4017&amp;"~"&amp;C4017</f>
        <v/>
      </c>
      <c r="J4017" t="inlineStr">
        <is>
          <t>Truck stop restaurants, good</t>
        </is>
      </c>
    </row>
    <row r="4018">
      <c r="B4018" t="inlineStr">
        <is>
          <t>Truck Stop Restaurants</t>
        </is>
      </c>
      <c r="C4018" t="inlineStr">
        <is>
          <t>Good</t>
        </is>
      </c>
      <c r="F4018" t="n">
        <v>35</v>
      </c>
      <c r="G4018" t="n">
        <v>35</v>
      </c>
      <c r="H4018" t="n">
        <v>35</v>
      </c>
      <c r="I4018">
        <f>B4018&amp;"~"&amp;C4018</f>
        <v/>
      </c>
      <c r="J4018" t="inlineStr">
        <is>
          <t>Truck stop restaurants, good</t>
        </is>
      </c>
    </row>
    <row r="4019">
      <c r="B4019" t="inlineStr">
        <is>
          <t>Truck Stop Restaurants</t>
        </is>
      </c>
      <c r="C4019" t="inlineStr">
        <is>
          <t>Average</t>
        </is>
      </c>
      <c r="F4019" t="n">
        <v>30</v>
      </c>
      <c r="G4019" t="n">
        <v>30</v>
      </c>
      <c r="H4019" t="n">
        <v>30</v>
      </c>
      <c r="I4019">
        <f>B4019&amp;"~"&amp;C4019</f>
        <v/>
      </c>
      <c r="J4019" t="inlineStr">
        <is>
          <t>average</t>
        </is>
      </c>
    </row>
    <row r="4020">
      <c r="B4020" t="inlineStr">
        <is>
          <t>Dining Atriums/Play Rooms</t>
        </is>
      </c>
      <c r="C4020" t="inlineStr">
        <is>
          <t>Good</t>
        </is>
      </c>
      <c r="F4020" t="n">
        <v>35</v>
      </c>
      <c r="G4020" t="n">
        <v>35</v>
      </c>
      <c r="H4020" t="n">
        <v>35</v>
      </c>
      <c r="I4020">
        <f>B4020&amp;"~"&amp;C4020</f>
        <v/>
      </c>
      <c r="J4020" t="inlineStr">
        <is>
          <t>Dining atriums and playrooms, good to excellent</t>
        </is>
      </c>
    </row>
    <row r="4021">
      <c r="B4021" t="inlineStr">
        <is>
          <t>Dining Atriums/Play Rooms</t>
        </is>
      </c>
      <c r="C4021" t="inlineStr">
        <is>
          <t>Average</t>
        </is>
      </c>
      <c r="F4021" t="n">
        <v>30</v>
      </c>
      <c r="G4021" t="n">
        <v>30</v>
      </c>
      <c r="H4021" t="n">
        <v>30</v>
      </c>
      <c r="I4021">
        <f>B4021&amp;"~"&amp;C4021</f>
        <v/>
      </c>
      <c r="J4021" t="inlineStr">
        <is>
          <t>low cost and average</t>
        </is>
      </c>
    </row>
    <row r="4022">
      <c r="B4022" t="inlineStr">
        <is>
          <t>Dining Atriums/Play Rooms</t>
        </is>
      </c>
      <c r="C4022" t="inlineStr">
        <is>
          <t>Low Cost</t>
        </is>
      </c>
      <c r="F4022" t="n">
        <v>30</v>
      </c>
      <c r="G4022" t="n">
        <v>30</v>
      </c>
      <c r="H4022" t="n">
        <v>30</v>
      </c>
      <c r="I4022">
        <f>B4022&amp;"~"&amp;C4022</f>
        <v/>
      </c>
      <c r="J4022" t="inlineStr">
        <is>
          <t>low cost and average</t>
        </is>
      </c>
    </row>
    <row r="4023">
      <c r="B4023" t="inlineStr">
        <is>
          <t>Dining Atriums/Play Rooms</t>
        </is>
      </c>
      <c r="C4023" t="inlineStr">
        <is>
          <t>Excellent</t>
        </is>
      </c>
      <c r="F4023" t="n">
        <v>35</v>
      </c>
      <c r="G4023" t="n">
        <v>35</v>
      </c>
      <c r="H4023" t="n">
        <v>35</v>
      </c>
      <c r="I4023">
        <f>B4023&amp;"~"&amp;C4023</f>
        <v/>
      </c>
      <c r="J4023" t="inlineStr">
        <is>
          <t>Dining atriums and playrooms, good to excellent</t>
        </is>
      </c>
    </row>
    <row r="4024">
      <c r="B4024" t="inlineStr">
        <is>
          <t>Dining Atriums/Play Rooms</t>
        </is>
      </c>
      <c r="C4024" t="inlineStr">
        <is>
          <t>Very Good</t>
        </is>
      </c>
      <c r="F4024" t="n">
        <v>35</v>
      </c>
      <c r="G4024" t="n">
        <v>35</v>
      </c>
      <c r="H4024" t="n">
        <v>35</v>
      </c>
      <c r="I4024">
        <f>B4024&amp;"~"&amp;C4024</f>
        <v/>
      </c>
      <c r="J4024" t="inlineStr">
        <is>
          <t>Dining atriums and playrooms, good to excellent</t>
        </is>
      </c>
    </row>
    <row r="4025">
      <c r="B4025" t="inlineStr">
        <is>
          <t>Dining Atriums/Play Rooms</t>
        </is>
      </c>
      <c r="C4025" t="inlineStr">
        <is>
          <t>Cheap</t>
        </is>
      </c>
      <c r="H4025" t="n">
        <v>10</v>
      </c>
      <c r="I4025">
        <f>B4025&amp;"~"&amp;C4025</f>
        <v/>
      </c>
      <c r="J4025" t="inlineStr">
        <is>
          <t>cheap</t>
        </is>
      </c>
    </row>
    <row r="4026">
      <c r="B4026" t="inlineStr">
        <is>
          <t>Restaurants – Fast Food</t>
        </is>
      </c>
      <c r="C4026" t="inlineStr">
        <is>
          <t>Good</t>
        </is>
      </c>
      <c r="D4026" t="n">
        <v>35</v>
      </c>
      <c r="E4026" t="n">
        <v>35</v>
      </c>
      <c r="F4026" t="n">
        <v>30</v>
      </c>
      <c r="G4026" t="n">
        <v>30</v>
      </c>
      <c r="H4026" t="n">
        <v>30</v>
      </c>
      <c r="I4026">
        <f>B4026&amp;"~"&amp;C4026</f>
        <v/>
      </c>
      <c r="J4026" t="inlineStr">
        <is>
          <t>low cost, average and good</t>
        </is>
      </c>
    </row>
    <row r="4027">
      <c r="B4027" t="inlineStr">
        <is>
          <t>Restaurants – Fast Food</t>
        </is>
      </c>
      <c r="C4027" t="inlineStr">
        <is>
          <t>Average</t>
        </is>
      </c>
      <c r="D4027" t="n">
        <v>35</v>
      </c>
      <c r="E4027" t="n">
        <v>35</v>
      </c>
      <c r="F4027" t="n">
        <v>30</v>
      </c>
      <c r="G4027" t="n">
        <v>30</v>
      </c>
      <c r="H4027" t="n">
        <v>30</v>
      </c>
      <c r="I4027">
        <f>B4027&amp;"~"&amp;C4027</f>
        <v/>
      </c>
      <c r="J4027" t="inlineStr">
        <is>
          <t>low cost, average and good</t>
        </is>
      </c>
    </row>
    <row r="4028">
      <c r="B4028" t="inlineStr">
        <is>
          <t>Restaurants – Fast Food</t>
        </is>
      </c>
      <c r="C4028" t="inlineStr">
        <is>
          <t>Excellent</t>
        </is>
      </c>
      <c r="D4028" t="n">
        <v>40</v>
      </c>
      <c r="E4028" t="n">
        <v>40</v>
      </c>
      <c r="F4028" t="n">
        <v>35</v>
      </c>
      <c r="G4028" t="n">
        <v>35</v>
      </c>
      <c r="H4028" t="n">
        <v>35</v>
      </c>
      <c r="I4028">
        <f>B4028&amp;"~"&amp;C4028</f>
        <v/>
      </c>
      <c r="J4028" t="inlineStr">
        <is>
          <t>Fast-food restaurants, very good and excellent</t>
        </is>
      </c>
    </row>
    <row r="4029">
      <c r="B4029" t="inlineStr">
        <is>
          <t>Restaurants – Fast Food</t>
        </is>
      </c>
      <c r="C4029" t="inlineStr">
        <is>
          <t>Very Good</t>
        </is>
      </c>
      <c r="D4029" t="n">
        <v>40</v>
      </c>
      <c r="E4029" t="n">
        <v>40</v>
      </c>
      <c r="F4029" t="n">
        <v>35</v>
      </c>
      <c r="G4029" t="n">
        <v>35</v>
      </c>
      <c r="H4029" t="n">
        <v>35</v>
      </c>
      <c r="I4029">
        <f>B4029&amp;"~"&amp;C4029</f>
        <v/>
      </c>
      <c r="J4029" t="inlineStr">
        <is>
          <t>Fast-food restaurants, very good and excellent</t>
        </is>
      </c>
    </row>
    <row r="4030">
      <c r="B4030" t="inlineStr">
        <is>
          <t>Restaurants – Fast Food</t>
        </is>
      </c>
      <c r="C4030" t="inlineStr">
        <is>
          <t>Low Cost</t>
        </is>
      </c>
      <c r="D4030" t="n">
        <v>35</v>
      </c>
      <c r="E4030" t="n">
        <v>35</v>
      </c>
      <c r="F4030" t="n">
        <v>30</v>
      </c>
      <c r="G4030" t="n">
        <v>30</v>
      </c>
      <c r="H4030" t="n">
        <v>30</v>
      </c>
      <c r="I4030">
        <f>B4030&amp;"~"&amp;C4030</f>
        <v/>
      </c>
      <c r="J4030" t="inlineStr">
        <is>
          <t>low cost, average and good</t>
        </is>
      </c>
    </row>
    <row r="4031">
      <c r="B4031" t="inlineStr">
        <is>
          <t>Snack Bars</t>
        </is>
      </c>
      <c r="C4031" t="inlineStr">
        <is>
          <t>Excellent</t>
        </is>
      </c>
      <c r="F4031" t="n">
        <v>35</v>
      </c>
      <c r="G4031" t="n">
        <v>35</v>
      </c>
      <c r="I4031">
        <f>B4031&amp;"~"&amp;C4031</f>
        <v/>
      </c>
      <c r="J4031" t="inlineStr">
        <is>
          <t>Snack bars, excellent</t>
        </is>
      </c>
    </row>
    <row r="4032">
      <c r="B4032" t="inlineStr">
        <is>
          <t>Snack Bars</t>
        </is>
      </c>
      <c r="C4032" t="inlineStr">
        <is>
          <t>Good</t>
        </is>
      </c>
      <c r="F4032" t="n">
        <v>35</v>
      </c>
      <c r="G4032" t="n">
        <v>30</v>
      </c>
      <c r="I4032">
        <f>B4032&amp;"~"&amp;C4032</f>
        <v/>
      </c>
      <c r="J4032" t="inlineStr">
        <is>
          <t>good</t>
        </is>
      </c>
    </row>
    <row r="4033">
      <c r="B4033" t="inlineStr">
        <is>
          <t>Snack Bars</t>
        </is>
      </c>
      <c r="C4033" t="inlineStr">
        <is>
          <t>Average</t>
        </is>
      </c>
      <c r="F4033" t="n">
        <v>30</v>
      </c>
      <c r="G4033" t="n">
        <v>25</v>
      </c>
      <c r="H4033" t="n">
        <v>25</v>
      </c>
      <c r="I4033">
        <f>B4033&amp;"~"&amp;C4033</f>
        <v/>
      </c>
      <c r="J4033" t="inlineStr">
        <is>
          <t>average</t>
        </is>
      </c>
    </row>
    <row r="4034">
      <c r="B4034" t="inlineStr">
        <is>
          <t>Snack Bars</t>
        </is>
      </c>
      <c r="C4034" t="inlineStr">
        <is>
          <t>Low Cost</t>
        </is>
      </c>
      <c r="F4034" t="n">
        <v>25</v>
      </c>
      <c r="G4034" t="n">
        <v>20</v>
      </c>
      <c r="H4034" t="n">
        <v>20</v>
      </c>
      <c r="I4034">
        <f>B4034&amp;"~"&amp;C4034</f>
        <v/>
      </c>
      <c r="J4034" t="inlineStr">
        <is>
          <t>low cost</t>
        </is>
      </c>
    </row>
    <row r="4035">
      <c r="B4035" t="inlineStr">
        <is>
          <t>Snack Bars</t>
        </is>
      </c>
      <c r="C4035" t="inlineStr">
        <is>
          <t>Cheap</t>
        </is>
      </c>
      <c r="F4035" t="n">
        <v>20</v>
      </c>
      <c r="G4035" t="n">
        <v>15</v>
      </c>
      <c r="H4035" t="n">
        <v>15</v>
      </c>
      <c r="I4035">
        <f>B4035&amp;"~"&amp;C4035</f>
        <v/>
      </c>
      <c r="J4035" t="inlineStr">
        <is>
          <t>cheap</t>
        </is>
      </c>
    </row>
    <row r="4036">
      <c r="B4036" t="inlineStr">
        <is>
          <t>Banquet Halls</t>
        </is>
      </c>
      <c r="C4036" t="inlineStr">
        <is>
          <t>Excellent</t>
        </is>
      </c>
      <c r="F4036" t="n">
        <v>50</v>
      </c>
      <c r="G4036" t="n">
        <v>45</v>
      </c>
      <c r="I4036">
        <f>B4036&amp;"~"&amp;C4036</f>
        <v/>
      </c>
      <c r="J4036" t="inlineStr">
        <is>
          <t>Banquet halls, excellent</t>
        </is>
      </c>
    </row>
    <row r="4037">
      <c r="B4037" t="inlineStr">
        <is>
          <t>Banquet Halls</t>
        </is>
      </c>
      <c r="C4037" t="inlineStr">
        <is>
          <t>Good</t>
        </is>
      </c>
      <c r="F4037" t="n">
        <v>45</v>
      </c>
      <c r="G4037" t="n">
        <v>40</v>
      </c>
      <c r="H4037" t="n">
        <v>40</v>
      </c>
      <c r="I4037">
        <f>B4037&amp;"~"&amp;C4037</f>
        <v/>
      </c>
      <c r="J4037" t="inlineStr">
        <is>
          <t>good</t>
        </is>
      </c>
    </row>
    <row r="4038">
      <c r="B4038" t="inlineStr">
        <is>
          <t>Banquet Halls</t>
        </is>
      </c>
      <c r="C4038" t="inlineStr">
        <is>
          <t>Average</t>
        </is>
      </c>
      <c r="F4038" t="n">
        <v>40</v>
      </c>
      <c r="G4038" t="n">
        <v>35</v>
      </c>
      <c r="H4038" t="n">
        <v>35</v>
      </c>
      <c r="I4038">
        <f>B4038&amp;"~"&amp;C4038</f>
        <v/>
      </c>
      <c r="J4038" t="inlineStr">
        <is>
          <t>average</t>
        </is>
      </c>
    </row>
    <row r="4039">
      <c r="B4039" t="inlineStr">
        <is>
          <t>Banquet Halls</t>
        </is>
      </c>
      <c r="C4039" t="inlineStr">
        <is>
          <t>Low Cost</t>
        </is>
      </c>
      <c r="F4039" t="n">
        <v>35</v>
      </c>
      <c r="G4039" t="n">
        <v>30</v>
      </c>
      <c r="H4039" t="n">
        <v>30</v>
      </c>
      <c r="I4039">
        <f>B4039&amp;"~"&amp;C4039</f>
        <v/>
      </c>
      <c r="J4039" t="inlineStr">
        <is>
          <t>low cost</t>
        </is>
      </c>
    </row>
    <row r="4040">
      <c r="B4040" t="inlineStr">
        <is>
          <t>Modular Restaurants – Diners</t>
        </is>
      </c>
      <c r="C4040" t="inlineStr">
        <is>
          <t>Excellent</t>
        </is>
      </c>
      <c r="H4040" t="n">
        <v>35</v>
      </c>
      <c r="I4040">
        <f>B4040&amp;"~"&amp;C4040</f>
        <v/>
      </c>
      <c r="J4040" t="inlineStr">
        <is>
          <t>Modular, resturants excellent</t>
        </is>
      </c>
    </row>
    <row r="4041">
      <c r="B4041" t="inlineStr">
        <is>
          <t>Modular Restaurants – Diners</t>
        </is>
      </c>
      <c r="C4041" t="inlineStr">
        <is>
          <t>Good</t>
        </is>
      </c>
      <c r="H4041" t="n">
        <v>30</v>
      </c>
      <c r="I4041">
        <f>B4041&amp;"~"&amp;C4041</f>
        <v/>
      </c>
      <c r="J4041" t="inlineStr">
        <is>
          <t>low cost, average and good</t>
        </is>
      </c>
    </row>
    <row r="4042">
      <c r="B4042" t="inlineStr">
        <is>
          <t>Modular Restaurants – Diners</t>
        </is>
      </c>
      <c r="C4042" t="inlineStr">
        <is>
          <t>Average</t>
        </is>
      </c>
      <c r="H4042" t="n">
        <v>30</v>
      </c>
      <c r="I4042">
        <f>B4042&amp;"~"&amp;C4042</f>
        <v/>
      </c>
      <c r="J4042" t="inlineStr">
        <is>
          <t>low cost, average and good</t>
        </is>
      </c>
    </row>
    <row r="4043">
      <c r="B4043" t="inlineStr">
        <is>
          <t>Modular Restaurants – Diners</t>
        </is>
      </c>
      <c r="C4043" t="inlineStr">
        <is>
          <t>Low Cost</t>
        </is>
      </c>
      <c r="H4043" t="n">
        <v>30</v>
      </c>
      <c r="I4043">
        <f>B4043&amp;"~"&amp;C4043</f>
        <v/>
      </c>
      <c r="J4043" t="inlineStr">
        <is>
          <t>low cost, average and good</t>
        </is>
      </c>
    </row>
    <row r="4044">
      <c r="B4044" t="inlineStr">
        <is>
          <t>Supermarkets</t>
        </is>
      </c>
      <c r="C4044" t="inlineStr">
        <is>
          <t>Good</t>
        </is>
      </c>
      <c r="D4044" t="n">
        <v>40</v>
      </c>
      <c r="E4044" t="n">
        <v>40</v>
      </c>
      <c r="F4044" t="n">
        <v>40</v>
      </c>
      <c r="G4044" t="n">
        <v>35</v>
      </c>
      <c r="H4044" t="n">
        <v>35</v>
      </c>
      <c r="I4044">
        <f>B4044&amp;"~"&amp;C4044</f>
        <v/>
      </c>
      <c r="J4044" t="inlineStr">
        <is>
          <t>average and good</t>
        </is>
      </c>
    </row>
    <row r="4045">
      <c r="B4045" t="inlineStr">
        <is>
          <t>Supermarkets</t>
        </is>
      </c>
      <c r="C4045" t="inlineStr">
        <is>
          <t>Average</t>
        </is>
      </c>
      <c r="D4045" t="n">
        <v>40</v>
      </c>
      <c r="E4045" t="n">
        <v>40</v>
      </c>
      <c r="F4045" t="n">
        <v>40</v>
      </c>
      <c r="G4045" t="n">
        <v>35</v>
      </c>
      <c r="H4045" t="n">
        <v>35</v>
      </c>
      <c r="I4045">
        <f>B4045&amp;"~"&amp;C4045</f>
        <v/>
      </c>
      <c r="J4045" t="inlineStr">
        <is>
          <t>average and good</t>
        </is>
      </c>
    </row>
    <row r="4046">
      <c r="B4046" t="inlineStr">
        <is>
          <t>Supermarkets</t>
        </is>
      </c>
      <c r="C4046" t="inlineStr">
        <is>
          <t>Excellent</t>
        </is>
      </c>
      <c r="F4046" t="n">
        <v>45</v>
      </c>
      <c r="G4046" t="n">
        <v>40</v>
      </c>
      <c r="H4046" t="n">
        <v>40</v>
      </c>
      <c r="I4046">
        <f>B4046&amp;"~"&amp;C4046</f>
        <v/>
      </c>
      <c r="J4046" t="inlineStr">
        <is>
          <t>Markets and supermarkets, excellent</t>
        </is>
      </c>
    </row>
    <row r="4047">
      <c r="B4047" t="inlineStr">
        <is>
          <t>Supermarkets</t>
        </is>
      </c>
      <c r="C4047" t="inlineStr">
        <is>
          <t>Low Cost</t>
        </is>
      </c>
      <c r="F4047" t="n">
        <v>35</v>
      </c>
      <c r="G4047" t="n">
        <v>30</v>
      </c>
      <c r="H4047" t="n">
        <v>30</v>
      </c>
      <c r="I4047">
        <f>B4047&amp;"~"&amp;C4047</f>
        <v/>
      </c>
      <c r="J4047" t="inlineStr">
        <is>
          <t>low cost</t>
        </is>
      </c>
    </row>
    <row r="4048">
      <c r="B4048" t="inlineStr">
        <is>
          <t>Drug Stores</t>
        </is>
      </c>
      <c r="C4048" t="inlineStr">
        <is>
          <t>Average</t>
        </is>
      </c>
      <c r="D4048" t="n">
        <v>45</v>
      </c>
      <c r="E4048" t="n">
        <v>45</v>
      </c>
      <c r="F4048" t="n">
        <v>40</v>
      </c>
      <c r="G4048" t="n">
        <v>35</v>
      </c>
      <c r="I4048">
        <f>B4048&amp;"~"&amp;C4048</f>
        <v/>
      </c>
      <c r="J4048" t="inlineStr">
        <is>
          <t>average and good</t>
        </is>
      </c>
    </row>
    <row r="4049">
      <c r="B4049" t="inlineStr">
        <is>
          <t>Drug Stores</t>
        </is>
      </c>
      <c r="C4049" t="inlineStr">
        <is>
          <t>Excellent</t>
        </is>
      </c>
      <c r="F4049" t="n">
        <v>45</v>
      </c>
      <c r="G4049" t="n">
        <v>40</v>
      </c>
      <c r="I4049">
        <f>B4049&amp;"~"&amp;C4049</f>
        <v/>
      </c>
      <c r="J4049" t="inlineStr">
        <is>
          <t>Drug stores, excellent</t>
        </is>
      </c>
    </row>
    <row r="4050">
      <c r="B4050" t="inlineStr">
        <is>
          <t>Drug Stores</t>
        </is>
      </c>
      <c r="C4050" t="inlineStr">
        <is>
          <t>Good</t>
        </is>
      </c>
      <c r="D4050" t="n">
        <v>45</v>
      </c>
      <c r="E4050" t="n">
        <v>45</v>
      </c>
      <c r="F4050" t="n">
        <v>40</v>
      </c>
      <c r="G4050" t="n">
        <v>35</v>
      </c>
      <c r="I4050">
        <f>B4050&amp;"~"&amp;C4050</f>
        <v/>
      </c>
      <c r="J4050" t="inlineStr">
        <is>
          <t>average and good</t>
        </is>
      </c>
    </row>
    <row r="4051">
      <c r="B4051" t="inlineStr">
        <is>
          <t>Drug Stores</t>
        </is>
      </c>
      <c r="C4051" t="inlineStr">
        <is>
          <t>Low Cost</t>
        </is>
      </c>
      <c r="F4051" t="n">
        <v>35</v>
      </c>
      <c r="G4051" t="n">
        <v>30</v>
      </c>
      <c r="H4051" t="n">
        <v>30</v>
      </c>
      <c r="I4051">
        <f>B4051&amp;"~"&amp;C4051</f>
        <v/>
      </c>
      <c r="J4051" t="inlineStr">
        <is>
          <t>low cost</t>
        </is>
      </c>
    </row>
    <row r="4052">
      <c r="B4052" t="inlineStr">
        <is>
          <t>Markets</t>
        </is>
      </c>
      <c r="C4052" t="inlineStr">
        <is>
          <t>Average</t>
        </is>
      </c>
      <c r="D4052" t="n">
        <v>40</v>
      </c>
      <c r="E4052" t="n">
        <v>40</v>
      </c>
      <c r="F4052" t="n">
        <v>40</v>
      </c>
      <c r="G4052" t="n">
        <v>35</v>
      </c>
      <c r="H4052" t="n">
        <v>35</v>
      </c>
      <c r="I4052">
        <f>B4052&amp;"~"&amp;C4052</f>
        <v/>
      </c>
      <c r="J4052" t="inlineStr">
        <is>
          <t>average and good</t>
        </is>
      </c>
    </row>
    <row r="4053">
      <c r="B4053" t="inlineStr">
        <is>
          <t>Markets</t>
        </is>
      </c>
      <c r="C4053" t="inlineStr">
        <is>
          <t>Excellent</t>
        </is>
      </c>
      <c r="F4053" t="n">
        <v>45</v>
      </c>
      <c r="G4053" t="n">
        <v>40</v>
      </c>
      <c r="H4053" t="n">
        <v>40</v>
      </c>
      <c r="I4053">
        <f>B4053&amp;"~"&amp;C4053</f>
        <v/>
      </c>
      <c r="J4053" t="inlineStr">
        <is>
          <t>Markets and supermarkets, excellent</t>
        </is>
      </c>
    </row>
    <row r="4054">
      <c r="B4054" t="inlineStr">
        <is>
          <t>Markets</t>
        </is>
      </c>
      <c r="C4054" t="inlineStr">
        <is>
          <t>Good</t>
        </is>
      </c>
      <c r="D4054" t="n">
        <v>40</v>
      </c>
      <c r="E4054" t="n">
        <v>40</v>
      </c>
      <c r="F4054" t="n">
        <v>40</v>
      </c>
      <c r="G4054" t="n">
        <v>35</v>
      </c>
      <c r="H4054" t="n">
        <v>35</v>
      </c>
      <c r="I4054">
        <f>B4054&amp;"~"&amp;C4054</f>
        <v/>
      </c>
      <c r="J4054" t="inlineStr">
        <is>
          <t>average and good</t>
        </is>
      </c>
    </row>
    <row r="4055">
      <c r="B4055" t="inlineStr">
        <is>
          <t>Markets</t>
        </is>
      </c>
      <c r="C4055" t="inlineStr">
        <is>
          <t>Low Cost</t>
        </is>
      </c>
      <c r="F4055" t="n">
        <v>35</v>
      </c>
      <c r="G4055" t="n">
        <v>30</v>
      </c>
      <c r="H4055" t="n">
        <v>30</v>
      </c>
      <c r="I4055">
        <f>B4055&amp;"~"&amp;C4055</f>
        <v/>
      </c>
      <c r="J4055" t="inlineStr">
        <is>
          <t>low cost</t>
        </is>
      </c>
    </row>
    <row r="4056">
      <c r="B4056" t="inlineStr">
        <is>
          <t>Florist Shops</t>
        </is>
      </c>
      <c r="C4056" t="inlineStr">
        <is>
          <t>Average</t>
        </is>
      </c>
      <c r="D4056" t="n">
        <v>50</v>
      </c>
      <c r="E4056" t="n">
        <v>50</v>
      </c>
      <c r="F4056" t="n">
        <v>40</v>
      </c>
      <c r="G4056" t="n">
        <v>35</v>
      </c>
      <c r="H4056" t="n">
        <v>35</v>
      </c>
      <c r="I4056">
        <f>B4056&amp;"~"&amp;C4056</f>
        <v/>
      </c>
      <c r="J4056" t="inlineStr">
        <is>
          <t>average and good</t>
        </is>
      </c>
    </row>
    <row r="4057">
      <c r="B4057" t="inlineStr">
        <is>
          <t>Florist Shops</t>
        </is>
      </c>
      <c r="C4057" t="inlineStr">
        <is>
          <t>Excellent</t>
        </is>
      </c>
      <c r="F4057" t="n">
        <v>45</v>
      </c>
      <c r="G4057" t="n">
        <v>40</v>
      </c>
      <c r="H4057" t="n">
        <v>40</v>
      </c>
      <c r="I4057">
        <f>B4057&amp;"~"&amp;C4057</f>
        <v/>
      </c>
      <c r="J4057" t="inlineStr">
        <is>
          <t>Florist shops, excellent</t>
        </is>
      </c>
    </row>
    <row r="4058">
      <c r="B4058" t="inlineStr">
        <is>
          <t>Florist Shops</t>
        </is>
      </c>
      <c r="C4058" t="inlineStr">
        <is>
          <t>Good</t>
        </is>
      </c>
      <c r="D4058" t="n">
        <v>50</v>
      </c>
      <c r="E4058" t="n">
        <v>50</v>
      </c>
      <c r="F4058" t="n">
        <v>40</v>
      </c>
      <c r="G4058" t="n">
        <v>35</v>
      </c>
      <c r="H4058" t="n">
        <v>35</v>
      </c>
      <c r="I4058">
        <f>B4058&amp;"~"&amp;C4058</f>
        <v/>
      </c>
      <c r="J4058" t="inlineStr">
        <is>
          <t>average and good</t>
        </is>
      </c>
    </row>
    <row r="4059">
      <c r="B4059" t="inlineStr">
        <is>
          <t>Florist Shops</t>
        </is>
      </c>
      <c r="C4059" t="inlineStr">
        <is>
          <t>Low Cost</t>
        </is>
      </c>
      <c r="F4059" t="n">
        <v>35</v>
      </c>
      <c r="G4059" t="n">
        <v>30</v>
      </c>
      <c r="H4059" t="n">
        <v>30</v>
      </c>
      <c r="I4059">
        <f>B4059&amp;"~"&amp;C4059</f>
        <v/>
      </c>
      <c r="J4059" t="inlineStr">
        <is>
          <t>low cost</t>
        </is>
      </c>
    </row>
    <row r="4060">
      <c r="B4060" t="inlineStr">
        <is>
          <t>Convenience Stores</t>
        </is>
      </c>
      <c r="C4060" t="inlineStr">
        <is>
          <t>Average</t>
        </is>
      </c>
      <c r="D4060" t="n">
        <v>45</v>
      </c>
      <c r="E4060" t="n">
        <v>45</v>
      </c>
      <c r="F4060" t="n">
        <v>40</v>
      </c>
      <c r="G4060" t="n">
        <v>35</v>
      </c>
      <c r="H4060" t="n">
        <v>35</v>
      </c>
      <c r="I4060">
        <f>B4060&amp;"~"&amp;C4060</f>
        <v/>
      </c>
      <c r="J4060" t="inlineStr">
        <is>
          <t>average and good</t>
        </is>
      </c>
    </row>
    <row r="4061">
      <c r="B4061" t="inlineStr">
        <is>
          <t>Convenience Stores</t>
        </is>
      </c>
      <c r="C4061" t="inlineStr">
        <is>
          <t>Excellent</t>
        </is>
      </c>
      <c r="F4061" t="n">
        <v>45</v>
      </c>
      <c r="G4061" t="n">
        <v>40</v>
      </c>
      <c r="H4061" t="n">
        <v>40</v>
      </c>
      <c r="I4061">
        <f>B4061&amp;"~"&amp;C4061</f>
        <v/>
      </c>
      <c r="J4061" t="inlineStr">
        <is>
          <t>Convenience stores, excellent</t>
        </is>
      </c>
    </row>
    <row r="4062">
      <c r="B4062" t="inlineStr">
        <is>
          <t>Convenience Stores</t>
        </is>
      </c>
      <c r="C4062" t="inlineStr">
        <is>
          <t>Good</t>
        </is>
      </c>
      <c r="D4062" t="n">
        <v>45</v>
      </c>
      <c r="E4062" t="n">
        <v>45</v>
      </c>
      <c r="F4062" t="n">
        <v>40</v>
      </c>
      <c r="G4062" t="n">
        <v>35</v>
      </c>
      <c r="H4062" t="n">
        <v>35</v>
      </c>
      <c r="I4062">
        <f>B4062&amp;"~"&amp;C4062</f>
        <v/>
      </c>
      <c r="J4062" t="inlineStr">
        <is>
          <t>average and good</t>
        </is>
      </c>
    </row>
    <row r="4063">
      <c r="B4063" t="inlineStr">
        <is>
          <t>Convenience Stores</t>
        </is>
      </c>
      <c r="C4063" t="inlineStr">
        <is>
          <t>Low Cost</t>
        </is>
      </c>
      <c r="F4063" t="n">
        <v>35</v>
      </c>
      <c r="G4063" t="n">
        <v>30</v>
      </c>
      <c r="H4063" t="n">
        <v>30</v>
      </c>
      <c r="I4063">
        <f>B4063&amp;"~"&amp;C4063</f>
        <v/>
      </c>
      <c r="J4063" t="inlineStr">
        <is>
          <t>low cost</t>
        </is>
      </c>
    </row>
    <row r="4064">
      <c r="B4064" t="inlineStr">
        <is>
          <t>Mini-Mart Convenience Stores</t>
        </is>
      </c>
      <c r="C4064" t="inlineStr">
        <is>
          <t>Excellent</t>
        </is>
      </c>
      <c r="F4064" t="n">
        <v>40</v>
      </c>
      <c r="G4064" t="n">
        <v>35</v>
      </c>
      <c r="H4064" t="n">
        <v>30</v>
      </c>
      <c r="I4064">
        <f>B4064&amp;"~"&amp;C4064</f>
        <v/>
      </c>
      <c r="J4064" t="inlineStr">
        <is>
          <t>Mini-marts, good and excellent</t>
        </is>
      </c>
    </row>
    <row r="4065">
      <c r="B4065" t="inlineStr">
        <is>
          <t>Mini-Mart Convenience Stores</t>
        </is>
      </c>
      <c r="C4065" t="inlineStr">
        <is>
          <t>Good</t>
        </is>
      </c>
      <c r="F4065" t="n">
        <v>40</v>
      </c>
      <c r="G4065" t="n">
        <v>35</v>
      </c>
      <c r="H4065" t="n">
        <v>30</v>
      </c>
      <c r="I4065">
        <f>B4065&amp;"~"&amp;C4065</f>
        <v/>
      </c>
      <c r="J4065" t="inlineStr">
        <is>
          <t>Mini-marts, good and excellent</t>
        </is>
      </c>
    </row>
    <row r="4066">
      <c r="B4066" t="inlineStr">
        <is>
          <t>Mini-Mart Convenience Stores</t>
        </is>
      </c>
      <c r="C4066" t="inlineStr">
        <is>
          <t>Average</t>
        </is>
      </c>
      <c r="F4066" t="n">
        <v>35</v>
      </c>
      <c r="G4066" t="n">
        <v>30</v>
      </c>
      <c r="H4066" t="n">
        <v>25</v>
      </c>
      <c r="I4066">
        <f>B4066&amp;"~"&amp;C4066</f>
        <v/>
      </c>
      <c r="J4066" t="inlineStr">
        <is>
          <t>low cost and average</t>
        </is>
      </c>
    </row>
    <row r="4067">
      <c r="B4067" t="inlineStr">
        <is>
          <t>Mini-Mart Convenience Stores</t>
        </is>
      </c>
      <c r="C4067" t="inlineStr">
        <is>
          <t>Low Cost</t>
        </is>
      </c>
      <c r="F4067" t="n">
        <v>35</v>
      </c>
      <c r="G4067" t="n">
        <v>30</v>
      </c>
      <c r="H4067" t="n">
        <v>25</v>
      </c>
      <c r="I4067">
        <f>B4067&amp;"~"&amp;C4067</f>
        <v/>
      </c>
      <c r="J4067" t="inlineStr">
        <is>
          <t>low cost and average</t>
        </is>
      </c>
    </row>
    <row r="4068">
      <c r="B4068" t="inlineStr">
        <is>
          <t>Roadside Markets</t>
        </is>
      </c>
      <c r="C4068" t="inlineStr">
        <is>
          <t>Excellent</t>
        </is>
      </c>
      <c r="F4068" t="n">
        <v>40</v>
      </c>
      <c r="G4068" t="n">
        <v>35</v>
      </c>
      <c r="H4068" t="n">
        <v>35</v>
      </c>
      <c r="I4068">
        <f>B4068&amp;"~"&amp;C4068</f>
        <v/>
      </c>
      <c r="J4068" t="inlineStr">
        <is>
          <t>Roadside markets, excellent</t>
        </is>
      </c>
    </row>
    <row r="4069">
      <c r="B4069" t="inlineStr">
        <is>
          <t>Roadside Markets</t>
        </is>
      </c>
      <c r="C4069" t="inlineStr">
        <is>
          <t>Good</t>
        </is>
      </c>
      <c r="F4069" t="n">
        <v>35</v>
      </c>
      <c r="G4069" t="n">
        <v>30</v>
      </c>
      <c r="H4069" t="n">
        <v>30</v>
      </c>
      <c r="I4069">
        <f>B4069&amp;"~"&amp;C4069</f>
        <v/>
      </c>
      <c r="J4069" t="inlineStr">
        <is>
          <t>good</t>
        </is>
      </c>
    </row>
    <row r="4070">
      <c r="B4070" t="inlineStr">
        <is>
          <t>Roadside Markets</t>
        </is>
      </c>
      <c r="C4070" t="inlineStr">
        <is>
          <t>Average</t>
        </is>
      </c>
      <c r="F4070" t="n">
        <v>30</v>
      </c>
      <c r="G4070" t="n">
        <v>25</v>
      </c>
      <c r="H4070" t="n">
        <v>25</v>
      </c>
      <c r="I4070">
        <f>B4070&amp;"~"&amp;C4070</f>
        <v/>
      </c>
      <c r="J4070" t="inlineStr">
        <is>
          <t>average</t>
        </is>
      </c>
    </row>
    <row r="4071">
      <c r="B4071" t="inlineStr">
        <is>
          <t>Roadside Markets</t>
        </is>
      </c>
      <c r="C4071" t="inlineStr">
        <is>
          <t>Low Cost</t>
        </is>
      </c>
      <c r="G4071" t="n">
        <v>20</v>
      </c>
      <c r="H4071" t="n">
        <v>20</v>
      </c>
      <c r="I4071">
        <f>B4071&amp;"~"&amp;C4071</f>
        <v/>
      </c>
      <c r="J4071" t="inlineStr">
        <is>
          <t>low cost</t>
        </is>
      </c>
    </row>
    <row r="4072">
      <c r="B4072" t="inlineStr">
        <is>
          <t>Roadside Markets</t>
        </is>
      </c>
      <c r="C4072" t="inlineStr">
        <is>
          <t>Cheap</t>
        </is>
      </c>
      <c r="G4072" t="n">
        <v>15</v>
      </c>
      <c r="I4072">
        <f>B4072&amp;"~"&amp;C4072</f>
        <v/>
      </c>
      <c r="J4072" t="inlineStr">
        <is>
          <t>cheap</t>
        </is>
      </c>
    </row>
    <row r="4073">
      <c r="B4073" t="inlineStr">
        <is>
          <t>Luxury Boutiques</t>
        </is>
      </c>
      <c r="C4073" t="inlineStr">
        <is>
          <t>Good</t>
        </is>
      </c>
      <c r="D4073" t="n">
        <v>60</v>
      </c>
      <c r="E4073" t="n">
        <v>60</v>
      </c>
      <c r="F4073" t="n">
        <v>55</v>
      </c>
      <c r="G4073" t="n">
        <v>50</v>
      </c>
      <c r="I4073">
        <f>B4073&amp;"~"&amp;C4073</f>
        <v/>
      </c>
      <c r="J4073" t="inlineStr">
        <is>
          <t>Luxury boutiques, good</t>
        </is>
      </c>
    </row>
    <row r="4074">
      <c r="B4074" t="inlineStr">
        <is>
          <t>Luxury Boutiques</t>
        </is>
      </c>
      <c r="C4074" t="inlineStr">
        <is>
          <t>Average</t>
        </is>
      </c>
      <c r="D4074" t="n">
        <v>55</v>
      </c>
      <c r="E4074" t="n">
        <v>55</v>
      </c>
      <c r="F4074" t="n">
        <v>50</v>
      </c>
      <c r="G4074" t="n">
        <v>45</v>
      </c>
      <c r="I4074">
        <f>B4074&amp;"~"&amp;C4074</f>
        <v/>
      </c>
      <c r="J4074" t="inlineStr">
        <is>
          <t>low cost and average</t>
        </is>
      </c>
    </row>
    <row r="4075">
      <c r="B4075" t="inlineStr">
        <is>
          <t>Luxury Boutiques</t>
        </is>
      </c>
      <c r="C4075" t="inlineStr">
        <is>
          <t>Low Cost</t>
        </is>
      </c>
      <c r="D4075" t="n">
        <v>55</v>
      </c>
      <c r="E4075" t="n">
        <v>55</v>
      </c>
      <c r="F4075" t="n">
        <v>50</v>
      </c>
      <c r="G4075" t="n">
        <v>45</v>
      </c>
      <c r="I4075">
        <f>B4075&amp;"~"&amp;C4075</f>
        <v/>
      </c>
      <c r="J4075" t="inlineStr">
        <is>
          <t>low cost and average</t>
        </is>
      </c>
    </row>
    <row r="4076">
      <c r="B4076" t="inlineStr">
        <is>
          <t>Winery (Tasting – Display) Shops</t>
        </is>
      </c>
      <c r="C4076" t="inlineStr">
        <is>
          <t>Excellent</t>
        </is>
      </c>
      <c r="F4076" t="n">
        <v>50</v>
      </c>
      <c r="G4076" t="n">
        <v>45</v>
      </c>
      <c r="I4076">
        <f>B4076&amp;"~"&amp;C4076</f>
        <v/>
      </c>
      <c r="J4076" t="inlineStr">
        <is>
          <t>Winery shops, excellent</t>
        </is>
      </c>
    </row>
    <row r="4077">
      <c r="B4077" t="inlineStr">
        <is>
          <t>Winery (Tasting – Display) Shops</t>
        </is>
      </c>
      <c r="C4077" t="inlineStr">
        <is>
          <t>Good</t>
        </is>
      </c>
      <c r="F4077" t="n">
        <v>45</v>
      </c>
      <c r="G4077" t="n">
        <v>40</v>
      </c>
      <c r="I4077">
        <f>B4077&amp;"~"&amp;C4077</f>
        <v/>
      </c>
      <c r="J4077" t="inlineStr">
        <is>
          <t>good</t>
        </is>
      </c>
    </row>
    <row r="4078">
      <c r="B4078" t="inlineStr">
        <is>
          <t>Winery (Tasting – Display) Shops</t>
        </is>
      </c>
      <c r="C4078" t="inlineStr">
        <is>
          <t>Average</t>
        </is>
      </c>
      <c r="F4078" t="n">
        <v>40</v>
      </c>
      <c r="G4078" t="n">
        <v>35</v>
      </c>
      <c r="H4078" t="n">
        <v>35</v>
      </c>
      <c r="I4078">
        <f>B4078&amp;"~"&amp;C4078</f>
        <v/>
      </c>
      <c r="J4078" t="inlineStr">
        <is>
          <t>average</t>
        </is>
      </c>
    </row>
    <row r="4079">
      <c r="B4079" t="inlineStr">
        <is>
          <t>Winery (Tasting – Display) Shops</t>
        </is>
      </c>
      <c r="C4079" t="inlineStr">
        <is>
          <t>Low Cost</t>
        </is>
      </c>
      <c r="F4079" t="n">
        <v>35</v>
      </c>
      <c r="G4079" t="n">
        <v>30</v>
      </c>
      <c r="H4079" t="n">
        <v>30</v>
      </c>
      <c r="I4079">
        <f>B4079&amp;"~"&amp;C4079</f>
        <v/>
      </c>
      <c r="J4079" t="inlineStr">
        <is>
          <t>low cost</t>
        </is>
      </c>
    </row>
    <row r="4080">
      <c r="B4080" t="inlineStr">
        <is>
          <t>Barber Shops/Beauty Salons</t>
        </is>
      </c>
      <c r="C4080" t="inlineStr">
        <is>
          <t>Average</t>
        </is>
      </c>
      <c r="D4080" t="n">
        <v>40</v>
      </c>
      <c r="E4080" t="n">
        <v>40</v>
      </c>
      <c r="F4080" t="n">
        <v>35</v>
      </c>
      <c r="G4080" t="n">
        <v>30</v>
      </c>
      <c r="H4080" t="n">
        <v>30</v>
      </c>
      <c r="I4080">
        <f>B4080&amp;"~"&amp;C4080</f>
        <v/>
      </c>
      <c r="J4080" t="inlineStr">
        <is>
          <t>low cost and average</t>
        </is>
      </c>
    </row>
    <row r="4081">
      <c r="B4081" t="inlineStr">
        <is>
          <t>Barber Shops/Beauty Salons</t>
        </is>
      </c>
      <c r="C4081" t="inlineStr">
        <is>
          <t>Good</t>
        </is>
      </c>
      <c r="D4081" t="n">
        <v>45</v>
      </c>
      <c r="E4081" t="n">
        <v>45</v>
      </c>
      <c r="F4081" t="n">
        <v>40</v>
      </c>
      <c r="G4081" t="n">
        <v>35</v>
      </c>
      <c r="H4081" t="n">
        <v>35</v>
      </c>
      <c r="I4081">
        <f>B4081&amp;"~"&amp;C4081</f>
        <v/>
      </c>
      <c r="J4081" t="inlineStr">
        <is>
          <t>Barber and beauty shops, good</t>
        </is>
      </c>
    </row>
    <row r="4082">
      <c r="B4082" t="inlineStr">
        <is>
          <t>Laundromats</t>
        </is>
      </c>
      <c r="C4082" t="inlineStr">
        <is>
          <t>Average</t>
        </is>
      </c>
      <c r="F4082" t="n">
        <v>35</v>
      </c>
      <c r="G4082" t="n">
        <v>30</v>
      </c>
      <c r="H4082" t="n">
        <v>30</v>
      </c>
      <c r="I4082">
        <f>B4082&amp;"~"&amp;C4082</f>
        <v/>
      </c>
      <c r="J4082" t="inlineStr">
        <is>
          <t>Laundromats, average</t>
        </is>
      </c>
    </row>
    <row r="4083">
      <c r="B4083" t="inlineStr">
        <is>
          <t>Laundry/Dry Cleaning</t>
        </is>
      </c>
      <c r="C4083" t="inlineStr">
        <is>
          <t>Good</t>
        </is>
      </c>
      <c r="F4083" t="n">
        <v>45</v>
      </c>
      <c r="G4083" t="n">
        <v>40</v>
      </c>
      <c r="H4083" t="n">
        <v>40</v>
      </c>
      <c r="I4083">
        <f>B4083&amp;"~"&amp;C4083</f>
        <v/>
      </c>
      <c r="J4083" t="inlineStr">
        <is>
          <t>Laundry/dry cleaning, good</t>
        </is>
      </c>
    </row>
    <row r="4084">
      <c r="B4084" t="inlineStr">
        <is>
          <t>Laundry/Dry Cleaning</t>
        </is>
      </c>
      <c r="C4084" t="inlineStr">
        <is>
          <t>Average</t>
        </is>
      </c>
      <c r="F4084" t="n">
        <v>40</v>
      </c>
      <c r="G4084" t="n">
        <v>35</v>
      </c>
      <c r="H4084" t="n">
        <v>35</v>
      </c>
      <c r="I4084">
        <f>B4084&amp;"~"&amp;C4084</f>
        <v/>
      </c>
      <c r="J4084" t="inlineStr">
        <is>
          <t>average</t>
        </is>
      </c>
    </row>
    <row r="4085">
      <c r="B4085" t="inlineStr">
        <is>
          <t>Dairy Sales</t>
        </is>
      </c>
      <c r="C4085" t="inlineStr">
        <is>
          <t>Average</t>
        </is>
      </c>
      <c r="F4085" t="n">
        <v>35</v>
      </c>
      <c r="G4085" t="n">
        <v>30</v>
      </c>
      <c r="H4085" t="n">
        <v>30</v>
      </c>
      <c r="I4085">
        <f>B4085&amp;"~"&amp;C4085</f>
        <v/>
      </c>
      <c r="J4085" t="inlineStr">
        <is>
          <t>Dairy sales buildings, average</t>
        </is>
      </c>
    </row>
    <row r="4086">
      <c r="B4086" t="inlineStr">
        <is>
          <t>Retail Stores</t>
        </is>
      </c>
      <c r="C4086" t="inlineStr">
        <is>
          <t>Excellent</t>
        </is>
      </c>
      <c r="D4086" t="n">
        <v>55</v>
      </c>
      <c r="E4086" t="n">
        <v>55</v>
      </c>
      <c r="F4086" t="n">
        <v>50</v>
      </c>
      <c r="G4086" t="n">
        <v>45</v>
      </c>
      <c r="H4086" t="n">
        <v>45</v>
      </c>
      <c r="I4086">
        <f>B4086&amp;"~"&amp;C4086</f>
        <v/>
      </c>
      <c r="J4086" t="inlineStr">
        <is>
          <t>Retail stores, good and excellent</t>
        </is>
      </c>
    </row>
    <row r="4087">
      <c r="B4087" t="inlineStr">
        <is>
          <t>Retail Stores</t>
        </is>
      </c>
      <c r="C4087" t="inlineStr">
        <is>
          <t>Good</t>
        </is>
      </c>
      <c r="D4087" t="n">
        <v>55</v>
      </c>
      <c r="E4087" t="n">
        <v>55</v>
      </c>
      <c r="F4087" t="n">
        <v>50</v>
      </c>
      <c r="G4087" t="n">
        <v>45</v>
      </c>
      <c r="H4087" t="n">
        <v>45</v>
      </c>
      <c r="I4087">
        <f>B4087&amp;"~"&amp;C4087</f>
        <v/>
      </c>
      <c r="J4087" t="inlineStr">
        <is>
          <t>Retail stores, good and excellent</t>
        </is>
      </c>
    </row>
    <row r="4088">
      <c r="B4088" t="inlineStr">
        <is>
          <t>Retail Stores</t>
        </is>
      </c>
      <c r="C4088" t="inlineStr">
        <is>
          <t>Average</t>
        </is>
      </c>
      <c r="D4088" t="n">
        <v>50</v>
      </c>
      <c r="E4088" t="n">
        <v>50</v>
      </c>
      <c r="F4088" t="n">
        <v>45</v>
      </c>
      <c r="G4088" t="n">
        <v>40</v>
      </c>
      <c r="H4088" t="n">
        <v>40</v>
      </c>
      <c r="I4088">
        <f>B4088&amp;"~"&amp;C4088</f>
        <v/>
      </c>
      <c r="J4088" t="inlineStr">
        <is>
          <t>average</t>
        </is>
      </c>
    </row>
    <row r="4089">
      <c r="B4089" t="inlineStr">
        <is>
          <t>Retail Stores</t>
        </is>
      </c>
      <c r="C4089" t="inlineStr">
        <is>
          <t>Low Cost</t>
        </is>
      </c>
      <c r="D4089" t="n">
        <v>45</v>
      </c>
      <c r="E4089" t="n">
        <v>45</v>
      </c>
      <c r="F4089" t="n">
        <v>40</v>
      </c>
      <c r="G4089" t="n">
        <v>40</v>
      </c>
      <c r="H4089" t="n">
        <v>40</v>
      </c>
      <c r="I4089">
        <f>B4089&amp;"~"&amp;C4089</f>
        <v/>
      </c>
      <c r="J4089" t="inlineStr">
        <is>
          <t>low cost</t>
        </is>
      </c>
    </row>
    <row r="4090">
      <c r="B4090" t="inlineStr">
        <is>
          <t>Department Stores</t>
        </is>
      </c>
      <c r="C4090" t="inlineStr">
        <is>
          <t>Excellent</t>
        </is>
      </c>
      <c r="D4090" t="n">
        <v>55</v>
      </c>
      <c r="E4090" t="n">
        <v>55</v>
      </c>
      <c r="F4090" t="n">
        <v>50</v>
      </c>
      <c r="I4090">
        <f>B4090&amp;"~"&amp;C4090</f>
        <v/>
      </c>
      <c r="J4090" t="inlineStr">
        <is>
          <t>Department stores, good and excellent</t>
        </is>
      </c>
    </row>
    <row r="4091">
      <c r="B4091" t="inlineStr">
        <is>
          <t>Department Stores</t>
        </is>
      </c>
      <c r="C4091" t="inlineStr">
        <is>
          <t>Good</t>
        </is>
      </c>
      <c r="D4091" t="n">
        <v>55</v>
      </c>
      <c r="E4091" t="n">
        <v>55</v>
      </c>
      <c r="F4091" t="n">
        <v>50</v>
      </c>
      <c r="I4091">
        <f>B4091&amp;"~"&amp;C4091</f>
        <v/>
      </c>
      <c r="J4091" t="inlineStr">
        <is>
          <t>Department stores, good and excellent</t>
        </is>
      </c>
    </row>
    <row r="4092">
      <c r="B4092" t="inlineStr">
        <is>
          <t>Department Stores</t>
        </is>
      </c>
      <c r="C4092" t="inlineStr">
        <is>
          <t>Average</t>
        </is>
      </c>
      <c r="D4092" t="n">
        <v>50</v>
      </c>
      <c r="E4092" t="n">
        <v>50</v>
      </c>
      <c r="F4092" t="n">
        <v>45</v>
      </c>
      <c r="I4092">
        <f>B4092&amp;"~"&amp;C4092</f>
        <v/>
      </c>
      <c r="J4092" t="inlineStr">
        <is>
          <t>low cost and average</t>
        </is>
      </c>
    </row>
    <row r="4093">
      <c r="B4093" t="inlineStr">
        <is>
          <t>Mall Anchor (Department/Big Box) Stores</t>
        </is>
      </c>
      <c r="C4093" t="inlineStr">
        <is>
          <t>Good</t>
        </is>
      </c>
      <c r="D4093" t="n">
        <v>50</v>
      </c>
      <c r="E4093" t="n">
        <v>50</v>
      </c>
      <c r="F4093" t="n">
        <v>45</v>
      </c>
      <c r="G4093" t="n">
        <v>40</v>
      </c>
      <c r="I4093">
        <f>B4093&amp;"~"&amp;C4093</f>
        <v/>
      </c>
      <c r="J4093" t="inlineStr">
        <is>
          <t>mall anchor stores, average and good</t>
        </is>
      </c>
    </row>
    <row r="4094">
      <c r="B4094" t="inlineStr">
        <is>
          <t>Mall Anchor (Department/Big Box) Stores</t>
        </is>
      </c>
      <c r="C4094" t="inlineStr">
        <is>
          <t>Average</t>
        </is>
      </c>
      <c r="D4094" t="n">
        <v>50</v>
      </c>
      <c r="E4094" t="n">
        <v>50</v>
      </c>
      <c r="F4094" t="n">
        <v>45</v>
      </c>
      <c r="G4094" t="n">
        <v>40</v>
      </c>
      <c r="I4094">
        <f>B4094&amp;"~"&amp;C4094</f>
        <v/>
      </c>
      <c r="J4094" t="inlineStr">
        <is>
          <t>mall anchor stores, average and good</t>
        </is>
      </c>
    </row>
    <row r="4095">
      <c r="B4095" t="inlineStr">
        <is>
          <t>Mall Anchor (Department/Big Box) Stores</t>
        </is>
      </c>
      <c r="C4095" t="inlineStr">
        <is>
          <t>Low Cost</t>
        </is>
      </c>
      <c r="D4095" t="n">
        <v>45</v>
      </c>
      <c r="E4095" t="n">
        <v>45</v>
      </c>
      <c r="F4095" t="n">
        <v>40</v>
      </c>
      <c r="G4095" t="n">
        <v>35</v>
      </c>
      <c r="H4095" t="n">
        <v>35</v>
      </c>
      <c r="I4095">
        <f>B4095&amp;"~"&amp;C4095</f>
        <v/>
      </c>
      <c r="J4095" t="inlineStr">
        <is>
          <t>low cost</t>
        </is>
      </c>
    </row>
    <row r="4096">
      <c r="B4096" t="inlineStr">
        <is>
          <t>Discount Stores</t>
        </is>
      </c>
      <c r="C4096" t="inlineStr">
        <is>
          <t>Average</t>
        </is>
      </c>
      <c r="D4096" t="n">
        <v>40</v>
      </c>
      <c r="E4096" t="n">
        <v>40</v>
      </c>
      <c r="F4096" t="n">
        <v>35</v>
      </c>
      <c r="G4096" t="n">
        <v>30</v>
      </c>
      <c r="H4096" t="n">
        <v>30</v>
      </c>
      <c r="I4096">
        <f>B4096&amp;"~"&amp;C4096</f>
        <v/>
      </c>
      <c r="J4096" t="inlineStr">
        <is>
          <t>low cost and average</t>
        </is>
      </c>
    </row>
    <row r="4097">
      <c r="B4097" t="inlineStr">
        <is>
          <t>Discount Stores</t>
        </is>
      </c>
      <c r="C4097" t="inlineStr">
        <is>
          <t>Good</t>
        </is>
      </c>
      <c r="F4097" t="n">
        <v>40</v>
      </c>
      <c r="G4097" t="n">
        <v>35</v>
      </c>
      <c r="H4097" t="n">
        <v>35</v>
      </c>
      <c r="I4097">
        <f>B4097&amp;"~"&amp;C4097</f>
        <v/>
      </c>
      <c r="J4097" t="inlineStr">
        <is>
          <t>Discount stores, good</t>
        </is>
      </c>
    </row>
    <row r="4098">
      <c r="B4098" t="inlineStr">
        <is>
          <t>Discount Stores</t>
        </is>
      </c>
      <c r="C4098" t="inlineStr">
        <is>
          <t>Low Cost</t>
        </is>
      </c>
      <c r="D4098" t="n">
        <v>40</v>
      </c>
      <c r="E4098" t="n">
        <v>40</v>
      </c>
      <c r="F4098" t="n">
        <v>35</v>
      </c>
      <c r="G4098" t="n">
        <v>30</v>
      </c>
      <c r="H4098" t="n">
        <v>30</v>
      </c>
      <c r="I4098">
        <f>B4098&amp;"~"&amp;C4098</f>
        <v/>
      </c>
      <c r="J4098" t="inlineStr">
        <is>
          <t>low cost and average</t>
        </is>
      </c>
    </row>
    <row r="4099">
      <c r="B4099" t="inlineStr">
        <is>
          <t>Warehouse Discount Stores</t>
        </is>
      </c>
      <c r="C4099" t="inlineStr">
        <is>
          <t>Good</t>
        </is>
      </c>
      <c r="F4099" t="n">
        <v>35</v>
      </c>
      <c r="G4099" t="n">
        <v>30</v>
      </c>
      <c r="H4099" t="n">
        <v>30</v>
      </c>
      <c r="I4099">
        <f>B4099&amp;"~"&amp;C4099</f>
        <v/>
      </c>
      <c r="J4099" t="inlineStr">
        <is>
          <t>Warehouse discount stores, good</t>
        </is>
      </c>
    </row>
    <row r="4100">
      <c r="B4100" t="inlineStr">
        <is>
          <t>Warehouse Discount Stores</t>
        </is>
      </c>
      <c r="C4100" t="inlineStr">
        <is>
          <t>Average</t>
        </is>
      </c>
      <c r="F4100" t="n">
        <v>30</v>
      </c>
      <c r="G4100" t="n">
        <v>30</v>
      </c>
      <c r="H4100" t="n">
        <v>30</v>
      </c>
      <c r="I4100">
        <f>B4100&amp;"~"&amp;C4100</f>
        <v/>
      </c>
      <c r="J4100" t="inlineStr">
        <is>
          <t>low cost and average</t>
        </is>
      </c>
    </row>
    <row r="4101">
      <c r="B4101" t="inlineStr">
        <is>
          <t>Warehouse Discount Stores</t>
        </is>
      </c>
      <c r="C4101" t="inlineStr">
        <is>
          <t>Low Cost</t>
        </is>
      </c>
      <c r="F4101" t="n">
        <v>30</v>
      </c>
      <c r="G4101" t="n">
        <v>30</v>
      </c>
      <c r="H4101" t="n">
        <v>30</v>
      </c>
      <c r="I4101">
        <f>B4101&amp;"~"&amp;C4101</f>
        <v/>
      </c>
      <c r="J4101" t="inlineStr">
        <is>
          <t>low cost and average</t>
        </is>
      </c>
    </row>
    <row r="4102">
      <c r="B4102" t="inlineStr">
        <is>
          <t>Warehouse Showroom Stores</t>
        </is>
      </c>
      <c r="C4102" t="inlineStr">
        <is>
          <t>Good</t>
        </is>
      </c>
      <c r="F4102" t="n">
        <v>40</v>
      </c>
      <c r="G4102" t="n">
        <v>35</v>
      </c>
      <c r="H4102" t="n">
        <v>35</v>
      </c>
      <c r="I4102">
        <f>B4102&amp;"~"&amp;C4102</f>
        <v/>
      </c>
      <c r="J4102" t="inlineStr">
        <is>
          <t>showroom, good</t>
        </is>
      </c>
    </row>
    <row r="4103">
      <c r="B4103" t="inlineStr">
        <is>
          <t>Warehouse Showroom Stores</t>
        </is>
      </c>
      <c r="C4103" t="inlineStr">
        <is>
          <t>Average</t>
        </is>
      </c>
      <c r="F4103" t="n">
        <v>35</v>
      </c>
      <c r="G4103" t="n">
        <v>30</v>
      </c>
      <c r="H4103" t="n">
        <v>30</v>
      </c>
      <c r="I4103">
        <f>B4103&amp;"~"&amp;C4103</f>
        <v/>
      </c>
      <c r="J4103" t="inlineStr">
        <is>
          <t>low cost and average</t>
        </is>
      </c>
    </row>
    <row r="4104">
      <c r="B4104" t="inlineStr">
        <is>
          <t>Warehouse Showroom Stores</t>
        </is>
      </c>
      <c r="C4104" t="inlineStr">
        <is>
          <t>Low Cost</t>
        </is>
      </c>
      <c r="F4104" t="n">
        <v>35</v>
      </c>
      <c r="G4104" t="n">
        <v>30</v>
      </c>
      <c r="H4104" t="n">
        <v>30</v>
      </c>
      <c r="I4104">
        <f>B4104&amp;"~"&amp;C4104</f>
        <v/>
      </c>
      <c r="J4104" t="inlineStr">
        <is>
          <t>low cost and average</t>
        </is>
      </c>
    </row>
    <row r="4105">
      <c r="B4105" t="inlineStr">
        <is>
          <t>Warehouse Food Stores</t>
        </is>
      </c>
      <c r="C4105" t="inlineStr">
        <is>
          <t>Good</t>
        </is>
      </c>
      <c r="F4105" t="n">
        <v>40</v>
      </c>
      <c r="G4105" t="n">
        <v>35</v>
      </c>
      <c r="H4105" t="n">
        <v>35</v>
      </c>
      <c r="I4105">
        <f>B4105&amp;"~"&amp;C4105</f>
        <v/>
      </c>
      <c r="J4105" t="inlineStr">
        <is>
          <t>food, good</t>
        </is>
      </c>
    </row>
    <row r="4106">
      <c r="B4106" t="inlineStr">
        <is>
          <t>Warehouse Food Stores</t>
        </is>
      </c>
      <c r="C4106" t="inlineStr">
        <is>
          <t>Average</t>
        </is>
      </c>
      <c r="F4106" t="n">
        <v>35</v>
      </c>
      <c r="G4106" t="n">
        <v>30</v>
      </c>
      <c r="H4106" t="n">
        <v>30</v>
      </c>
      <c r="I4106">
        <f>B4106&amp;"~"&amp;C4106</f>
        <v/>
      </c>
      <c r="J4106" t="inlineStr">
        <is>
          <t>average</t>
        </is>
      </c>
    </row>
    <row r="4107">
      <c r="B4107" t="inlineStr">
        <is>
          <t>Warehouse Food Stores</t>
        </is>
      </c>
      <c r="C4107" t="inlineStr">
        <is>
          <t>Low Cost</t>
        </is>
      </c>
      <c r="F4107" t="n">
        <v>30</v>
      </c>
      <c r="G4107" t="n">
        <v>30</v>
      </c>
      <c r="H4107" t="n">
        <v>30</v>
      </c>
      <c r="I4107">
        <f>B4107&amp;"~"&amp;C4107</f>
        <v/>
      </c>
      <c r="J4107" t="inlineStr">
        <is>
          <t>low cost</t>
        </is>
      </c>
    </row>
    <row r="4108">
      <c r="B4108" t="inlineStr">
        <is>
          <t>Mega Warehouse Stores</t>
        </is>
      </c>
      <c r="C4108" t="inlineStr">
        <is>
          <t>Good</t>
        </is>
      </c>
      <c r="F4108" t="n">
        <v>35</v>
      </c>
      <c r="H4108" t="n">
        <v>30</v>
      </c>
      <c r="I4108">
        <f>B4108&amp;"~"&amp;C4108</f>
        <v/>
      </c>
      <c r="J4108" t="inlineStr">
        <is>
          <t>mega discount, average and good</t>
        </is>
      </c>
    </row>
    <row r="4109">
      <c r="B4109" t="inlineStr">
        <is>
          <t>Mega Warehouse Stores</t>
        </is>
      </c>
      <c r="C4109" t="inlineStr">
        <is>
          <t>Average</t>
        </is>
      </c>
      <c r="F4109" t="n">
        <v>35</v>
      </c>
      <c r="H4109" t="n">
        <v>30</v>
      </c>
      <c r="I4109">
        <f>B4109&amp;"~"&amp;C4109</f>
        <v/>
      </c>
      <c r="J4109" t="inlineStr">
        <is>
          <t>mega discount, average and good</t>
        </is>
      </c>
    </row>
    <row r="4110">
      <c r="B4110" t="inlineStr">
        <is>
          <t>Mega Warehouse Stores</t>
        </is>
      </c>
      <c r="C4110" t="inlineStr">
        <is>
          <t>Low Cost</t>
        </is>
      </c>
      <c r="F4110" t="n">
        <v>30</v>
      </c>
      <c r="H4110" t="n">
        <v>30</v>
      </c>
      <c r="I4110">
        <f>B4110&amp;"~"&amp;C4110</f>
        <v/>
      </c>
      <c r="J4110" t="inlineStr">
        <is>
          <t>low cost</t>
        </is>
      </c>
    </row>
    <row r="4111">
      <c r="B4111" t="inlineStr">
        <is>
          <t>Neighborhood Shopping Centers</t>
        </is>
      </c>
      <c r="C4111" t="inlineStr">
        <is>
          <t>Good</t>
        </is>
      </c>
      <c r="F4111" t="n">
        <v>45</v>
      </c>
      <c r="G4111" t="n">
        <v>40</v>
      </c>
      <c r="I4111">
        <f>B4111&amp;"~"&amp;C4111</f>
        <v/>
      </c>
      <c r="J4111" t="inlineStr">
        <is>
          <t>Shopping centers, neighborhood, good</t>
        </is>
      </c>
    </row>
    <row r="4112">
      <c r="B4112" t="inlineStr">
        <is>
          <t>Neighborhood Shopping Centers</t>
        </is>
      </c>
      <c r="C4112" t="inlineStr">
        <is>
          <t>Average</t>
        </is>
      </c>
      <c r="F4112" t="n">
        <v>40</v>
      </c>
      <c r="G4112" t="n">
        <v>35</v>
      </c>
      <c r="H4112" t="n">
        <v>35</v>
      </c>
      <c r="I4112">
        <f>B4112&amp;"~"&amp;C4112</f>
        <v/>
      </c>
      <c r="J4112" t="inlineStr">
        <is>
          <t>average</t>
        </is>
      </c>
    </row>
    <row r="4113">
      <c r="B4113" t="inlineStr">
        <is>
          <t>Neighborhood Shopping Centers</t>
        </is>
      </c>
      <c r="C4113" t="inlineStr">
        <is>
          <t>Low Cost</t>
        </is>
      </c>
      <c r="F4113" t="n">
        <v>35</v>
      </c>
      <c r="G4113" t="n">
        <v>30</v>
      </c>
      <c r="H4113" t="n">
        <v>30</v>
      </c>
      <c r="I4113">
        <f>B4113&amp;"~"&amp;C4113</f>
        <v/>
      </c>
      <c r="J4113" t="inlineStr">
        <is>
          <t>low cost</t>
        </is>
      </c>
    </row>
    <row r="4114">
      <c r="B4114" t="inlineStr">
        <is>
          <t>Mixed Retail Centers with Residential Units</t>
        </is>
      </c>
      <c r="C4114" t="inlineStr">
        <is>
          <t>Good</t>
        </is>
      </c>
      <c r="F4114" t="n">
        <v>50</v>
      </c>
      <c r="G4114" t="n">
        <v>45</v>
      </c>
      <c r="I4114">
        <f>B4114&amp;"~"&amp;C4114</f>
        <v/>
      </c>
      <c r="J4114" t="inlineStr">
        <is>
          <t>mixed retail centers with office/residential units, good</t>
        </is>
      </c>
    </row>
    <row r="4115">
      <c r="B4115" t="inlineStr">
        <is>
          <t>Mixed Retail Centers with Residential Units</t>
        </is>
      </c>
      <c r="C4115" t="inlineStr">
        <is>
          <t>Average</t>
        </is>
      </c>
      <c r="F4115" t="n">
        <v>45</v>
      </c>
      <c r="G4115" t="n">
        <v>40</v>
      </c>
      <c r="I4115">
        <f>B4115&amp;"~"&amp;C4115</f>
        <v/>
      </c>
      <c r="J4115" t="inlineStr">
        <is>
          <t>low cost and average</t>
        </is>
      </c>
    </row>
    <row r="4116">
      <c r="B4116" t="inlineStr">
        <is>
          <t>Mixed Retail Centers with Residential Units</t>
        </is>
      </c>
      <c r="C4116" t="inlineStr">
        <is>
          <t>Low Cost</t>
        </is>
      </c>
      <c r="F4116" t="n">
        <v>45</v>
      </c>
      <c r="G4116" t="n">
        <v>40</v>
      </c>
      <c r="I4116">
        <f>B4116&amp;"~"&amp;C4116</f>
        <v/>
      </c>
      <c r="J4116" t="inlineStr">
        <is>
          <t>low cost and average</t>
        </is>
      </c>
    </row>
    <row r="4117">
      <c r="B4117" t="inlineStr">
        <is>
          <t>Mixed Retail Centers with Office Units</t>
        </is>
      </c>
      <c r="C4117" t="inlineStr">
        <is>
          <t>Good</t>
        </is>
      </c>
      <c r="F4117" t="n">
        <v>50</v>
      </c>
      <c r="G4117" t="n">
        <v>45</v>
      </c>
      <c r="I4117">
        <f>B4117&amp;"~"&amp;C4117</f>
        <v/>
      </c>
      <c r="J4117" t="inlineStr">
        <is>
          <t>mixed retail centers with office/residential units, good</t>
        </is>
      </c>
    </row>
    <row r="4118">
      <c r="B4118" t="inlineStr">
        <is>
          <t>Mixed Retail Centers with Office Units</t>
        </is>
      </c>
      <c r="C4118" t="inlineStr">
        <is>
          <t>Average</t>
        </is>
      </c>
      <c r="F4118" t="n">
        <v>45</v>
      </c>
      <c r="G4118" t="n">
        <v>40</v>
      </c>
      <c r="I4118">
        <f>B4118&amp;"~"&amp;C4118</f>
        <v/>
      </c>
      <c r="J4118" t="inlineStr">
        <is>
          <t>low cost and average</t>
        </is>
      </c>
    </row>
    <row r="4119">
      <c r="B4119" t="inlineStr">
        <is>
          <t>Mixed Retail Centers with Office Units</t>
        </is>
      </c>
      <c r="C4119" t="inlineStr">
        <is>
          <t>Low Cost</t>
        </is>
      </c>
      <c r="F4119" t="n">
        <v>45</v>
      </c>
      <c r="G4119" t="n">
        <v>40</v>
      </c>
      <c r="I4119">
        <f>B4119&amp;"~"&amp;C4119</f>
        <v/>
      </c>
      <c r="J4119" t="inlineStr">
        <is>
          <t>low cost and average</t>
        </is>
      </c>
    </row>
    <row r="4120">
      <c r="B4120" t="inlineStr">
        <is>
          <t>Community Shopping Centers</t>
        </is>
      </c>
      <c r="C4120" t="inlineStr">
        <is>
          <t>Excellent</t>
        </is>
      </c>
      <c r="F4120" t="n">
        <v>50</v>
      </c>
      <c r="G4120" t="n">
        <v>45</v>
      </c>
      <c r="H4120" t="n">
        <v>45</v>
      </c>
      <c r="I4120">
        <f>B4120&amp;"~"&amp;C4120</f>
        <v/>
      </c>
      <c r="J4120" t="inlineStr">
        <is>
          <t>community, good and excellent</t>
        </is>
      </c>
    </row>
    <row r="4121">
      <c r="B4121" t="inlineStr">
        <is>
          <t>Community Shopping Centers</t>
        </is>
      </c>
      <c r="C4121" t="inlineStr">
        <is>
          <t>Good</t>
        </is>
      </c>
      <c r="F4121" t="n">
        <v>50</v>
      </c>
      <c r="G4121" t="n">
        <v>45</v>
      </c>
      <c r="H4121" t="n">
        <v>45</v>
      </c>
      <c r="I4121">
        <f>B4121&amp;"~"&amp;C4121</f>
        <v/>
      </c>
      <c r="J4121" t="inlineStr">
        <is>
          <t>community, good and excellent</t>
        </is>
      </c>
    </row>
    <row r="4122">
      <c r="B4122" t="inlineStr">
        <is>
          <t>Community Shopping Centers</t>
        </is>
      </c>
      <c r="C4122" t="inlineStr">
        <is>
          <t>Average</t>
        </is>
      </c>
      <c r="F4122" t="n">
        <v>45</v>
      </c>
      <c r="G4122" t="n">
        <v>40</v>
      </c>
      <c r="H4122" t="n">
        <v>40</v>
      </c>
      <c r="I4122">
        <f>B4122&amp;"~"&amp;C4122</f>
        <v/>
      </c>
      <c r="J4122" t="inlineStr">
        <is>
          <t>average</t>
        </is>
      </c>
    </row>
    <row r="4123">
      <c r="B4123" t="inlineStr">
        <is>
          <t>Community Shopping Centers</t>
        </is>
      </c>
      <c r="C4123" t="inlineStr">
        <is>
          <t>Low Cost</t>
        </is>
      </c>
      <c r="F4123" t="n">
        <v>45</v>
      </c>
      <c r="G4123" t="n">
        <v>40</v>
      </c>
      <c r="H4123" t="n">
        <v>40</v>
      </c>
      <c r="I4123">
        <f>B4123&amp;"~"&amp;C4123</f>
        <v/>
      </c>
      <c r="J4123" t="inlineStr">
        <is>
          <t>average</t>
        </is>
      </c>
    </row>
    <row r="4124">
      <c r="B4124" t="inlineStr">
        <is>
          <t>Regional Discount Shopping Centers</t>
        </is>
      </c>
      <c r="C4124" t="inlineStr">
        <is>
          <t>Good</t>
        </is>
      </c>
      <c r="D4124" t="n">
        <v>50</v>
      </c>
      <c r="E4124" t="n">
        <v>50</v>
      </c>
      <c r="F4124" t="n">
        <v>50</v>
      </c>
      <c r="G4124" t="n">
        <v>45</v>
      </c>
      <c r="I4124">
        <f>B4124&amp;"~"&amp;C4124</f>
        <v/>
      </c>
      <c r="J4124" t="inlineStr">
        <is>
          <t>regional discount, good</t>
        </is>
      </c>
    </row>
    <row r="4125">
      <c r="B4125" t="inlineStr">
        <is>
          <t>Regional Discount Shopping Centers</t>
        </is>
      </c>
      <c r="C4125" t="inlineStr">
        <is>
          <t>Average</t>
        </is>
      </c>
      <c r="D4125" t="n">
        <v>45</v>
      </c>
      <c r="E4125" t="n">
        <v>45</v>
      </c>
      <c r="F4125" t="n">
        <v>45</v>
      </c>
      <c r="G4125" t="n">
        <v>40</v>
      </c>
      <c r="H4125" t="n">
        <v>40</v>
      </c>
      <c r="I4125">
        <f>B4125&amp;"~"&amp;C4125</f>
        <v/>
      </c>
      <c r="J4125" t="inlineStr">
        <is>
          <t>average</t>
        </is>
      </c>
    </row>
    <row r="4126">
      <c r="B4126" t="inlineStr">
        <is>
          <t>Regional Discount Shopping Centers</t>
        </is>
      </c>
      <c r="C4126" t="inlineStr">
        <is>
          <t>Excellent</t>
        </is>
      </c>
      <c r="D4126" t="n">
        <v>50</v>
      </c>
      <c r="E4126" t="n">
        <v>50</v>
      </c>
      <c r="F4126" t="n">
        <v>50</v>
      </c>
      <c r="G4126" t="n">
        <v>45</v>
      </c>
      <c r="I4126">
        <f>B4126&amp;"~"&amp;C4126</f>
        <v/>
      </c>
      <c r="J4126" t="inlineStr">
        <is>
          <t>regional discount, good</t>
        </is>
      </c>
    </row>
    <row r="4127">
      <c r="B4127" t="inlineStr">
        <is>
          <t>Regional Shopping Centers</t>
        </is>
      </c>
      <c r="C4127" t="inlineStr">
        <is>
          <t>Excellent</t>
        </is>
      </c>
      <c r="D4127" t="n">
        <v>55</v>
      </c>
      <c r="E4127" t="n">
        <v>55</v>
      </c>
      <c r="F4127" t="n">
        <v>55</v>
      </c>
      <c r="G4127" t="n">
        <v>50</v>
      </c>
      <c r="I4127">
        <f>B4127&amp;"~"&amp;C4127</f>
        <v/>
      </c>
      <c r="J4127" t="inlineStr">
        <is>
          <t>regional, good and excellent</t>
        </is>
      </c>
    </row>
    <row r="4128">
      <c r="B4128" t="inlineStr">
        <is>
          <t>Regional Shopping Centers</t>
        </is>
      </c>
      <c r="C4128" t="inlineStr">
        <is>
          <t>Good</t>
        </is>
      </c>
      <c r="D4128" t="n">
        <v>55</v>
      </c>
      <c r="E4128" t="n">
        <v>55</v>
      </c>
      <c r="F4128" t="n">
        <v>55</v>
      </c>
      <c r="G4128" t="n">
        <v>50</v>
      </c>
      <c r="I4128">
        <f>B4128&amp;"~"&amp;C4128</f>
        <v/>
      </c>
      <c r="J4128" t="inlineStr">
        <is>
          <t>regional, good and excellent</t>
        </is>
      </c>
    </row>
    <row r="4129">
      <c r="B4129" t="inlineStr">
        <is>
          <t>Regional Shopping Centers</t>
        </is>
      </c>
      <c r="C4129" t="inlineStr">
        <is>
          <t>Average</t>
        </is>
      </c>
      <c r="F4129" t="n">
        <v>50</v>
      </c>
      <c r="G4129" t="n">
        <v>45</v>
      </c>
      <c r="H4129" t="n">
        <v>45</v>
      </c>
      <c r="I4129">
        <f>B4129&amp;"~"&amp;C4129</f>
        <v/>
      </c>
      <c r="J4129" t="inlineStr">
        <is>
          <t>average</t>
        </is>
      </c>
    </row>
    <row r="4130">
      <c r="B4130" t="inlineStr">
        <is>
          <t>Regional Shopping Center Shell Buildings</t>
        </is>
      </c>
      <c r="C4130" t="inlineStr">
        <is>
          <t>Excellent</t>
        </is>
      </c>
      <c r="D4130" t="n">
        <v>55</v>
      </c>
      <c r="E4130" t="n">
        <v>55</v>
      </c>
      <c r="F4130" t="n">
        <v>55</v>
      </c>
      <c r="G4130" t="n">
        <v>50</v>
      </c>
      <c r="I4130">
        <f>B4130&amp;"~"&amp;C4130</f>
        <v/>
      </c>
      <c r="J4130" t="inlineStr">
        <is>
          <t>regional, good and excellent</t>
        </is>
      </c>
    </row>
    <row r="4131">
      <c r="B4131" t="inlineStr">
        <is>
          <t>Regional Shopping Center Shell Buildings</t>
        </is>
      </c>
      <c r="C4131" t="inlineStr">
        <is>
          <t>Good</t>
        </is>
      </c>
      <c r="D4131" t="n">
        <v>55</v>
      </c>
      <c r="E4131" t="n">
        <v>55</v>
      </c>
      <c r="F4131" t="n">
        <v>55</v>
      </c>
      <c r="G4131" t="n">
        <v>50</v>
      </c>
      <c r="I4131">
        <f>B4131&amp;"~"&amp;C4131</f>
        <v/>
      </c>
      <c r="J4131" t="inlineStr">
        <is>
          <t>regional, good and excellent</t>
        </is>
      </c>
    </row>
    <row r="4132">
      <c r="B4132" t="inlineStr">
        <is>
          <t>Regional Shopping Center Shell Buildings</t>
        </is>
      </c>
      <c r="C4132" t="inlineStr">
        <is>
          <t>Average</t>
        </is>
      </c>
      <c r="F4132" t="n">
        <v>50</v>
      </c>
      <c r="G4132" t="n">
        <v>45</v>
      </c>
      <c r="H4132" t="n">
        <v>45</v>
      </c>
      <c r="I4132">
        <f>B4132&amp;"~"&amp;C4132</f>
        <v/>
      </c>
      <c r="J4132" t="inlineStr">
        <is>
          <t>average</t>
        </is>
      </c>
    </row>
    <row r="4133">
      <c r="B4133" t="inlineStr">
        <is>
          <t>Community Shopping Center Shell Buildings</t>
        </is>
      </c>
      <c r="C4133" t="inlineStr">
        <is>
          <t>Excellent</t>
        </is>
      </c>
      <c r="F4133" t="n">
        <v>50</v>
      </c>
      <c r="G4133" t="n">
        <v>45</v>
      </c>
      <c r="H4133" t="n">
        <v>45</v>
      </c>
      <c r="I4133">
        <f>B4133&amp;"~"&amp;C4133</f>
        <v/>
      </c>
      <c r="J4133" t="inlineStr">
        <is>
          <t>community, good and excellent</t>
        </is>
      </c>
    </row>
    <row r="4134">
      <c r="B4134" t="inlineStr">
        <is>
          <t>Community Shopping Center Shell Buildings</t>
        </is>
      </c>
      <c r="C4134" t="inlineStr">
        <is>
          <t>Good</t>
        </is>
      </c>
      <c r="F4134" t="n">
        <v>50</v>
      </c>
      <c r="G4134" t="n">
        <v>45</v>
      </c>
      <c r="H4134" t="n">
        <v>45</v>
      </c>
      <c r="I4134">
        <f>B4134&amp;"~"&amp;C4134</f>
        <v/>
      </c>
      <c r="J4134" t="inlineStr">
        <is>
          <t>community, good and excellent</t>
        </is>
      </c>
    </row>
    <row r="4135">
      <c r="B4135" t="inlineStr">
        <is>
          <t>Community Shopping Center Shell Buildings</t>
        </is>
      </c>
      <c r="C4135" t="inlineStr">
        <is>
          <t>Average</t>
        </is>
      </c>
      <c r="F4135" t="n">
        <v>45</v>
      </c>
      <c r="G4135" t="n">
        <v>40</v>
      </c>
      <c r="H4135" t="n">
        <v>40</v>
      </c>
      <c r="I4135">
        <f>B4135&amp;"~"&amp;C4135</f>
        <v/>
      </c>
      <c r="J4135" t="inlineStr">
        <is>
          <t>average</t>
        </is>
      </c>
    </row>
    <row r="4136">
      <c r="B4136" t="inlineStr">
        <is>
          <t>Neighborhood Shopping Center Shell Buildings</t>
        </is>
      </c>
      <c r="C4136" t="inlineStr">
        <is>
          <t>Good</t>
        </is>
      </c>
      <c r="F4136" t="n">
        <v>45</v>
      </c>
      <c r="G4136" t="n">
        <v>40</v>
      </c>
      <c r="I4136">
        <f>B4136&amp;"~"&amp;C4136</f>
        <v/>
      </c>
      <c r="J4136" t="inlineStr">
        <is>
          <t>Shopping centers, neighborhood, good</t>
        </is>
      </c>
    </row>
    <row r="4137">
      <c r="B4137" t="inlineStr">
        <is>
          <t>Neighborhood Shopping Center Shell Buildings</t>
        </is>
      </c>
      <c r="C4137" t="inlineStr">
        <is>
          <t>Average</t>
        </is>
      </c>
      <c r="F4137" t="n">
        <v>40</v>
      </c>
      <c r="G4137" t="n">
        <v>35</v>
      </c>
      <c r="H4137" t="n">
        <v>35</v>
      </c>
      <c r="I4137">
        <f>B4137&amp;"~"&amp;C4137</f>
        <v/>
      </c>
      <c r="J4137" t="inlineStr">
        <is>
          <t>average</t>
        </is>
      </c>
    </row>
    <row r="4138">
      <c r="B4138" t="inlineStr">
        <is>
          <t>Neighborhood Shopping Center Shell Buildings</t>
        </is>
      </c>
      <c r="C4138" t="inlineStr">
        <is>
          <t>Low Cost</t>
        </is>
      </c>
      <c r="F4138" t="n">
        <v>35</v>
      </c>
      <c r="G4138" t="n">
        <v>30</v>
      </c>
      <c r="H4138" t="n">
        <v>30</v>
      </c>
      <c r="I4138">
        <f>B4138&amp;"~"&amp;C4138</f>
        <v/>
      </c>
      <c r="J4138" t="inlineStr">
        <is>
          <t>low cost</t>
        </is>
      </c>
    </row>
    <row r="4139">
      <c r="B4139" t="inlineStr">
        <is>
          <t>Neighborhood Shopping Center Shell Buildings</t>
        </is>
      </c>
      <c r="C4139" t="inlineStr">
        <is>
          <t>Cheap</t>
        </is>
      </c>
      <c r="F4139" t="n">
        <v>35</v>
      </c>
      <c r="G4139" t="n">
        <v>30</v>
      </c>
      <c r="H4139" t="n">
        <v>30</v>
      </c>
      <c r="I4139">
        <f>B4139&amp;"~"&amp;C4139</f>
        <v/>
      </c>
      <c r="J4139" t="inlineStr">
        <is>
          <t>low cost</t>
        </is>
      </c>
    </row>
    <row r="4140">
      <c r="B4140" t="inlineStr">
        <is>
          <t>Lofts</t>
        </is>
      </c>
      <c r="C4140" t="inlineStr">
        <is>
          <t>Excellent</t>
        </is>
      </c>
      <c r="D4140" t="n">
        <v>60</v>
      </c>
      <c r="E4140" t="n">
        <v>60</v>
      </c>
      <c r="I4140">
        <f>B4140&amp;"~"&amp;C4140</f>
        <v/>
      </c>
      <c r="J4140" t="inlineStr">
        <is>
          <t>Lofts, excellent</t>
        </is>
      </c>
    </row>
    <row r="4141">
      <c r="B4141" t="inlineStr">
        <is>
          <t>Lofts</t>
        </is>
      </c>
      <c r="C4141" t="inlineStr">
        <is>
          <t>Good</t>
        </is>
      </c>
      <c r="D4141" t="n">
        <v>55</v>
      </c>
      <c r="E4141" t="n">
        <v>55</v>
      </c>
      <c r="F4141" t="n">
        <v>50</v>
      </c>
      <c r="G4141" t="n">
        <v>40</v>
      </c>
      <c r="H4141" t="n">
        <v>40</v>
      </c>
      <c r="I4141">
        <f>B4141&amp;"~"&amp;C4141</f>
        <v/>
      </c>
      <c r="J4141" t="inlineStr">
        <is>
          <t>average and good</t>
        </is>
      </c>
    </row>
    <row r="4142">
      <c r="B4142" t="inlineStr">
        <is>
          <t>Lofts</t>
        </is>
      </c>
      <c r="C4142" t="inlineStr">
        <is>
          <t>Average</t>
        </is>
      </c>
      <c r="D4142" t="n">
        <v>55</v>
      </c>
      <c r="E4142" t="n">
        <v>55</v>
      </c>
      <c r="F4142" t="n">
        <v>50</v>
      </c>
      <c r="G4142" t="n">
        <v>40</v>
      </c>
      <c r="H4142" t="n">
        <v>40</v>
      </c>
      <c r="I4142">
        <f>B4142&amp;"~"&amp;C4142</f>
        <v/>
      </c>
      <c r="J4142" t="inlineStr">
        <is>
          <t>average and good</t>
        </is>
      </c>
    </row>
    <row r="4143">
      <c r="B4143" t="inlineStr">
        <is>
          <t>Lofts</t>
        </is>
      </c>
      <c r="C4143" t="inlineStr">
        <is>
          <t>Low Cost</t>
        </is>
      </c>
      <c r="D4143" t="n">
        <v>50</v>
      </c>
      <c r="E4143" t="n">
        <v>50</v>
      </c>
      <c r="F4143" t="n">
        <v>40</v>
      </c>
      <c r="G4143" t="n">
        <v>35</v>
      </c>
      <c r="I4143">
        <f>B4143&amp;"~"&amp;C4143</f>
        <v/>
      </c>
      <c r="J4143" t="inlineStr">
        <is>
          <t>low cost</t>
        </is>
      </c>
    </row>
    <row r="4144">
      <c r="B4144" t="inlineStr">
        <is>
          <t>Industrial Flex (Mall) Buildings</t>
        </is>
      </c>
      <c r="C4144" t="inlineStr">
        <is>
          <t>Good</t>
        </is>
      </c>
      <c r="F4144" t="n">
        <v>50</v>
      </c>
      <c r="G4144" t="n">
        <v>40</v>
      </c>
      <c r="H4144" t="n">
        <v>40</v>
      </c>
      <c r="I4144">
        <f>B4144&amp;"~"&amp;C4144</f>
        <v/>
      </c>
      <c r="J4144" t="inlineStr">
        <is>
          <t>Industrial flex-mall buildings, average and good</t>
        </is>
      </c>
    </row>
    <row r="4145">
      <c r="B4145" t="inlineStr">
        <is>
          <t>Industrial Flex (Mall) Buildings</t>
        </is>
      </c>
      <c r="C4145" t="inlineStr">
        <is>
          <t>Average</t>
        </is>
      </c>
      <c r="F4145" t="n">
        <v>50</v>
      </c>
      <c r="G4145" t="n">
        <v>40</v>
      </c>
      <c r="H4145" t="n">
        <v>40</v>
      </c>
      <c r="I4145">
        <f>B4145&amp;"~"&amp;C4145</f>
        <v/>
      </c>
      <c r="J4145" t="inlineStr">
        <is>
          <t>Industrial flex-mall buildings, average and good</t>
        </is>
      </c>
    </row>
    <row r="4146">
      <c r="B4146" t="inlineStr">
        <is>
          <t>Industrial Flex (Mall) Buildings</t>
        </is>
      </c>
      <c r="C4146" t="inlineStr">
        <is>
          <t>Low Cost</t>
        </is>
      </c>
      <c r="F4146" t="n">
        <v>40</v>
      </c>
      <c r="G4146" t="n">
        <v>35</v>
      </c>
      <c r="H4146" t="n">
        <v>35</v>
      </c>
      <c r="I4146">
        <f>B4146&amp;"~"&amp;C4146</f>
        <v/>
      </c>
      <c r="J4146" t="inlineStr">
        <is>
          <t>low cost</t>
        </is>
      </c>
    </row>
    <row r="4147">
      <c r="B4147" t="inlineStr">
        <is>
          <t>Industrials, Light Manufacturing</t>
        </is>
      </c>
      <c r="C4147" t="inlineStr">
        <is>
          <t>Average</t>
        </is>
      </c>
      <c r="D4147" t="n">
        <v>50</v>
      </c>
      <c r="E4147" t="n">
        <v>50</v>
      </c>
      <c r="F4147" t="n">
        <v>40</v>
      </c>
      <c r="G4147" t="n">
        <v>35</v>
      </c>
      <c r="H4147" t="n">
        <v>35</v>
      </c>
      <c r="I4147">
        <f>B4147&amp;"~"&amp;C4147</f>
        <v/>
      </c>
      <c r="J4147" t="inlineStr">
        <is>
          <t>average</t>
        </is>
      </c>
    </row>
    <row r="4148">
      <c r="B4148" t="inlineStr">
        <is>
          <t>Industrials, Light Manufacturing</t>
        </is>
      </c>
      <c r="C4148" t="inlineStr">
        <is>
          <t>Low Cost</t>
        </is>
      </c>
      <c r="D4148" t="n">
        <v>45</v>
      </c>
      <c r="E4148" t="n">
        <v>45</v>
      </c>
      <c r="F4148" t="n">
        <v>40</v>
      </c>
      <c r="G4148" t="n">
        <v>35</v>
      </c>
      <c r="H4148" t="n">
        <v>35</v>
      </c>
      <c r="I4148">
        <f>B4148&amp;"~"&amp;C4148</f>
        <v/>
      </c>
      <c r="J4148" t="inlineStr">
        <is>
          <t>low cost</t>
        </is>
      </c>
    </row>
    <row r="4149">
      <c r="B4149" t="inlineStr">
        <is>
          <t>Industrials, Light Manufacturing</t>
        </is>
      </c>
      <c r="C4149" t="inlineStr">
        <is>
          <t>Good</t>
        </is>
      </c>
      <c r="D4149" t="n">
        <v>50</v>
      </c>
      <c r="E4149" t="n">
        <v>50</v>
      </c>
      <c r="F4149" t="n">
        <v>45</v>
      </c>
      <c r="G4149" t="n">
        <v>40</v>
      </c>
      <c r="H4149" t="n">
        <v>40</v>
      </c>
      <c r="I4149">
        <f>B4149&amp;"~"&amp;C4149</f>
        <v/>
      </c>
      <c r="J4149" t="inlineStr">
        <is>
          <t>light, good</t>
        </is>
      </c>
    </row>
    <row r="4150">
      <c r="B4150" t="inlineStr">
        <is>
          <t>Industrials, Heavy (Process) Manufacturing</t>
        </is>
      </c>
      <c r="C4150" t="inlineStr">
        <is>
          <t>Excellent</t>
        </is>
      </c>
      <c r="D4150" t="n">
        <v>60</v>
      </c>
      <c r="E4150" t="n">
        <v>60</v>
      </c>
      <c r="F4150" t="n">
        <v>55</v>
      </c>
      <c r="H4150" t="n">
        <v>50</v>
      </c>
      <c r="I4150">
        <f>B4150&amp;"~"&amp;C4150</f>
        <v/>
      </c>
      <c r="J4150" t="inlineStr">
        <is>
          <t>Industrials, manufacturing, heavy, good and excellent</t>
        </is>
      </c>
    </row>
    <row r="4151">
      <c r="B4151" t="inlineStr">
        <is>
          <t>Industrials, Heavy (Process) Manufacturing</t>
        </is>
      </c>
      <c r="C4151" t="inlineStr">
        <is>
          <t>Good</t>
        </is>
      </c>
      <c r="D4151" t="n">
        <v>60</v>
      </c>
      <c r="E4151" t="n">
        <v>60</v>
      </c>
      <c r="F4151" t="n">
        <v>55</v>
      </c>
      <c r="H4151" t="n">
        <v>50</v>
      </c>
      <c r="I4151">
        <f>B4151&amp;"~"&amp;C4151</f>
        <v/>
      </c>
      <c r="J4151" t="inlineStr">
        <is>
          <t>Industrials, manufacturing, heavy, good and excellent</t>
        </is>
      </c>
    </row>
    <row r="4152">
      <c r="B4152" t="inlineStr">
        <is>
          <t>Industrials, Heavy (Process) Manufacturing</t>
        </is>
      </c>
      <c r="C4152" t="inlineStr">
        <is>
          <t>Average</t>
        </is>
      </c>
      <c r="D4152" t="n">
        <v>55</v>
      </c>
      <c r="E4152" t="n">
        <v>55</v>
      </c>
      <c r="F4152" t="n">
        <v>50</v>
      </c>
      <c r="G4152" t="n">
        <v>45</v>
      </c>
      <c r="H4152" t="n">
        <v>45</v>
      </c>
      <c r="I4152">
        <f>B4152&amp;"~"&amp;C4152</f>
        <v/>
      </c>
      <c r="J4152" t="inlineStr">
        <is>
          <t>low cost and average</t>
        </is>
      </c>
    </row>
    <row r="4153">
      <c r="B4153" t="inlineStr">
        <is>
          <t>Industrials, Heavy (Process) Manufacturing</t>
        </is>
      </c>
      <c r="C4153" t="inlineStr">
        <is>
          <t>Low Cost</t>
        </is>
      </c>
      <c r="D4153" t="n">
        <v>55</v>
      </c>
      <c r="E4153" t="n">
        <v>55</v>
      </c>
      <c r="F4153" t="n">
        <v>50</v>
      </c>
      <c r="G4153" t="n">
        <v>45</v>
      </c>
      <c r="H4153" t="n">
        <v>45</v>
      </c>
      <c r="I4153">
        <f>B4153&amp;"~"&amp;C4153</f>
        <v/>
      </c>
      <c r="J4153" t="inlineStr">
        <is>
          <t>low cost and average</t>
        </is>
      </c>
    </row>
    <row r="4154">
      <c r="B4154" t="inlineStr">
        <is>
          <t>Industrial, Engineering (R&amp;D) Buildings</t>
        </is>
      </c>
      <c r="C4154" t="inlineStr">
        <is>
          <t>Excellent</t>
        </is>
      </c>
      <c r="D4154" t="n">
        <v>55</v>
      </c>
      <c r="E4154" t="n">
        <v>55</v>
      </c>
      <c r="F4154" t="n">
        <v>50</v>
      </c>
      <c r="G4154" t="n">
        <v>45</v>
      </c>
      <c r="H4154" t="n">
        <v>45</v>
      </c>
      <c r="I4154">
        <f>B4154&amp;"~"&amp;C4154</f>
        <v/>
      </c>
      <c r="J4154" t="inlineStr">
        <is>
          <t>Industrials, engineering, good and excellent</t>
        </is>
      </c>
    </row>
    <row r="4155">
      <c r="B4155" t="inlineStr">
        <is>
          <t>Industrial, Engineering (R&amp;D) Buildings</t>
        </is>
      </c>
      <c r="C4155" t="inlineStr">
        <is>
          <t>Good</t>
        </is>
      </c>
      <c r="D4155" t="n">
        <v>55</v>
      </c>
      <c r="E4155" t="n">
        <v>55</v>
      </c>
      <c r="F4155" t="n">
        <v>50</v>
      </c>
      <c r="G4155" t="n">
        <v>45</v>
      </c>
      <c r="H4155" t="n">
        <v>45</v>
      </c>
      <c r="I4155">
        <f>B4155&amp;"~"&amp;C4155</f>
        <v/>
      </c>
      <c r="J4155" t="inlineStr">
        <is>
          <t>Industrials, engineering, good and excellent</t>
        </is>
      </c>
    </row>
    <row r="4156">
      <c r="B4156" t="inlineStr">
        <is>
          <t>Industrial, Engineering (R&amp;D) Buildings</t>
        </is>
      </c>
      <c r="C4156" t="inlineStr">
        <is>
          <t>Average</t>
        </is>
      </c>
      <c r="D4156" t="n">
        <v>50</v>
      </c>
      <c r="E4156" t="n">
        <v>50</v>
      </c>
      <c r="F4156" t="n">
        <v>45</v>
      </c>
      <c r="G4156" t="n">
        <v>40</v>
      </c>
      <c r="H4156" t="n">
        <v>40</v>
      </c>
      <c r="I4156">
        <f>B4156&amp;"~"&amp;C4156</f>
        <v/>
      </c>
      <c r="J4156" t="inlineStr">
        <is>
          <t>average</t>
        </is>
      </c>
    </row>
    <row r="4157">
      <c r="B4157" t="inlineStr">
        <is>
          <t>Industrial, Engineering (R&amp;D) Buildings</t>
        </is>
      </c>
      <c r="C4157" t="inlineStr">
        <is>
          <t>Low Cost</t>
        </is>
      </c>
      <c r="D4157" t="n">
        <v>50</v>
      </c>
      <c r="E4157" t="n">
        <v>50</v>
      </c>
      <c r="F4157" t="n">
        <v>40</v>
      </c>
      <c r="G4157" t="n">
        <v>35</v>
      </c>
      <c r="H4157" t="n">
        <v>35</v>
      </c>
      <c r="I4157">
        <f>B4157&amp;"~"&amp;C4157</f>
        <v/>
      </c>
      <c r="J4157" t="inlineStr">
        <is>
          <t>low cost</t>
        </is>
      </c>
    </row>
    <row r="4158">
      <c r="B4158" t="inlineStr">
        <is>
          <t>Laboratory Buildings</t>
        </is>
      </c>
      <c r="C4158" t="inlineStr">
        <is>
          <t>Excellent</t>
        </is>
      </c>
      <c r="D4158" t="n">
        <v>55</v>
      </c>
      <c r="E4158" t="n">
        <v>55</v>
      </c>
      <c r="F4158" t="n">
        <v>50</v>
      </c>
      <c r="G4158" t="n">
        <v>45</v>
      </c>
      <c r="H4158" t="n">
        <v>45</v>
      </c>
      <c r="I4158">
        <f>B4158&amp;"~"&amp;C4158</f>
        <v/>
      </c>
      <c r="J4158" t="inlineStr">
        <is>
          <t>Laboratory buildings, good and excellent</t>
        </is>
      </c>
    </row>
    <row r="4159">
      <c r="B4159" t="inlineStr">
        <is>
          <t>Laboratory Buildings</t>
        </is>
      </c>
      <c r="C4159" t="inlineStr">
        <is>
          <t>Good</t>
        </is>
      </c>
      <c r="D4159" t="n">
        <v>55</v>
      </c>
      <c r="E4159" t="n">
        <v>55</v>
      </c>
      <c r="F4159" t="n">
        <v>50</v>
      </c>
      <c r="G4159" t="n">
        <v>45</v>
      </c>
      <c r="H4159" t="n">
        <v>45</v>
      </c>
      <c r="I4159">
        <f>B4159&amp;"~"&amp;C4159</f>
        <v/>
      </c>
      <c r="J4159" t="inlineStr">
        <is>
          <t>Laboratory buildings, good and excellent</t>
        </is>
      </c>
    </row>
    <row r="4160">
      <c r="B4160" t="inlineStr">
        <is>
          <t>Laboratory Buildings</t>
        </is>
      </c>
      <c r="C4160" t="inlineStr">
        <is>
          <t>Average</t>
        </is>
      </c>
      <c r="D4160" t="n">
        <v>50</v>
      </c>
      <c r="E4160" t="n">
        <v>50</v>
      </c>
      <c r="F4160" t="n">
        <v>45</v>
      </c>
      <c r="G4160" t="n">
        <v>40</v>
      </c>
      <c r="H4160" t="n">
        <v>40</v>
      </c>
      <c r="I4160">
        <f>B4160&amp;"~"&amp;C4160</f>
        <v/>
      </c>
      <c r="J4160" t="inlineStr">
        <is>
          <t>low cost and average</t>
        </is>
      </c>
    </row>
    <row r="4161">
      <c r="B4161" t="inlineStr">
        <is>
          <t>Laboratory Buildings</t>
        </is>
      </c>
      <c r="C4161" t="inlineStr">
        <is>
          <t>Low Cost</t>
        </is>
      </c>
      <c r="D4161" t="n">
        <v>50</v>
      </c>
      <c r="E4161" t="n">
        <v>50</v>
      </c>
      <c r="F4161" t="n">
        <v>45</v>
      </c>
      <c r="G4161" t="n">
        <v>40</v>
      </c>
      <c r="H4161" t="n">
        <v>40</v>
      </c>
      <c r="I4161">
        <f>B4161&amp;"~"&amp;C4161</f>
        <v/>
      </c>
      <c r="J4161" t="inlineStr">
        <is>
          <t>low cost and average</t>
        </is>
      </c>
    </row>
    <row r="4162">
      <c r="B4162" t="inlineStr">
        <is>
          <t>Computer (Data) Centers</t>
        </is>
      </c>
      <c r="C4162" t="inlineStr">
        <is>
          <t>Excellent</t>
        </is>
      </c>
      <c r="D4162" t="n">
        <v>50</v>
      </c>
      <c r="E4162" t="n">
        <v>50</v>
      </c>
      <c r="F4162" t="n">
        <v>45</v>
      </c>
      <c r="G4162" t="n">
        <v>40</v>
      </c>
      <c r="H4162" t="n">
        <v>40</v>
      </c>
      <c r="I4162">
        <f>B4162&amp;"~"&amp;C4162</f>
        <v/>
      </c>
      <c r="J4162" t="inlineStr">
        <is>
          <t>Computer centers, good and excellent</t>
        </is>
      </c>
    </row>
    <row r="4163">
      <c r="B4163" t="inlineStr">
        <is>
          <t>Computer (Data) Centers</t>
        </is>
      </c>
      <c r="C4163" t="inlineStr">
        <is>
          <t>Good</t>
        </is>
      </c>
      <c r="D4163" t="n">
        <v>50</v>
      </c>
      <c r="E4163" t="n">
        <v>50</v>
      </c>
      <c r="F4163" t="n">
        <v>45</v>
      </c>
      <c r="G4163" t="n">
        <v>40</v>
      </c>
      <c r="H4163" t="n">
        <v>40</v>
      </c>
      <c r="I4163">
        <f>B4163&amp;"~"&amp;C4163</f>
        <v/>
      </c>
      <c r="J4163" t="inlineStr">
        <is>
          <t>Computer centers, good and excellent</t>
        </is>
      </c>
    </row>
    <row r="4164">
      <c r="B4164" t="inlineStr">
        <is>
          <t>Computer (Data) Centers</t>
        </is>
      </c>
      <c r="C4164" t="inlineStr">
        <is>
          <t>Average</t>
        </is>
      </c>
      <c r="D4164" t="n">
        <v>45</v>
      </c>
      <c r="E4164" t="n">
        <v>45</v>
      </c>
      <c r="F4164" t="n">
        <v>40</v>
      </c>
      <c r="G4164" t="n">
        <v>35</v>
      </c>
      <c r="H4164" t="n">
        <v>35</v>
      </c>
      <c r="I4164">
        <f>B4164&amp;"~"&amp;C4164</f>
        <v/>
      </c>
      <c r="J4164" t="inlineStr">
        <is>
          <t>low cost and average</t>
        </is>
      </c>
    </row>
    <row r="4165">
      <c r="B4165" t="inlineStr">
        <is>
          <t>Computer (Data) Centers</t>
        </is>
      </c>
      <c r="C4165" t="inlineStr">
        <is>
          <t>Low Cost</t>
        </is>
      </c>
      <c r="D4165" t="n">
        <v>45</v>
      </c>
      <c r="E4165" t="n">
        <v>45</v>
      </c>
      <c r="F4165" t="n">
        <v>40</v>
      </c>
      <c r="G4165" t="n">
        <v>35</v>
      </c>
      <c r="H4165" t="n">
        <v>35</v>
      </c>
      <c r="I4165">
        <f>B4165&amp;"~"&amp;C4165</f>
        <v/>
      </c>
      <c r="J4165" t="inlineStr">
        <is>
          <t>low cost and average</t>
        </is>
      </c>
    </row>
    <row r="4166">
      <c r="B4166" t="inlineStr">
        <is>
          <t>Broadcasting Facilities</t>
        </is>
      </c>
      <c r="C4166" t="inlineStr">
        <is>
          <t>Good</t>
        </is>
      </c>
      <c r="D4166" t="n">
        <v>55</v>
      </c>
      <c r="E4166" t="n">
        <v>55</v>
      </c>
      <c r="F4166" t="n">
        <v>50</v>
      </c>
      <c r="G4166" t="n">
        <v>45</v>
      </c>
      <c r="H4166" t="n">
        <v>45</v>
      </c>
      <c r="I4166">
        <f>B4166&amp;"~"&amp;C4166</f>
        <v/>
      </c>
      <c r="J4166" t="inlineStr">
        <is>
          <t>Broadcasting facilities, good and excellent</t>
        </is>
      </c>
    </row>
    <row r="4167">
      <c r="B4167" t="inlineStr">
        <is>
          <t>Broadcasting Facilities</t>
        </is>
      </c>
      <c r="C4167" t="inlineStr">
        <is>
          <t>Average</t>
        </is>
      </c>
      <c r="D4167" t="n">
        <v>50</v>
      </c>
      <c r="E4167" t="n">
        <v>50</v>
      </c>
      <c r="F4167" t="n">
        <v>45</v>
      </c>
      <c r="G4167" t="n">
        <v>40</v>
      </c>
      <c r="H4167" t="n">
        <v>40</v>
      </c>
      <c r="I4167">
        <f>B4167&amp;"~"&amp;C4167</f>
        <v/>
      </c>
      <c r="J4167" t="inlineStr">
        <is>
          <t>average</t>
        </is>
      </c>
    </row>
    <row r="4168">
      <c r="B4168" t="inlineStr">
        <is>
          <t>Broadcasting Facilities</t>
        </is>
      </c>
      <c r="C4168" t="inlineStr">
        <is>
          <t>Low Cost</t>
        </is>
      </c>
      <c r="D4168" t="n">
        <v>45</v>
      </c>
      <c r="E4168" t="n">
        <v>45</v>
      </c>
      <c r="F4168" t="n">
        <v>40</v>
      </c>
      <c r="G4168" t="n">
        <v>35</v>
      </c>
      <c r="H4168" t="n">
        <v>35</v>
      </c>
      <c r="I4168">
        <f>B4168&amp;"~"&amp;C4168</f>
        <v/>
      </c>
      <c r="J4168" t="inlineStr">
        <is>
          <t>low cost</t>
        </is>
      </c>
    </row>
    <row r="4169">
      <c r="B4169" t="inlineStr">
        <is>
          <t>Broadcasting Facilities</t>
        </is>
      </c>
      <c r="C4169" t="inlineStr">
        <is>
          <t>Excellent</t>
        </is>
      </c>
      <c r="D4169" t="n">
        <v>55</v>
      </c>
      <c r="E4169" t="n">
        <v>55</v>
      </c>
      <c r="F4169" t="n">
        <v>50</v>
      </c>
      <c r="G4169" t="n">
        <v>45</v>
      </c>
      <c r="H4169" t="n">
        <v>45</v>
      </c>
      <c r="I4169">
        <f>B4169&amp;"~"&amp;C4169</f>
        <v/>
      </c>
      <c r="J4169" t="inlineStr">
        <is>
          <t>Broadcasting facilities, good and excellent</t>
        </is>
      </c>
    </row>
    <row r="4170">
      <c r="B4170" t="inlineStr">
        <is>
          <t>Passenger Terminals</t>
        </is>
      </c>
      <c r="C4170" t="inlineStr">
        <is>
          <t>Excellent</t>
        </is>
      </c>
      <c r="D4170" t="n">
        <v>45</v>
      </c>
      <c r="E4170" t="n">
        <v>45</v>
      </c>
      <c r="F4170" t="n">
        <v>40</v>
      </c>
      <c r="G4170" t="n">
        <v>40</v>
      </c>
      <c r="I4170">
        <f>B4170&amp;"~"&amp;C4170</f>
        <v/>
      </c>
      <c r="J4170" t="inlineStr">
        <is>
          <t>Passenger terminals, very good and excellent</t>
        </is>
      </c>
    </row>
    <row r="4171">
      <c r="B4171" t="inlineStr">
        <is>
          <t>Passenger Terminals</t>
        </is>
      </c>
      <c r="C4171" t="inlineStr">
        <is>
          <t>Good</t>
        </is>
      </c>
      <c r="D4171" t="n">
        <v>40</v>
      </c>
      <c r="E4171" t="n">
        <v>40</v>
      </c>
      <c r="F4171" t="n">
        <v>35</v>
      </c>
      <c r="G4171" t="n">
        <v>35</v>
      </c>
      <c r="H4171" t="n">
        <v>35</v>
      </c>
      <c r="I4171">
        <f>B4171&amp;"~"&amp;C4171</f>
        <v/>
      </c>
      <c r="J4171" t="inlineStr">
        <is>
          <t>average and good</t>
        </is>
      </c>
    </row>
    <row r="4172">
      <c r="B4172" t="inlineStr">
        <is>
          <t>Passenger Terminals</t>
        </is>
      </c>
      <c r="C4172" t="inlineStr">
        <is>
          <t>Average</t>
        </is>
      </c>
      <c r="D4172" t="n">
        <v>40</v>
      </c>
      <c r="E4172" t="n">
        <v>40</v>
      </c>
      <c r="F4172" t="n">
        <v>35</v>
      </c>
      <c r="G4172" t="n">
        <v>35</v>
      </c>
      <c r="H4172" t="n">
        <v>35</v>
      </c>
      <c r="I4172">
        <f>B4172&amp;"~"&amp;C4172</f>
        <v/>
      </c>
      <c r="J4172" t="inlineStr">
        <is>
          <t>average and good</t>
        </is>
      </c>
    </row>
    <row r="4173">
      <c r="B4173" t="inlineStr">
        <is>
          <t>Passenger Terminals</t>
        </is>
      </c>
      <c r="C4173" t="inlineStr">
        <is>
          <t>Low Cost</t>
        </is>
      </c>
      <c r="D4173" t="n">
        <v>35</v>
      </c>
      <c r="E4173" t="n">
        <v>35</v>
      </c>
      <c r="F4173" t="n">
        <v>30</v>
      </c>
      <c r="G4173" t="n">
        <v>30</v>
      </c>
      <c r="H4173" t="n">
        <v>30</v>
      </c>
      <c r="I4173">
        <f>B4173&amp;"~"&amp;C4173</f>
        <v/>
      </c>
      <c r="J4173" t="inlineStr">
        <is>
          <t>low cost and fair</t>
        </is>
      </c>
    </row>
    <row r="4174">
      <c r="B4174" t="inlineStr">
        <is>
          <t>Passenger Terminals</t>
        </is>
      </c>
      <c r="C4174" t="inlineStr">
        <is>
          <t>Very Good</t>
        </is>
      </c>
      <c r="D4174" t="n">
        <v>45</v>
      </c>
      <c r="E4174" t="n">
        <v>45</v>
      </c>
      <c r="F4174" t="n">
        <v>40</v>
      </c>
      <c r="G4174" t="n">
        <v>40</v>
      </c>
      <c r="I4174">
        <f>B4174&amp;"~"&amp;C4174</f>
        <v/>
      </c>
      <c r="J4174" t="inlineStr">
        <is>
          <t>Passenger terminals, very good and excellent</t>
        </is>
      </c>
    </row>
    <row r="4175">
      <c r="B4175" t="inlineStr">
        <is>
          <t>Passenger Terminals</t>
        </is>
      </c>
      <c r="C4175" t="inlineStr">
        <is>
          <t>Fair</t>
        </is>
      </c>
      <c r="D4175" t="n">
        <v>35</v>
      </c>
      <c r="E4175" t="n">
        <v>35</v>
      </c>
      <c r="F4175" t="n">
        <v>30</v>
      </c>
      <c r="G4175" t="n">
        <v>30</v>
      </c>
      <c r="H4175" t="n">
        <v>30</v>
      </c>
      <c r="I4175">
        <f>B4175&amp;"~"&amp;C4175</f>
        <v/>
      </c>
      <c r="J4175" t="inlineStr">
        <is>
          <t>low cost and fair</t>
        </is>
      </c>
    </row>
    <row r="4176">
      <c r="B4176" t="inlineStr">
        <is>
          <t>Main Post Offices</t>
        </is>
      </c>
      <c r="C4176" t="inlineStr">
        <is>
          <t>Good</t>
        </is>
      </c>
      <c r="D4176" t="n">
        <v>60</v>
      </c>
      <c r="E4176" t="n">
        <v>60</v>
      </c>
      <c r="F4176" t="n">
        <v>55</v>
      </c>
      <c r="G4176" t="n">
        <v>50</v>
      </c>
      <c r="H4176" t="n">
        <v>50</v>
      </c>
      <c r="I4176">
        <f>B4176&amp;"~"&amp;C4176</f>
        <v/>
      </c>
      <c r="J4176" t="inlineStr">
        <is>
          <t>Post offices, main and branch, good and excellent</t>
        </is>
      </c>
    </row>
    <row r="4177">
      <c r="B4177" t="inlineStr">
        <is>
          <t>Main Post Offices</t>
        </is>
      </c>
      <c r="C4177" t="inlineStr">
        <is>
          <t>Average</t>
        </is>
      </c>
      <c r="D4177" t="n">
        <v>55</v>
      </c>
      <c r="E4177" t="n">
        <v>55</v>
      </c>
      <c r="F4177" t="n">
        <v>50</v>
      </c>
      <c r="G4177" t="n">
        <v>45</v>
      </c>
      <c r="H4177" t="n">
        <v>45</v>
      </c>
      <c r="I4177">
        <f>B4177&amp;"~"&amp;C4177</f>
        <v/>
      </c>
      <c r="J4177" t="inlineStr">
        <is>
          <t>low cost and average</t>
        </is>
      </c>
    </row>
    <row r="4178">
      <c r="B4178" t="inlineStr">
        <is>
          <t>Main Post Offices</t>
        </is>
      </c>
      <c r="C4178" t="inlineStr">
        <is>
          <t>Excellent</t>
        </is>
      </c>
      <c r="D4178" t="n">
        <v>60</v>
      </c>
      <c r="E4178" t="n">
        <v>60</v>
      </c>
      <c r="F4178" t="n">
        <v>55</v>
      </c>
      <c r="G4178" t="n">
        <v>50</v>
      </c>
      <c r="H4178" t="n">
        <v>50</v>
      </c>
      <c r="I4178">
        <f>B4178&amp;"~"&amp;C4178</f>
        <v/>
      </c>
      <c r="J4178" t="inlineStr">
        <is>
          <t>Post offices, main and branch, good and excellent</t>
        </is>
      </c>
    </row>
    <row r="4179">
      <c r="B4179" t="inlineStr">
        <is>
          <t>Main Post Offices</t>
        </is>
      </c>
      <c r="C4179" t="inlineStr">
        <is>
          <t>Very Good</t>
        </is>
      </c>
      <c r="D4179" t="n">
        <v>60</v>
      </c>
      <c r="E4179" t="n">
        <v>60</v>
      </c>
      <c r="F4179" t="n">
        <v>55</v>
      </c>
      <c r="G4179" t="n">
        <v>50</v>
      </c>
      <c r="H4179" t="n">
        <v>50</v>
      </c>
      <c r="I4179">
        <f>B4179&amp;"~"&amp;C4179</f>
        <v/>
      </c>
      <c r="J4179" t="inlineStr">
        <is>
          <t>Post offices, main and branch, good and excellent</t>
        </is>
      </c>
    </row>
    <row r="4180">
      <c r="B4180" t="inlineStr">
        <is>
          <t>Mail - Processing Facilities</t>
        </is>
      </c>
      <c r="C4180" t="inlineStr">
        <is>
          <t>Average</t>
        </is>
      </c>
      <c r="D4180" t="n">
        <v>50</v>
      </c>
      <c r="E4180" t="n">
        <v>50</v>
      </c>
      <c r="F4180" t="n">
        <v>45</v>
      </c>
      <c r="H4180" t="n">
        <v>40</v>
      </c>
      <c r="I4180">
        <f>B4180&amp;"~"&amp;C4180</f>
        <v/>
      </c>
      <c r="J4180" t="inlineStr">
        <is>
          <t>average</t>
        </is>
      </c>
    </row>
    <row r="4181">
      <c r="B4181" t="inlineStr">
        <is>
          <t>Mail - Processing Facilities</t>
        </is>
      </c>
      <c r="C4181" t="inlineStr">
        <is>
          <t>Good</t>
        </is>
      </c>
      <c r="F4181" t="n">
        <v>50</v>
      </c>
      <c r="H4181" t="n">
        <v>45</v>
      </c>
      <c r="I4181">
        <f>B4181&amp;"~"&amp;C4181</f>
        <v/>
      </c>
      <c r="J4181" t="inlineStr">
        <is>
          <t>mail processing facilities, good</t>
        </is>
      </c>
    </row>
    <row r="4182">
      <c r="B4182" t="inlineStr">
        <is>
          <t>Branch Post Offices</t>
        </is>
      </c>
      <c r="C4182" t="inlineStr">
        <is>
          <t>Average</t>
        </is>
      </c>
      <c r="D4182" t="n">
        <v>55</v>
      </c>
      <c r="E4182" t="n">
        <v>55</v>
      </c>
      <c r="F4182" t="n">
        <v>50</v>
      </c>
      <c r="G4182" t="n">
        <v>45</v>
      </c>
      <c r="H4182" t="n">
        <v>45</v>
      </c>
      <c r="I4182">
        <f>B4182&amp;"~"&amp;C4182</f>
        <v/>
      </c>
      <c r="J4182" t="inlineStr">
        <is>
          <t>low cost and average</t>
        </is>
      </c>
    </row>
    <row r="4183">
      <c r="B4183" t="inlineStr">
        <is>
          <t>Branch Post Offices</t>
        </is>
      </c>
      <c r="C4183" t="inlineStr">
        <is>
          <t>Excellent</t>
        </is>
      </c>
      <c r="D4183" t="n">
        <v>60</v>
      </c>
      <c r="E4183" t="n">
        <v>60</v>
      </c>
      <c r="F4183" t="n">
        <v>55</v>
      </c>
      <c r="G4183" t="n">
        <v>50</v>
      </c>
      <c r="H4183" t="n">
        <v>50</v>
      </c>
      <c r="I4183">
        <f>B4183&amp;"~"&amp;C4183</f>
        <v/>
      </c>
      <c r="J4183" t="inlineStr">
        <is>
          <t>Post offices, main and branch, good and excellent</t>
        </is>
      </c>
    </row>
    <row r="4184">
      <c r="B4184" t="inlineStr">
        <is>
          <t>Branch Post Offices</t>
        </is>
      </c>
      <c r="C4184" t="inlineStr">
        <is>
          <t>Good</t>
        </is>
      </c>
      <c r="D4184" t="n">
        <v>60</v>
      </c>
      <c r="E4184" t="n">
        <v>60</v>
      </c>
      <c r="F4184" t="n">
        <v>55</v>
      </c>
      <c r="G4184" t="n">
        <v>50</v>
      </c>
      <c r="H4184" t="n">
        <v>50</v>
      </c>
      <c r="I4184">
        <f>B4184&amp;"~"&amp;C4184</f>
        <v/>
      </c>
      <c r="J4184" t="inlineStr">
        <is>
          <t>Post offices, main and branch, good and excellent</t>
        </is>
      </c>
    </row>
    <row r="4185">
      <c r="B4185" t="inlineStr">
        <is>
          <t>Branch Post Offices</t>
        </is>
      </c>
      <c r="C4185" t="inlineStr">
        <is>
          <t>Low Cost</t>
        </is>
      </c>
      <c r="D4185" t="n">
        <v>55</v>
      </c>
      <c r="E4185" t="n">
        <v>55</v>
      </c>
      <c r="F4185" t="n">
        <v>50</v>
      </c>
      <c r="G4185" t="n">
        <v>45</v>
      </c>
      <c r="H4185" t="n">
        <v>45</v>
      </c>
      <c r="I4185">
        <f>B4185&amp;"~"&amp;C4185</f>
        <v/>
      </c>
      <c r="J4185" t="inlineStr">
        <is>
          <t>low cost and average</t>
        </is>
      </c>
    </row>
    <row r="4186">
      <c r="B4186" t="inlineStr">
        <is>
          <t>Armories</t>
        </is>
      </c>
      <c r="C4186" t="inlineStr">
        <is>
          <t>Excellent</t>
        </is>
      </c>
      <c r="F4186" t="n">
        <v>55</v>
      </c>
      <c r="G4186" t="n">
        <v>50</v>
      </c>
      <c r="I4186">
        <f>B4186&amp;"~"&amp;C4186</f>
        <v/>
      </c>
      <c r="J4186" t="inlineStr">
        <is>
          <t>Armories, good and excellent</t>
        </is>
      </c>
    </row>
    <row r="4187">
      <c r="B4187" t="inlineStr">
        <is>
          <t>Armories</t>
        </is>
      </c>
      <c r="C4187" t="inlineStr">
        <is>
          <t>Good</t>
        </is>
      </c>
      <c r="F4187" t="n">
        <v>55</v>
      </c>
      <c r="G4187" t="n">
        <v>50</v>
      </c>
      <c r="I4187">
        <f>B4187&amp;"~"&amp;C4187</f>
        <v/>
      </c>
      <c r="J4187" t="inlineStr">
        <is>
          <t>Armories, good and excellent</t>
        </is>
      </c>
    </row>
    <row r="4188">
      <c r="B4188" t="inlineStr">
        <is>
          <t>Armories</t>
        </is>
      </c>
      <c r="C4188" t="inlineStr">
        <is>
          <t>Average</t>
        </is>
      </c>
      <c r="F4188" t="n">
        <v>50</v>
      </c>
      <c r="G4188" t="n">
        <v>40</v>
      </c>
      <c r="H4188" t="n">
        <v>40</v>
      </c>
      <c r="I4188">
        <f>B4188&amp;"~"&amp;C4188</f>
        <v/>
      </c>
      <c r="J4188" t="inlineStr">
        <is>
          <t>average</t>
        </is>
      </c>
    </row>
    <row r="4189">
      <c r="B4189" t="inlineStr">
        <is>
          <t>Distribution Warehouses</t>
        </is>
      </c>
      <c r="C4189" t="inlineStr">
        <is>
          <t>Good</t>
        </is>
      </c>
      <c r="D4189" t="n">
        <v>55</v>
      </c>
      <c r="E4189" t="n">
        <v>55</v>
      </c>
      <c r="F4189" t="n">
        <v>50</v>
      </c>
      <c r="G4189" t="n">
        <v>45</v>
      </c>
      <c r="H4189" t="n">
        <v>45</v>
      </c>
      <c r="I4189">
        <f>B4189&amp;"~"&amp;C4189</f>
        <v/>
      </c>
      <c r="J4189" t="inlineStr">
        <is>
          <t>Warehouses, distribution, good and excellent</t>
        </is>
      </c>
    </row>
    <row r="4190">
      <c r="B4190" t="inlineStr">
        <is>
          <t>Distribution Warehouses</t>
        </is>
      </c>
      <c r="C4190" t="inlineStr">
        <is>
          <t>Average</t>
        </is>
      </c>
      <c r="D4190" t="n">
        <v>50</v>
      </c>
      <c r="E4190" t="n">
        <v>50</v>
      </c>
      <c r="F4190" t="n">
        <v>45</v>
      </c>
      <c r="G4190" t="n">
        <v>40</v>
      </c>
      <c r="H4190" t="n">
        <v>40</v>
      </c>
      <c r="I4190">
        <f>B4190&amp;"~"&amp;C4190</f>
        <v/>
      </c>
      <c r="J4190" t="inlineStr">
        <is>
          <t>average</t>
        </is>
      </c>
    </row>
    <row r="4191">
      <c r="B4191" t="inlineStr">
        <is>
          <t>Distribution Warehouses</t>
        </is>
      </c>
      <c r="C4191" t="inlineStr">
        <is>
          <t>Excellent</t>
        </is>
      </c>
      <c r="D4191" t="n">
        <v>55</v>
      </c>
      <c r="E4191" t="n">
        <v>55</v>
      </c>
      <c r="F4191" t="n">
        <v>50</v>
      </c>
      <c r="G4191" t="n">
        <v>45</v>
      </c>
      <c r="H4191" t="n">
        <v>45</v>
      </c>
      <c r="I4191">
        <f>B4191&amp;"~"&amp;C4191</f>
        <v/>
      </c>
      <c r="J4191" t="inlineStr">
        <is>
          <t>Warehouses, distribution, good and excellent</t>
        </is>
      </c>
    </row>
    <row r="4192">
      <c r="B4192" t="inlineStr">
        <is>
          <t>Distribution Warehouses</t>
        </is>
      </c>
      <c r="C4192" t="inlineStr">
        <is>
          <t>Low Cost</t>
        </is>
      </c>
      <c r="F4192" t="n">
        <v>40</v>
      </c>
      <c r="G4192" t="n">
        <v>35</v>
      </c>
      <c r="H4192" t="n">
        <v>35</v>
      </c>
      <c r="I4192">
        <f>B4192&amp;"~"&amp;C4192</f>
        <v/>
      </c>
      <c r="J4192" t="inlineStr">
        <is>
          <t>low cost</t>
        </is>
      </c>
    </row>
    <row r="4193">
      <c r="B4193" t="inlineStr">
        <is>
          <t>Transit Warehouses</t>
        </is>
      </c>
      <c r="C4193" t="inlineStr">
        <is>
          <t>Good</t>
        </is>
      </c>
      <c r="F4193" t="n">
        <v>45</v>
      </c>
      <c r="G4193" t="n">
        <v>40</v>
      </c>
      <c r="H4193" t="n">
        <v>40</v>
      </c>
      <c r="I4193">
        <f>B4193&amp;"~"&amp;C4193</f>
        <v/>
      </c>
      <c r="J4193" t="inlineStr">
        <is>
          <t>Transit warehouses, average and good</t>
        </is>
      </c>
    </row>
    <row r="4194">
      <c r="B4194" t="inlineStr">
        <is>
          <t>Transit Warehouses</t>
        </is>
      </c>
      <c r="C4194" t="inlineStr">
        <is>
          <t>Average</t>
        </is>
      </c>
      <c r="F4194" t="n">
        <v>45</v>
      </c>
      <c r="G4194" t="n">
        <v>40</v>
      </c>
      <c r="H4194" t="n">
        <v>40</v>
      </c>
      <c r="I4194">
        <f>B4194&amp;"~"&amp;C4194</f>
        <v/>
      </c>
      <c r="J4194" t="inlineStr">
        <is>
          <t>Transit warehouses, average and good</t>
        </is>
      </c>
    </row>
    <row r="4195">
      <c r="B4195" t="inlineStr">
        <is>
          <t>Cold Storage Facilities</t>
        </is>
      </c>
      <c r="C4195" t="inlineStr">
        <is>
          <t>Good</t>
        </is>
      </c>
      <c r="D4195" t="n">
        <v>50</v>
      </c>
      <c r="E4195" t="n">
        <v>50</v>
      </c>
      <c r="F4195" t="n">
        <v>45</v>
      </c>
      <c r="G4195" t="n">
        <v>40</v>
      </c>
      <c r="H4195" t="n">
        <v>40</v>
      </c>
      <c r="I4195">
        <f>B4195&amp;"~"&amp;C4195</f>
        <v/>
      </c>
      <c r="J4195" t="inlineStr">
        <is>
          <t>average and good</t>
        </is>
      </c>
    </row>
    <row r="4196">
      <c r="B4196" t="inlineStr">
        <is>
          <t>Cold Storage Facilities</t>
        </is>
      </c>
      <c r="C4196" t="inlineStr">
        <is>
          <t>Average</t>
        </is>
      </c>
      <c r="D4196" t="n">
        <v>50</v>
      </c>
      <c r="E4196" t="n">
        <v>50</v>
      </c>
      <c r="F4196" t="n">
        <v>45</v>
      </c>
      <c r="G4196" t="n">
        <v>40</v>
      </c>
      <c r="H4196" t="n">
        <v>40</v>
      </c>
      <c r="I4196">
        <f>B4196&amp;"~"&amp;C4196</f>
        <v/>
      </c>
      <c r="J4196" t="inlineStr">
        <is>
          <t>average and good</t>
        </is>
      </c>
    </row>
    <row r="4197">
      <c r="B4197" t="inlineStr">
        <is>
          <t>Cold Storage Facilities</t>
        </is>
      </c>
      <c r="C4197" t="inlineStr">
        <is>
          <t>Excellent</t>
        </is>
      </c>
      <c r="F4197" t="n">
        <v>50</v>
      </c>
      <c r="H4197" t="n">
        <v>45</v>
      </c>
      <c r="I4197">
        <f>B4197&amp;"~"&amp;C4197</f>
        <v/>
      </c>
      <c r="J4197" t="inlineStr">
        <is>
          <t>Cold storage facilities, excellent</t>
        </is>
      </c>
    </row>
    <row r="4198">
      <c r="B4198" t="inlineStr">
        <is>
          <t>Cold Storage Facilities</t>
        </is>
      </c>
      <c r="C4198" t="inlineStr">
        <is>
          <t>Fair</t>
        </is>
      </c>
      <c r="F4198" t="n">
        <v>40</v>
      </c>
      <c r="G4198" t="n">
        <v>35</v>
      </c>
      <c r="H4198" t="n">
        <v>35</v>
      </c>
      <c r="I4198">
        <f>B4198&amp;"~"&amp;C4198</f>
        <v/>
      </c>
      <c r="J4198" t="inlineStr">
        <is>
          <t>low cost and fair</t>
        </is>
      </c>
    </row>
    <row r="4199">
      <c r="B4199" t="inlineStr">
        <is>
          <t>Cold Storage Facilities</t>
        </is>
      </c>
      <c r="C4199" t="inlineStr">
        <is>
          <t>Low Cost</t>
        </is>
      </c>
      <c r="F4199" t="n">
        <v>40</v>
      </c>
      <c r="G4199" t="n">
        <v>35</v>
      </c>
      <c r="H4199" t="n">
        <v>35</v>
      </c>
      <c r="I4199">
        <f>B4199&amp;"~"&amp;C4199</f>
        <v/>
      </c>
      <c r="J4199" t="inlineStr">
        <is>
          <t>low cost and fair</t>
        </is>
      </c>
    </row>
    <row r="4200">
      <c r="B4200" t="inlineStr">
        <is>
          <t>Creameries</t>
        </is>
      </c>
      <c r="C4200" t="inlineStr">
        <is>
          <t>Average</t>
        </is>
      </c>
      <c r="D4200" t="n">
        <v>45</v>
      </c>
      <c r="E4200" t="n">
        <v>45</v>
      </c>
      <c r="F4200" t="n">
        <v>35</v>
      </c>
      <c r="G4200" t="n">
        <v>30</v>
      </c>
      <c r="H4200" t="n">
        <v>30</v>
      </c>
      <c r="I4200">
        <f>B4200&amp;"~"&amp;C4200</f>
        <v/>
      </c>
      <c r="J4200" t="inlineStr">
        <is>
          <t>average</t>
        </is>
      </c>
    </row>
    <row r="4201">
      <c r="B4201" t="inlineStr">
        <is>
          <t>Creameries</t>
        </is>
      </c>
      <c r="C4201" t="inlineStr">
        <is>
          <t>Good</t>
        </is>
      </c>
      <c r="F4201" t="n">
        <v>45</v>
      </c>
      <c r="G4201" t="n">
        <v>45</v>
      </c>
      <c r="H4201" t="n">
        <v>45</v>
      </c>
      <c r="I4201">
        <f>B4201&amp;"~"&amp;C4201</f>
        <v/>
      </c>
      <c r="J4201" t="inlineStr">
        <is>
          <t>Creameries, good</t>
        </is>
      </c>
    </row>
    <row r="4202">
      <c r="B4202" t="inlineStr">
        <is>
          <t>Creameries</t>
        </is>
      </c>
      <c r="C4202" t="inlineStr">
        <is>
          <t>Low Cost</t>
        </is>
      </c>
      <c r="F4202" t="n">
        <v>25</v>
      </c>
      <c r="G4202" t="n">
        <v>20</v>
      </c>
      <c r="H4202" t="n">
        <v>20</v>
      </c>
      <c r="I4202">
        <f>B4202&amp;"~"&amp;C4202</f>
        <v/>
      </c>
      <c r="J4202" t="inlineStr">
        <is>
          <t>low cost</t>
        </is>
      </c>
    </row>
    <row r="4203">
      <c r="B4203" t="inlineStr">
        <is>
          <t>Mega (Storage/Distribution) Warehouses</t>
        </is>
      </c>
      <c r="C4203" t="inlineStr">
        <is>
          <t>Good</t>
        </is>
      </c>
      <c r="D4203" t="n">
        <v>50</v>
      </c>
      <c r="E4203" t="n">
        <v>50</v>
      </c>
      <c r="F4203" t="n">
        <v>45</v>
      </c>
      <c r="G4203" t="n">
        <v>40</v>
      </c>
      <c r="H4203" t="n">
        <v>40</v>
      </c>
      <c r="I4203">
        <f>B4203&amp;"~"&amp;C4203</f>
        <v/>
      </c>
      <c r="J4203" t="inlineStr">
        <is>
          <t>average and good</t>
        </is>
      </c>
    </row>
    <row r="4204">
      <c r="B4204" t="inlineStr">
        <is>
          <t>Mega (Storage/Distribution) Warehouses</t>
        </is>
      </c>
      <c r="C4204" t="inlineStr">
        <is>
          <t>Average</t>
        </is>
      </c>
      <c r="D4204" t="n">
        <v>50</v>
      </c>
      <c r="E4204" t="n">
        <v>50</v>
      </c>
      <c r="F4204" t="n">
        <v>45</v>
      </c>
      <c r="G4204" t="n">
        <v>40</v>
      </c>
      <c r="H4204" t="n">
        <v>40</v>
      </c>
      <c r="I4204">
        <f>B4204&amp;"~"&amp;C4204</f>
        <v/>
      </c>
      <c r="J4204" t="inlineStr">
        <is>
          <t>average and good</t>
        </is>
      </c>
    </row>
    <row r="4205">
      <c r="B4205" t="inlineStr">
        <is>
          <t>Mega (Storage/Distribution) Warehouses</t>
        </is>
      </c>
      <c r="C4205" t="inlineStr">
        <is>
          <t>Low Cost</t>
        </is>
      </c>
      <c r="D4205" t="n">
        <v>45</v>
      </c>
      <c r="E4205" t="n">
        <v>45</v>
      </c>
      <c r="F4205" t="n">
        <v>40</v>
      </c>
      <c r="G4205" t="n">
        <v>35</v>
      </c>
      <c r="H4205" t="n">
        <v>35</v>
      </c>
      <c r="I4205">
        <f>B4205&amp;"~"&amp;C4205</f>
        <v/>
      </c>
      <c r="J4205" t="inlineStr">
        <is>
          <t>cheap and low cost</t>
        </is>
      </c>
    </row>
    <row r="4206">
      <c r="B4206" t="inlineStr">
        <is>
          <t>Mega (Storage/Distribution) Warehouses</t>
        </is>
      </c>
      <c r="C4206" t="inlineStr">
        <is>
          <t>Cheap</t>
        </is>
      </c>
      <c r="D4206" t="n">
        <v>45</v>
      </c>
      <c r="E4206" t="n">
        <v>45</v>
      </c>
      <c r="F4206" t="n">
        <v>40</v>
      </c>
      <c r="G4206" t="n">
        <v>35</v>
      </c>
      <c r="H4206" t="n">
        <v>35</v>
      </c>
      <c r="I4206">
        <f>B4206&amp;"~"&amp;C4206</f>
        <v/>
      </c>
      <c r="J4206" t="inlineStr">
        <is>
          <t>cheap and low cost</t>
        </is>
      </c>
    </row>
    <row r="4207">
      <c r="B4207" t="inlineStr">
        <is>
          <t>Storage Warehouses</t>
        </is>
      </c>
      <c r="C4207" t="inlineStr">
        <is>
          <t>Good</t>
        </is>
      </c>
      <c r="D4207" t="n">
        <v>50</v>
      </c>
      <c r="E4207" t="n">
        <v>50</v>
      </c>
      <c r="F4207" t="n">
        <v>45</v>
      </c>
      <c r="G4207" t="n">
        <v>40</v>
      </c>
      <c r="H4207" t="n">
        <v>40</v>
      </c>
      <c r="I4207">
        <f>B4207&amp;"~"&amp;C4207</f>
        <v/>
      </c>
      <c r="J4207" t="inlineStr">
        <is>
          <t>average and good</t>
        </is>
      </c>
    </row>
    <row r="4208">
      <c r="B4208" t="inlineStr">
        <is>
          <t>Storage Warehouses</t>
        </is>
      </c>
      <c r="C4208" t="inlineStr">
        <is>
          <t>Average</t>
        </is>
      </c>
      <c r="D4208" t="n">
        <v>50</v>
      </c>
      <c r="E4208" t="n">
        <v>50</v>
      </c>
      <c r="F4208" t="n">
        <v>45</v>
      </c>
      <c r="G4208" t="n">
        <v>40</v>
      </c>
      <c r="H4208" t="n">
        <v>40</v>
      </c>
      <c r="I4208">
        <f>B4208&amp;"~"&amp;C4208</f>
        <v/>
      </c>
      <c r="J4208" t="inlineStr">
        <is>
          <t>average and good</t>
        </is>
      </c>
    </row>
    <row r="4209">
      <c r="B4209" t="inlineStr">
        <is>
          <t>Storage Warehouses</t>
        </is>
      </c>
      <c r="C4209" t="inlineStr">
        <is>
          <t>Low Cost</t>
        </is>
      </c>
      <c r="D4209" t="n">
        <v>45</v>
      </c>
      <c r="E4209" t="n">
        <v>45</v>
      </c>
      <c r="F4209" t="n">
        <v>40</v>
      </c>
      <c r="G4209" t="n">
        <v>35</v>
      </c>
      <c r="H4209" t="n">
        <v>35</v>
      </c>
      <c r="I4209">
        <f>B4209&amp;"~"&amp;C4209</f>
        <v/>
      </c>
      <c r="J4209" t="inlineStr">
        <is>
          <t>cheap and low cost</t>
        </is>
      </c>
    </row>
    <row r="4210">
      <c r="B4210" t="inlineStr">
        <is>
          <t>Storage Warehouses</t>
        </is>
      </c>
      <c r="C4210" t="inlineStr">
        <is>
          <t>Excellent</t>
        </is>
      </c>
      <c r="F4210" t="n">
        <v>50</v>
      </c>
      <c r="H4210" t="n">
        <v>45</v>
      </c>
      <c r="I4210">
        <f>B4210&amp;"~"&amp;C4210</f>
        <v/>
      </c>
      <c r="J4210" t="inlineStr">
        <is>
          <t>Storage and mega storage, excellent</t>
        </is>
      </c>
    </row>
    <row r="4211">
      <c r="B4211" t="inlineStr">
        <is>
          <t>Mini-Warehouses / Self-Storage</t>
        </is>
      </c>
      <c r="C4211" t="inlineStr">
        <is>
          <t>Good</t>
        </is>
      </c>
      <c r="F4211" t="n">
        <v>45</v>
      </c>
      <c r="G4211" t="n">
        <v>40</v>
      </c>
      <c r="H4211" t="n">
        <v>40</v>
      </c>
      <c r="I4211">
        <f>B4211&amp;"~"&amp;C4211</f>
        <v/>
      </c>
      <c r="J4211" t="inlineStr">
        <is>
          <t>Mini-warehouses, low and high rise, good</t>
        </is>
      </c>
    </row>
    <row r="4212">
      <c r="B4212" t="inlineStr">
        <is>
          <t>Mini-Warehouses / Self-Storage</t>
        </is>
      </c>
      <c r="C4212" t="inlineStr">
        <is>
          <t>Average</t>
        </is>
      </c>
      <c r="D4212" t="n">
        <v>45</v>
      </c>
      <c r="E4212" t="n">
        <v>45</v>
      </c>
      <c r="F4212" t="n">
        <v>40</v>
      </c>
      <c r="G4212" t="n">
        <v>35</v>
      </c>
      <c r="H4212" t="n">
        <v>35</v>
      </c>
      <c r="I4212">
        <f>B4212&amp;"~"&amp;C4212</f>
        <v/>
      </c>
      <c r="J4212" t="inlineStr">
        <is>
          <t>average</t>
        </is>
      </c>
    </row>
    <row r="4213">
      <c r="B4213" t="inlineStr">
        <is>
          <t>Mini-Warehouses / Self-Storage</t>
        </is>
      </c>
      <c r="C4213" t="inlineStr">
        <is>
          <t>Low Cost</t>
        </is>
      </c>
      <c r="F4213" t="n">
        <v>35</v>
      </c>
      <c r="G4213" t="n">
        <v>30</v>
      </c>
      <c r="H4213" t="n">
        <v>30</v>
      </c>
      <c r="I4213">
        <f>B4213&amp;"~"&amp;C4213</f>
        <v/>
      </c>
      <c r="J4213" t="inlineStr">
        <is>
          <t>low cost</t>
        </is>
      </c>
    </row>
    <row r="4214">
      <c r="B4214" t="inlineStr">
        <is>
          <t>Mini-Warehouses / Self-Storage</t>
        </is>
      </c>
      <c r="C4214" t="inlineStr">
        <is>
          <t>Cheap</t>
        </is>
      </c>
      <c r="F4214" t="n">
        <v>35</v>
      </c>
      <c r="G4214" t="n">
        <v>30</v>
      </c>
      <c r="H4214" t="n">
        <v>30</v>
      </c>
      <c r="I4214">
        <f>B4214&amp;"~"&amp;C4214</f>
        <v/>
      </c>
      <c r="J4214" t="inlineStr">
        <is>
          <t>low cost</t>
        </is>
      </c>
    </row>
    <row r="4215">
      <c r="B4215" t="inlineStr">
        <is>
          <t>Mini-Warehouses, High-Rise</t>
        </is>
      </c>
      <c r="C4215" t="inlineStr">
        <is>
          <t>Average</t>
        </is>
      </c>
      <c r="D4215" t="n">
        <v>45</v>
      </c>
      <c r="E4215" t="n">
        <v>45</v>
      </c>
      <c r="F4215" t="n">
        <v>40</v>
      </c>
      <c r="G4215" t="n">
        <v>35</v>
      </c>
      <c r="H4215" t="n">
        <v>35</v>
      </c>
      <c r="I4215">
        <f>B4215&amp;"~"&amp;C4215</f>
        <v/>
      </c>
      <c r="J4215" t="inlineStr">
        <is>
          <t>average</t>
        </is>
      </c>
    </row>
    <row r="4216">
      <c r="B4216" t="inlineStr">
        <is>
          <t>Mini-Warehouses, High-Rise</t>
        </is>
      </c>
      <c r="C4216" t="inlineStr">
        <is>
          <t>Good</t>
        </is>
      </c>
      <c r="F4216" t="n">
        <v>45</v>
      </c>
      <c r="G4216" t="n">
        <v>40</v>
      </c>
      <c r="H4216" t="n">
        <v>40</v>
      </c>
      <c r="I4216">
        <f>B4216&amp;"~"&amp;C4216</f>
        <v/>
      </c>
      <c r="J4216" t="inlineStr">
        <is>
          <t>Mini-warehouses, low and high rise, good</t>
        </is>
      </c>
    </row>
    <row r="4217">
      <c r="B4217" t="inlineStr">
        <is>
          <t>Maintenance Hangars</t>
        </is>
      </c>
      <c r="C4217" t="inlineStr">
        <is>
          <t>Excellent</t>
        </is>
      </c>
      <c r="F4217" t="n">
        <v>45</v>
      </c>
      <c r="H4217" t="n">
        <v>40</v>
      </c>
      <c r="I4217">
        <f>B4217&amp;"~"&amp;C4217</f>
        <v/>
      </c>
      <c r="J4217" t="inlineStr">
        <is>
          <t>Hangars, maintenance, excellent</t>
        </is>
      </c>
    </row>
    <row r="4218">
      <c r="B4218" t="inlineStr">
        <is>
          <t>Maintenance Hangars</t>
        </is>
      </c>
      <c r="C4218" t="inlineStr">
        <is>
          <t>Good</t>
        </is>
      </c>
      <c r="F4218" t="n">
        <v>40</v>
      </c>
      <c r="H4218" t="n">
        <v>40</v>
      </c>
      <c r="I4218">
        <f>B4218&amp;"~"&amp;C4218</f>
        <v/>
      </c>
      <c r="J4218" t="inlineStr">
        <is>
          <t>good</t>
        </is>
      </c>
    </row>
    <row r="4219">
      <c r="B4219" t="inlineStr">
        <is>
          <t>Maintenance Hangars</t>
        </is>
      </c>
      <c r="C4219" t="inlineStr">
        <is>
          <t>Average</t>
        </is>
      </c>
      <c r="F4219" t="n">
        <v>40</v>
      </c>
      <c r="G4219" t="n">
        <v>35</v>
      </c>
      <c r="H4219" t="n">
        <v>35</v>
      </c>
      <c r="I4219">
        <f>B4219&amp;"~"&amp;C4219</f>
        <v/>
      </c>
      <c r="J4219" t="inlineStr">
        <is>
          <t>average</t>
        </is>
      </c>
    </row>
    <row r="4220">
      <c r="B4220" t="inlineStr">
        <is>
          <t>Maintenance Hangars</t>
        </is>
      </c>
      <c r="C4220" t="inlineStr">
        <is>
          <t>Low Cost</t>
        </is>
      </c>
      <c r="F4220" t="n">
        <v>35</v>
      </c>
      <c r="G4220" t="n">
        <v>30</v>
      </c>
      <c r="H4220" t="n">
        <v>30</v>
      </c>
      <c r="I4220">
        <f>B4220&amp;"~"&amp;C4220</f>
        <v/>
      </c>
      <c r="J4220" t="inlineStr">
        <is>
          <t>low cost</t>
        </is>
      </c>
    </row>
    <row r="4221">
      <c r="B4221" t="inlineStr">
        <is>
          <t>Storage Hangars</t>
        </is>
      </c>
      <c r="C4221" t="inlineStr">
        <is>
          <t>Excellent</t>
        </is>
      </c>
      <c r="F4221" t="n">
        <v>40</v>
      </c>
      <c r="H4221" t="n">
        <v>40</v>
      </c>
      <c r="I4221">
        <f>B4221&amp;"~"&amp;C4221</f>
        <v/>
      </c>
      <c r="J4221" t="inlineStr">
        <is>
          <t>Storage, excellent</t>
        </is>
      </c>
    </row>
    <row r="4222">
      <c r="B4222" t="inlineStr">
        <is>
          <t>Storage Hangars</t>
        </is>
      </c>
      <c r="C4222" t="inlineStr">
        <is>
          <t>Good</t>
        </is>
      </c>
      <c r="F4222" t="n">
        <v>40</v>
      </c>
      <c r="H4222" t="n">
        <v>35</v>
      </c>
      <c r="I4222">
        <f>B4222&amp;"~"&amp;C4222</f>
        <v/>
      </c>
      <c r="J4222" t="inlineStr">
        <is>
          <t>good</t>
        </is>
      </c>
    </row>
    <row r="4223">
      <c r="B4223" t="inlineStr">
        <is>
          <t>Storage Hangars</t>
        </is>
      </c>
      <c r="C4223" t="inlineStr">
        <is>
          <t>Average</t>
        </is>
      </c>
      <c r="F4223" t="n">
        <v>35</v>
      </c>
      <c r="G4223" t="n">
        <v>30</v>
      </c>
      <c r="H4223" t="n">
        <v>30</v>
      </c>
      <c r="I4223">
        <f>B4223&amp;"~"&amp;C4223</f>
        <v/>
      </c>
      <c r="J4223" t="inlineStr">
        <is>
          <t>average</t>
        </is>
      </c>
    </row>
    <row r="4224">
      <c r="B4224" t="inlineStr">
        <is>
          <t>Storage Hangars</t>
        </is>
      </c>
      <c r="C4224" t="inlineStr">
        <is>
          <t>Low Cost</t>
        </is>
      </c>
      <c r="F4224" t="n">
        <v>30</v>
      </c>
      <c r="G4224" t="n">
        <v>30</v>
      </c>
      <c r="H4224" t="n">
        <v>30</v>
      </c>
      <c r="I4224">
        <f>B4224&amp;"~"&amp;C4224</f>
        <v/>
      </c>
      <c r="J4224" t="inlineStr">
        <is>
          <t>low cost</t>
        </is>
      </c>
    </row>
    <row r="4225">
      <c r="B4225" t="inlineStr">
        <is>
          <t>Storage Hangars</t>
        </is>
      </c>
      <c r="C4225" t="inlineStr">
        <is>
          <t>Cheap</t>
        </is>
      </c>
      <c r="G4225" t="n">
        <v>20</v>
      </c>
      <c r="H4225" t="n">
        <v>20</v>
      </c>
      <c r="I4225">
        <f>B4225&amp;"~"&amp;C4225</f>
        <v/>
      </c>
      <c r="J4225" t="inlineStr">
        <is>
          <t>cheap</t>
        </is>
      </c>
    </row>
    <row r="4226">
      <c r="B4226" t="inlineStr">
        <is>
          <t>T-Hangars</t>
        </is>
      </c>
      <c r="C4226" t="inlineStr">
        <is>
          <t>Average</t>
        </is>
      </c>
      <c r="F4226" t="n">
        <v>30</v>
      </c>
      <c r="H4226" t="n">
        <v>30</v>
      </c>
      <c r="I4226">
        <f>B4226&amp;"~"&amp;C4226</f>
        <v/>
      </c>
      <c r="J4226" t="inlineStr">
        <is>
          <t>T-hangars, average</t>
        </is>
      </c>
    </row>
    <row r="4227">
      <c r="B4227" t="inlineStr">
        <is>
          <t>T-Hangars</t>
        </is>
      </c>
      <c r="C4227" t="inlineStr">
        <is>
          <t>Low Cost</t>
        </is>
      </c>
      <c r="G4227" t="n">
        <v>20</v>
      </c>
      <c r="H4227" t="n">
        <v>20</v>
      </c>
      <c r="I4227">
        <f>B4227&amp;"~"&amp;C4227</f>
        <v/>
      </c>
      <c r="J4227" t="inlineStr">
        <is>
          <t>low cost</t>
        </is>
      </c>
    </row>
    <row r="4228">
      <c r="B4228" t="inlineStr">
        <is>
          <t>Complete Auto Dealerships</t>
        </is>
      </c>
      <c r="C4228" t="inlineStr">
        <is>
          <t>Average</t>
        </is>
      </c>
      <c r="D4228" t="n">
        <v>45</v>
      </c>
      <c r="E4228" t="n">
        <v>45</v>
      </c>
      <c r="F4228" t="n">
        <v>40</v>
      </c>
      <c r="G4228" t="n">
        <v>35</v>
      </c>
      <c r="H4228" t="n">
        <v>35</v>
      </c>
      <c r="I4228">
        <f>B4228&amp;"~"&amp;C4228</f>
        <v/>
      </c>
      <c r="J4228" t="inlineStr">
        <is>
          <t>average</t>
        </is>
      </c>
    </row>
    <row r="4229">
      <c r="B4229" t="inlineStr">
        <is>
          <t>Complete Auto Dealerships</t>
        </is>
      </c>
      <c r="C4229" t="inlineStr">
        <is>
          <t>Excellent</t>
        </is>
      </c>
      <c r="D4229" t="n">
        <v>50</v>
      </c>
      <c r="E4229" t="n">
        <v>50</v>
      </c>
      <c r="F4229" t="n">
        <v>45</v>
      </c>
      <c r="G4229" t="n">
        <v>40</v>
      </c>
      <c r="H4229" t="n">
        <v>40</v>
      </c>
      <c r="I4229">
        <f>B4229&amp;"~"&amp;C4229</f>
        <v/>
      </c>
      <c r="J4229" t="inlineStr">
        <is>
          <t>Complete auto dealerships, good and excellent</t>
        </is>
      </c>
    </row>
    <row r="4230">
      <c r="B4230" t="inlineStr">
        <is>
          <t>Complete Auto Dealerships</t>
        </is>
      </c>
      <c r="C4230" t="inlineStr">
        <is>
          <t>Good</t>
        </is>
      </c>
      <c r="D4230" t="n">
        <v>50</v>
      </c>
      <c r="E4230" t="n">
        <v>50</v>
      </c>
      <c r="F4230" t="n">
        <v>45</v>
      </c>
      <c r="G4230" t="n">
        <v>40</v>
      </c>
      <c r="H4230" t="n">
        <v>40</v>
      </c>
      <c r="I4230">
        <f>B4230&amp;"~"&amp;C4230</f>
        <v/>
      </c>
      <c r="J4230" t="inlineStr">
        <is>
          <t>Complete auto dealerships, good and excellent</t>
        </is>
      </c>
    </row>
    <row r="4231">
      <c r="B4231" t="inlineStr">
        <is>
          <t>Complete Auto Dealerships</t>
        </is>
      </c>
      <c r="C4231" t="inlineStr">
        <is>
          <t>Low Cost</t>
        </is>
      </c>
      <c r="F4231" t="n">
        <v>35</v>
      </c>
      <c r="G4231" t="n">
        <v>30</v>
      </c>
      <c r="H4231" t="n">
        <v>30</v>
      </c>
      <c r="I4231">
        <f>B4231&amp;"~"&amp;C4231</f>
        <v/>
      </c>
      <c r="J4231" t="inlineStr">
        <is>
          <t>low cost</t>
        </is>
      </c>
    </row>
    <row r="4232">
      <c r="B4232" t="inlineStr">
        <is>
          <t>Automotive Service Centers</t>
        </is>
      </c>
      <c r="C4232" t="inlineStr">
        <is>
          <t>Good</t>
        </is>
      </c>
      <c r="F4232" t="n">
        <v>45</v>
      </c>
      <c r="G4232" t="n">
        <v>40</v>
      </c>
      <c r="H4232" t="n">
        <v>40</v>
      </c>
      <c r="I4232">
        <f>B4232&amp;"~"&amp;C4232</f>
        <v/>
      </c>
      <c r="J4232" t="inlineStr">
        <is>
          <t>Automotive service centers, good</t>
        </is>
      </c>
    </row>
    <row r="4233">
      <c r="B4233" t="inlineStr">
        <is>
          <t>Automotive Service Centers</t>
        </is>
      </c>
      <c r="C4233" t="inlineStr">
        <is>
          <t>Average</t>
        </is>
      </c>
      <c r="F4233" t="n">
        <v>40</v>
      </c>
      <c r="G4233" t="n">
        <v>35</v>
      </c>
      <c r="H4233" t="n">
        <v>35</v>
      </c>
      <c r="I4233">
        <f>B4233&amp;"~"&amp;C4233</f>
        <v/>
      </c>
      <c r="J4233" t="inlineStr">
        <is>
          <t>average</t>
        </is>
      </c>
    </row>
    <row r="4234">
      <c r="B4234" t="inlineStr">
        <is>
          <t>Automotive Service Centers</t>
        </is>
      </c>
      <c r="C4234" t="inlineStr">
        <is>
          <t>Low Cost</t>
        </is>
      </c>
      <c r="F4234" t="n">
        <v>35</v>
      </c>
      <c r="G4234" t="n">
        <v>30</v>
      </c>
      <c r="H4234" t="n">
        <v>30</v>
      </c>
      <c r="I4234">
        <f>B4234&amp;"~"&amp;C4234</f>
        <v/>
      </c>
      <c r="J4234" t="inlineStr">
        <is>
          <t>low cost</t>
        </is>
      </c>
    </row>
    <row r="4235">
      <c r="B4235" t="inlineStr">
        <is>
          <t>Showrooms</t>
        </is>
      </c>
      <c r="C4235" t="inlineStr">
        <is>
          <t>Average</t>
        </is>
      </c>
      <c r="D4235" t="n">
        <v>45</v>
      </c>
      <c r="E4235" t="n">
        <v>45</v>
      </c>
      <c r="F4235" t="n">
        <v>40</v>
      </c>
      <c r="G4235" t="n">
        <v>35</v>
      </c>
      <c r="H4235" t="n">
        <v>35</v>
      </c>
      <c r="I4235">
        <f>B4235&amp;"~"&amp;C4235</f>
        <v/>
      </c>
      <c r="J4235" t="inlineStr">
        <is>
          <t>average</t>
        </is>
      </c>
    </row>
    <row r="4236">
      <c r="B4236" t="inlineStr">
        <is>
          <t>Showrooms</t>
        </is>
      </c>
      <c r="C4236" t="inlineStr">
        <is>
          <t>Excellent</t>
        </is>
      </c>
      <c r="D4236" t="n">
        <v>50</v>
      </c>
      <c r="E4236" t="n">
        <v>50</v>
      </c>
      <c r="F4236" t="n">
        <v>45</v>
      </c>
      <c r="G4236" t="n">
        <v>40</v>
      </c>
      <c r="H4236" t="n">
        <v>40</v>
      </c>
      <c r="I4236">
        <f>B4236&amp;"~"&amp;C4236</f>
        <v/>
      </c>
      <c r="J4236" t="inlineStr">
        <is>
          <t>Showrooms, good and excellent</t>
        </is>
      </c>
    </row>
    <row r="4237">
      <c r="B4237" t="inlineStr">
        <is>
          <t>Showrooms</t>
        </is>
      </c>
      <c r="C4237" t="inlineStr">
        <is>
          <t>Good</t>
        </is>
      </c>
      <c r="D4237" t="n">
        <v>50</v>
      </c>
      <c r="E4237" t="n">
        <v>50</v>
      </c>
      <c r="F4237" t="n">
        <v>45</v>
      </c>
      <c r="G4237" t="n">
        <v>40</v>
      </c>
      <c r="H4237" t="n">
        <v>40</v>
      </c>
      <c r="I4237">
        <f>B4237&amp;"~"&amp;C4237</f>
        <v/>
      </c>
      <c r="J4237" t="inlineStr">
        <is>
          <t>Showrooms, good and excellent</t>
        </is>
      </c>
    </row>
    <row r="4238">
      <c r="B4238" t="inlineStr">
        <is>
          <t>Showrooms</t>
        </is>
      </c>
      <c r="C4238" t="inlineStr">
        <is>
          <t>Low Cost</t>
        </is>
      </c>
      <c r="F4238" t="n">
        <v>35</v>
      </c>
      <c r="G4238" t="n">
        <v>30</v>
      </c>
      <c r="H4238" t="n">
        <v>30</v>
      </c>
      <c r="I4238">
        <f>B4238&amp;"~"&amp;C4238</f>
        <v/>
      </c>
      <c r="J4238" t="inlineStr">
        <is>
          <t>low cost</t>
        </is>
      </c>
    </row>
    <row r="4239">
      <c r="B4239" t="inlineStr">
        <is>
          <t>Service Garages (Commercial/Repair)</t>
        </is>
      </c>
      <c r="C4239" t="inlineStr">
        <is>
          <t>Average</t>
        </is>
      </c>
      <c r="D4239" t="n">
        <v>40</v>
      </c>
      <c r="E4239" t="n">
        <v>40</v>
      </c>
      <c r="F4239" t="n">
        <v>35</v>
      </c>
      <c r="G4239" t="n">
        <v>30</v>
      </c>
      <c r="H4239" t="n">
        <v>30</v>
      </c>
      <c r="I4239">
        <f>B4239&amp;"~"&amp;C4239</f>
        <v/>
      </c>
      <c r="J4239" t="inlineStr">
        <is>
          <t>low cost and average</t>
        </is>
      </c>
    </row>
    <row r="4240">
      <c r="B4240" t="inlineStr">
        <is>
          <t>Service Garages (Commercial/Repair)</t>
        </is>
      </c>
      <c r="C4240" t="inlineStr">
        <is>
          <t>Excellent</t>
        </is>
      </c>
      <c r="F4240" t="n">
        <v>40</v>
      </c>
      <c r="G4240" t="n">
        <v>35</v>
      </c>
      <c r="H4240" t="n">
        <v>35</v>
      </c>
      <c r="I4240">
        <f>B4240&amp;"~"&amp;C4240</f>
        <v/>
      </c>
      <c r="J4240" t="inlineStr">
        <is>
          <t>Service and repair garages, good and excellent</t>
        </is>
      </c>
    </row>
    <row r="4241">
      <c r="B4241" t="inlineStr">
        <is>
          <t>Service Garages (Commercial/Repair)</t>
        </is>
      </c>
      <c r="C4241" t="inlineStr">
        <is>
          <t>Good</t>
        </is>
      </c>
      <c r="F4241" t="n">
        <v>40</v>
      </c>
      <c r="G4241" t="n">
        <v>35</v>
      </c>
      <c r="H4241" t="n">
        <v>35</v>
      </c>
      <c r="I4241">
        <f>B4241&amp;"~"&amp;C4241</f>
        <v/>
      </c>
      <c r="J4241" t="inlineStr">
        <is>
          <t>Service and repair garages, good and excellent</t>
        </is>
      </c>
    </row>
    <row r="4242">
      <c r="B4242" t="inlineStr">
        <is>
          <t>Service Garages (Commercial/Repair)</t>
        </is>
      </c>
      <c r="C4242" t="inlineStr">
        <is>
          <t>Low Cost</t>
        </is>
      </c>
      <c r="D4242" t="n">
        <v>40</v>
      </c>
      <c r="E4242" t="n">
        <v>40</v>
      </c>
      <c r="F4242" t="n">
        <v>35</v>
      </c>
      <c r="G4242" t="n">
        <v>30</v>
      </c>
      <c r="H4242" t="n">
        <v>30</v>
      </c>
      <c r="I4242">
        <f>B4242&amp;"~"&amp;C4242</f>
        <v/>
      </c>
      <c r="J4242" t="inlineStr">
        <is>
          <t>low cost and average</t>
        </is>
      </c>
    </row>
    <row r="4243">
      <c r="B4243" t="inlineStr">
        <is>
          <t>Service Garage Sheds</t>
        </is>
      </c>
      <c r="C4243" t="inlineStr">
        <is>
          <t>Good</t>
        </is>
      </c>
      <c r="F4243" t="n">
        <v>35</v>
      </c>
      <c r="G4243" t="n">
        <v>30</v>
      </c>
      <c r="H4243" t="n">
        <v>30</v>
      </c>
      <c r="I4243">
        <f>B4243&amp;"~"&amp;C4243</f>
        <v/>
      </c>
      <c r="J4243" t="inlineStr">
        <is>
          <t>Service garage sheds, good</t>
        </is>
      </c>
    </row>
    <row r="4244">
      <c r="B4244" t="inlineStr">
        <is>
          <t>Service Garage Sheds</t>
        </is>
      </c>
      <c r="C4244" t="inlineStr">
        <is>
          <t>Average</t>
        </is>
      </c>
      <c r="F4244" t="n">
        <v>30</v>
      </c>
      <c r="G4244" t="n">
        <v>25</v>
      </c>
      <c r="H4244" t="n">
        <v>25</v>
      </c>
      <c r="I4244">
        <f>B4244&amp;"~"&amp;C4244</f>
        <v/>
      </c>
      <c r="J4244" t="inlineStr">
        <is>
          <t>low cost and average</t>
        </is>
      </c>
    </row>
    <row r="4245">
      <c r="B4245" t="inlineStr">
        <is>
          <t>Service Garage Sheds</t>
        </is>
      </c>
      <c r="C4245" t="inlineStr">
        <is>
          <t>Low Cost</t>
        </is>
      </c>
      <c r="F4245" t="n">
        <v>30</v>
      </c>
      <c r="G4245" t="n">
        <v>25</v>
      </c>
      <c r="H4245" t="n">
        <v>25</v>
      </c>
      <c r="I4245">
        <f>B4245&amp;"~"&amp;C4245</f>
        <v/>
      </c>
      <c r="J4245" t="inlineStr">
        <is>
          <t>low cost and average</t>
        </is>
      </c>
    </row>
    <row r="4246">
      <c r="B4246" t="inlineStr">
        <is>
          <t>Municipal Service Garages</t>
        </is>
      </c>
      <c r="C4246" t="inlineStr">
        <is>
          <t>Excellent</t>
        </is>
      </c>
      <c r="F4246" t="n">
        <v>45</v>
      </c>
      <c r="H4246" t="n">
        <v>40</v>
      </c>
      <c r="I4246">
        <f>B4246&amp;"~"&amp;C4246</f>
        <v/>
      </c>
      <c r="J4246" t="inlineStr">
        <is>
          <t>Garages, municipal service, excellent</t>
        </is>
      </c>
    </row>
    <row r="4247">
      <c r="B4247" t="inlineStr">
        <is>
          <t>Municipal Service Garages</t>
        </is>
      </c>
      <c r="C4247" t="inlineStr">
        <is>
          <t>Good</t>
        </is>
      </c>
      <c r="F4247" t="n">
        <v>40</v>
      </c>
      <c r="G4247" t="n">
        <v>35</v>
      </c>
      <c r="H4247" t="n">
        <v>35</v>
      </c>
      <c r="I4247">
        <f>B4247&amp;"~"&amp;C4247</f>
        <v/>
      </c>
      <c r="J4247" t="inlineStr">
        <is>
          <t>average and good</t>
        </is>
      </c>
    </row>
    <row r="4248">
      <c r="B4248" t="inlineStr">
        <is>
          <t>Municipal Service Garages</t>
        </is>
      </c>
      <c r="C4248" t="inlineStr">
        <is>
          <t>Average</t>
        </is>
      </c>
      <c r="F4248" t="n">
        <v>40</v>
      </c>
      <c r="G4248" t="n">
        <v>35</v>
      </c>
      <c r="H4248" t="n">
        <v>35</v>
      </c>
      <c r="I4248">
        <f>B4248&amp;"~"&amp;C4248</f>
        <v/>
      </c>
      <c r="J4248" t="inlineStr">
        <is>
          <t>average and good</t>
        </is>
      </c>
    </row>
    <row r="4249">
      <c r="B4249" t="inlineStr">
        <is>
          <t>Mini-Lube Garages</t>
        </is>
      </c>
      <c r="C4249" t="inlineStr">
        <is>
          <t>Excellent</t>
        </is>
      </c>
      <c r="F4249" t="n">
        <v>40</v>
      </c>
      <c r="G4249" t="n">
        <v>35</v>
      </c>
      <c r="H4249" t="n">
        <v>35</v>
      </c>
      <c r="I4249">
        <f>B4249&amp;"~"&amp;C4249</f>
        <v/>
      </c>
      <c r="J4249" t="inlineStr">
        <is>
          <t>Mini-lube garages, good and excellent</t>
        </is>
      </c>
    </row>
    <row r="4250">
      <c r="B4250" t="inlineStr">
        <is>
          <t>Mini-Lube Garages</t>
        </is>
      </c>
      <c r="C4250" t="inlineStr">
        <is>
          <t>Good</t>
        </is>
      </c>
      <c r="F4250" t="n">
        <v>40</v>
      </c>
      <c r="G4250" t="n">
        <v>35</v>
      </c>
      <c r="H4250" t="n">
        <v>35</v>
      </c>
      <c r="I4250">
        <f>B4250&amp;"~"&amp;C4250</f>
        <v/>
      </c>
      <c r="J4250" t="inlineStr">
        <is>
          <t>Mini-lube garages, good and excellent</t>
        </is>
      </c>
    </row>
    <row r="4251">
      <c r="B4251" t="inlineStr">
        <is>
          <t>Mini-Lube Garages</t>
        </is>
      </c>
      <c r="C4251" t="inlineStr">
        <is>
          <t>Average</t>
        </is>
      </c>
      <c r="F4251" t="n">
        <v>35</v>
      </c>
      <c r="G4251" t="n">
        <v>30</v>
      </c>
      <c r="H4251" t="n">
        <v>30</v>
      </c>
      <c r="I4251">
        <f>B4251&amp;"~"&amp;C4251</f>
        <v/>
      </c>
      <c r="J4251" t="inlineStr">
        <is>
          <t>low cost and average</t>
        </is>
      </c>
    </row>
    <row r="4252">
      <c r="B4252" t="inlineStr">
        <is>
          <t>Mini-Lube Garages</t>
        </is>
      </c>
      <c r="C4252" t="inlineStr">
        <is>
          <t>Low Cost</t>
        </is>
      </c>
      <c r="F4252" t="n">
        <v>35</v>
      </c>
      <c r="G4252" t="n">
        <v>30</v>
      </c>
      <c r="H4252" t="n">
        <v>30</v>
      </c>
      <c r="I4252">
        <f>B4252&amp;"~"&amp;C4252</f>
        <v/>
      </c>
      <c r="J4252" t="inlineStr">
        <is>
          <t>low cost and average</t>
        </is>
      </c>
    </row>
    <row r="4253">
      <c r="B4253" t="inlineStr">
        <is>
          <t>Parking (Parkade) Structures</t>
        </is>
      </c>
      <c r="C4253" t="inlineStr">
        <is>
          <t>Good</t>
        </is>
      </c>
      <c r="D4253" t="n">
        <v>45</v>
      </c>
      <c r="E4253" t="n">
        <v>45</v>
      </c>
      <c r="I4253">
        <f>B4253&amp;"~"&amp;C4253</f>
        <v/>
      </c>
      <c r="J4253" t="inlineStr">
        <is>
          <t>Parking structures/parkades, good</t>
        </is>
      </c>
    </row>
    <row r="4254">
      <c r="B4254" t="inlineStr">
        <is>
          <t>Parking (Parkade) Structures</t>
        </is>
      </c>
      <c r="C4254" t="inlineStr">
        <is>
          <t>Average</t>
        </is>
      </c>
      <c r="D4254" t="n">
        <v>40</v>
      </c>
      <c r="E4254" t="n">
        <v>40</v>
      </c>
      <c r="H4254" t="n">
        <v>35</v>
      </c>
      <c r="I4254">
        <f>B4254&amp;"~"&amp;C4254</f>
        <v/>
      </c>
      <c r="J4254" t="inlineStr">
        <is>
          <t>low cost and average</t>
        </is>
      </c>
    </row>
    <row r="4255">
      <c r="B4255" t="inlineStr">
        <is>
          <t>Parking (Parkade) Structures</t>
        </is>
      </c>
      <c r="C4255" t="inlineStr">
        <is>
          <t>Low Cost</t>
        </is>
      </c>
      <c r="D4255" t="n">
        <v>40</v>
      </c>
      <c r="E4255" t="n">
        <v>40</v>
      </c>
      <c r="H4255" t="n">
        <v>35</v>
      </c>
      <c r="I4255">
        <f>B4255&amp;"~"&amp;C4255</f>
        <v/>
      </c>
      <c r="J4255" t="inlineStr">
        <is>
          <t>low cost and average</t>
        </is>
      </c>
    </row>
    <row r="4256">
      <c r="B4256" t="inlineStr">
        <is>
          <t>Parking (Parkade) Structures</t>
        </is>
      </c>
      <c r="C4256" t="inlineStr">
        <is>
          <t>Cheap</t>
        </is>
      </c>
      <c r="H4256" t="n">
        <v>30</v>
      </c>
      <c r="I4256">
        <f>B4256&amp;"~"&amp;C4256</f>
        <v/>
      </c>
      <c r="J4256" t="inlineStr">
        <is>
          <t>cheap</t>
        </is>
      </c>
    </row>
    <row r="4257">
      <c r="B4257" t="inlineStr">
        <is>
          <t>Storage Garages</t>
        </is>
      </c>
      <c r="C4257" t="inlineStr">
        <is>
          <t>Average</t>
        </is>
      </c>
      <c r="D4257" t="n">
        <v>45</v>
      </c>
      <c r="E4257" t="n">
        <v>45</v>
      </c>
      <c r="F4257" t="n">
        <v>40</v>
      </c>
      <c r="G4257" t="n">
        <v>35</v>
      </c>
      <c r="H4257" t="n">
        <v>35</v>
      </c>
      <c r="I4257">
        <f>B4257&amp;"~"&amp;C4257</f>
        <v/>
      </c>
      <c r="J4257" t="inlineStr">
        <is>
          <t>Storage, average</t>
        </is>
      </c>
    </row>
    <row r="4258">
      <c r="B4258" t="inlineStr">
        <is>
          <t>Light Industrial/Warehouse Shell Buildings</t>
        </is>
      </c>
      <c r="C4258" t="inlineStr">
        <is>
          <t>Good</t>
        </is>
      </c>
      <c r="D4258" t="n">
        <v>50</v>
      </c>
      <c r="E4258" t="n">
        <v>50</v>
      </c>
      <c r="F4258" t="n">
        <v>45</v>
      </c>
      <c r="G4258" t="n">
        <v>40</v>
      </c>
      <c r="H4258" t="n">
        <v>40</v>
      </c>
      <c r="I4258">
        <f>B4258&amp;"~"&amp;C4258</f>
        <v/>
      </c>
      <c r="J4258" t="inlineStr">
        <is>
          <t>light, good</t>
        </is>
      </c>
    </row>
    <row r="4259">
      <c r="B4259" t="inlineStr">
        <is>
          <t>Light Industrial/Warehouse Shell Buildings</t>
        </is>
      </c>
      <c r="C4259" t="inlineStr">
        <is>
          <t>Average</t>
        </is>
      </c>
      <c r="D4259" t="n">
        <v>50</v>
      </c>
      <c r="E4259" t="n">
        <v>50</v>
      </c>
      <c r="F4259" t="n">
        <v>40</v>
      </c>
      <c r="G4259" t="n">
        <v>35</v>
      </c>
      <c r="H4259" t="n">
        <v>35</v>
      </c>
      <c r="I4259">
        <f>B4259&amp;"~"&amp;C4259</f>
        <v/>
      </c>
      <c r="J4259" t="inlineStr">
        <is>
          <t>average</t>
        </is>
      </c>
    </row>
    <row r="4260">
      <c r="B4260" t="inlineStr">
        <is>
          <t>Light Industrial/Warehouse Shell Buildings</t>
        </is>
      </c>
      <c r="C4260" t="inlineStr">
        <is>
          <t>Low Cost</t>
        </is>
      </c>
      <c r="D4260" t="n">
        <v>45</v>
      </c>
      <c r="E4260" t="n">
        <v>45</v>
      </c>
      <c r="F4260" t="n">
        <v>40</v>
      </c>
      <c r="G4260" t="n">
        <v>35</v>
      </c>
      <c r="H4260" t="n">
        <v>35</v>
      </c>
      <c r="I4260">
        <f>B4260&amp;"~"&amp;C4260</f>
        <v/>
      </c>
      <c r="J4260" t="inlineStr">
        <is>
          <t>low cost</t>
        </is>
      </c>
    </row>
    <row r="4261">
      <c r="B4261" t="inlineStr">
        <is>
          <t>Light Industrial/Warehouse Shell Buildings</t>
        </is>
      </c>
      <c r="C4261" t="inlineStr">
        <is>
          <t>Cheap</t>
        </is>
      </c>
      <c r="D4261" t="n">
        <v>45</v>
      </c>
      <c r="E4261" t="n">
        <v>45</v>
      </c>
      <c r="F4261" t="n">
        <v>40</v>
      </c>
      <c r="G4261" t="n">
        <v>35</v>
      </c>
      <c r="H4261" t="n">
        <v>35</v>
      </c>
      <c r="I4261">
        <f>B4261&amp;"~"&amp;C4261</f>
        <v/>
      </c>
      <c r="J4261" t="inlineStr">
        <is>
          <t>low cost</t>
        </is>
      </c>
    </row>
    <row r="4262">
      <c r="B4262" t="inlineStr">
        <is>
          <t>Office Buildings</t>
        </is>
      </c>
      <c r="C4262" t="inlineStr">
        <is>
          <t>Excellent</t>
        </is>
      </c>
      <c r="D4262" t="n">
        <v>60</v>
      </c>
      <c r="E4262" t="n">
        <v>60</v>
      </c>
      <c r="F4262" t="n">
        <v>55</v>
      </c>
      <c r="G4262" t="n">
        <v>50</v>
      </c>
      <c r="H4262" t="n">
        <v>50</v>
      </c>
      <c r="I4262">
        <f>B4262&amp;"~"&amp;C4262</f>
        <v/>
      </c>
      <c r="J4262" t="inlineStr">
        <is>
          <t>Offices, good and excellent</t>
        </is>
      </c>
    </row>
    <row r="4263">
      <c r="B4263" t="inlineStr">
        <is>
          <t>Office Buildings</t>
        </is>
      </c>
      <c r="C4263" t="inlineStr">
        <is>
          <t>Good</t>
        </is>
      </c>
      <c r="D4263" t="n">
        <v>60</v>
      </c>
      <c r="E4263" t="n">
        <v>60</v>
      </c>
      <c r="F4263" t="n">
        <v>55</v>
      </c>
      <c r="G4263" t="n">
        <v>50</v>
      </c>
      <c r="H4263" t="n">
        <v>50</v>
      </c>
      <c r="I4263">
        <f>B4263&amp;"~"&amp;C4263</f>
        <v/>
      </c>
      <c r="J4263" t="inlineStr">
        <is>
          <t>Offices, good and excellent</t>
        </is>
      </c>
    </row>
    <row r="4264">
      <c r="B4264" t="inlineStr">
        <is>
          <t>Office Buildings</t>
        </is>
      </c>
      <c r="C4264" t="inlineStr">
        <is>
          <t>Average</t>
        </is>
      </c>
      <c r="D4264" t="n">
        <v>55</v>
      </c>
      <c r="E4264" t="n">
        <v>55</v>
      </c>
      <c r="F4264" t="n">
        <v>50</v>
      </c>
      <c r="G4264" t="n">
        <v>45</v>
      </c>
      <c r="H4264" t="n">
        <v>45</v>
      </c>
      <c r="I4264">
        <f>B4264&amp;"~"&amp;C4264</f>
        <v/>
      </c>
      <c r="J4264" t="inlineStr">
        <is>
          <t>average</t>
        </is>
      </c>
    </row>
    <row r="4265">
      <c r="B4265" t="inlineStr">
        <is>
          <t>Office Buildings</t>
        </is>
      </c>
      <c r="C4265" t="inlineStr">
        <is>
          <t>Low Cost</t>
        </is>
      </c>
      <c r="D4265" t="n">
        <v>50</v>
      </c>
      <c r="E4265" t="n">
        <v>50</v>
      </c>
      <c r="F4265" t="n">
        <v>45</v>
      </c>
      <c r="G4265" t="n">
        <v>40</v>
      </c>
      <c r="H4265" t="n">
        <v>40</v>
      </c>
      <c r="I4265">
        <f>B4265&amp;"~"&amp;C4265</f>
        <v/>
      </c>
      <c r="J4265" t="inlineStr">
        <is>
          <t>low cost</t>
        </is>
      </c>
    </row>
    <row r="4266">
      <c r="B4266" t="inlineStr">
        <is>
          <t>Atriums/Vestibules</t>
        </is>
      </c>
      <c r="C4266" t="inlineStr">
        <is>
          <t>Excellent</t>
        </is>
      </c>
      <c r="D4266" t="n">
        <v>60</v>
      </c>
      <c r="E4266" t="n">
        <v>60</v>
      </c>
      <c r="F4266" t="n">
        <v>55</v>
      </c>
      <c r="G4266" t="n">
        <v>50</v>
      </c>
      <c r="H4266" t="n">
        <v>50</v>
      </c>
      <c r="I4266">
        <f>B4266&amp;"~"&amp;C4266</f>
        <v/>
      </c>
      <c r="J4266" t="inlineStr">
        <is>
          <t>Atriums, good and excellent</t>
        </is>
      </c>
    </row>
    <row r="4267">
      <c r="B4267" t="inlineStr">
        <is>
          <t>Atriums/Vestibules</t>
        </is>
      </c>
      <c r="C4267" t="inlineStr">
        <is>
          <t>Good</t>
        </is>
      </c>
      <c r="D4267" t="n">
        <v>60</v>
      </c>
      <c r="E4267" t="n">
        <v>60</v>
      </c>
      <c r="F4267" t="n">
        <v>55</v>
      </c>
      <c r="G4267" t="n">
        <v>50</v>
      </c>
      <c r="H4267" t="n">
        <v>50</v>
      </c>
      <c r="I4267">
        <f>B4267&amp;"~"&amp;C4267</f>
        <v/>
      </c>
      <c r="J4267" t="inlineStr">
        <is>
          <t>Atriums, good and excellent</t>
        </is>
      </c>
    </row>
    <row r="4268">
      <c r="B4268" t="inlineStr">
        <is>
          <t>Atriums/Vestibules</t>
        </is>
      </c>
      <c r="C4268" t="inlineStr">
        <is>
          <t>Average</t>
        </is>
      </c>
      <c r="D4268" t="n">
        <v>55</v>
      </c>
      <c r="E4268" t="n">
        <v>55</v>
      </c>
      <c r="F4268" t="n">
        <v>50</v>
      </c>
      <c r="G4268" t="n">
        <v>45</v>
      </c>
      <c r="H4268" t="n">
        <v>45</v>
      </c>
      <c r="I4268">
        <f>B4268&amp;"~"&amp;C4268</f>
        <v/>
      </c>
      <c r="J4268" t="inlineStr">
        <is>
          <t>average</t>
        </is>
      </c>
    </row>
    <row r="4269">
      <c r="B4269" t="inlineStr">
        <is>
          <t>Atriums/Vestibules</t>
        </is>
      </c>
      <c r="C4269" t="inlineStr">
        <is>
          <t>Low Cost</t>
        </is>
      </c>
      <c r="D4269" t="n">
        <v>55</v>
      </c>
      <c r="E4269" t="n">
        <v>55</v>
      </c>
      <c r="F4269" t="n">
        <v>50</v>
      </c>
      <c r="G4269" t="n">
        <v>45</v>
      </c>
      <c r="H4269" t="n">
        <v>45</v>
      </c>
      <c r="I4269">
        <f>B4269&amp;"~"&amp;C4269</f>
        <v/>
      </c>
      <c r="J4269" t="inlineStr">
        <is>
          <t>average</t>
        </is>
      </c>
    </row>
    <row r="4270">
      <c r="B4270" t="inlineStr">
        <is>
          <t>Atriums/Vestibules</t>
        </is>
      </c>
      <c r="C4270" t="inlineStr">
        <is>
          <t>Cheap</t>
        </is>
      </c>
      <c r="D4270" t="n">
        <v>55</v>
      </c>
      <c r="E4270" t="n">
        <v>55</v>
      </c>
      <c r="F4270" t="n">
        <v>50</v>
      </c>
      <c r="G4270" t="n">
        <v>45</v>
      </c>
      <c r="H4270" t="n">
        <v>45</v>
      </c>
      <c r="I4270">
        <f>B4270&amp;"~"&amp;C4270</f>
        <v/>
      </c>
      <c r="J4270" t="inlineStr">
        <is>
          <t>average</t>
        </is>
      </c>
    </row>
    <row r="4271">
      <c r="B4271" t="inlineStr">
        <is>
          <t>Parking Levels (Intermediate/Under Building)</t>
        </is>
      </c>
      <c r="C4271" t="inlineStr">
        <is>
          <t>Excellent</t>
        </is>
      </c>
      <c r="D4271" t="n">
        <v>60</v>
      </c>
      <c r="E4271" t="n">
        <v>60</v>
      </c>
      <c r="I4271">
        <f>B4271&amp;"~"&amp;C4271</f>
        <v/>
      </c>
      <c r="J4271" t="inlineStr">
        <is>
          <t>Parking levels, excellent</t>
        </is>
      </c>
    </row>
    <row r="4272">
      <c r="B4272" t="inlineStr">
        <is>
          <t>Parking Levels (Intermediate/Under Building)</t>
        </is>
      </c>
      <c r="C4272" t="inlineStr">
        <is>
          <t>Good</t>
        </is>
      </c>
      <c r="D4272" t="n">
        <v>55</v>
      </c>
      <c r="E4272" t="n">
        <v>55</v>
      </c>
      <c r="F4272" t="n">
        <v>50</v>
      </c>
      <c r="G4272" t="n">
        <v>50</v>
      </c>
      <c r="H4272" t="n">
        <v>50</v>
      </c>
      <c r="I4272">
        <f>B4272&amp;"~"&amp;C4272</f>
        <v/>
      </c>
      <c r="J4272" t="inlineStr">
        <is>
          <t>good</t>
        </is>
      </c>
    </row>
    <row r="4273">
      <c r="B4273" t="inlineStr">
        <is>
          <t>Parking Levels (Intermediate/Under Building)</t>
        </is>
      </c>
      <c r="C4273" t="inlineStr">
        <is>
          <t>Average</t>
        </is>
      </c>
      <c r="D4273" t="n">
        <v>50</v>
      </c>
      <c r="E4273" t="n">
        <v>50</v>
      </c>
      <c r="F4273" t="n">
        <v>45</v>
      </c>
      <c r="G4273" t="n">
        <v>45</v>
      </c>
      <c r="H4273" t="n">
        <v>45</v>
      </c>
      <c r="I4273">
        <f>B4273&amp;"~"&amp;C4273</f>
        <v/>
      </c>
      <c r="J4273" t="inlineStr">
        <is>
          <t>average</t>
        </is>
      </c>
    </row>
    <row r="4274">
      <c r="B4274" t="inlineStr">
        <is>
          <t>Parking Levels (Intermediate/Under Building)</t>
        </is>
      </c>
      <c r="C4274" t="inlineStr">
        <is>
          <t>Low Cost</t>
        </is>
      </c>
      <c r="D4274" t="n">
        <v>30</v>
      </c>
      <c r="E4274" t="n">
        <v>30</v>
      </c>
      <c r="F4274" t="n">
        <v>25</v>
      </c>
      <c r="G4274" t="n">
        <v>25</v>
      </c>
      <c r="H4274" t="n">
        <v>25</v>
      </c>
      <c r="I4274">
        <f>B4274&amp;"~"&amp;C4274</f>
        <v/>
      </c>
      <c r="J4274" t="inlineStr">
        <is>
          <t>low cost</t>
        </is>
      </c>
    </row>
    <row r="4275">
      <c r="B4275" t="inlineStr">
        <is>
          <t>Parking Levels (Intermediate/Under Building)</t>
        </is>
      </c>
      <c r="C4275" t="inlineStr">
        <is>
          <t>Cheap</t>
        </is>
      </c>
      <c r="D4275" t="n">
        <v>25</v>
      </c>
      <c r="E4275" t="n">
        <v>25</v>
      </c>
      <c r="F4275" t="n">
        <v>20</v>
      </c>
      <c r="G4275" t="n">
        <v>20</v>
      </c>
      <c r="H4275" t="n">
        <v>20</v>
      </c>
      <c r="I4275">
        <f>B4275&amp;"~"&amp;C4275</f>
        <v/>
      </c>
      <c r="J4275" t="inlineStr">
        <is>
          <t>cheap</t>
        </is>
      </c>
    </row>
    <row r="4276">
      <c r="B4276" t="inlineStr">
        <is>
          <t>Mechanical Penthouses</t>
        </is>
      </c>
      <c r="C4276" t="inlineStr">
        <is>
          <t>Excellent</t>
        </is>
      </c>
      <c r="D4276" t="n">
        <v>60</v>
      </c>
      <c r="E4276" t="n">
        <v>60</v>
      </c>
      <c r="F4276" t="n">
        <v>55</v>
      </c>
      <c r="G4276" t="n">
        <v>50</v>
      </c>
      <c r="H4276" t="n">
        <v>50</v>
      </c>
      <c r="I4276">
        <f>B4276&amp;"~"&amp;C4276</f>
        <v/>
      </c>
      <c r="J4276" t="inlineStr">
        <is>
          <t>Offices, good and excellent</t>
        </is>
      </c>
    </row>
    <row r="4277">
      <c r="B4277" t="inlineStr">
        <is>
          <t>Mechanical Penthouses</t>
        </is>
      </c>
      <c r="C4277" t="inlineStr">
        <is>
          <t>Good</t>
        </is>
      </c>
      <c r="D4277" t="n">
        <v>60</v>
      </c>
      <c r="E4277" t="n">
        <v>60</v>
      </c>
      <c r="F4277" t="n">
        <v>55</v>
      </c>
      <c r="G4277" t="n">
        <v>50</v>
      </c>
      <c r="H4277" t="n">
        <v>50</v>
      </c>
      <c r="I4277">
        <f>B4277&amp;"~"&amp;C4277</f>
        <v/>
      </c>
      <c r="J4277" t="inlineStr">
        <is>
          <t>Offices, good and excellent</t>
        </is>
      </c>
    </row>
    <row r="4278">
      <c r="B4278" t="inlineStr">
        <is>
          <t>Mechanical Penthouses</t>
        </is>
      </c>
      <c r="C4278" t="inlineStr">
        <is>
          <t>Average</t>
        </is>
      </c>
      <c r="D4278" t="n">
        <v>55</v>
      </c>
      <c r="E4278" t="n">
        <v>55</v>
      </c>
      <c r="F4278" t="n">
        <v>50</v>
      </c>
      <c r="G4278" t="n">
        <v>45</v>
      </c>
      <c r="H4278" t="n">
        <v>45</v>
      </c>
      <c r="I4278">
        <f>B4278&amp;"~"&amp;C4278</f>
        <v/>
      </c>
      <c r="J4278" t="inlineStr">
        <is>
          <t>average</t>
        </is>
      </c>
    </row>
    <row r="4279">
      <c r="B4279" t="inlineStr">
        <is>
          <t>Mechanical Penthouses</t>
        </is>
      </c>
      <c r="C4279" t="inlineStr">
        <is>
          <t>Low Cost</t>
        </is>
      </c>
      <c r="D4279" t="n">
        <v>50</v>
      </c>
      <c r="E4279" t="n">
        <v>50</v>
      </c>
      <c r="F4279" t="n">
        <v>45</v>
      </c>
      <c r="G4279" t="n">
        <v>40</v>
      </c>
      <c r="H4279" t="n">
        <v>40</v>
      </c>
      <c r="I4279">
        <f>B4279&amp;"~"&amp;C4279</f>
        <v/>
      </c>
      <c r="J4279" t="inlineStr">
        <is>
          <t>low cost</t>
        </is>
      </c>
    </row>
    <row r="4280">
      <c r="B4280" t="inlineStr">
        <is>
          <t>Banks – Central Offices</t>
        </is>
      </c>
      <c r="C4280" t="inlineStr">
        <is>
          <t>Excellent</t>
        </is>
      </c>
      <c r="D4280" t="n">
        <v>60</v>
      </c>
      <c r="E4280" t="n">
        <v>60</v>
      </c>
      <c r="F4280" t="n">
        <v>55</v>
      </c>
      <c r="G4280" t="n">
        <v>50</v>
      </c>
      <c r="H4280" t="n">
        <v>50</v>
      </c>
      <c r="I4280">
        <f>B4280&amp;"~"&amp;C4280</f>
        <v/>
      </c>
      <c r="J4280" t="inlineStr">
        <is>
          <t>Banks, branch and central, good and excellent</t>
        </is>
      </c>
    </row>
    <row r="4281">
      <c r="B4281" t="inlineStr">
        <is>
          <t>Banks – Central Offices</t>
        </is>
      </c>
      <c r="C4281" t="inlineStr">
        <is>
          <t>Good</t>
        </is>
      </c>
      <c r="D4281" t="n">
        <v>60</v>
      </c>
      <c r="E4281" t="n">
        <v>60</v>
      </c>
      <c r="F4281" t="n">
        <v>55</v>
      </c>
      <c r="G4281" t="n">
        <v>50</v>
      </c>
      <c r="H4281" t="n">
        <v>50</v>
      </c>
      <c r="I4281">
        <f>B4281&amp;"~"&amp;C4281</f>
        <v/>
      </c>
      <c r="J4281" t="inlineStr">
        <is>
          <t>Banks, branch and central, good and excellent</t>
        </is>
      </c>
    </row>
    <row r="4282">
      <c r="B4282" t="inlineStr">
        <is>
          <t>Banks – Central Offices</t>
        </is>
      </c>
      <c r="C4282" t="inlineStr">
        <is>
          <t>Average</t>
        </is>
      </c>
      <c r="D4282" t="n">
        <v>55</v>
      </c>
      <c r="E4282" t="n">
        <v>55</v>
      </c>
      <c r="F4282" t="n">
        <v>50</v>
      </c>
      <c r="G4282" t="n">
        <v>45</v>
      </c>
      <c r="H4282" t="n">
        <v>45</v>
      </c>
      <c r="I4282">
        <f>B4282&amp;"~"&amp;C4282</f>
        <v/>
      </c>
      <c r="J4282" t="inlineStr">
        <is>
          <t>average</t>
        </is>
      </c>
    </row>
    <row r="4283">
      <c r="B4283" t="inlineStr">
        <is>
          <t>Mini-Banks (Walk-Up and Drive-Through)</t>
        </is>
      </c>
      <c r="C4283" t="inlineStr">
        <is>
          <t>Good</t>
        </is>
      </c>
      <c r="D4283" t="n">
        <v>55</v>
      </c>
      <c r="E4283" t="n">
        <v>55</v>
      </c>
      <c r="F4283" t="n">
        <v>50</v>
      </c>
      <c r="G4283" t="n">
        <v>45</v>
      </c>
      <c r="H4283" t="n">
        <v>45</v>
      </c>
      <c r="I4283">
        <f>B4283&amp;"~"&amp;C4283</f>
        <v/>
      </c>
      <c r="J4283" t="inlineStr">
        <is>
          <t>mini, drive-up, good and excellent</t>
        </is>
      </c>
    </row>
    <row r="4284">
      <c r="B4284" t="inlineStr">
        <is>
          <t>Mini-Banks (Walk-Up and Drive-Through)</t>
        </is>
      </c>
      <c r="C4284" t="inlineStr">
        <is>
          <t>Average</t>
        </is>
      </c>
      <c r="D4284" t="n">
        <v>50</v>
      </c>
      <c r="E4284" t="n">
        <v>50</v>
      </c>
      <c r="F4284" t="n">
        <v>45</v>
      </c>
      <c r="G4284" t="n">
        <v>40</v>
      </c>
      <c r="H4284" t="n">
        <v>40</v>
      </c>
      <c r="I4284">
        <f>B4284&amp;"~"&amp;C4284</f>
        <v/>
      </c>
      <c r="J4284" t="inlineStr">
        <is>
          <t>low cost and average</t>
        </is>
      </c>
    </row>
    <row r="4285">
      <c r="B4285" t="inlineStr">
        <is>
          <t>Mini-Banks (Walk-Up and Drive-Through)</t>
        </is>
      </c>
      <c r="C4285" t="inlineStr">
        <is>
          <t>Excellent</t>
        </is>
      </c>
      <c r="D4285" t="n">
        <v>55</v>
      </c>
      <c r="E4285" t="n">
        <v>55</v>
      </c>
      <c r="F4285" t="n">
        <v>50</v>
      </c>
      <c r="G4285" t="n">
        <v>45</v>
      </c>
      <c r="H4285" t="n">
        <v>45</v>
      </c>
      <c r="I4285">
        <f>B4285&amp;"~"&amp;C4285</f>
        <v/>
      </c>
      <c r="J4285" t="inlineStr">
        <is>
          <t>mini, drive-up, good and excellent</t>
        </is>
      </c>
    </row>
    <row r="4286">
      <c r="B4286" t="inlineStr">
        <is>
          <t>Mini-Banks (Walk-Up and Drive-Through)</t>
        </is>
      </c>
      <c r="C4286" t="inlineStr">
        <is>
          <t>Low Cost</t>
        </is>
      </c>
      <c r="D4286" t="n">
        <v>50</v>
      </c>
      <c r="E4286" t="n">
        <v>50</v>
      </c>
      <c r="F4286" t="n">
        <v>45</v>
      </c>
      <c r="G4286" t="n">
        <v>40</v>
      </c>
      <c r="H4286" t="n">
        <v>40</v>
      </c>
      <c r="I4286">
        <f>B4286&amp;"~"&amp;C4286</f>
        <v/>
      </c>
      <c r="J4286" t="inlineStr">
        <is>
          <t>low cost and average</t>
        </is>
      </c>
    </row>
    <row r="4287">
      <c r="B4287" t="inlineStr">
        <is>
          <t>Banks, Branch</t>
        </is>
      </c>
      <c r="C4287" t="inlineStr">
        <is>
          <t>Good</t>
        </is>
      </c>
      <c r="D4287" t="n">
        <v>60</v>
      </c>
      <c r="E4287" t="n">
        <v>60</v>
      </c>
      <c r="F4287" t="n">
        <v>55</v>
      </c>
      <c r="G4287" t="n">
        <v>50</v>
      </c>
      <c r="H4287" t="n">
        <v>50</v>
      </c>
      <c r="I4287">
        <f>B4287&amp;"~"&amp;C4287</f>
        <v/>
      </c>
      <c r="J4287" t="inlineStr">
        <is>
          <t>Banks, branch and central, good and excellent</t>
        </is>
      </c>
    </row>
    <row r="4288">
      <c r="B4288" t="inlineStr">
        <is>
          <t>Banks, Branch</t>
        </is>
      </c>
      <c r="C4288" t="inlineStr">
        <is>
          <t>Average</t>
        </is>
      </c>
      <c r="D4288" t="n">
        <v>55</v>
      </c>
      <c r="E4288" t="n">
        <v>55</v>
      </c>
      <c r="F4288" t="n">
        <v>50</v>
      </c>
      <c r="G4288" t="n">
        <v>45</v>
      </c>
      <c r="H4288" t="n">
        <v>45</v>
      </c>
      <c r="I4288">
        <f>B4288&amp;"~"&amp;C4288</f>
        <v/>
      </c>
      <c r="J4288" t="inlineStr">
        <is>
          <t>average</t>
        </is>
      </c>
    </row>
    <row r="4289">
      <c r="B4289" t="inlineStr">
        <is>
          <t>Banks, Branch</t>
        </is>
      </c>
      <c r="C4289" t="inlineStr">
        <is>
          <t>Low Cost</t>
        </is>
      </c>
      <c r="D4289" t="n">
        <v>50</v>
      </c>
      <c r="E4289" t="n">
        <v>50</v>
      </c>
      <c r="F4289" t="n">
        <v>45</v>
      </c>
      <c r="G4289" t="n">
        <v>40</v>
      </c>
      <c r="H4289" t="n">
        <v>40</v>
      </c>
      <c r="I4289">
        <f>B4289&amp;"~"&amp;C4289</f>
        <v/>
      </c>
      <c r="J4289" t="inlineStr">
        <is>
          <t>low cost</t>
        </is>
      </c>
    </row>
    <row r="4290">
      <c r="B4290" t="inlineStr">
        <is>
          <t>Banks, Branch</t>
        </is>
      </c>
      <c r="C4290" t="inlineStr">
        <is>
          <t>Excellent</t>
        </is>
      </c>
      <c r="D4290" t="n">
        <v>60</v>
      </c>
      <c r="E4290" t="n">
        <v>60</v>
      </c>
      <c r="F4290" t="n">
        <v>55</v>
      </c>
      <c r="G4290" t="n">
        <v>50</v>
      </c>
      <c r="H4290" t="n">
        <v>50</v>
      </c>
      <c r="I4290">
        <f>B4290&amp;"~"&amp;C4290</f>
        <v/>
      </c>
      <c r="J4290" t="inlineStr">
        <is>
          <t>Banks, branch and central, good and excellent</t>
        </is>
      </c>
    </row>
    <row r="4291">
      <c r="B4291" t="inlineStr">
        <is>
          <t>Medical Office Buildings</t>
        </is>
      </c>
      <c r="C4291" t="inlineStr">
        <is>
          <t>Excellent</t>
        </is>
      </c>
      <c r="D4291" t="n">
        <v>50</v>
      </c>
      <c r="E4291" t="n">
        <v>50</v>
      </c>
      <c r="F4291" t="n">
        <v>45</v>
      </c>
      <c r="G4291" t="n">
        <v>40</v>
      </c>
      <c r="H4291" t="n">
        <v>40</v>
      </c>
      <c r="I4291">
        <f>B4291&amp;"~"&amp;C4291</f>
        <v/>
      </c>
      <c r="J4291" t="inlineStr">
        <is>
          <t>Medical offices, good and excellent</t>
        </is>
      </c>
    </row>
    <row r="4292">
      <c r="B4292" t="inlineStr">
        <is>
          <t>Medical Office Buildings</t>
        </is>
      </c>
      <c r="C4292" t="inlineStr">
        <is>
          <t>Good</t>
        </is>
      </c>
      <c r="D4292" t="n">
        <v>50</v>
      </c>
      <c r="E4292" t="n">
        <v>50</v>
      </c>
      <c r="F4292" t="n">
        <v>45</v>
      </c>
      <c r="G4292" t="n">
        <v>40</v>
      </c>
      <c r="H4292" t="n">
        <v>40</v>
      </c>
      <c r="I4292">
        <f>B4292&amp;"~"&amp;C4292</f>
        <v/>
      </c>
      <c r="J4292" t="inlineStr">
        <is>
          <t>Medical offices, good and excellent</t>
        </is>
      </c>
    </row>
    <row r="4293">
      <c r="B4293" t="inlineStr">
        <is>
          <t>Medical Office Buildings</t>
        </is>
      </c>
      <c r="C4293" t="inlineStr">
        <is>
          <t>Average</t>
        </is>
      </c>
      <c r="D4293" t="n">
        <v>45</v>
      </c>
      <c r="E4293" t="n">
        <v>45</v>
      </c>
      <c r="F4293" t="n">
        <v>40</v>
      </c>
      <c r="G4293" t="n">
        <v>35</v>
      </c>
      <c r="H4293" t="n">
        <v>35</v>
      </c>
      <c r="I4293">
        <f>B4293&amp;"~"&amp;C4293</f>
        <v/>
      </c>
      <c r="J4293" t="inlineStr">
        <is>
          <t>low cost and average</t>
        </is>
      </c>
    </row>
    <row r="4294">
      <c r="B4294" t="inlineStr">
        <is>
          <t>Medical Office Buildings</t>
        </is>
      </c>
      <c r="C4294" t="inlineStr">
        <is>
          <t>Low Cost</t>
        </is>
      </c>
      <c r="D4294" t="n">
        <v>45</v>
      </c>
      <c r="E4294" t="n">
        <v>45</v>
      </c>
      <c r="F4294" t="n">
        <v>40</v>
      </c>
      <c r="G4294" t="n">
        <v>35</v>
      </c>
      <c r="H4294" t="n">
        <v>35</v>
      </c>
      <c r="I4294">
        <f>B4294&amp;"~"&amp;C4294</f>
        <v/>
      </c>
      <c r="J4294" t="inlineStr">
        <is>
          <t>low cost and average</t>
        </is>
      </c>
    </row>
    <row r="4295">
      <c r="B4295" t="inlineStr">
        <is>
          <t>Dental Clinics</t>
        </is>
      </c>
      <c r="C4295" t="inlineStr">
        <is>
          <t>Excellent</t>
        </is>
      </c>
      <c r="F4295" t="n">
        <v>45</v>
      </c>
      <c r="G4295" t="n">
        <v>40</v>
      </c>
      <c r="H4295" t="n">
        <v>40</v>
      </c>
      <c r="I4295">
        <f>B4295&amp;"~"&amp;C4295</f>
        <v/>
      </c>
      <c r="J4295" t="inlineStr">
        <is>
          <t>Dental clinics, good and excellent</t>
        </is>
      </c>
    </row>
    <row r="4296">
      <c r="B4296" t="inlineStr">
        <is>
          <t>Dental Clinics</t>
        </is>
      </c>
      <c r="C4296" t="inlineStr">
        <is>
          <t>Good</t>
        </is>
      </c>
      <c r="F4296" t="n">
        <v>45</v>
      </c>
      <c r="G4296" t="n">
        <v>40</v>
      </c>
      <c r="H4296" t="n">
        <v>40</v>
      </c>
      <c r="I4296">
        <f>B4296&amp;"~"&amp;C4296</f>
        <v/>
      </c>
      <c r="J4296" t="inlineStr">
        <is>
          <t>Dental clinics, good and excellent</t>
        </is>
      </c>
    </row>
    <row r="4297">
      <c r="B4297" t="inlineStr">
        <is>
          <t>Dental Clinics</t>
        </is>
      </c>
      <c r="C4297" t="inlineStr">
        <is>
          <t>Average</t>
        </is>
      </c>
      <c r="F4297" t="n">
        <v>40</v>
      </c>
      <c r="G4297" t="n">
        <v>35</v>
      </c>
      <c r="H4297" t="n">
        <v>35</v>
      </c>
      <c r="I4297">
        <f>B4297&amp;"~"&amp;C4297</f>
        <v/>
      </c>
      <c r="J4297" t="inlineStr">
        <is>
          <t>low cost and average</t>
        </is>
      </c>
    </row>
    <row r="4298">
      <c r="B4298" t="inlineStr">
        <is>
          <t>Dental Clinics</t>
        </is>
      </c>
      <c r="C4298" t="inlineStr">
        <is>
          <t>Low Cost</t>
        </is>
      </c>
      <c r="F4298" t="n">
        <v>40</v>
      </c>
      <c r="G4298" t="n">
        <v>35</v>
      </c>
      <c r="H4298" t="n">
        <v>35</v>
      </c>
      <c r="I4298">
        <f>B4298&amp;"~"&amp;C4298</f>
        <v/>
      </c>
      <c r="J4298" t="inlineStr">
        <is>
          <t>low cost and average</t>
        </is>
      </c>
    </row>
    <row r="4299">
      <c r="B4299" t="inlineStr">
        <is>
          <t>Urgent Care Clinics</t>
        </is>
      </c>
      <c r="C4299" t="inlineStr">
        <is>
          <t>Good</t>
        </is>
      </c>
      <c r="D4299" t="n">
        <v>50</v>
      </c>
      <c r="E4299" t="n">
        <v>50</v>
      </c>
      <c r="F4299" t="n">
        <v>40</v>
      </c>
      <c r="G4299" t="n">
        <v>35</v>
      </c>
      <c r="H4299" t="n">
        <v>35</v>
      </c>
      <c r="I4299">
        <f>B4299&amp;"~"&amp;C4299</f>
        <v/>
      </c>
      <c r="J4299" t="inlineStr">
        <is>
          <t>Dispensaries and urgent care, good</t>
        </is>
      </c>
    </row>
    <row r="4300">
      <c r="B4300" t="inlineStr">
        <is>
          <t>Urgent Care Clinics</t>
        </is>
      </c>
      <c r="C4300" t="inlineStr">
        <is>
          <t>Average</t>
        </is>
      </c>
      <c r="D4300" t="n">
        <v>45</v>
      </c>
      <c r="E4300" t="n">
        <v>45</v>
      </c>
      <c r="F4300" t="n">
        <v>35</v>
      </c>
      <c r="G4300" t="n">
        <v>30</v>
      </c>
      <c r="H4300" t="n">
        <v>30</v>
      </c>
      <c r="I4300">
        <f>B4300&amp;"~"&amp;C4300</f>
        <v/>
      </c>
      <c r="J4300" t="inlineStr">
        <is>
          <t>average</t>
        </is>
      </c>
    </row>
    <row r="4301">
      <c r="B4301" t="inlineStr">
        <is>
          <t>Urgent Care Clinics</t>
        </is>
      </c>
      <c r="C4301" t="inlineStr">
        <is>
          <t>Excellent</t>
        </is>
      </c>
      <c r="D4301" t="n">
        <v>50</v>
      </c>
      <c r="E4301" t="n">
        <v>50</v>
      </c>
      <c r="F4301" t="n">
        <v>40</v>
      </c>
      <c r="G4301" t="n">
        <v>35</v>
      </c>
      <c r="H4301" t="n">
        <v>35</v>
      </c>
      <c r="I4301">
        <f>B4301&amp;"~"&amp;C4301</f>
        <v/>
      </c>
      <c r="J4301" t="inlineStr">
        <is>
          <t>Dispensaries and urgent care, good</t>
        </is>
      </c>
    </row>
    <row r="4302">
      <c r="B4302" t="inlineStr">
        <is>
          <t>General Hospitals</t>
        </is>
      </c>
      <c r="C4302" t="inlineStr">
        <is>
          <t>Excellent</t>
        </is>
      </c>
      <c r="D4302" t="n">
        <v>50</v>
      </c>
      <c r="E4302" t="n">
        <v>50</v>
      </c>
      <c r="F4302" t="n">
        <v>45</v>
      </c>
      <c r="G4302" t="n">
        <v>40</v>
      </c>
      <c r="I4302">
        <f>B4302&amp;"~"&amp;C4302</f>
        <v/>
      </c>
      <c r="J4302" t="inlineStr">
        <is>
          <t>General hospitals, good and excellent</t>
        </is>
      </c>
    </row>
    <row r="4303">
      <c r="B4303" t="inlineStr">
        <is>
          <t>General Hospitals</t>
        </is>
      </c>
      <c r="C4303" t="inlineStr">
        <is>
          <t>Good</t>
        </is>
      </c>
      <c r="D4303" t="n">
        <v>50</v>
      </c>
      <c r="E4303" t="n">
        <v>50</v>
      </c>
      <c r="F4303" t="n">
        <v>45</v>
      </c>
      <c r="G4303" t="n">
        <v>40</v>
      </c>
      <c r="I4303">
        <f>B4303&amp;"~"&amp;C4303</f>
        <v/>
      </c>
      <c r="J4303" t="inlineStr">
        <is>
          <t>General hospitals, good and excellent</t>
        </is>
      </c>
    </row>
    <row r="4304">
      <c r="B4304" t="inlineStr">
        <is>
          <t>General Hospitals</t>
        </is>
      </c>
      <c r="C4304" t="inlineStr">
        <is>
          <t>Average</t>
        </is>
      </c>
      <c r="D4304" t="n">
        <v>45</v>
      </c>
      <c r="E4304" t="n">
        <v>45</v>
      </c>
      <c r="F4304" t="n">
        <v>40</v>
      </c>
      <c r="G4304" t="n">
        <v>35</v>
      </c>
      <c r="H4304" t="n">
        <v>35</v>
      </c>
      <c r="I4304">
        <f>B4304&amp;"~"&amp;C4304</f>
        <v/>
      </c>
      <c r="J4304" t="inlineStr">
        <is>
          <t>low cost and average</t>
        </is>
      </c>
    </row>
    <row r="4305">
      <c r="B4305" t="inlineStr">
        <is>
          <t>General Hospitals</t>
        </is>
      </c>
      <c r="C4305" t="inlineStr">
        <is>
          <t>Low Cost</t>
        </is>
      </c>
      <c r="D4305" t="n">
        <v>45</v>
      </c>
      <c r="E4305" t="n">
        <v>45</v>
      </c>
      <c r="F4305" t="n">
        <v>40</v>
      </c>
      <c r="G4305" t="n">
        <v>35</v>
      </c>
      <c r="H4305" t="n">
        <v>35</v>
      </c>
      <c r="I4305">
        <f>B4305&amp;"~"&amp;C4305</f>
        <v/>
      </c>
      <c r="J4305" t="inlineStr">
        <is>
          <t>low cost and average</t>
        </is>
      </c>
    </row>
    <row r="4306">
      <c r="B4306" t="inlineStr">
        <is>
          <t>Outpatient (Surgical) Centers</t>
        </is>
      </c>
      <c r="C4306" t="inlineStr">
        <is>
          <t>Good</t>
        </is>
      </c>
      <c r="D4306" t="n">
        <v>50</v>
      </c>
      <c r="E4306" t="n">
        <v>50</v>
      </c>
      <c r="F4306" t="n">
        <v>45</v>
      </c>
      <c r="G4306" t="n">
        <v>40</v>
      </c>
      <c r="I4306">
        <f>B4306&amp;"~"&amp;C4306</f>
        <v/>
      </c>
      <c r="J4306" t="inlineStr">
        <is>
          <t>Outpatient (surgical) centers, good and excellent</t>
        </is>
      </c>
    </row>
    <row r="4307">
      <c r="B4307" t="inlineStr">
        <is>
          <t>Outpatient (Surgical) Centers</t>
        </is>
      </c>
      <c r="C4307" t="inlineStr">
        <is>
          <t>Average</t>
        </is>
      </c>
      <c r="D4307" t="n">
        <v>45</v>
      </c>
      <c r="E4307" t="n">
        <v>45</v>
      </c>
      <c r="F4307" t="n">
        <v>40</v>
      </c>
      <c r="G4307" t="n">
        <v>35</v>
      </c>
      <c r="H4307" t="n">
        <v>35</v>
      </c>
      <c r="I4307">
        <f>B4307&amp;"~"&amp;C4307</f>
        <v/>
      </c>
      <c r="J4307" t="inlineStr">
        <is>
          <t>low cost and average</t>
        </is>
      </c>
    </row>
    <row r="4308">
      <c r="B4308" t="inlineStr">
        <is>
          <t>Outpatient (Surgical) Centers</t>
        </is>
      </c>
      <c r="C4308" t="inlineStr">
        <is>
          <t>Excellent</t>
        </is>
      </c>
      <c r="D4308" t="n">
        <v>50</v>
      </c>
      <c r="E4308" t="n">
        <v>50</v>
      </c>
      <c r="F4308" t="n">
        <v>45</v>
      </c>
      <c r="G4308" t="n">
        <v>40</v>
      </c>
      <c r="I4308">
        <f>B4308&amp;"~"&amp;C4308</f>
        <v/>
      </c>
      <c r="J4308" t="inlineStr">
        <is>
          <t>Outpatient (surgical) centers, good and excellent</t>
        </is>
      </c>
    </row>
    <row r="4309">
      <c r="B4309" t="inlineStr">
        <is>
          <t>Outpatient (Surgical) Centers</t>
        </is>
      </c>
      <c r="C4309" t="inlineStr">
        <is>
          <t>Fair</t>
        </is>
      </c>
      <c r="D4309" t="n">
        <v>45</v>
      </c>
      <c r="E4309" t="n">
        <v>45</v>
      </c>
      <c r="F4309" t="n">
        <v>40</v>
      </c>
      <c r="G4309" t="n">
        <v>35</v>
      </c>
      <c r="H4309" t="n">
        <v>35</v>
      </c>
      <c r="I4309">
        <f>B4309&amp;"~"&amp;C4309</f>
        <v/>
      </c>
      <c r="J4309" t="inlineStr">
        <is>
          <t>low cost and average</t>
        </is>
      </c>
    </row>
    <row r="4310">
      <c r="B4310" t="inlineStr">
        <is>
          <t>Outpatient (Surgical) Centers</t>
        </is>
      </c>
      <c r="C4310" t="inlineStr">
        <is>
          <t>Low Cost</t>
        </is>
      </c>
      <c r="D4310" t="n">
        <v>45</v>
      </c>
      <c r="E4310" t="n">
        <v>45</v>
      </c>
      <c r="F4310" t="n">
        <v>40</v>
      </c>
      <c r="G4310" t="n">
        <v>35</v>
      </c>
      <c r="H4310" t="n">
        <v>35</v>
      </c>
      <c r="I4310">
        <f>B4310&amp;"~"&amp;C4310</f>
        <v/>
      </c>
      <c r="J4310" t="inlineStr">
        <is>
          <t>low cost and average</t>
        </is>
      </c>
    </row>
    <row r="4311">
      <c r="B4311" t="inlineStr">
        <is>
          <t>Nursing Homes (Convalescent Hospitals)</t>
        </is>
      </c>
      <c r="C4311" t="inlineStr">
        <is>
          <t>Good</t>
        </is>
      </c>
      <c r="D4311" t="n">
        <v>50</v>
      </c>
      <c r="E4311" t="n">
        <v>50</v>
      </c>
      <c r="F4311" t="n">
        <v>45</v>
      </c>
      <c r="G4311" t="n">
        <v>40</v>
      </c>
      <c r="I4311">
        <f>B4311&amp;"~"&amp;C4311</f>
        <v/>
      </c>
      <c r="J4311" t="inlineStr">
        <is>
          <t>Convalescent hospitals, good and excellent</t>
        </is>
      </c>
    </row>
    <row r="4312">
      <c r="B4312" t="inlineStr">
        <is>
          <t>Nursing Homes (Convalescent Hospitals)</t>
        </is>
      </c>
      <c r="C4312" t="inlineStr">
        <is>
          <t>Average</t>
        </is>
      </c>
      <c r="D4312" t="n">
        <v>45</v>
      </c>
      <c r="E4312" t="n">
        <v>45</v>
      </c>
      <c r="F4312" t="n">
        <v>40</v>
      </c>
      <c r="G4312" t="n">
        <v>35</v>
      </c>
      <c r="H4312" t="n">
        <v>35</v>
      </c>
      <c r="I4312">
        <f>B4312&amp;"~"&amp;C4312</f>
        <v/>
      </c>
      <c r="J4312" t="inlineStr">
        <is>
          <t>low cost and average</t>
        </is>
      </c>
    </row>
    <row r="4313">
      <c r="B4313" t="inlineStr">
        <is>
          <t>Nursing Homes (Convalescent Hospitals)</t>
        </is>
      </c>
      <c r="C4313" t="inlineStr">
        <is>
          <t>Excellent</t>
        </is>
      </c>
      <c r="D4313" t="n">
        <v>50</v>
      </c>
      <c r="E4313" t="n">
        <v>50</v>
      </c>
      <c r="F4313" t="n">
        <v>45</v>
      </c>
      <c r="G4313" t="n">
        <v>40</v>
      </c>
      <c r="I4313">
        <f>B4313&amp;"~"&amp;C4313</f>
        <v/>
      </c>
      <c r="J4313" t="inlineStr">
        <is>
          <t>Convalescent hospitals, good and excellent</t>
        </is>
      </c>
    </row>
    <row r="4314">
      <c r="B4314" t="inlineStr">
        <is>
          <t>Nursing Homes (Convalescent Hospitals)</t>
        </is>
      </c>
      <c r="C4314" t="inlineStr">
        <is>
          <t>Low Cost</t>
        </is>
      </c>
      <c r="D4314" t="n">
        <v>45</v>
      </c>
      <c r="E4314" t="n">
        <v>45</v>
      </c>
      <c r="F4314" t="n">
        <v>40</v>
      </c>
      <c r="G4314" t="n">
        <v>35</v>
      </c>
      <c r="H4314" t="n">
        <v>35</v>
      </c>
      <c r="I4314">
        <f>B4314&amp;"~"&amp;C4314</f>
        <v/>
      </c>
      <c r="J4314" t="inlineStr">
        <is>
          <t>low cost and average</t>
        </is>
      </c>
    </row>
    <row r="4315">
      <c r="B4315" t="inlineStr">
        <is>
          <t>Kennels</t>
        </is>
      </c>
      <c r="C4315" t="inlineStr">
        <is>
          <t>Excellent</t>
        </is>
      </c>
      <c r="F4315" t="n">
        <v>45</v>
      </c>
      <c r="G4315" t="n">
        <v>40</v>
      </c>
      <c r="I4315">
        <f>B4315&amp;"~"&amp;C4315</f>
        <v/>
      </c>
      <c r="J4315" t="inlineStr">
        <is>
          <t>Kennels, very good and excellent</t>
        </is>
      </c>
    </row>
    <row r="4316">
      <c r="B4316" t="inlineStr">
        <is>
          <t>Kennels</t>
        </is>
      </c>
      <c r="C4316" t="inlineStr">
        <is>
          <t>Very Good</t>
        </is>
      </c>
      <c r="F4316" t="n">
        <v>45</v>
      </c>
      <c r="G4316" t="n">
        <v>40</v>
      </c>
      <c r="I4316">
        <f>B4316&amp;"~"&amp;C4316</f>
        <v/>
      </c>
      <c r="J4316" t="inlineStr">
        <is>
          <t>Kennels, very good and excellent</t>
        </is>
      </c>
    </row>
    <row r="4317">
      <c r="B4317" t="inlineStr">
        <is>
          <t>Kennels</t>
        </is>
      </c>
      <c r="C4317" t="inlineStr">
        <is>
          <t>Good</t>
        </is>
      </c>
      <c r="F4317" t="n">
        <v>40</v>
      </c>
      <c r="G4317" t="n">
        <v>35</v>
      </c>
      <c r="H4317" t="n">
        <v>35</v>
      </c>
      <c r="I4317">
        <f>B4317&amp;"~"&amp;C4317</f>
        <v/>
      </c>
      <c r="J4317" t="inlineStr">
        <is>
          <t>average and good</t>
        </is>
      </c>
    </row>
    <row r="4318">
      <c r="B4318" t="inlineStr">
        <is>
          <t>Kennels</t>
        </is>
      </c>
      <c r="C4318" t="inlineStr">
        <is>
          <t>Average</t>
        </is>
      </c>
      <c r="F4318" t="n">
        <v>40</v>
      </c>
      <c r="G4318" t="n">
        <v>35</v>
      </c>
      <c r="H4318" t="n">
        <v>35</v>
      </c>
      <c r="I4318">
        <f>B4318&amp;"~"&amp;C4318</f>
        <v/>
      </c>
      <c r="J4318" t="inlineStr">
        <is>
          <t>average and good</t>
        </is>
      </c>
    </row>
    <row r="4319">
      <c r="B4319" t="inlineStr">
        <is>
          <t>Kennels</t>
        </is>
      </c>
      <c r="C4319" t="inlineStr">
        <is>
          <t>Low Cost</t>
        </is>
      </c>
      <c r="F4319" t="n">
        <v>35</v>
      </c>
      <c r="G4319" t="n">
        <v>30</v>
      </c>
      <c r="H4319" t="n">
        <v>30</v>
      </c>
      <c r="I4319">
        <f>B4319&amp;"~"&amp;C4319</f>
        <v/>
      </c>
      <c r="J4319" t="inlineStr">
        <is>
          <t>low cost</t>
        </is>
      </c>
    </row>
    <row r="4320">
      <c r="B4320" t="inlineStr">
        <is>
          <t>Kennels</t>
        </is>
      </c>
      <c r="C4320" t="inlineStr">
        <is>
          <t>Cheap</t>
        </is>
      </c>
      <c r="F4320" t="n">
        <v>25</v>
      </c>
      <c r="G4320" t="n">
        <v>20</v>
      </c>
      <c r="H4320" t="n">
        <v>20</v>
      </c>
      <c r="I4320">
        <f>B4320&amp;"~"&amp;C4320</f>
        <v/>
      </c>
      <c r="J4320" t="inlineStr">
        <is>
          <t>cheap</t>
        </is>
      </c>
    </row>
    <row r="4321">
      <c r="B4321" t="inlineStr">
        <is>
          <t>Veterinary Hospitals</t>
        </is>
      </c>
      <c r="C4321" t="inlineStr">
        <is>
          <t>Average</t>
        </is>
      </c>
      <c r="D4321" t="n">
        <v>45</v>
      </c>
      <c r="E4321" t="n">
        <v>45</v>
      </c>
      <c r="F4321" t="n">
        <v>40</v>
      </c>
      <c r="G4321" t="n">
        <v>35</v>
      </c>
      <c r="H4321" t="n">
        <v>35</v>
      </c>
      <c r="I4321">
        <f>B4321&amp;"~"&amp;C4321</f>
        <v/>
      </c>
      <c r="J4321" t="inlineStr">
        <is>
          <t>average and good</t>
        </is>
      </c>
    </row>
    <row r="4322">
      <c r="B4322" t="inlineStr">
        <is>
          <t>Veterinary Hospitals</t>
        </is>
      </c>
      <c r="C4322" t="inlineStr">
        <is>
          <t>Excellent</t>
        </is>
      </c>
      <c r="F4322" t="n">
        <v>45</v>
      </c>
      <c r="G4322" t="n">
        <v>40</v>
      </c>
      <c r="I4322">
        <f>B4322&amp;"~"&amp;C4322</f>
        <v/>
      </c>
      <c r="J4322" t="inlineStr">
        <is>
          <t>Veterinary hospitals, excellent</t>
        </is>
      </c>
    </row>
    <row r="4323">
      <c r="B4323" t="inlineStr">
        <is>
          <t>Veterinary Hospitals</t>
        </is>
      </c>
      <c r="C4323" t="inlineStr">
        <is>
          <t>Good</t>
        </is>
      </c>
      <c r="D4323" t="n">
        <v>45</v>
      </c>
      <c r="E4323" t="n">
        <v>45</v>
      </c>
      <c r="F4323" t="n">
        <v>40</v>
      </c>
      <c r="G4323" t="n">
        <v>35</v>
      </c>
      <c r="H4323" t="n">
        <v>35</v>
      </c>
      <c r="I4323">
        <f>B4323&amp;"~"&amp;C4323</f>
        <v/>
      </c>
      <c r="J4323" t="inlineStr">
        <is>
          <t>average and good</t>
        </is>
      </c>
    </row>
    <row r="4324">
      <c r="B4324" t="inlineStr">
        <is>
          <t>Veterinary Hospitals</t>
        </is>
      </c>
      <c r="C4324" t="inlineStr">
        <is>
          <t>Low Cost</t>
        </is>
      </c>
      <c r="F4324" t="n">
        <v>35</v>
      </c>
      <c r="G4324" t="n">
        <v>30</v>
      </c>
      <c r="H4324" t="n">
        <v>30</v>
      </c>
      <c r="I4324">
        <f>B4324&amp;"~"&amp;C4324</f>
        <v/>
      </c>
      <c r="J4324" t="inlineStr">
        <is>
          <t>low cost</t>
        </is>
      </c>
    </row>
    <row r="4325">
      <c r="B4325" t="inlineStr">
        <is>
          <t>Fire Stations – Volunteer</t>
        </is>
      </c>
      <c r="C4325" t="inlineStr">
        <is>
          <t>Average</t>
        </is>
      </c>
      <c r="D4325" t="n">
        <v>40</v>
      </c>
      <c r="E4325" t="n">
        <v>40</v>
      </c>
      <c r="F4325" t="n">
        <v>35</v>
      </c>
      <c r="G4325" t="n">
        <v>30</v>
      </c>
      <c r="H4325" t="n">
        <v>30</v>
      </c>
      <c r="I4325">
        <f>B4325&amp;"~"&amp;C4325</f>
        <v/>
      </c>
      <c r="J4325" t="inlineStr">
        <is>
          <t>low cost and average</t>
        </is>
      </c>
    </row>
    <row r="4326">
      <c r="B4326" t="inlineStr">
        <is>
          <t>Fire Stations – Volunteer</t>
        </is>
      </c>
      <c r="C4326" t="inlineStr">
        <is>
          <t>Low Cost</t>
        </is>
      </c>
      <c r="D4326" t="n">
        <v>40</v>
      </c>
      <c r="E4326" t="n">
        <v>40</v>
      </c>
      <c r="F4326" t="n">
        <v>35</v>
      </c>
      <c r="G4326" t="n">
        <v>30</v>
      </c>
      <c r="H4326" t="n">
        <v>30</v>
      </c>
      <c r="I4326">
        <f>B4326&amp;"~"&amp;C4326</f>
        <v/>
      </c>
      <c r="J4326" t="inlineStr">
        <is>
          <t>low cost and average</t>
        </is>
      </c>
    </row>
    <row r="4327">
      <c r="B4327" t="inlineStr">
        <is>
          <t>Fire Stations – Volunteer</t>
        </is>
      </c>
      <c r="C4327" t="inlineStr">
        <is>
          <t>Good</t>
        </is>
      </c>
      <c r="F4327" t="n">
        <v>40</v>
      </c>
      <c r="G4327" t="n">
        <v>35</v>
      </c>
      <c r="H4327" t="n">
        <v>35</v>
      </c>
      <c r="I4327">
        <f>B4327&amp;"~"&amp;C4327</f>
        <v/>
      </c>
      <c r="J4327" t="inlineStr">
        <is>
          <t>volunteer, good</t>
        </is>
      </c>
    </row>
    <row r="4328">
      <c r="B4328" t="inlineStr">
        <is>
          <t>Fire Stations – Staffed</t>
        </is>
      </c>
      <c r="C4328" t="inlineStr">
        <is>
          <t>Good</t>
        </is>
      </c>
      <c r="D4328" t="n">
        <v>50</v>
      </c>
      <c r="E4328" t="n">
        <v>50</v>
      </c>
      <c r="F4328" t="n">
        <v>45</v>
      </c>
      <c r="G4328" t="n">
        <v>40</v>
      </c>
      <c r="H4328" t="n">
        <v>40</v>
      </c>
      <c r="I4328">
        <f>B4328&amp;"~"&amp;C4328</f>
        <v/>
      </c>
      <c r="J4328" t="inlineStr">
        <is>
          <t>Fire stations, staffed, good, very good and excellent</t>
        </is>
      </c>
    </row>
    <row r="4329">
      <c r="B4329" t="inlineStr">
        <is>
          <t>Fire Stations – Staffed</t>
        </is>
      </c>
      <c r="C4329" t="inlineStr">
        <is>
          <t>Average</t>
        </is>
      </c>
      <c r="D4329" t="n">
        <v>45</v>
      </c>
      <c r="E4329" t="n">
        <v>45</v>
      </c>
      <c r="F4329" t="n">
        <v>40</v>
      </c>
      <c r="G4329" t="n">
        <v>35</v>
      </c>
      <c r="H4329" t="n">
        <v>35</v>
      </c>
      <c r="I4329">
        <f>B4329&amp;"~"&amp;C4329</f>
        <v/>
      </c>
      <c r="J4329" t="inlineStr">
        <is>
          <t>low cost and average</t>
        </is>
      </c>
    </row>
    <row r="4330">
      <c r="B4330" t="inlineStr">
        <is>
          <t>Fire Stations – Staffed</t>
        </is>
      </c>
      <c r="C4330" t="inlineStr">
        <is>
          <t>Excellent</t>
        </is>
      </c>
      <c r="D4330" t="n">
        <v>50</v>
      </c>
      <c r="E4330" t="n">
        <v>50</v>
      </c>
      <c r="F4330" t="n">
        <v>45</v>
      </c>
      <c r="G4330" t="n">
        <v>40</v>
      </c>
      <c r="H4330" t="n">
        <v>40</v>
      </c>
      <c r="I4330">
        <f>B4330&amp;"~"&amp;C4330</f>
        <v/>
      </c>
      <c r="J4330" t="inlineStr">
        <is>
          <t>Fire stations, staffed, good, very good and excellent</t>
        </is>
      </c>
    </row>
    <row r="4331">
      <c r="B4331" t="inlineStr">
        <is>
          <t>Fire Stations – Staffed</t>
        </is>
      </c>
      <c r="C4331" t="inlineStr">
        <is>
          <t>Very Good</t>
        </is>
      </c>
      <c r="D4331" t="n">
        <v>50</v>
      </c>
      <c r="E4331" t="n">
        <v>50</v>
      </c>
      <c r="F4331" t="n">
        <v>45</v>
      </c>
      <c r="G4331" t="n">
        <v>40</v>
      </c>
      <c r="H4331" t="n">
        <v>40</v>
      </c>
      <c r="I4331">
        <f>B4331&amp;"~"&amp;C4331</f>
        <v/>
      </c>
      <c r="J4331" t="inlineStr">
        <is>
          <t>Fire stations, staffed, good, very good and excellent</t>
        </is>
      </c>
    </row>
    <row r="4332">
      <c r="B4332" t="inlineStr">
        <is>
          <t>Fire Stations – Staffed</t>
        </is>
      </c>
      <c r="C4332" t="inlineStr">
        <is>
          <t>Low Cost</t>
        </is>
      </c>
      <c r="D4332" t="n">
        <v>45</v>
      </c>
      <c r="E4332" t="n">
        <v>45</v>
      </c>
      <c r="F4332" t="n">
        <v>40</v>
      </c>
      <c r="G4332" t="n">
        <v>35</v>
      </c>
      <c r="H4332" t="n">
        <v>35</v>
      </c>
      <c r="I4332">
        <f>B4332&amp;"~"&amp;C4332</f>
        <v/>
      </c>
      <c r="J4332" t="inlineStr">
        <is>
          <t>low cost and average</t>
        </is>
      </c>
    </row>
    <row r="4333">
      <c r="B4333" t="inlineStr">
        <is>
          <t>Governmental Buildings</t>
        </is>
      </c>
      <c r="C4333" t="inlineStr">
        <is>
          <t>Excellent</t>
        </is>
      </c>
      <c r="D4333" t="n">
        <v>60</v>
      </c>
      <c r="E4333" t="n">
        <v>60</v>
      </c>
      <c r="F4333" t="n">
        <v>55</v>
      </c>
      <c r="G4333" t="n">
        <v>50</v>
      </c>
      <c r="I4333">
        <f>B4333&amp;"~"&amp;C4333</f>
        <v/>
      </c>
      <c r="J4333" t="inlineStr">
        <is>
          <t>Governmental buildings, good and excellent</t>
        </is>
      </c>
    </row>
    <row r="4334">
      <c r="B4334" t="inlineStr">
        <is>
          <t>Governmental Buildings</t>
        </is>
      </c>
      <c r="C4334" t="inlineStr">
        <is>
          <t>Good</t>
        </is>
      </c>
      <c r="D4334" t="n">
        <v>60</v>
      </c>
      <c r="E4334" t="n">
        <v>60</v>
      </c>
      <c r="F4334" t="n">
        <v>55</v>
      </c>
      <c r="G4334" t="n">
        <v>50</v>
      </c>
      <c r="I4334">
        <f>B4334&amp;"~"&amp;C4334</f>
        <v/>
      </c>
      <c r="J4334" t="inlineStr">
        <is>
          <t>Governmental buildings, good and excellent</t>
        </is>
      </c>
    </row>
    <row r="4335">
      <c r="B4335" t="inlineStr">
        <is>
          <t>Governmental Buildings</t>
        </is>
      </c>
      <c r="C4335" t="inlineStr">
        <is>
          <t>Average</t>
        </is>
      </c>
      <c r="D4335" t="n">
        <v>55</v>
      </c>
      <c r="E4335" t="n">
        <v>55</v>
      </c>
      <c r="F4335" t="n">
        <v>50</v>
      </c>
      <c r="G4335" t="n">
        <v>40</v>
      </c>
      <c r="H4335" t="n">
        <v>40</v>
      </c>
      <c r="I4335">
        <f>B4335&amp;"~"&amp;C4335</f>
        <v/>
      </c>
      <c r="J4335" t="inlineStr">
        <is>
          <t>low cost and average</t>
        </is>
      </c>
    </row>
    <row r="4336">
      <c r="B4336" t="inlineStr">
        <is>
          <t>Governmental Buildings</t>
        </is>
      </c>
      <c r="C4336" t="inlineStr">
        <is>
          <t>Low Cost</t>
        </is>
      </c>
      <c r="D4336" t="n">
        <v>55</v>
      </c>
      <c r="E4336" t="n">
        <v>55</v>
      </c>
      <c r="F4336" t="n">
        <v>50</v>
      </c>
      <c r="G4336" t="n">
        <v>40</v>
      </c>
      <c r="H4336" t="n">
        <v>40</v>
      </c>
      <c r="I4336">
        <f>B4336&amp;"~"&amp;C4336</f>
        <v/>
      </c>
      <c r="J4336" t="inlineStr">
        <is>
          <t>low cost and average</t>
        </is>
      </c>
    </row>
    <row r="4337">
      <c r="B4337" t="inlineStr">
        <is>
          <t>Governmental – Community Service Buildings</t>
        </is>
      </c>
      <c r="C4337" t="inlineStr">
        <is>
          <t>Average</t>
        </is>
      </c>
      <c r="D4337" t="n">
        <v>55</v>
      </c>
      <c r="E4337" t="n">
        <v>55</v>
      </c>
      <c r="F4337" t="n">
        <v>50</v>
      </c>
      <c r="G4337" t="n">
        <v>40</v>
      </c>
      <c r="H4337" t="n">
        <v>40</v>
      </c>
      <c r="I4337">
        <f>B4337&amp;"~"&amp;C4337</f>
        <v/>
      </c>
      <c r="J4337" t="inlineStr">
        <is>
          <t>average and good</t>
        </is>
      </c>
    </row>
    <row r="4338">
      <c r="B4338" t="inlineStr">
        <is>
          <t>Governmental – Community Service Buildings</t>
        </is>
      </c>
      <c r="C4338" t="inlineStr">
        <is>
          <t>Low Cost</t>
        </is>
      </c>
      <c r="D4338" t="n">
        <v>50</v>
      </c>
      <c r="E4338" t="n">
        <v>50</v>
      </c>
      <c r="F4338" t="n">
        <v>45</v>
      </c>
      <c r="G4338" t="n">
        <v>35</v>
      </c>
      <c r="H4338" t="n">
        <v>35</v>
      </c>
      <c r="I4338">
        <f>B4338&amp;"~"&amp;C4338</f>
        <v/>
      </c>
      <c r="J4338" t="inlineStr">
        <is>
          <t>low cost</t>
        </is>
      </c>
    </row>
    <row r="4339">
      <c r="B4339" t="inlineStr">
        <is>
          <t>Governmental – Community Service Buildings</t>
        </is>
      </c>
      <c r="C4339" t="inlineStr">
        <is>
          <t>Excellent</t>
        </is>
      </c>
      <c r="F4339" t="n">
        <v>55</v>
      </c>
      <c r="G4339" t="n">
        <v>50</v>
      </c>
      <c r="I4339">
        <f>B4339&amp;"~"&amp;C4339</f>
        <v/>
      </c>
      <c r="J4339" t="inlineStr">
        <is>
          <t>Community service buildings, excellent</t>
        </is>
      </c>
    </row>
    <row r="4340">
      <c r="B4340" t="inlineStr">
        <is>
          <t>Governmental – Community Service Buildings</t>
        </is>
      </c>
      <c r="C4340" t="inlineStr">
        <is>
          <t>Good</t>
        </is>
      </c>
      <c r="D4340" t="n">
        <v>55</v>
      </c>
      <c r="E4340" t="n">
        <v>55</v>
      </c>
      <c r="F4340" t="n">
        <v>50</v>
      </c>
      <c r="G4340" t="n">
        <v>40</v>
      </c>
      <c r="H4340" t="n">
        <v>40</v>
      </c>
      <c r="I4340">
        <f>B4340&amp;"~"&amp;C4340</f>
        <v/>
      </c>
      <c r="J4340" t="inlineStr">
        <is>
          <t>average and good</t>
        </is>
      </c>
    </row>
    <row r="4341">
      <c r="B4341" t="inlineStr">
        <is>
          <t>Public Libraries</t>
        </is>
      </c>
      <c r="C4341" t="inlineStr">
        <is>
          <t>Good</t>
        </is>
      </c>
      <c r="D4341" t="n">
        <v>60</v>
      </c>
      <c r="E4341" t="n">
        <v>60</v>
      </c>
      <c r="F4341" t="n">
        <v>55</v>
      </c>
      <c r="G4341" t="n">
        <v>50</v>
      </c>
      <c r="H4341" t="n">
        <v>50</v>
      </c>
      <c r="I4341">
        <f>B4341&amp;"~"&amp;C4341</f>
        <v/>
      </c>
      <c r="J4341" t="inlineStr">
        <is>
          <t>Public libraries, good, very good and excellent</t>
        </is>
      </c>
    </row>
    <row r="4342">
      <c r="B4342" t="inlineStr">
        <is>
          <t>Public Libraries</t>
        </is>
      </c>
      <c r="C4342" t="inlineStr">
        <is>
          <t>Average</t>
        </is>
      </c>
      <c r="D4342" t="n">
        <v>55</v>
      </c>
      <c r="E4342" t="n">
        <v>55</v>
      </c>
      <c r="F4342" t="n">
        <v>50</v>
      </c>
      <c r="G4342" t="n">
        <v>45</v>
      </c>
      <c r="H4342" t="n">
        <v>45</v>
      </c>
      <c r="I4342">
        <f>B4342&amp;"~"&amp;C4342</f>
        <v/>
      </c>
      <c r="J4342" t="inlineStr">
        <is>
          <t>average</t>
        </is>
      </c>
    </row>
    <row r="4343">
      <c r="B4343" t="inlineStr">
        <is>
          <t>Public Libraries</t>
        </is>
      </c>
      <c r="C4343" t="inlineStr">
        <is>
          <t>Excellent</t>
        </is>
      </c>
      <c r="D4343" t="n">
        <v>60</v>
      </c>
      <c r="E4343" t="n">
        <v>60</v>
      </c>
      <c r="F4343" t="n">
        <v>55</v>
      </c>
      <c r="G4343" t="n">
        <v>50</v>
      </c>
      <c r="H4343" t="n">
        <v>50</v>
      </c>
      <c r="I4343">
        <f>B4343&amp;"~"&amp;C4343</f>
        <v/>
      </c>
      <c r="J4343" t="inlineStr">
        <is>
          <t>Public libraries, good, very good and excellent</t>
        </is>
      </c>
    </row>
    <row r="4344">
      <c r="B4344" t="inlineStr">
        <is>
          <t>Public Libraries</t>
        </is>
      </c>
      <c r="C4344" t="inlineStr">
        <is>
          <t>Very Good</t>
        </is>
      </c>
      <c r="D4344" t="n">
        <v>60</v>
      </c>
      <c r="E4344" t="n">
        <v>60</v>
      </c>
      <c r="F4344" t="n">
        <v>55</v>
      </c>
      <c r="G4344" t="n">
        <v>50</v>
      </c>
      <c r="H4344" t="n">
        <v>50</v>
      </c>
      <c r="I4344">
        <f>B4344&amp;"~"&amp;C4344</f>
        <v/>
      </c>
      <c r="J4344" t="inlineStr">
        <is>
          <t>Public libraries, good, very good and excellent</t>
        </is>
      </c>
    </row>
    <row r="4345">
      <c r="B4345" t="inlineStr">
        <is>
          <t>Public Libraries</t>
        </is>
      </c>
      <c r="C4345" t="inlineStr">
        <is>
          <t>Low Cost</t>
        </is>
      </c>
      <c r="F4345" t="n">
        <v>45</v>
      </c>
      <c r="G4345" t="n">
        <v>40</v>
      </c>
      <c r="H4345" t="n">
        <v>40</v>
      </c>
      <c r="I4345">
        <f>B4345&amp;"~"&amp;C4345</f>
        <v/>
      </c>
      <c r="J4345" t="inlineStr">
        <is>
          <t>low cost</t>
        </is>
      </c>
    </row>
    <row r="4346">
      <c r="B4346" t="inlineStr">
        <is>
          <t>Jails – Correctional Facilities</t>
        </is>
      </c>
      <c r="C4346" t="inlineStr">
        <is>
          <t>Excellent</t>
        </is>
      </c>
      <c r="D4346" t="n">
        <v>55</v>
      </c>
      <c r="E4346" t="n">
        <v>55</v>
      </c>
      <c r="F4346" t="n">
        <v>45</v>
      </c>
      <c r="G4346" t="n">
        <v>40</v>
      </c>
      <c r="I4346">
        <f>B4346&amp;"~"&amp;C4346</f>
        <v/>
      </c>
      <c r="J4346" t="inlineStr">
        <is>
          <t>Jails, correctional facilities, good and excellent</t>
        </is>
      </c>
    </row>
    <row r="4347">
      <c r="B4347" t="inlineStr">
        <is>
          <t>Jails – Correctional Facilities</t>
        </is>
      </c>
      <c r="C4347" t="inlineStr">
        <is>
          <t>Good</t>
        </is>
      </c>
      <c r="D4347" t="n">
        <v>55</v>
      </c>
      <c r="E4347" t="n">
        <v>55</v>
      </c>
      <c r="F4347" t="n">
        <v>45</v>
      </c>
      <c r="G4347" t="n">
        <v>40</v>
      </c>
      <c r="I4347">
        <f>B4347&amp;"~"&amp;C4347</f>
        <v/>
      </c>
      <c r="J4347" t="inlineStr">
        <is>
          <t>Jails, correctional facilities, good and excellent</t>
        </is>
      </c>
    </row>
    <row r="4348">
      <c r="B4348" t="inlineStr">
        <is>
          <t>Jails – Correctional Facilities</t>
        </is>
      </c>
      <c r="C4348" t="inlineStr">
        <is>
          <t>Average</t>
        </is>
      </c>
      <c r="D4348" t="n">
        <v>50</v>
      </c>
      <c r="E4348" t="n">
        <v>50</v>
      </c>
      <c r="F4348" t="n">
        <v>40</v>
      </c>
      <c r="G4348" t="n">
        <v>35</v>
      </c>
      <c r="H4348" t="n">
        <v>35</v>
      </c>
      <c r="I4348">
        <f>B4348&amp;"~"&amp;C4348</f>
        <v/>
      </c>
      <c r="J4348" t="inlineStr">
        <is>
          <t>low cost and average</t>
        </is>
      </c>
    </row>
    <row r="4349">
      <c r="B4349" t="inlineStr">
        <is>
          <t>Jails – Correctional Facilities</t>
        </is>
      </c>
      <c r="C4349" t="inlineStr">
        <is>
          <t>Low Cost</t>
        </is>
      </c>
      <c r="D4349" t="n">
        <v>50</v>
      </c>
      <c r="E4349" t="n">
        <v>50</v>
      </c>
      <c r="F4349" t="n">
        <v>40</v>
      </c>
      <c r="G4349" t="n">
        <v>35</v>
      </c>
      <c r="H4349" t="n">
        <v>35</v>
      </c>
      <c r="I4349">
        <f>B4349&amp;"~"&amp;C4349</f>
        <v/>
      </c>
      <c r="J4349" t="inlineStr">
        <is>
          <t>low cost and average</t>
        </is>
      </c>
    </row>
    <row r="4350">
      <c r="B4350" t="inlineStr">
        <is>
          <t>Jails – Police Stations</t>
        </is>
      </c>
      <c r="C4350" t="inlineStr">
        <is>
          <t>Excellent</t>
        </is>
      </c>
      <c r="D4350" t="n">
        <v>55</v>
      </c>
      <c r="E4350" t="n">
        <v>55</v>
      </c>
      <c r="F4350" t="n">
        <v>50</v>
      </c>
      <c r="G4350" t="n">
        <v>45</v>
      </c>
      <c r="I4350">
        <f>B4350&amp;"~"&amp;C4350</f>
        <v/>
      </c>
      <c r="J4350" t="inlineStr">
        <is>
          <t>Police stations, good and excellent</t>
        </is>
      </c>
    </row>
    <row r="4351">
      <c r="B4351" t="inlineStr">
        <is>
          <t>Jails – Police Stations</t>
        </is>
      </c>
      <c r="C4351" t="inlineStr">
        <is>
          <t>Good</t>
        </is>
      </c>
      <c r="D4351" t="n">
        <v>55</v>
      </c>
      <c r="E4351" t="n">
        <v>55</v>
      </c>
      <c r="F4351" t="n">
        <v>50</v>
      </c>
      <c r="G4351" t="n">
        <v>45</v>
      </c>
      <c r="I4351">
        <f>B4351&amp;"~"&amp;C4351</f>
        <v/>
      </c>
      <c r="J4351" t="inlineStr">
        <is>
          <t>Police stations, good and excellent</t>
        </is>
      </c>
    </row>
    <row r="4352">
      <c r="B4352" t="inlineStr">
        <is>
          <t>Jails – Police Stations</t>
        </is>
      </c>
      <c r="C4352" t="inlineStr">
        <is>
          <t>Average</t>
        </is>
      </c>
      <c r="D4352" t="n">
        <v>50</v>
      </c>
      <c r="E4352" t="n">
        <v>50</v>
      </c>
      <c r="F4352" t="n">
        <v>45</v>
      </c>
      <c r="G4352" t="n">
        <v>40</v>
      </c>
      <c r="I4352">
        <f>B4352&amp;"~"&amp;C4352</f>
        <v/>
      </c>
      <c r="J4352" t="inlineStr">
        <is>
          <t>average</t>
        </is>
      </c>
    </row>
    <row r="4353">
      <c r="B4353" t="inlineStr">
        <is>
          <t>Jails – Police Stations</t>
        </is>
      </c>
      <c r="C4353" t="inlineStr">
        <is>
          <t>Low Cost</t>
        </is>
      </c>
      <c r="D4353" t="n">
        <v>45</v>
      </c>
      <c r="E4353" t="n">
        <v>45</v>
      </c>
      <c r="F4353" t="n">
        <v>40</v>
      </c>
      <c r="I4353">
        <f>B4353&amp;"~"&amp;C4353</f>
        <v/>
      </c>
      <c r="J4353" t="inlineStr">
        <is>
          <t>low cost</t>
        </is>
      </c>
    </row>
    <row r="4354">
      <c r="B4354" t="inlineStr">
        <is>
          <t>Shell Office Buildings</t>
        </is>
      </c>
      <c r="C4354" t="inlineStr">
        <is>
          <t>Excellent</t>
        </is>
      </c>
      <c r="D4354" t="n">
        <v>60</v>
      </c>
      <c r="E4354" t="n">
        <v>60</v>
      </c>
      <c r="F4354" t="n">
        <v>55</v>
      </c>
      <c r="G4354" t="n">
        <v>50</v>
      </c>
      <c r="H4354" t="n">
        <v>50</v>
      </c>
      <c r="I4354">
        <f>B4354&amp;"~"&amp;C4354</f>
        <v/>
      </c>
      <c r="J4354" t="inlineStr">
        <is>
          <t>Offices, good and excellent</t>
        </is>
      </c>
    </row>
    <row r="4355">
      <c r="B4355" t="inlineStr">
        <is>
          <t>Shell Office Buildings</t>
        </is>
      </c>
      <c r="C4355" t="inlineStr">
        <is>
          <t>Good</t>
        </is>
      </c>
      <c r="D4355" t="n">
        <v>60</v>
      </c>
      <c r="E4355" t="n">
        <v>60</v>
      </c>
      <c r="F4355" t="n">
        <v>55</v>
      </c>
      <c r="G4355" t="n">
        <v>50</v>
      </c>
      <c r="H4355" t="n">
        <v>50</v>
      </c>
      <c r="I4355">
        <f>B4355&amp;"~"&amp;C4355</f>
        <v/>
      </c>
      <c r="J4355" t="inlineStr">
        <is>
          <t>Offices, good and excellent</t>
        </is>
      </c>
    </row>
    <row r="4356">
      <c r="B4356" t="inlineStr">
        <is>
          <t>Shell Office Buildings</t>
        </is>
      </c>
      <c r="C4356" t="inlineStr">
        <is>
          <t>Average</t>
        </is>
      </c>
      <c r="D4356" t="n">
        <v>55</v>
      </c>
      <c r="E4356" t="n">
        <v>55</v>
      </c>
      <c r="F4356" t="n">
        <v>50</v>
      </c>
      <c r="G4356" t="n">
        <v>45</v>
      </c>
      <c r="H4356" t="n">
        <v>45</v>
      </c>
      <c r="I4356">
        <f>B4356&amp;"~"&amp;C4356</f>
        <v/>
      </c>
      <c r="J4356" t="inlineStr">
        <is>
          <t>average</t>
        </is>
      </c>
    </row>
    <row r="4357">
      <c r="B4357" t="inlineStr">
        <is>
          <t>Shell Office Buildings</t>
        </is>
      </c>
      <c r="C4357" t="inlineStr">
        <is>
          <t>Low Cost</t>
        </is>
      </c>
      <c r="D4357" t="n">
        <v>50</v>
      </c>
      <c r="E4357" t="n">
        <v>50</v>
      </c>
      <c r="F4357" t="n">
        <v>45</v>
      </c>
      <c r="G4357" t="n">
        <v>40</v>
      </c>
      <c r="H4357" t="n">
        <v>40</v>
      </c>
      <c r="I4357">
        <f>B4357&amp;"~"&amp;C4357</f>
        <v/>
      </c>
      <c r="J4357" t="inlineStr">
        <is>
          <t>low cost</t>
        </is>
      </c>
    </row>
    <row r="4358">
      <c r="B4358" t="inlineStr">
        <is>
          <t>Churches with Sunday Schools</t>
        </is>
      </c>
      <c r="C4358" t="inlineStr">
        <is>
          <t>Good</t>
        </is>
      </c>
      <c r="D4358" t="n">
        <v>60</v>
      </c>
      <c r="E4358" t="n">
        <v>60</v>
      </c>
      <c r="F4358" t="n">
        <v>50</v>
      </c>
      <c r="G4358" t="n">
        <v>45</v>
      </c>
      <c r="H4358" t="n">
        <v>45</v>
      </c>
      <c r="I4358">
        <f>B4358&amp;"~"&amp;C4358</f>
        <v/>
      </c>
      <c r="J4358" t="inlineStr">
        <is>
          <t>good</t>
        </is>
      </c>
    </row>
    <row r="4359">
      <c r="B4359" t="inlineStr">
        <is>
          <t>Churches with Sunday Schools</t>
        </is>
      </c>
      <c r="C4359" t="inlineStr">
        <is>
          <t>Average</t>
        </is>
      </c>
      <c r="D4359" t="n">
        <v>50</v>
      </c>
      <c r="E4359" t="n">
        <v>50</v>
      </c>
      <c r="F4359" t="n">
        <v>45</v>
      </c>
      <c r="G4359" t="n">
        <v>40</v>
      </c>
      <c r="H4359" t="n">
        <v>40</v>
      </c>
      <c r="I4359">
        <f>B4359&amp;"~"&amp;C4359</f>
        <v/>
      </c>
      <c r="J4359" t="inlineStr">
        <is>
          <t>average</t>
        </is>
      </c>
    </row>
    <row r="4360">
      <c r="B4360" t="inlineStr">
        <is>
          <t>Churches with Sunday Schools</t>
        </is>
      </c>
      <c r="C4360" t="inlineStr">
        <is>
          <t>Excellent</t>
        </is>
      </c>
      <c r="D4360" t="n">
        <v>60</v>
      </c>
      <c r="E4360" t="n">
        <v>60</v>
      </c>
      <c r="F4360" t="n">
        <v>60</v>
      </c>
      <c r="G4360" t="n">
        <v>50</v>
      </c>
      <c r="I4360">
        <f>B4360&amp;"~"&amp;C4360</f>
        <v/>
      </c>
      <c r="J4360" t="inlineStr">
        <is>
          <t>Churches, sanctuaries, narthexes, classrooms, excellent</t>
        </is>
      </c>
    </row>
    <row r="4361">
      <c r="B4361" t="inlineStr">
        <is>
          <t>Churches – Sanctuaries (Chapels)</t>
        </is>
      </c>
      <c r="C4361" t="inlineStr">
        <is>
          <t>Excellent</t>
        </is>
      </c>
      <c r="D4361" t="n">
        <v>60</v>
      </c>
      <c r="E4361" t="n">
        <v>60</v>
      </c>
      <c r="F4361" t="n">
        <v>60</v>
      </c>
      <c r="G4361" t="n">
        <v>50</v>
      </c>
      <c r="I4361">
        <f>B4361&amp;"~"&amp;C4361</f>
        <v/>
      </c>
      <c r="J4361" t="inlineStr">
        <is>
          <t>Churches, sanctuaries, narthexes, classrooms, excellent</t>
        </is>
      </c>
    </row>
    <row r="4362">
      <c r="B4362" t="inlineStr">
        <is>
          <t>Churches – Sanctuaries (Chapels)</t>
        </is>
      </c>
      <c r="C4362" t="inlineStr">
        <is>
          <t>Good</t>
        </is>
      </c>
      <c r="D4362" t="n">
        <v>60</v>
      </c>
      <c r="E4362" t="n">
        <v>60</v>
      </c>
      <c r="F4362" t="n">
        <v>50</v>
      </c>
      <c r="G4362" t="n">
        <v>45</v>
      </c>
      <c r="H4362" t="n">
        <v>45</v>
      </c>
      <c r="I4362">
        <f>B4362&amp;"~"&amp;C4362</f>
        <v/>
      </c>
      <c r="J4362" t="inlineStr">
        <is>
          <t>good</t>
        </is>
      </c>
    </row>
    <row r="4363">
      <c r="B4363" t="inlineStr">
        <is>
          <t>Churches – Sanctuaries (Chapels)</t>
        </is>
      </c>
      <c r="C4363" t="inlineStr">
        <is>
          <t>Average</t>
        </is>
      </c>
      <c r="D4363" t="n">
        <v>50</v>
      </c>
      <c r="E4363" t="n">
        <v>50</v>
      </c>
      <c r="F4363" t="n">
        <v>45</v>
      </c>
      <c r="G4363" t="n">
        <v>40</v>
      </c>
      <c r="H4363" t="n">
        <v>40</v>
      </c>
      <c r="I4363">
        <f>B4363&amp;"~"&amp;C4363</f>
        <v/>
      </c>
      <c r="J4363" t="inlineStr">
        <is>
          <t>average</t>
        </is>
      </c>
    </row>
    <row r="4364">
      <c r="B4364" t="inlineStr">
        <is>
          <t>Fellowship Halls</t>
        </is>
      </c>
      <c r="C4364" t="inlineStr">
        <is>
          <t>Good</t>
        </is>
      </c>
      <c r="D4364" t="n">
        <v>50</v>
      </c>
      <c r="E4364" t="n">
        <v>50</v>
      </c>
      <c r="F4364" t="n">
        <v>45</v>
      </c>
      <c r="G4364" t="n">
        <v>40</v>
      </c>
      <c r="H4364" t="n">
        <v>40</v>
      </c>
      <c r="I4364">
        <f>B4364&amp;"~"&amp;C4364</f>
        <v/>
      </c>
      <c r="J4364" t="inlineStr">
        <is>
          <t>Fellowship halls, good and excellent</t>
        </is>
      </c>
    </row>
    <row r="4365">
      <c r="B4365" t="inlineStr">
        <is>
          <t>Fellowship Halls</t>
        </is>
      </c>
      <c r="C4365" t="inlineStr">
        <is>
          <t>Average</t>
        </is>
      </c>
      <c r="D4365" t="n">
        <v>45</v>
      </c>
      <c r="E4365" t="n">
        <v>45</v>
      </c>
      <c r="F4365" t="n">
        <v>40</v>
      </c>
      <c r="G4365" t="n">
        <v>35</v>
      </c>
      <c r="H4365" t="n">
        <v>35</v>
      </c>
      <c r="I4365">
        <f>B4365&amp;"~"&amp;C4365</f>
        <v/>
      </c>
      <c r="J4365" t="inlineStr">
        <is>
          <t>low cost and average</t>
        </is>
      </c>
    </row>
    <row r="4366">
      <c r="B4366" t="inlineStr">
        <is>
          <t>Fellowship Halls</t>
        </is>
      </c>
      <c r="C4366" t="inlineStr">
        <is>
          <t>Excellent</t>
        </is>
      </c>
      <c r="D4366" t="n">
        <v>50</v>
      </c>
      <c r="E4366" t="n">
        <v>50</v>
      </c>
      <c r="F4366" t="n">
        <v>45</v>
      </c>
      <c r="G4366" t="n">
        <v>40</v>
      </c>
      <c r="H4366" t="n">
        <v>40</v>
      </c>
      <c r="I4366">
        <f>B4366&amp;"~"&amp;C4366</f>
        <v/>
      </c>
      <c r="J4366" t="inlineStr">
        <is>
          <t>Fellowship halls, good and excellent</t>
        </is>
      </c>
    </row>
    <row r="4367">
      <c r="B4367" t="inlineStr">
        <is>
          <t>Fellowship Halls</t>
        </is>
      </c>
      <c r="C4367" t="inlineStr">
        <is>
          <t>Cheap</t>
        </is>
      </c>
      <c r="G4367" t="n">
        <v>30</v>
      </c>
      <c r="H4367" t="n">
        <v>30</v>
      </c>
      <c r="I4367">
        <f>B4367&amp;"~"&amp;C4367</f>
        <v/>
      </c>
      <c r="J4367" t="inlineStr">
        <is>
          <t>cheap</t>
        </is>
      </c>
    </row>
    <row r="4368">
      <c r="B4368" t="inlineStr">
        <is>
          <t>Foyers / Narthexes</t>
        </is>
      </c>
      <c r="C4368" t="inlineStr">
        <is>
          <t>Excellent</t>
        </is>
      </c>
      <c r="D4368" t="n">
        <v>60</v>
      </c>
      <c r="E4368" t="n">
        <v>60</v>
      </c>
      <c r="F4368" t="n">
        <v>60</v>
      </c>
      <c r="G4368" t="n">
        <v>50</v>
      </c>
      <c r="I4368">
        <f>B4368&amp;"~"&amp;C4368</f>
        <v/>
      </c>
      <c r="J4368" t="inlineStr">
        <is>
          <t>Churches, sanctuaries, narthexes, classrooms, excellent</t>
        </is>
      </c>
    </row>
    <row r="4369">
      <c r="B4369" t="inlineStr">
        <is>
          <t>Foyers / Narthexes</t>
        </is>
      </c>
      <c r="C4369" t="inlineStr">
        <is>
          <t>Good</t>
        </is>
      </c>
      <c r="D4369" t="n">
        <v>60</v>
      </c>
      <c r="E4369" t="n">
        <v>60</v>
      </c>
      <c r="F4369" t="n">
        <v>50</v>
      </c>
      <c r="G4369" t="n">
        <v>45</v>
      </c>
      <c r="H4369" t="n">
        <v>45</v>
      </c>
      <c r="I4369">
        <f>B4369&amp;"~"&amp;C4369</f>
        <v/>
      </c>
      <c r="J4369" t="inlineStr">
        <is>
          <t>good</t>
        </is>
      </c>
    </row>
    <row r="4370">
      <c r="B4370" t="inlineStr">
        <is>
          <t>Foyers / Narthexes</t>
        </is>
      </c>
      <c r="C4370" t="inlineStr">
        <is>
          <t>Average</t>
        </is>
      </c>
      <c r="D4370" t="n">
        <v>50</v>
      </c>
      <c r="E4370" t="n">
        <v>50</v>
      </c>
      <c r="F4370" t="n">
        <v>45</v>
      </c>
      <c r="G4370" t="n">
        <v>40</v>
      </c>
      <c r="H4370" t="n">
        <v>40</v>
      </c>
      <c r="I4370">
        <f>B4370&amp;"~"&amp;C4370</f>
        <v/>
      </c>
      <c r="J4370" t="inlineStr">
        <is>
          <t>average</t>
        </is>
      </c>
    </row>
    <row r="4371">
      <c r="B4371" t="inlineStr">
        <is>
          <t>Church Educational Wings</t>
        </is>
      </c>
      <c r="C4371" t="inlineStr">
        <is>
          <t>Good</t>
        </is>
      </c>
      <c r="D4371" t="n">
        <v>60</v>
      </c>
      <c r="E4371" t="n">
        <v>60</v>
      </c>
      <c r="F4371" t="n">
        <v>50</v>
      </c>
      <c r="G4371" t="n">
        <v>45</v>
      </c>
      <c r="H4371" t="n">
        <v>45</v>
      </c>
      <c r="I4371">
        <f>B4371&amp;"~"&amp;C4371</f>
        <v/>
      </c>
      <c r="J4371" t="inlineStr">
        <is>
          <t>good</t>
        </is>
      </c>
    </row>
    <row r="4372">
      <c r="B4372" t="inlineStr">
        <is>
          <t>Church Educational Wings</t>
        </is>
      </c>
      <c r="C4372" t="inlineStr">
        <is>
          <t>Average</t>
        </is>
      </c>
      <c r="D4372" t="n">
        <v>50</v>
      </c>
      <c r="E4372" t="n">
        <v>50</v>
      </c>
      <c r="F4372" t="n">
        <v>45</v>
      </c>
      <c r="G4372" t="n">
        <v>40</v>
      </c>
      <c r="H4372" t="n">
        <v>40</v>
      </c>
      <c r="I4372">
        <f>B4372&amp;"~"&amp;C4372</f>
        <v/>
      </c>
      <c r="J4372" t="inlineStr">
        <is>
          <t>average</t>
        </is>
      </c>
    </row>
    <row r="4373">
      <c r="B4373" t="inlineStr">
        <is>
          <t>Church Educational Wings</t>
        </is>
      </c>
      <c r="C4373" t="inlineStr">
        <is>
          <t>Excellent</t>
        </is>
      </c>
      <c r="D4373" t="n">
        <v>60</v>
      </c>
      <c r="E4373" t="n">
        <v>60</v>
      </c>
      <c r="F4373" t="n">
        <v>60</v>
      </c>
      <c r="G4373" t="n">
        <v>50</v>
      </c>
      <c r="I4373">
        <f>B4373&amp;"~"&amp;C4373</f>
        <v/>
      </c>
      <c r="J4373" t="inlineStr">
        <is>
          <t>Churches, sanctuaries, narthexes, classrooms, excellent</t>
        </is>
      </c>
    </row>
    <row r="4374">
      <c r="B4374" t="inlineStr">
        <is>
          <t>Theaters: Live-Stage</t>
        </is>
      </c>
      <c r="C4374" t="inlineStr">
        <is>
          <t>Excellent</t>
        </is>
      </c>
      <c r="D4374" t="n">
        <v>50</v>
      </c>
      <c r="E4374" t="n">
        <v>50</v>
      </c>
      <c r="F4374" t="n">
        <v>45</v>
      </c>
      <c r="G4374" t="n">
        <v>40</v>
      </c>
      <c r="I4374">
        <f>B4374&amp;"~"&amp;C4374</f>
        <v/>
      </c>
      <c r="J4374" t="inlineStr">
        <is>
          <t>Theaters, live-stage presentation, good and excellent</t>
        </is>
      </c>
    </row>
    <row r="4375">
      <c r="B4375" t="inlineStr">
        <is>
          <t>Theaters: Live-Stage</t>
        </is>
      </c>
      <c r="C4375" t="inlineStr">
        <is>
          <t>Good</t>
        </is>
      </c>
      <c r="D4375" t="n">
        <v>50</v>
      </c>
      <c r="E4375" t="n">
        <v>50</v>
      </c>
      <c r="F4375" t="n">
        <v>45</v>
      </c>
      <c r="G4375" t="n">
        <v>40</v>
      </c>
      <c r="I4375">
        <f>B4375&amp;"~"&amp;C4375</f>
        <v/>
      </c>
      <c r="J4375" t="inlineStr">
        <is>
          <t>Theaters, live-stage presentation, good and excellent</t>
        </is>
      </c>
    </row>
    <row r="4376">
      <c r="B4376" t="inlineStr">
        <is>
          <t>Theaters: Live-Stage</t>
        </is>
      </c>
      <c r="C4376" t="inlineStr">
        <is>
          <t>Average</t>
        </is>
      </c>
      <c r="D4376" t="n">
        <v>45</v>
      </c>
      <c r="E4376" t="n">
        <v>45</v>
      </c>
      <c r="F4376" t="n">
        <v>45</v>
      </c>
      <c r="G4376" t="n">
        <v>40</v>
      </c>
      <c r="H4376" t="n">
        <v>40</v>
      </c>
      <c r="I4376">
        <f>B4376&amp;"~"&amp;C4376</f>
        <v/>
      </c>
      <c r="J4376" t="inlineStr">
        <is>
          <t>fair and average</t>
        </is>
      </c>
    </row>
    <row r="4377">
      <c r="B4377" t="inlineStr">
        <is>
          <t>Theaters: Cinema</t>
        </is>
      </c>
      <c r="C4377" t="inlineStr">
        <is>
          <t>Good</t>
        </is>
      </c>
      <c r="D4377" t="n">
        <v>45</v>
      </c>
      <c r="E4377" t="n">
        <v>45</v>
      </c>
      <c r="F4377" t="n">
        <v>40</v>
      </c>
      <c r="G4377" t="n">
        <v>35</v>
      </c>
      <c r="H4377" t="n">
        <v>35</v>
      </c>
      <c r="I4377">
        <f>B4377&amp;"~"&amp;C4377</f>
        <v/>
      </c>
      <c r="J4377" t="inlineStr">
        <is>
          <t>average and good</t>
        </is>
      </c>
    </row>
    <row r="4378">
      <c r="B4378" t="inlineStr">
        <is>
          <t>Theaters: Cinema</t>
        </is>
      </c>
      <c r="C4378" t="inlineStr">
        <is>
          <t>Average</t>
        </is>
      </c>
      <c r="D4378" t="n">
        <v>45</v>
      </c>
      <c r="E4378" t="n">
        <v>45</v>
      </c>
      <c r="F4378" t="n">
        <v>40</v>
      </c>
      <c r="G4378" t="n">
        <v>35</v>
      </c>
      <c r="H4378" t="n">
        <v>35</v>
      </c>
      <c r="I4378">
        <f>B4378&amp;"~"&amp;C4378</f>
        <v/>
      </c>
      <c r="J4378" t="inlineStr">
        <is>
          <t>average and good</t>
        </is>
      </c>
    </row>
    <row r="4379">
      <c r="B4379" t="inlineStr">
        <is>
          <t>Theaters: Cinema</t>
        </is>
      </c>
      <c r="C4379" t="inlineStr">
        <is>
          <t>Excellent</t>
        </is>
      </c>
      <c r="D4379" t="n">
        <v>50</v>
      </c>
      <c r="E4379" t="n">
        <v>50</v>
      </c>
      <c r="F4379" t="n">
        <v>45</v>
      </c>
      <c r="G4379" t="n">
        <v>40</v>
      </c>
      <c r="I4379">
        <f>B4379&amp;"~"&amp;C4379</f>
        <v/>
      </c>
      <c r="J4379" t="inlineStr">
        <is>
          <t>Motion picture/cinema, very good and excellent</t>
        </is>
      </c>
    </row>
    <row r="4380">
      <c r="B4380" t="inlineStr">
        <is>
          <t>Theaters: Cinema</t>
        </is>
      </c>
      <c r="C4380" t="inlineStr">
        <is>
          <t>Very Good</t>
        </is>
      </c>
      <c r="D4380" t="n">
        <v>50</v>
      </c>
      <c r="E4380" t="n">
        <v>50</v>
      </c>
      <c r="F4380" t="n">
        <v>45</v>
      </c>
      <c r="G4380" t="n">
        <v>40</v>
      </c>
      <c r="I4380">
        <f>B4380&amp;"~"&amp;C4380</f>
        <v/>
      </c>
      <c r="J4380" t="inlineStr">
        <is>
          <t>Motion picture/cinema, very good and excellent</t>
        </is>
      </c>
    </row>
    <row r="4381">
      <c r="B4381" t="inlineStr">
        <is>
          <t>Theaters: Cinema</t>
        </is>
      </c>
      <c r="C4381" t="inlineStr">
        <is>
          <t>Fair</t>
        </is>
      </c>
      <c r="F4381" t="n">
        <v>35</v>
      </c>
      <c r="G4381" t="n">
        <v>30</v>
      </c>
      <c r="H4381" t="n">
        <v>30</v>
      </c>
      <c r="I4381">
        <f>B4381&amp;"~"&amp;C4381</f>
        <v/>
      </c>
      <c r="J4381" t="inlineStr">
        <is>
          <t>low cost and fair</t>
        </is>
      </c>
    </row>
    <row r="4382">
      <c r="B4382" t="inlineStr">
        <is>
          <t>Auditoriums</t>
        </is>
      </c>
      <c r="C4382" t="inlineStr">
        <is>
          <t>Excellent</t>
        </is>
      </c>
      <c r="D4382" t="n">
        <v>55</v>
      </c>
      <c r="E4382" t="n">
        <v>55</v>
      </c>
      <c r="F4382" t="n">
        <v>50</v>
      </c>
      <c r="G4382" t="n">
        <v>45</v>
      </c>
      <c r="I4382">
        <f>B4382&amp;"~"&amp;C4382</f>
        <v/>
      </c>
      <c r="J4382" t="inlineStr">
        <is>
          <t>Auditoriums, excellent</t>
        </is>
      </c>
    </row>
    <row r="4383">
      <c r="B4383" t="inlineStr">
        <is>
          <t>Auditoriums</t>
        </is>
      </c>
      <c r="C4383" t="inlineStr">
        <is>
          <t>Good</t>
        </is>
      </c>
      <c r="D4383" t="n">
        <v>50</v>
      </c>
      <c r="E4383" t="n">
        <v>50</v>
      </c>
      <c r="F4383" t="n">
        <v>45</v>
      </c>
      <c r="G4383" t="n">
        <v>40</v>
      </c>
      <c r="H4383" t="n">
        <v>40</v>
      </c>
      <c r="I4383">
        <f>B4383&amp;"~"&amp;C4383</f>
        <v/>
      </c>
      <c r="J4383" t="inlineStr">
        <is>
          <t>average and good</t>
        </is>
      </c>
    </row>
    <row r="4384">
      <c r="B4384" t="inlineStr">
        <is>
          <t>Auditoriums</t>
        </is>
      </c>
      <c r="C4384" t="inlineStr">
        <is>
          <t>Average</t>
        </is>
      </c>
      <c r="D4384" t="n">
        <v>50</v>
      </c>
      <c r="E4384" t="n">
        <v>50</v>
      </c>
      <c r="F4384" t="n">
        <v>45</v>
      </c>
      <c r="G4384" t="n">
        <v>40</v>
      </c>
      <c r="H4384" t="n">
        <v>40</v>
      </c>
      <c r="I4384">
        <f>B4384&amp;"~"&amp;C4384</f>
        <v/>
      </c>
      <c r="J4384" t="inlineStr">
        <is>
          <t>average and good</t>
        </is>
      </c>
    </row>
    <row r="4385">
      <c r="B4385" t="inlineStr">
        <is>
          <t>Fraternal Buildings</t>
        </is>
      </c>
      <c r="C4385" t="inlineStr">
        <is>
          <t>Average</t>
        </is>
      </c>
      <c r="D4385" t="n">
        <v>45</v>
      </c>
      <c r="E4385" t="n">
        <v>45</v>
      </c>
      <c r="F4385" t="n">
        <v>40</v>
      </c>
      <c r="G4385" t="n">
        <v>35</v>
      </c>
      <c r="H4385" t="n">
        <v>35</v>
      </c>
      <c r="I4385">
        <f>B4385&amp;"~"&amp;C4385</f>
        <v/>
      </c>
      <c r="J4385" t="inlineStr">
        <is>
          <t>average</t>
        </is>
      </c>
    </row>
    <row r="4386">
      <c r="B4386" t="inlineStr">
        <is>
          <t>Fraternal Buildings</t>
        </is>
      </c>
      <c r="C4386" t="inlineStr">
        <is>
          <t>Excellent</t>
        </is>
      </c>
      <c r="D4386" t="n">
        <v>55</v>
      </c>
      <c r="E4386" t="n">
        <v>55</v>
      </c>
      <c r="F4386" t="n">
        <v>50</v>
      </c>
      <c r="G4386" t="n">
        <v>45</v>
      </c>
      <c r="I4386">
        <f>B4386&amp;"~"&amp;C4386</f>
        <v/>
      </c>
      <c r="J4386" t="inlineStr">
        <is>
          <t>Fraternal buildings, excellent</t>
        </is>
      </c>
    </row>
    <row r="4387">
      <c r="B4387" t="inlineStr">
        <is>
          <t>Fraternal Buildings</t>
        </is>
      </c>
      <c r="C4387" t="inlineStr">
        <is>
          <t>Good</t>
        </is>
      </c>
      <c r="D4387" t="n">
        <v>50</v>
      </c>
      <c r="E4387" t="n">
        <v>50</v>
      </c>
      <c r="F4387" t="n">
        <v>45</v>
      </c>
      <c r="G4387" t="n">
        <v>40</v>
      </c>
      <c r="I4387">
        <f>B4387&amp;"~"&amp;C4387</f>
        <v/>
      </c>
      <c r="J4387" t="inlineStr">
        <is>
          <t>good</t>
        </is>
      </c>
    </row>
    <row r="4388">
      <c r="B4388" t="inlineStr">
        <is>
          <t>Visitor Centers</t>
        </is>
      </c>
      <c r="C4388" t="inlineStr">
        <is>
          <t>Good</t>
        </is>
      </c>
      <c r="D4388" t="n">
        <v>55</v>
      </c>
      <c r="E4388" t="n">
        <v>55</v>
      </c>
      <c r="F4388" t="n">
        <v>50</v>
      </c>
      <c r="G4388" t="n">
        <v>45</v>
      </c>
      <c r="I4388">
        <f>B4388&amp;"~"&amp;C4388</f>
        <v/>
      </c>
      <c r="J4388" t="inlineStr">
        <is>
          <t>Visitor centers, good and excellent</t>
        </is>
      </c>
    </row>
    <row r="4389">
      <c r="B4389" t="inlineStr">
        <is>
          <t>Visitor Centers</t>
        </is>
      </c>
      <c r="C4389" t="inlineStr">
        <is>
          <t>Average</t>
        </is>
      </c>
      <c r="D4389" t="n">
        <v>50</v>
      </c>
      <c r="E4389" t="n">
        <v>50</v>
      </c>
      <c r="F4389" t="n">
        <v>45</v>
      </c>
      <c r="G4389" t="n">
        <v>40</v>
      </c>
      <c r="H4389" t="n">
        <v>40</v>
      </c>
      <c r="I4389">
        <f>B4389&amp;"~"&amp;C4389</f>
        <v/>
      </c>
      <c r="J4389" t="inlineStr">
        <is>
          <t>average</t>
        </is>
      </c>
    </row>
    <row r="4390">
      <c r="B4390" t="inlineStr">
        <is>
          <t>Visitor Centers</t>
        </is>
      </c>
      <c r="C4390" t="inlineStr">
        <is>
          <t>Excellent</t>
        </is>
      </c>
      <c r="D4390" t="n">
        <v>55</v>
      </c>
      <c r="E4390" t="n">
        <v>55</v>
      </c>
      <c r="F4390" t="n">
        <v>50</v>
      </c>
      <c r="G4390" t="n">
        <v>45</v>
      </c>
      <c r="I4390">
        <f>B4390&amp;"~"&amp;C4390</f>
        <v/>
      </c>
      <c r="J4390" t="inlineStr">
        <is>
          <t>Visitor centers, good and excellent</t>
        </is>
      </c>
    </row>
    <row r="4391">
      <c r="B4391" t="inlineStr">
        <is>
          <t>Convention Centers</t>
        </is>
      </c>
      <c r="C4391" t="inlineStr">
        <is>
          <t>Good</t>
        </is>
      </c>
      <c r="D4391" t="n">
        <v>55</v>
      </c>
      <c r="E4391" t="n">
        <v>55</v>
      </c>
      <c r="F4391" t="n">
        <v>50</v>
      </c>
      <c r="G4391" t="n">
        <v>45</v>
      </c>
      <c r="I4391">
        <f>B4391&amp;"~"&amp;C4391</f>
        <v/>
      </c>
      <c r="J4391" t="inlineStr">
        <is>
          <t>Convention centers, good and excellent</t>
        </is>
      </c>
    </row>
    <row r="4392">
      <c r="B4392" t="inlineStr">
        <is>
          <t>Convention Centers</t>
        </is>
      </c>
      <c r="C4392" t="inlineStr">
        <is>
          <t>Average</t>
        </is>
      </c>
      <c r="D4392" t="n">
        <v>50</v>
      </c>
      <c r="E4392" t="n">
        <v>50</v>
      </c>
      <c r="F4392" t="n">
        <v>45</v>
      </c>
      <c r="G4392" t="n">
        <v>40</v>
      </c>
      <c r="H4392" t="n">
        <v>40</v>
      </c>
      <c r="I4392">
        <f>B4392&amp;"~"&amp;C4392</f>
        <v/>
      </c>
      <c r="J4392" t="inlineStr">
        <is>
          <t>average</t>
        </is>
      </c>
    </row>
    <row r="4393">
      <c r="B4393" t="inlineStr">
        <is>
          <t>Convention Centers</t>
        </is>
      </c>
      <c r="C4393" t="inlineStr">
        <is>
          <t>Excellent</t>
        </is>
      </c>
      <c r="D4393" t="n">
        <v>55</v>
      </c>
      <c r="E4393" t="n">
        <v>55</v>
      </c>
      <c r="F4393" t="n">
        <v>50</v>
      </c>
      <c r="G4393" t="n">
        <v>45</v>
      </c>
      <c r="I4393">
        <f>B4393&amp;"~"&amp;C4393</f>
        <v/>
      </c>
      <c r="J4393" t="inlineStr">
        <is>
          <t>Convention centers, good and excellent</t>
        </is>
      </c>
    </row>
    <row r="4394">
      <c r="B4394" t="inlineStr">
        <is>
          <t>Casinos</t>
        </is>
      </c>
      <c r="C4394" t="inlineStr">
        <is>
          <t>Excellent</t>
        </is>
      </c>
      <c r="F4394" t="n">
        <v>50</v>
      </c>
      <c r="I4394">
        <f>B4394&amp;"~"&amp;C4394</f>
        <v/>
      </c>
      <c r="J4394" t="inlineStr">
        <is>
          <t>Casinos, very good</t>
        </is>
      </c>
    </row>
    <row r="4395">
      <c r="B4395" t="inlineStr">
        <is>
          <t>Casinos</t>
        </is>
      </c>
      <c r="C4395" t="inlineStr">
        <is>
          <t>Very Good</t>
        </is>
      </c>
      <c r="F4395" t="n">
        <v>50</v>
      </c>
      <c r="I4395">
        <f>B4395&amp;"~"&amp;C4395</f>
        <v/>
      </c>
      <c r="J4395" t="inlineStr">
        <is>
          <t>Casinos, very good</t>
        </is>
      </c>
    </row>
    <row r="4396">
      <c r="B4396" t="inlineStr">
        <is>
          <t>Casinos</t>
        </is>
      </c>
      <c r="C4396" t="inlineStr">
        <is>
          <t>Good</t>
        </is>
      </c>
      <c r="F4396" t="n">
        <v>45</v>
      </c>
      <c r="G4396" t="n">
        <v>40</v>
      </c>
      <c r="I4396">
        <f>B4396&amp;"~"&amp;C4396</f>
        <v/>
      </c>
      <c r="J4396" t="inlineStr">
        <is>
          <t>good</t>
        </is>
      </c>
    </row>
    <row r="4397">
      <c r="B4397" t="inlineStr">
        <is>
          <t>Casinos</t>
        </is>
      </c>
      <c r="C4397" t="inlineStr">
        <is>
          <t>Average</t>
        </is>
      </c>
      <c r="F4397" t="n">
        <v>40</v>
      </c>
      <c r="G4397" t="n">
        <v>35</v>
      </c>
      <c r="H4397" t="n">
        <v>35</v>
      </c>
      <c r="I4397">
        <f>B4397&amp;"~"&amp;C4397</f>
        <v/>
      </c>
      <c r="J4397" t="inlineStr">
        <is>
          <t>average</t>
        </is>
      </c>
    </row>
    <row r="4398">
      <c r="B4398" t="inlineStr">
        <is>
          <t>Community Recreation Centers</t>
        </is>
      </c>
      <c r="C4398" t="inlineStr">
        <is>
          <t>Good</t>
        </is>
      </c>
      <c r="D4398" t="n">
        <v>50</v>
      </c>
      <c r="E4398" t="n">
        <v>50</v>
      </c>
      <c r="F4398" t="n">
        <v>45</v>
      </c>
      <c r="G4398" t="n">
        <v>40</v>
      </c>
      <c r="H4398" t="n">
        <v>40</v>
      </c>
      <c r="I4398">
        <f>B4398&amp;"~"&amp;C4398</f>
        <v/>
      </c>
      <c r="J4398" t="inlineStr">
        <is>
          <t>Community recreation centers, good and excellent</t>
        </is>
      </c>
    </row>
    <row r="4399">
      <c r="B4399" t="inlineStr">
        <is>
          <t>Community Recreation Centers</t>
        </is>
      </c>
      <c r="C4399" t="inlineStr">
        <is>
          <t>Average</t>
        </is>
      </c>
      <c r="D4399" t="n">
        <v>45</v>
      </c>
      <c r="E4399" t="n">
        <v>45</v>
      </c>
      <c r="F4399" t="n">
        <v>40</v>
      </c>
      <c r="G4399" t="n">
        <v>35</v>
      </c>
      <c r="H4399" t="n">
        <v>35</v>
      </c>
      <c r="I4399">
        <f>B4399&amp;"~"&amp;C4399</f>
        <v/>
      </c>
      <c r="J4399" t="inlineStr">
        <is>
          <t>low cost and average</t>
        </is>
      </c>
    </row>
    <row r="4400">
      <c r="B4400" t="inlineStr">
        <is>
          <t>Community Recreation Centers</t>
        </is>
      </c>
      <c r="C4400" t="inlineStr">
        <is>
          <t>Excellent</t>
        </is>
      </c>
      <c r="D4400" t="n">
        <v>50</v>
      </c>
      <c r="E4400" t="n">
        <v>50</v>
      </c>
      <c r="F4400" t="n">
        <v>45</v>
      </c>
      <c r="G4400" t="n">
        <v>40</v>
      </c>
      <c r="H4400" t="n">
        <v>40</v>
      </c>
      <c r="I4400">
        <f>B4400&amp;"~"&amp;C4400</f>
        <v/>
      </c>
      <c r="J4400" t="inlineStr">
        <is>
          <t>Community recreation centers, good and excellent</t>
        </is>
      </c>
    </row>
    <row r="4401">
      <c r="B4401" t="inlineStr">
        <is>
          <t>Arcade Buildings</t>
        </is>
      </c>
      <c r="C4401" t="inlineStr">
        <is>
          <t>Excellent</t>
        </is>
      </c>
      <c r="F4401" t="n">
        <v>45</v>
      </c>
      <c r="G4401" t="n">
        <v>40</v>
      </c>
      <c r="I4401">
        <f>B4401&amp;"~"&amp;C4401</f>
        <v/>
      </c>
      <c r="J4401" t="inlineStr">
        <is>
          <t>Arcade buildings, good and excellent</t>
        </is>
      </c>
    </row>
    <row r="4402">
      <c r="B4402" t="inlineStr">
        <is>
          <t>Arcade Buildings</t>
        </is>
      </c>
      <c r="C4402" t="inlineStr">
        <is>
          <t>Good</t>
        </is>
      </c>
      <c r="F4402" t="n">
        <v>45</v>
      </c>
      <c r="G4402" t="n">
        <v>40</v>
      </c>
      <c r="I4402">
        <f>B4402&amp;"~"&amp;C4402</f>
        <v/>
      </c>
      <c r="J4402" t="inlineStr">
        <is>
          <t>Arcade buildings, good and excellent</t>
        </is>
      </c>
    </row>
    <row r="4403">
      <c r="B4403" t="inlineStr">
        <is>
          <t>Arcade Buildings</t>
        </is>
      </c>
      <c r="C4403" t="inlineStr">
        <is>
          <t>Average</t>
        </is>
      </c>
      <c r="F4403" t="n">
        <v>40</v>
      </c>
      <c r="G4403" t="n">
        <v>35</v>
      </c>
      <c r="H4403" t="n">
        <v>35</v>
      </c>
      <c r="I4403">
        <f>B4403&amp;"~"&amp;C4403</f>
        <v/>
      </c>
      <c r="J4403" t="inlineStr">
        <is>
          <t>average</t>
        </is>
      </c>
    </row>
    <row r="4404">
      <c r="B4404" t="inlineStr">
        <is>
          <t>Museums</t>
        </is>
      </c>
      <c r="C4404" t="inlineStr">
        <is>
          <t>Good</t>
        </is>
      </c>
      <c r="D4404" t="n">
        <v>60</v>
      </c>
      <c r="E4404" t="n">
        <v>60</v>
      </c>
      <c r="F4404" t="n">
        <v>55</v>
      </c>
      <c r="G4404" t="n">
        <v>50</v>
      </c>
      <c r="I4404">
        <f>B4404&amp;"~"&amp;C4404</f>
        <v/>
      </c>
      <c r="J4404" t="inlineStr">
        <is>
          <t>Museums, good and excellent</t>
        </is>
      </c>
    </row>
    <row r="4405">
      <c r="B4405" t="inlineStr">
        <is>
          <t>Museums</t>
        </is>
      </c>
      <c r="C4405" t="inlineStr">
        <is>
          <t>Average</t>
        </is>
      </c>
      <c r="D4405" t="n">
        <v>55</v>
      </c>
      <c r="E4405" t="n">
        <v>55</v>
      </c>
      <c r="F4405" t="n">
        <v>50</v>
      </c>
      <c r="G4405" t="n">
        <v>45</v>
      </c>
      <c r="I4405">
        <f>B4405&amp;"~"&amp;C4405</f>
        <v/>
      </c>
      <c r="J4405" t="inlineStr">
        <is>
          <t>average</t>
        </is>
      </c>
    </row>
    <row r="4406">
      <c r="B4406" t="inlineStr">
        <is>
          <t>Museums</t>
        </is>
      </c>
      <c r="C4406" t="inlineStr">
        <is>
          <t>Excellent</t>
        </is>
      </c>
      <c r="D4406" t="n">
        <v>60</v>
      </c>
      <c r="E4406" t="n">
        <v>60</v>
      </c>
      <c r="F4406" t="n">
        <v>55</v>
      </c>
      <c r="G4406" t="n">
        <v>50</v>
      </c>
      <c r="I4406">
        <f>B4406&amp;"~"&amp;C4406</f>
        <v/>
      </c>
      <c r="J4406" t="inlineStr">
        <is>
          <t>Museums, good and excellent</t>
        </is>
      </c>
    </row>
    <row r="4407">
      <c r="B4407" t="inlineStr">
        <is>
          <t>Ice Skating Rinks</t>
        </is>
      </c>
      <c r="C4407" t="inlineStr">
        <is>
          <t>Good</t>
        </is>
      </c>
      <c r="D4407" t="n">
        <v>50</v>
      </c>
      <c r="E4407" t="n">
        <v>50</v>
      </c>
      <c r="F4407" t="n">
        <v>45</v>
      </c>
      <c r="G4407" t="n">
        <v>40</v>
      </c>
      <c r="H4407" t="n">
        <v>40</v>
      </c>
      <c r="I4407">
        <f>B4407&amp;"~"&amp;C4407</f>
        <v/>
      </c>
      <c r="J4407" t="inlineStr">
        <is>
          <t>Skating rinks, good and excellent</t>
        </is>
      </c>
    </row>
    <row r="4408">
      <c r="B4408" t="inlineStr">
        <is>
          <t>Ice Skating Rinks</t>
        </is>
      </c>
      <c r="C4408" t="inlineStr">
        <is>
          <t>Average</t>
        </is>
      </c>
      <c r="D4408" t="n">
        <v>45</v>
      </c>
      <c r="E4408" t="n">
        <v>45</v>
      </c>
      <c r="F4408" t="n">
        <v>40</v>
      </c>
      <c r="G4408" t="n">
        <v>35</v>
      </c>
      <c r="H4408" t="n">
        <v>35</v>
      </c>
      <c r="I4408">
        <f>B4408&amp;"~"&amp;C4408</f>
        <v/>
      </c>
      <c r="J4408" t="inlineStr">
        <is>
          <t>average</t>
        </is>
      </c>
    </row>
    <row r="4409">
      <c r="B4409" t="inlineStr">
        <is>
          <t>Ice Skating Rinks</t>
        </is>
      </c>
      <c r="C4409" t="inlineStr">
        <is>
          <t>Excellent</t>
        </is>
      </c>
      <c r="D4409" t="n">
        <v>50</v>
      </c>
      <c r="E4409" t="n">
        <v>50</v>
      </c>
      <c r="F4409" t="n">
        <v>45</v>
      </c>
      <c r="G4409" t="n">
        <v>40</v>
      </c>
      <c r="H4409" t="n">
        <v>40</v>
      </c>
      <c r="I4409">
        <f>B4409&amp;"~"&amp;C4409</f>
        <v/>
      </c>
      <c r="J4409" t="inlineStr">
        <is>
          <t>Skating rinks, good and excellent</t>
        </is>
      </c>
    </row>
    <row r="4410">
      <c r="B4410" t="inlineStr">
        <is>
          <t>Roller Skating Rinks</t>
        </is>
      </c>
      <c r="C4410" t="inlineStr">
        <is>
          <t>Good</t>
        </is>
      </c>
      <c r="D4410" t="n">
        <v>50</v>
      </c>
      <c r="E4410" t="n">
        <v>50</v>
      </c>
      <c r="F4410" t="n">
        <v>45</v>
      </c>
      <c r="G4410" t="n">
        <v>40</v>
      </c>
      <c r="H4410" t="n">
        <v>40</v>
      </c>
      <c r="I4410">
        <f>B4410&amp;"~"&amp;C4410</f>
        <v/>
      </c>
      <c r="J4410" t="inlineStr">
        <is>
          <t>Skating rinks, good and excellent</t>
        </is>
      </c>
    </row>
    <row r="4411">
      <c r="B4411" t="inlineStr">
        <is>
          <t>Roller Skating Rinks</t>
        </is>
      </c>
      <c r="C4411" t="inlineStr">
        <is>
          <t>Average</t>
        </is>
      </c>
      <c r="D4411" t="n">
        <v>45</v>
      </c>
      <c r="E4411" t="n">
        <v>45</v>
      </c>
      <c r="F4411" t="n">
        <v>40</v>
      </c>
      <c r="G4411" t="n">
        <v>35</v>
      </c>
      <c r="H4411" t="n">
        <v>35</v>
      </c>
      <c r="I4411">
        <f>B4411&amp;"~"&amp;C4411</f>
        <v/>
      </c>
      <c r="J4411" t="inlineStr">
        <is>
          <t>average</t>
        </is>
      </c>
    </row>
    <row r="4412">
      <c r="B4412" t="inlineStr">
        <is>
          <t>Handball/Racquetball Clubs</t>
        </is>
      </c>
      <c r="C4412" t="inlineStr">
        <is>
          <t>Good</t>
        </is>
      </c>
      <c r="F4412" t="n">
        <v>45</v>
      </c>
      <c r="G4412" t="n">
        <v>40</v>
      </c>
      <c r="H4412" t="n">
        <v>40</v>
      </c>
      <c r="I4412">
        <f>B4412&amp;"~"&amp;C4412</f>
        <v/>
      </c>
      <c r="J4412" t="inlineStr">
        <is>
          <t>Handball/racquetball clubs, good</t>
        </is>
      </c>
    </row>
    <row r="4413">
      <c r="B4413" t="inlineStr">
        <is>
          <t>Handball/Racquetball Clubs</t>
        </is>
      </c>
      <c r="C4413" t="inlineStr">
        <is>
          <t>Average</t>
        </is>
      </c>
      <c r="F4413" t="n">
        <v>40</v>
      </c>
      <c r="G4413" t="n">
        <v>35</v>
      </c>
      <c r="H4413" t="n">
        <v>35</v>
      </c>
      <c r="I4413">
        <f>B4413&amp;"~"&amp;C4413</f>
        <v/>
      </c>
      <c r="J4413" t="inlineStr">
        <is>
          <t>average</t>
        </is>
      </c>
    </row>
    <row r="4414">
      <c r="B4414" t="inlineStr">
        <is>
          <t>Fitness Centers</t>
        </is>
      </c>
      <c r="C4414" t="inlineStr">
        <is>
          <t>Good</t>
        </is>
      </c>
      <c r="D4414" t="n">
        <v>50</v>
      </c>
      <c r="E4414" t="n">
        <v>50</v>
      </c>
      <c r="F4414" t="n">
        <v>45</v>
      </c>
      <c r="G4414" t="n">
        <v>40</v>
      </c>
      <c r="H4414" t="n">
        <v>40</v>
      </c>
      <c r="I4414">
        <f>B4414&amp;"~"&amp;C4414</f>
        <v/>
      </c>
      <c r="J4414" t="inlineStr">
        <is>
          <t>Fitness centers, good and excellent</t>
        </is>
      </c>
    </row>
    <row r="4415">
      <c r="B4415" t="inlineStr">
        <is>
          <t>Fitness Centers</t>
        </is>
      </c>
      <c r="C4415" t="inlineStr">
        <is>
          <t>Average</t>
        </is>
      </c>
      <c r="D4415" t="n">
        <v>45</v>
      </c>
      <c r="E4415" t="n">
        <v>45</v>
      </c>
      <c r="F4415" t="n">
        <v>40</v>
      </c>
      <c r="G4415" t="n">
        <v>35</v>
      </c>
      <c r="H4415" t="n">
        <v>35</v>
      </c>
      <c r="I4415">
        <f>B4415&amp;"~"&amp;C4415</f>
        <v/>
      </c>
      <c r="J4415" t="inlineStr">
        <is>
          <t>average</t>
        </is>
      </c>
    </row>
    <row r="4416">
      <c r="B4416" t="inlineStr">
        <is>
          <t>Fitness Centers</t>
        </is>
      </c>
      <c r="C4416" t="inlineStr">
        <is>
          <t>Excellent</t>
        </is>
      </c>
      <c r="D4416" t="n">
        <v>50</v>
      </c>
      <c r="E4416" t="n">
        <v>50</v>
      </c>
      <c r="F4416" t="n">
        <v>45</v>
      </c>
      <c r="G4416" t="n">
        <v>40</v>
      </c>
      <c r="H4416" t="n">
        <v>40</v>
      </c>
      <c r="I4416">
        <f>B4416&amp;"~"&amp;C4416</f>
        <v/>
      </c>
      <c r="J4416" t="inlineStr">
        <is>
          <t>Fitness centers, good and excellent</t>
        </is>
      </c>
    </row>
    <row r="4417">
      <c r="B4417" t="inlineStr">
        <is>
          <t>Bowling Centers</t>
        </is>
      </c>
      <c r="C4417" t="inlineStr">
        <is>
          <t>Excellent</t>
        </is>
      </c>
      <c r="F4417" t="n">
        <v>40</v>
      </c>
      <c r="G4417" t="n">
        <v>35</v>
      </c>
      <c r="H4417" t="n">
        <v>35</v>
      </c>
      <c r="I4417">
        <f>B4417&amp;"~"&amp;C4417</f>
        <v/>
      </c>
      <c r="J4417" t="inlineStr">
        <is>
          <t>Bowling centers, good and excellent</t>
        </is>
      </c>
    </row>
    <row r="4418">
      <c r="B4418" t="inlineStr">
        <is>
          <t>Bowling Centers</t>
        </is>
      </c>
      <c r="C4418" t="inlineStr">
        <is>
          <t>Good</t>
        </is>
      </c>
      <c r="F4418" t="n">
        <v>40</v>
      </c>
      <c r="G4418" t="n">
        <v>35</v>
      </c>
      <c r="H4418" t="n">
        <v>35</v>
      </c>
      <c r="I4418">
        <f>B4418&amp;"~"&amp;C4418</f>
        <v/>
      </c>
      <c r="J4418" t="inlineStr">
        <is>
          <t>Bowling centers, good and excellent</t>
        </is>
      </c>
    </row>
    <row r="4419">
      <c r="B4419" t="inlineStr">
        <is>
          <t>Bowling Centers</t>
        </is>
      </c>
      <c r="C4419" t="inlineStr">
        <is>
          <t>Average</t>
        </is>
      </c>
      <c r="F4419" t="n">
        <v>35</v>
      </c>
      <c r="G4419" t="n">
        <v>30</v>
      </c>
      <c r="H4419" t="n">
        <v>30</v>
      </c>
      <c r="I4419">
        <f>B4419&amp;"~"&amp;C4419</f>
        <v/>
      </c>
      <c r="J4419" t="inlineStr">
        <is>
          <t>low cost and average</t>
        </is>
      </c>
    </row>
    <row r="4420">
      <c r="B4420" t="inlineStr">
        <is>
          <t>Indoor Tennis Clubs</t>
        </is>
      </c>
      <c r="C4420" t="inlineStr">
        <is>
          <t>Good</t>
        </is>
      </c>
      <c r="F4420" t="n">
        <v>45</v>
      </c>
      <c r="G4420" t="n">
        <v>40</v>
      </c>
      <c r="H4420" t="n">
        <v>40</v>
      </c>
      <c r="I4420">
        <f>B4420&amp;"~"&amp;C4420</f>
        <v/>
      </c>
      <c r="J4420" t="inlineStr">
        <is>
          <t>Indoor tennis clubs, good</t>
        </is>
      </c>
    </row>
    <row r="4421">
      <c r="B4421" t="inlineStr">
        <is>
          <t>Indoor Tennis Clubs</t>
        </is>
      </c>
      <c r="C4421" t="inlineStr">
        <is>
          <t>Average</t>
        </is>
      </c>
      <c r="F4421" t="n">
        <v>40</v>
      </c>
      <c r="G4421" t="n">
        <v>35</v>
      </c>
      <c r="H4421" t="n">
        <v>35</v>
      </c>
      <c r="I4421">
        <f>B4421&amp;"~"&amp;C4421</f>
        <v/>
      </c>
      <c r="J4421" t="inlineStr">
        <is>
          <t>average</t>
        </is>
      </c>
    </row>
    <row r="4422">
      <c r="B4422" t="inlineStr">
        <is>
          <t>Pavilions</t>
        </is>
      </c>
      <c r="C4422" t="inlineStr">
        <is>
          <t>Excellent</t>
        </is>
      </c>
      <c r="F4422" t="n">
        <v>50</v>
      </c>
      <c r="G4422" t="n">
        <v>45</v>
      </c>
      <c r="I4422">
        <f>B4422&amp;"~"&amp;C4422</f>
        <v/>
      </c>
      <c r="J4422" t="inlineStr">
        <is>
          <t>Pavillions, excellent</t>
        </is>
      </c>
    </row>
    <row r="4423">
      <c r="B4423" t="inlineStr">
        <is>
          <t>Pavilions</t>
        </is>
      </c>
      <c r="C4423" t="inlineStr">
        <is>
          <t>Very Good</t>
        </is>
      </c>
      <c r="F4423" t="n">
        <v>45</v>
      </c>
      <c r="G4423" t="n">
        <v>40</v>
      </c>
      <c r="I4423">
        <f>B4423&amp;"~"&amp;C4423</f>
        <v/>
      </c>
      <c r="J4423" t="inlineStr">
        <is>
          <t>very good</t>
        </is>
      </c>
    </row>
    <row r="4424">
      <c r="B4424" t="inlineStr">
        <is>
          <t>Pavilions</t>
        </is>
      </c>
      <c r="C4424" t="inlineStr">
        <is>
          <t>Good</t>
        </is>
      </c>
      <c r="F4424" t="n">
        <v>40</v>
      </c>
      <c r="G4424" t="n">
        <v>35</v>
      </c>
      <c r="I4424">
        <f>B4424&amp;"~"&amp;C4424</f>
        <v/>
      </c>
      <c r="J4424" t="inlineStr">
        <is>
          <t>good</t>
        </is>
      </c>
    </row>
    <row r="4425">
      <c r="B4425" t="inlineStr">
        <is>
          <t>Pavilions</t>
        </is>
      </c>
      <c r="C4425" t="inlineStr">
        <is>
          <t>Average</t>
        </is>
      </c>
      <c r="F4425" t="n">
        <v>35</v>
      </c>
      <c r="G4425" t="n">
        <v>30</v>
      </c>
      <c r="H4425" t="n">
        <v>30</v>
      </c>
      <c r="I4425">
        <f>B4425&amp;"~"&amp;C4425</f>
        <v/>
      </c>
      <c r="J4425" t="inlineStr">
        <is>
          <t>fair and averge</t>
        </is>
      </c>
    </row>
    <row r="4426">
      <c r="B4426" t="inlineStr">
        <is>
          <t>Pavilions</t>
        </is>
      </c>
      <c r="C4426" t="inlineStr">
        <is>
          <t>Fair</t>
        </is>
      </c>
      <c r="F4426" t="n">
        <v>35</v>
      </c>
      <c r="G4426" t="n">
        <v>30</v>
      </c>
      <c r="H4426" t="n">
        <v>30</v>
      </c>
      <c r="I4426">
        <f>B4426&amp;"~"&amp;C4426</f>
        <v/>
      </c>
      <c r="J4426" t="inlineStr">
        <is>
          <t>fair and averge</t>
        </is>
      </c>
    </row>
    <row r="4427">
      <c r="B4427" t="inlineStr">
        <is>
          <t>Pavilions</t>
        </is>
      </c>
      <c r="C4427" t="inlineStr">
        <is>
          <t>Cheap</t>
        </is>
      </c>
      <c r="F4427" t="n">
        <v>25</v>
      </c>
      <c r="G4427" t="n">
        <v>20</v>
      </c>
      <c r="H4427" t="n">
        <v>20</v>
      </c>
      <c r="I4427">
        <f>B4427&amp;"~"&amp;C4427</f>
        <v/>
      </c>
      <c r="J4427" t="inlineStr">
        <is>
          <t>cheap</t>
        </is>
      </c>
    </row>
    <row r="4428">
      <c r="B4428" t="inlineStr">
        <is>
          <t>Light Commercial – Commodity Warehouse</t>
        </is>
      </c>
      <c r="C4428" t="inlineStr">
        <is>
          <t>Good</t>
        </is>
      </c>
      <c r="F4428" t="n">
        <v>35</v>
      </c>
      <c r="G4428" t="n">
        <v>30</v>
      </c>
      <c r="H4428" t="n">
        <v>30</v>
      </c>
      <c r="I4428">
        <f>B4428&amp;"~"&amp;C4428</f>
        <v/>
      </c>
      <c r="J4428" t="inlineStr">
        <is>
          <t>Commodity warehouse, light commercial, good</t>
        </is>
      </c>
    </row>
    <row r="4429">
      <c r="B4429" t="inlineStr">
        <is>
          <t>Light Commercial – Commodity Warehouse</t>
        </is>
      </c>
      <c r="C4429" t="inlineStr">
        <is>
          <t>Average</t>
        </is>
      </c>
      <c r="F4429" t="n">
        <v>30</v>
      </c>
      <c r="G4429" t="n">
        <v>25</v>
      </c>
      <c r="H4429" t="n">
        <v>25</v>
      </c>
      <c r="I4429">
        <f>B4429&amp;"~"&amp;C4429</f>
        <v/>
      </c>
      <c r="J4429" t="inlineStr">
        <is>
          <t>average</t>
        </is>
      </c>
    </row>
    <row r="4430">
      <c r="B4430" t="inlineStr">
        <is>
          <t>Light Commercial – Commodity Warehouse</t>
        </is>
      </c>
      <c r="C4430" t="inlineStr">
        <is>
          <t>Low Cost</t>
        </is>
      </c>
      <c r="G4430" t="n">
        <v>20</v>
      </c>
      <c r="H4430" t="n">
        <v>20</v>
      </c>
      <c r="I4430">
        <f>B4430&amp;"~"&amp;C4430</f>
        <v/>
      </c>
      <c r="J4430" t="inlineStr">
        <is>
          <t>low cost</t>
        </is>
      </c>
    </row>
    <row r="4431">
      <c r="B4431" t="inlineStr">
        <is>
          <t>Light Commercial – Manufacturing Utility Buildings</t>
        </is>
      </c>
      <c r="C4431" t="inlineStr">
        <is>
          <t>Good</t>
        </is>
      </c>
      <c r="G4431" t="n">
        <v>30</v>
      </c>
      <c r="H4431" t="n">
        <v>35</v>
      </c>
      <c r="I4431">
        <f>B4431&amp;"~"&amp;C4431</f>
        <v/>
      </c>
      <c r="J4431" t="inlineStr">
        <is>
          <t>Manufacturing, light commerical utility, good</t>
        </is>
      </c>
    </row>
    <row r="4432">
      <c r="B4432" t="inlineStr">
        <is>
          <t>Light Commercial – Manufacturing Utility Buildings</t>
        </is>
      </c>
      <c r="C4432" t="inlineStr">
        <is>
          <t>Average</t>
        </is>
      </c>
      <c r="G4432" t="n">
        <v>25</v>
      </c>
      <c r="H4432" t="n">
        <v>30</v>
      </c>
      <c r="I4432">
        <f>B4432&amp;"~"&amp;C4432</f>
        <v/>
      </c>
      <c r="J4432" t="inlineStr">
        <is>
          <t>average</t>
        </is>
      </c>
    </row>
    <row r="4433">
      <c r="B4433" t="inlineStr">
        <is>
          <t>Light Commercial – Manufacturing Utility Buildings</t>
        </is>
      </c>
      <c r="C4433" t="inlineStr">
        <is>
          <t>Low Cost</t>
        </is>
      </c>
      <c r="G4433" t="n">
        <v>20</v>
      </c>
      <c r="H4433" t="n">
        <v>25</v>
      </c>
      <c r="I4433">
        <f>B4433&amp;"~"&amp;C4433</f>
        <v/>
      </c>
      <c r="J4433" t="inlineStr">
        <is>
          <t>low cost</t>
        </is>
      </c>
    </row>
    <row r="4434">
      <c r="B4434" t="inlineStr">
        <is>
          <t>Material – Commodity Shelters</t>
        </is>
      </c>
      <c r="C4434" t="inlineStr">
        <is>
          <t>Good</t>
        </is>
      </c>
      <c r="G4434" t="n">
        <v>25</v>
      </c>
      <c r="H4434" t="n">
        <v>30</v>
      </c>
      <c r="I4434">
        <f>B4434&amp;"~"&amp;C4434</f>
        <v/>
      </c>
      <c r="J4434" t="inlineStr">
        <is>
          <t>Material shelters, good</t>
        </is>
      </c>
    </row>
    <row r="4435">
      <c r="B4435" t="inlineStr">
        <is>
          <t>Material – Commodity Shelters</t>
        </is>
      </c>
      <c r="C4435" t="inlineStr">
        <is>
          <t>Low Cost</t>
        </is>
      </c>
      <c r="G4435" t="n">
        <v>15</v>
      </c>
      <c r="H4435" t="n">
        <v>15</v>
      </c>
      <c r="I4435">
        <f>B4435&amp;"~"&amp;C4435</f>
        <v/>
      </c>
      <c r="J4435" t="inlineStr">
        <is>
          <t>low cost</t>
        </is>
      </c>
    </row>
    <row r="4436">
      <c r="B4436" t="inlineStr">
        <is>
          <t>Material – Commodity Shelters</t>
        </is>
      </c>
      <c r="C4436" t="inlineStr">
        <is>
          <t>Very Good</t>
        </is>
      </c>
      <c r="G4436" t="n">
        <v>25</v>
      </c>
      <c r="H4436" t="n">
        <v>30</v>
      </c>
      <c r="I4436">
        <f>B4436&amp;"~"&amp;C4436</f>
        <v/>
      </c>
      <c r="J4436" t="inlineStr">
        <is>
          <t>Material shelters, good</t>
        </is>
      </c>
    </row>
    <row r="4437">
      <c r="B4437" t="inlineStr">
        <is>
          <t>Material – Commodity Shelters</t>
        </is>
      </c>
      <c r="C4437" t="inlineStr">
        <is>
          <t>Average</t>
        </is>
      </c>
      <c r="G4437" t="n">
        <v>20</v>
      </c>
      <c r="H4437" t="n">
        <v>20</v>
      </c>
      <c r="I4437">
        <f>B4437&amp;"~"&amp;C4437</f>
        <v/>
      </c>
      <c r="J4437" t="inlineStr">
        <is>
          <t>average</t>
        </is>
      </c>
    </row>
    <row r="4438">
      <c r="B4438" t="inlineStr">
        <is>
          <t>Light Commercial Utility Buildings</t>
        </is>
      </c>
      <c r="C4438" t="inlineStr">
        <is>
          <t>Good</t>
        </is>
      </c>
      <c r="F4438" t="n">
        <v>35</v>
      </c>
      <c r="G4438" t="n">
        <v>30</v>
      </c>
      <c r="H4438" t="n">
        <v>30</v>
      </c>
      <c r="I4438">
        <f>B4438&amp;"~"&amp;C4438</f>
        <v/>
      </c>
      <c r="J4438" t="inlineStr">
        <is>
          <t>Utility buildings and arch-rib, light commercial, good</t>
        </is>
      </c>
    </row>
    <row r="4439">
      <c r="B4439" t="inlineStr">
        <is>
          <t>Light Commercial Utility Buildings</t>
        </is>
      </c>
      <c r="C4439" t="inlineStr">
        <is>
          <t>Average</t>
        </is>
      </c>
      <c r="F4439" t="n">
        <v>30</v>
      </c>
      <c r="G4439" t="n">
        <v>25</v>
      </c>
      <c r="H4439" t="n">
        <v>25</v>
      </c>
      <c r="I4439">
        <f>B4439&amp;"~"&amp;C4439</f>
        <v/>
      </c>
      <c r="J4439" t="inlineStr">
        <is>
          <t>average</t>
        </is>
      </c>
    </row>
    <row r="4440">
      <c r="B4440" t="inlineStr">
        <is>
          <t>Light Commercial Utility Buildings</t>
        </is>
      </c>
      <c r="C4440" t="inlineStr">
        <is>
          <t>Low Cost</t>
        </is>
      </c>
      <c r="G4440" t="n">
        <v>20</v>
      </c>
      <c r="H4440" t="n">
        <v>20</v>
      </c>
      <c r="I4440">
        <f>B4440&amp;"~"&amp;C4440</f>
        <v/>
      </c>
      <c r="J4440" t="inlineStr">
        <is>
          <t>low cost</t>
        </is>
      </c>
    </row>
    <row r="4441">
      <c r="B4441" t="inlineStr">
        <is>
          <t>Toolshed Buildings</t>
        </is>
      </c>
      <c r="C4441" t="inlineStr">
        <is>
          <t>Good</t>
        </is>
      </c>
      <c r="F4441" t="n">
        <v>25</v>
      </c>
      <c r="G4441" t="n">
        <v>20</v>
      </c>
      <c r="I4441">
        <f>B4441&amp;"~"&amp;C4441</f>
        <v/>
      </c>
      <c r="J4441" t="inlineStr">
        <is>
          <t>Toolshed buildings, good</t>
        </is>
      </c>
    </row>
    <row r="4442">
      <c r="B4442" t="inlineStr">
        <is>
          <t>Toolshed Buildings</t>
        </is>
      </c>
      <c r="C4442" t="inlineStr">
        <is>
          <t>Average</t>
        </is>
      </c>
      <c r="G4442" t="n">
        <v>15</v>
      </c>
      <c r="I4442">
        <f>B4442&amp;"~"&amp;C4442</f>
        <v/>
      </c>
      <c r="J4442" t="inlineStr">
        <is>
          <t>average</t>
        </is>
      </c>
    </row>
    <row r="4443">
      <c r="B4443" t="inlineStr">
        <is>
          <t>Toolshed Buildings</t>
        </is>
      </c>
      <c r="C4443" t="inlineStr">
        <is>
          <t>Low Cost</t>
        </is>
      </c>
      <c r="G4443" t="n">
        <v>10</v>
      </c>
      <c r="I4443">
        <f>B4443&amp;"~"&amp;C4443</f>
        <v/>
      </c>
      <c r="J4443" t="inlineStr">
        <is>
          <t>low cost</t>
        </is>
      </c>
    </row>
    <row r="4444">
      <c r="B4444" t="inlineStr">
        <is>
          <t>Light Commercial Arch-Rib (Quonset) Buildings</t>
        </is>
      </c>
      <c r="C4444" t="inlineStr">
        <is>
          <t>Good</t>
        </is>
      </c>
      <c r="F4444" t="n">
        <v>35</v>
      </c>
      <c r="G4444" t="n">
        <v>30</v>
      </c>
      <c r="H4444" t="n">
        <v>30</v>
      </c>
      <c r="I4444">
        <f>B4444&amp;"~"&amp;C4444</f>
        <v/>
      </c>
      <c r="J4444" t="inlineStr">
        <is>
          <t>Utility buildings and arch-rib, light commercial, good</t>
        </is>
      </c>
    </row>
    <row r="4445">
      <c r="B4445" t="inlineStr">
        <is>
          <t>Light Commercial Arch-Rib (Quonset) Buildings</t>
        </is>
      </c>
      <c r="C4445" t="inlineStr">
        <is>
          <t>Average</t>
        </is>
      </c>
      <c r="F4445" t="n">
        <v>30</v>
      </c>
      <c r="G4445" t="n">
        <v>25</v>
      </c>
      <c r="H4445" t="n">
        <v>25</v>
      </c>
      <c r="I4445">
        <f>B4445&amp;"~"&amp;C4445</f>
        <v/>
      </c>
      <c r="J4445" t="inlineStr">
        <is>
          <t>average</t>
        </is>
      </c>
    </row>
    <row r="4446">
      <c r="B4446" t="inlineStr">
        <is>
          <t>Light Commercial Arch-Rib (Quonset) Buildings</t>
        </is>
      </c>
      <c r="C4446" t="inlineStr">
        <is>
          <t>Low Cost</t>
        </is>
      </c>
      <c r="G4446" t="n">
        <v>20</v>
      </c>
      <c r="H4446" t="n">
        <v>20</v>
      </c>
      <c r="I4446">
        <f>B4446&amp;"~"&amp;C4446</f>
        <v/>
      </c>
      <c r="J4446" t="inlineStr">
        <is>
          <t>low cost</t>
        </is>
      </c>
    </row>
    <row r="4447">
      <c r="B4447" t="inlineStr">
        <is>
          <t>Light Commercial Equipment (Shop) Buildings</t>
        </is>
      </c>
      <c r="C4447" t="inlineStr">
        <is>
          <t>Good</t>
        </is>
      </c>
      <c r="F4447" t="n">
        <v>35</v>
      </c>
      <c r="G4447" t="n">
        <v>30</v>
      </c>
      <c r="H4447" t="n">
        <v>30</v>
      </c>
      <c r="I4447">
        <f>B4447&amp;"~"&amp;C4447</f>
        <v/>
      </c>
      <c r="J4447" t="inlineStr">
        <is>
          <t>Equipment shop buildings, good</t>
        </is>
      </c>
    </row>
    <row r="4448">
      <c r="B4448" t="inlineStr">
        <is>
          <t>Light Commercial Equipment (Shop) Buildings</t>
        </is>
      </c>
      <c r="C4448" t="inlineStr">
        <is>
          <t>Average</t>
        </is>
      </c>
      <c r="F4448" t="n">
        <v>30</v>
      </c>
      <c r="G4448" t="n">
        <v>25</v>
      </c>
      <c r="H4448" t="n">
        <v>25</v>
      </c>
      <c r="I4448">
        <f>B4448&amp;"~"&amp;C4448</f>
        <v/>
      </c>
      <c r="J4448" t="inlineStr">
        <is>
          <t>average</t>
        </is>
      </c>
    </row>
    <row r="4449">
      <c r="B4449" t="inlineStr">
        <is>
          <t>Light Commercial Equipment Sheds</t>
        </is>
      </c>
      <c r="C4449" t="inlineStr">
        <is>
          <t>Good</t>
        </is>
      </c>
      <c r="F4449" t="n">
        <v>30</v>
      </c>
      <c r="G4449" t="n">
        <v>25</v>
      </c>
      <c r="H4449" t="n">
        <v>25</v>
      </c>
      <c r="I4449">
        <f>B4449&amp;"~"&amp;C4449</f>
        <v/>
      </c>
      <c r="J4449" t="inlineStr">
        <is>
          <t>Equipment sheds, good</t>
        </is>
      </c>
    </row>
    <row r="4450">
      <c r="B4450" t="inlineStr">
        <is>
          <t>Light Commercial Equipment Sheds</t>
        </is>
      </c>
      <c r="C4450" t="inlineStr">
        <is>
          <t>Average</t>
        </is>
      </c>
      <c r="F4450" t="n">
        <v>25</v>
      </c>
      <c r="G4450" t="n">
        <v>20</v>
      </c>
      <c r="H4450" t="n">
        <v>20</v>
      </c>
      <c r="I4450">
        <f>B4450&amp;"~"&amp;C4450</f>
        <v/>
      </c>
      <c r="J4450" t="inlineStr">
        <is>
          <t>average</t>
        </is>
      </c>
    </row>
    <row r="4451">
      <c r="B4451" t="inlineStr">
        <is>
          <t>Shed Office Structures</t>
        </is>
      </c>
      <c r="C4451" t="inlineStr">
        <is>
          <t>Good</t>
        </is>
      </c>
      <c r="F4451" t="n">
        <v>40</v>
      </c>
      <c r="G4451" t="n">
        <v>35</v>
      </c>
      <c r="H4451" t="n">
        <v>35</v>
      </c>
      <c r="I4451">
        <f>B4451&amp;"~"&amp;C4451</f>
        <v/>
      </c>
      <c r="J4451" t="inlineStr">
        <is>
          <t>Shed office structures, good</t>
        </is>
      </c>
    </row>
    <row r="4452">
      <c r="B4452" t="inlineStr">
        <is>
          <t>Shed Office Structures</t>
        </is>
      </c>
      <c r="C4452" t="inlineStr">
        <is>
          <t>Average</t>
        </is>
      </c>
      <c r="F4452" t="n">
        <v>35</v>
      </c>
      <c r="G4452" t="n">
        <v>30</v>
      </c>
      <c r="H4452" t="n">
        <v>30</v>
      </c>
      <c r="I4452">
        <f>B4452&amp;"~"&amp;C4452</f>
        <v/>
      </c>
      <c r="J4452" t="inlineStr">
        <is>
          <t>average</t>
        </is>
      </c>
    </row>
    <row r="4453">
      <c r="B4453" t="inlineStr">
        <is>
          <t>Shed Office Structures</t>
        </is>
      </c>
      <c r="C4453" t="inlineStr">
        <is>
          <t>Low Cost</t>
        </is>
      </c>
      <c r="G4453" t="n">
        <v>25</v>
      </c>
      <c r="H4453" t="n">
        <v>25</v>
      </c>
      <c r="I4453">
        <f>B4453&amp;"~"&amp;C4453</f>
        <v/>
      </c>
      <c r="J4453" t="inlineStr">
        <is>
          <t>low cost</t>
        </is>
      </c>
    </row>
    <row r="4454">
      <c r="B4454" t="inlineStr">
        <is>
          <t>Golf Cart Storage Buildings</t>
        </is>
      </c>
      <c r="C4454" t="inlineStr">
        <is>
          <t>Excellent</t>
        </is>
      </c>
      <c r="G4454" t="n">
        <v>35</v>
      </c>
      <c r="H4454" t="n">
        <v>30</v>
      </c>
      <c r="I4454">
        <f>B4454&amp;"~"&amp;C4454</f>
        <v/>
      </c>
      <c r="J4454" t="inlineStr">
        <is>
          <t>Golf cart storage buildings, good</t>
        </is>
      </c>
    </row>
    <row r="4455">
      <c r="B4455" t="inlineStr">
        <is>
          <t>Golf Cart Storage Buildings</t>
        </is>
      </c>
      <c r="C4455" t="inlineStr">
        <is>
          <t>Good</t>
        </is>
      </c>
      <c r="G4455" t="n">
        <v>35</v>
      </c>
      <c r="H4455" t="n">
        <v>30</v>
      </c>
      <c r="I4455">
        <f>B4455&amp;"~"&amp;C4455</f>
        <v/>
      </c>
      <c r="J4455" t="inlineStr">
        <is>
          <t>Golf cart storage buildings, good</t>
        </is>
      </c>
    </row>
    <row r="4456">
      <c r="B4456" t="inlineStr">
        <is>
          <t>Golf Cart Storage Buildings</t>
        </is>
      </c>
      <c r="C4456" t="inlineStr">
        <is>
          <t>Average</t>
        </is>
      </c>
      <c r="G4456" t="n">
        <v>30</v>
      </c>
      <c r="H4456" t="n">
        <v>25</v>
      </c>
      <c r="I4456">
        <f>B4456&amp;"~"&amp;C4456</f>
        <v/>
      </c>
      <c r="J4456" t="inlineStr">
        <is>
          <t>average</t>
        </is>
      </c>
    </row>
    <row r="4457">
      <c r="B4457" t="inlineStr">
        <is>
          <t>Golf Starter (Guard House) Booths</t>
        </is>
      </c>
      <c r="C4457" t="inlineStr">
        <is>
          <t>Excellent</t>
        </is>
      </c>
      <c r="F4457" t="n">
        <v>40</v>
      </c>
      <c r="G4457" t="n">
        <v>35</v>
      </c>
      <c r="I4457">
        <f>B4457&amp;"~"&amp;C4457</f>
        <v/>
      </c>
      <c r="J4457" t="inlineStr">
        <is>
          <t>Golf starter booths, excellent</t>
        </is>
      </c>
    </row>
    <row r="4458">
      <c r="B4458" t="inlineStr">
        <is>
          <t>Golf Starter (Guard House) Booths</t>
        </is>
      </c>
      <c r="C4458" t="inlineStr">
        <is>
          <t>Good</t>
        </is>
      </c>
      <c r="F4458" t="n">
        <v>35</v>
      </c>
      <c r="G4458" t="n">
        <v>30</v>
      </c>
      <c r="H4458" t="n">
        <v>25</v>
      </c>
      <c r="I4458">
        <f>B4458&amp;"~"&amp;C4458</f>
        <v/>
      </c>
      <c r="J4458" t="inlineStr">
        <is>
          <t>good</t>
        </is>
      </c>
    </row>
    <row r="4459">
      <c r="B4459" t="inlineStr">
        <is>
          <t>Golf Starter (Guard House) Booths</t>
        </is>
      </c>
      <c r="C4459" t="inlineStr">
        <is>
          <t>Average</t>
        </is>
      </c>
      <c r="F4459" t="n">
        <v>25</v>
      </c>
      <c r="G4459" t="n">
        <v>20</v>
      </c>
      <c r="H4459" t="n">
        <v>20</v>
      </c>
      <c r="I4459">
        <f>B4459&amp;"~"&amp;C4459</f>
        <v/>
      </c>
      <c r="J4459" t="inlineStr">
        <is>
          <t>average</t>
        </is>
      </c>
    </row>
    <row r="4460">
      <c r="B4460" t="inlineStr">
        <is>
          <t>Golf Starter (Guard House) Booths</t>
        </is>
      </c>
      <c r="C4460" t="inlineStr">
        <is>
          <t>Low Cost</t>
        </is>
      </c>
      <c r="G4460" t="n">
        <v>15</v>
      </c>
      <c r="H4460" t="n">
        <v>10</v>
      </c>
      <c r="I4460">
        <f>B4460&amp;"~"&amp;C4460</f>
        <v/>
      </c>
      <c r="J4460" t="inlineStr">
        <is>
          <t>low cost</t>
        </is>
      </c>
    </row>
    <row r="4461">
      <c r="B4461" t="inlineStr">
        <is>
          <t>Material Storage Buildings</t>
        </is>
      </c>
      <c r="C4461" t="inlineStr">
        <is>
          <t>Very Good</t>
        </is>
      </c>
      <c r="F4461" t="n">
        <v>30</v>
      </c>
      <c r="G4461" t="n">
        <v>25</v>
      </c>
      <c r="H4461" t="n">
        <v>25</v>
      </c>
      <c r="I4461">
        <f>B4461&amp;"~"&amp;C4461</f>
        <v/>
      </c>
      <c r="J4461" t="inlineStr">
        <is>
          <t>Material storage buildings, good</t>
        </is>
      </c>
    </row>
    <row r="4462">
      <c r="B4462" t="inlineStr">
        <is>
          <t>Material Storage Buildings</t>
        </is>
      </c>
      <c r="C4462" t="inlineStr">
        <is>
          <t>Good</t>
        </is>
      </c>
      <c r="F4462" t="n">
        <v>30</v>
      </c>
      <c r="G4462" t="n">
        <v>25</v>
      </c>
      <c r="H4462" t="n">
        <v>25</v>
      </c>
      <c r="I4462">
        <f>B4462&amp;"~"&amp;C4462</f>
        <v/>
      </c>
      <c r="J4462" t="inlineStr">
        <is>
          <t>Material storage buildings, good</t>
        </is>
      </c>
    </row>
    <row r="4463">
      <c r="B4463" t="inlineStr">
        <is>
          <t>Material Storage Buildings</t>
        </is>
      </c>
      <c r="C4463" t="inlineStr">
        <is>
          <t>Average</t>
        </is>
      </c>
      <c r="F4463" t="n">
        <v>25</v>
      </c>
      <c r="G4463" t="n">
        <v>20</v>
      </c>
      <c r="H4463" t="n">
        <v>20</v>
      </c>
      <c r="I4463">
        <f>B4463&amp;"~"&amp;C4463</f>
        <v/>
      </c>
      <c r="J4463" t="inlineStr">
        <is>
          <t>average</t>
        </is>
      </c>
    </row>
    <row r="4464">
      <c r="B4464" t="inlineStr">
        <is>
          <t>Material Storage Sheds</t>
        </is>
      </c>
      <c r="C4464" t="inlineStr">
        <is>
          <t>Average</t>
        </is>
      </c>
      <c r="F4464" t="n">
        <v>25</v>
      </c>
      <c r="G4464" t="n">
        <v>20</v>
      </c>
      <c r="H4464" t="n">
        <v>20</v>
      </c>
      <c r="I4464">
        <f>B4464&amp;"~"&amp;C4464</f>
        <v/>
      </c>
      <c r="J4464" t="inlineStr">
        <is>
          <t>Material storage sheds, average</t>
        </is>
      </c>
    </row>
    <row r="4465">
      <c r="B4465" t="inlineStr">
        <is>
          <t>Material Storage Sheds</t>
        </is>
      </c>
      <c r="C4465" t="inlineStr">
        <is>
          <t>Low Cost</t>
        </is>
      </c>
      <c r="F4465" t="n">
        <v>20</v>
      </c>
      <c r="G4465" t="n">
        <v>15</v>
      </c>
      <c r="H4465" t="n">
        <v>15</v>
      </c>
      <c r="I4465">
        <f>B4465&amp;"~"&amp;C4465</f>
        <v/>
      </c>
      <c r="J4465" t="inlineStr">
        <is>
          <t>low cost</t>
        </is>
      </c>
    </row>
    <row r="4466">
      <c r="B4466" t="inlineStr">
        <is>
          <t>Bulk Oil Storage</t>
        </is>
      </c>
      <c r="C4466" t="inlineStr">
        <is>
          <t>Average</t>
        </is>
      </c>
      <c r="G4466" t="n">
        <v>30</v>
      </c>
      <c r="H4466" t="n">
        <v>30</v>
      </c>
      <c r="I4466">
        <f>B4466&amp;"~"&amp;C4466</f>
        <v/>
      </c>
      <c r="J4466" t="inlineStr">
        <is>
          <t>Bulk oil storage, average</t>
        </is>
      </c>
    </row>
    <row r="4467">
      <c r="B4467" t="inlineStr">
        <is>
          <t>Lumber Storage Buildings</t>
        </is>
      </c>
      <c r="C4467" t="inlineStr">
        <is>
          <t>Good</t>
        </is>
      </c>
      <c r="G4467" t="n">
        <v>25</v>
      </c>
      <c r="H4467" t="n">
        <v>25</v>
      </c>
      <c r="I4467">
        <f>B4467&amp;"~"&amp;C4467</f>
        <v/>
      </c>
      <c r="J4467" t="inlineStr">
        <is>
          <t>Lumber storage buildings, good</t>
        </is>
      </c>
    </row>
    <row r="4468">
      <c r="B4468" t="inlineStr">
        <is>
          <t>Lumber Storage Buildings</t>
        </is>
      </c>
      <c r="C4468" t="inlineStr">
        <is>
          <t>Average</t>
        </is>
      </c>
      <c r="G4468" t="n">
        <v>20</v>
      </c>
      <c r="H4468" t="n">
        <v>20</v>
      </c>
      <c r="I4468">
        <f>B4468&amp;"~"&amp;C4468</f>
        <v/>
      </c>
      <c r="J4468" t="inlineStr">
        <is>
          <t>average</t>
        </is>
      </c>
    </row>
    <row r="4469">
      <c r="B4469" t="inlineStr">
        <is>
          <t>Lumber Storage Buildings</t>
        </is>
      </c>
      <c r="C4469" t="inlineStr">
        <is>
          <t>Low Cost</t>
        </is>
      </c>
      <c r="G4469" t="n">
        <v>15</v>
      </c>
      <c r="H4469" t="n">
        <v>15</v>
      </c>
      <c r="I4469">
        <f>B4469&amp;"~"&amp;C4469</f>
        <v/>
      </c>
      <c r="J4469" t="inlineStr">
        <is>
          <t>low cost</t>
        </is>
      </c>
    </row>
    <row r="4470">
      <c r="B4470" t="inlineStr">
        <is>
          <t>Lumber Storage Sheds</t>
        </is>
      </c>
      <c r="C4470" t="inlineStr">
        <is>
          <t>Good</t>
        </is>
      </c>
      <c r="G4470" t="n">
        <v>25</v>
      </c>
      <c r="H4470" t="n">
        <v>20</v>
      </c>
      <c r="I4470">
        <f>B4470&amp;"~"&amp;C4470</f>
        <v/>
      </c>
      <c r="J4470" t="inlineStr">
        <is>
          <t>Lumber storage sheds, good</t>
        </is>
      </c>
    </row>
    <row r="4471">
      <c r="B4471" t="inlineStr">
        <is>
          <t>Lumber Storage Sheds</t>
        </is>
      </c>
      <c r="C4471" t="inlineStr">
        <is>
          <t>Average</t>
        </is>
      </c>
      <c r="G4471" t="n">
        <v>15</v>
      </c>
      <c r="H4471" t="n">
        <v>15</v>
      </c>
      <c r="I4471">
        <f>B4471&amp;"~"&amp;C4471</f>
        <v/>
      </c>
      <c r="J4471" t="inlineStr">
        <is>
          <t>low cost and average</t>
        </is>
      </c>
    </row>
    <row r="4472">
      <c r="B4472" t="inlineStr">
        <is>
          <t>Lumber Storage Sheds</t>
        </is>
      </c>
      <c r="C4472" t="inlineStr">
        <is>
          <t>Low Cost</t>
        </is>
      </c>
      <c r="G4472" t="n">
        <v>15</v>
      </c>
      <c r="H4472" t="n">
        <v>15</v>
      </c>
      <c r="I4472">
        <f>B4472&amp;"~"&amp;C4472</f>
        <v/>
      </c>
      <c r="J4472" t="inlineStr">
        <is>
          <t>low cost and average</t>
        </is>
      </c>
    </row>
    <row r="4473">
      <c r="B4473" t="inlineStr">
        <is>
          <t>Boat Storage Buildings</t>
        </is>
      </c>
      <c r="C4473" t="inlineStr">
        <is>
          <t>Average</t>
        </is>
      </c>
      <c r="G4473" t="n">
        <v>25</v>
      </c>
      <c r="H4473" t="n">
        <v>25</v>
      </c>
      <c r="I4473">
        <f>B4473&amp;"~"&amp;C4473</f>
        <v/>
      </c>
      <c r="J4473" t="inlineStr">
        <is>
          <t>average</t>
        </is>
      </c>
    </row>
    <row r="4474">
      <c r="B4474" t="inlineStr">
        <is>
          <t>Boat Storage Buildings</t>
        </is>
      </c>
      <c r="C4474" t="inlineStr">
        <is>
          <t>Low Cost</t>
        </is>
      </c>
      <c r="G4474" t="n">
        <v>20</v>
      </c>
      <c r="H4474" t="n">
        <v>20</v>
      </c>
      <c r="I4474">
        <f>B4474&amp;"~"&amp;C4474</f>
        <v/>
      </c>
      <c r="J4474" t="inlineStr">
        <is>
          <t>low cost</t>
        </is>
      </c>
    </row>
    <row r="4475">
      <c r="B4475" t="inlineStr">
        <is>
          <t>Boat Storage Buildings</t>
        </is>
      </c>
      <c r="C4475" t="inlineStr">
        <is>
          <t>Good</t>
        </is>
      </c>
      <c r="H4475" t="n">
        <v>30</v>
      </c>
      <c r="I4475">
        <f>B4475&amp;"~"&amp;C4475</f>
        <v/>
      </c>
      <c r="J4475" t="inlineStr">
        <is>
          <t>Boat storage buildings, good</t>
        </is>
      </c>
    </row>
    <row r="4476">
      <c r="B4476" t="inlineStr">
        <is>
          <t>Boat Storage Sheds</t>
        </is>
      </c>
      <c r="C4476" t="inlineStr">
        <is>
          <t>Good</t>
        </is>
      </c>
      <c r="G4476" t="n">
        <v>20</v>
      </c>
      <c r="H4476" t="n">
        <v>20</v>
      </c>
      <c r="I4476">
        <f>B4476&amp;"~"&amp;C4476</f>
        <v/>
      </c>
      <c r="J4476" t="inlineStr">
        <is>
          <t>Boat storage sheds, good</t>
        </is>
      </c>
    </row>
    <row r="4477">
      <c r="B4477" t="inlineStr">
        <is>
          <t>Boat Storage Sheds</t>
        </is>
      </c>
      <c r="C4477" t="inlineStr">
        <is>
          <t>Average</t>
        </is>
      </c>
      <c r="G4477" t="n">
        <v>15</v>
      </c>
      <c r="H4477" t="n">
        <v>15</v>
      </c>
      <c r="I4477">
        <f>B4477&amp;"~"&amp;C4477</f>
        <v/>
      </c>
      <c r="J4477" t="inlineStr">
        <is>
          <t>low cost and average</t>
        </is>
      </c>
    </row>
    <row r="4478">
      <c r="B4478" t="inlineStr">
        <is>
          <t>Boat Storage Sheds</t>
        </is>
      </c>
      <c r="C4478" t="inlineStr">
        <is>
          <t>Low Cost</t>
        </is>
      </c>
      <c r="G4478" t="n">
        <v>15</v>
      </c>
      <c r="H4478" t="n">
        <v>15</v>
      </c>
      <c r="I4478">
        <f>B4478&amp;"~"&amp;C4478</f>
        <v/>
      </c>
      <c r="J4478" t="inlineStr">
        <is>
          <t>low cost and average</t>
        </is>
      </c>
    </row>
    <row r="4479">
      <c r="B4479" t="inlineStr">
        <is>
          <t>Bag Fertilizer Storage</t>
        </is>
      </c>
      <c r="C4479" t="inlineStr">
        <is>
          <t>Average</t>
        </is>
      </c>
      <c r="G4479" t="n">
        <v>30</v>
      </c>
      <c r="H4479" t="n">
        <v>30</v>
      </c>
      <c r="I4479">
        <f>B4479&amp;"~"&amp;C4479</f>
        <v/>
      </c>
      <c r="J4479" t="inlineStr">
        <is>
          <t>Bag fertilizer storage, average</t>
        </is>
      </c>
    </row>
    <row r="4480">
      <c r="B4480" t="inlineStr">
        <is>
          <t>Bulk Fertilizer Storage</t>
        </is>
      </c>
      <c r="C4480" t="inlineStr">
        <is>
          <t>Average</t>
        </is>
      </c>
      <c r="F4480" t="n">
        <v>35</v>
      </c>
      <c r="G4480" t="n">
        <v>30</v>
      </c>
      <c r="H4480" t="n">
        <v>30</v>
      </c>
      <c r="I4480">
        <f>B4480&amp;"~"&amp;C4480</f>
        <v/>
      </c>
      <c r="J4480" t="inlineStr">
        <is>
          <t>Bulk fertilizer storage, average</t>
        </is>
      </c>
    </row>
    <row r="4481">
      <c r="B4481" t="inlineStr">
        <is>
          <t>Tobacco Barns – Flue Curing</t>
        </is>
      </c>
      <c r="C4481" t="inlineStr">
        <is>
          <t>Average</t>
        </is>
      </c>
      <c r="F4481" t="n">
        <v>25</v>
      </c>
      <c r="G4481" t="n">
        <v>20</v>
      </c>
      <c r="H4481" t="n">
        <v>20</v>
      </c>
      <c r="I4481">
        <f>B4481&amp;"~"&amp;C4481</f>
        <v/>
      </c>
      <c r="J4481" t="inlineStr">
        <is>
          <t>Tobacco barns, flue curing, average</t>
        </is>
      </c>
    </row>
    <row r="4482">
      <c r="B4482" t="inlineStr">
        <is>
          <t>Tobacco Barns – Air Curing</t>
        </is>
      </c>
      <c r="C4482" t="inlineStr">
        <is>
          <t>Average</t>
        </is>
      </c>
      <c r="G4482" t="n">
        <v>25</v>
      </c>
      <c r="I4482">
        <f>B4482&amp;"~"&amp;C4482</f>
        <v/>
      </c>
      <c r="J4482" t="inlineStr">
        <is>
          <t>air curing, average</t>
        </is>
      </c>
    </row>
    <row r="4483">
      <c r="B4483" t="inlineStr">
        <is>
          <t>Tobacco Barns – Air Curing</t>
        </is>
      </c>
      <c r="C4483" t="inlineStr">
        <is>
          <t>Low Cost</t>
        </is>
      </c>
      <c r="G4483" t="n">
        <v>20</v>
      </c>
      <c r="I4483">
        <f>B4483&amp;"~"&amp;C4483</f>
        <v/>
      </c>
      <c r="J4483" t="inlineStr">
        <is>
          <t>low cost</t>
        </is>
      </c>
    </row>
    <row r="4484">
      <c r="B4484" t="inlineStr">
        <is>
          <t>Dehydrator Shed Buildings</t>
        </is>
      </c>
      <c r="C4484" t="inlineStr">
        <is>
          <t>Average</t>
        </is>
      </c>
      <c r="F4484" t="n">
        <v>35</v>
      </c>
      <c r="I4484">
        <f>B4484&amp;"~"&amp;C4484</f>
        <v/>
      </c>
      <c r="J4484" t="inlineStr">
        <is>
          <t>Dehydrator buildings, average</t>
        </is>
      </c>
    </row>
    <row r="4485">
      <c r="B4485" t="inlineStr">
        <is>
          <t>Farm Cold Storage Buildings</t>
        </is>
      </c>
      <c r="C4485" t="inlineStr">
        <is>
          <t>Good</t>
        </is>
      </c>
      <c r="F4485" t="n">
        <v>40</v>
      </c>
      <c r="G4485" t="n">
        <v>35</v>
      </c>
      <c r="H4485" t="n">
        <v>35</v>
      </c>
      <c r="I4485">
        <f>B4485&amp;"~"&amp;C4485</f>
        <v/>
      </c>
      <c r="J4485" t="inlineStr">
        <is>
          <t>Cold storage buildings, good</t>
        </is>
      </c>
    </row>
    <row r="4486">
      <c r="B4486" t="inlineStr">
        <is>
          <t>Farm Cold Storage Buildings</t>
        </is>
      </c>
      <c r="C4486" t="inlineStr">
        <is>
          <t>Average</t>
        </is>
      </c>
      <c r="F4486" t="n">
        <v>35</v>
      </c>
      <c r="G4486" t="n">
        <v>30</v>
      </c>
      <c r="H4486" t="n">
        <v>30</v>
      </c>
      <c r="I4486">
        <f>B4486&amp;"~"&amp;C4486</f>
        <v/>
      </c>
      <c r="J4486" t="inlineStr">
        <is>
          <t>average</t>
        </is>
      </c>
    </row>
    <row r="4487">
      <c r="B4487" t="inlineStr">
        <is>
          <t>Farm Cold Storage Buildings</t>
        </is>
      </c>
      <c r="C4487" t="inlineStr">
        <is>
          <t>Low Cost</t>
        </is>
      </c>
      <c r="F4487" t="n">
        <v>30</v>
      </c>
      <c r="G4487" t="n">
        <v>25</v>
      </c>
      <c r="H4487" t="n">
        <v>25</v>
      </c>
      <c r="I4487">
        <f>B4487&amp;"~"&amp;C4487</f>
        <v/>
      </c>
      <c r="J4487" t="inlineStr">
        <is>
          <t>low cost</t>
        </is>
      </c>
    </row>
    <row r="4488">
      <c r="B4488" t="inlineStr">
        <is>
          <t>Fruit Packing Barns</t>
        </is>
      </c>
      <c r="C4488" t="inlineStr">
        <is>
          <t>Average</t>
        </is>
      </c>
      <c r="F4488" t="n">
        <v>30</v>
      </c>
      <c r="G4488" t="n">
        <v>25</v>
      </c>
      <c r="H4488" t="n">
        <v>25</v>
      </c>
      <c r="I4488">
        <f>B4488&amp;"~"&amp;C4488</f>
        <v/>
      </c>
      <c r="J4488" t="inlineStr">
        <is>
          <t>Fruit-packing barns, average</t>
        </is>
      </c>
    </row>
    <row r="4489">
      <c r="B4489" t="inlineStr">
        <is>
          <t>Potato Storage Buildings</t>
        </is>
      </c>
      <c r="C4489" t="inlineStr">
        <is>
          <t>Good</t>
        </is>
      </c>
      <c r="F4489" t="n">
        <v>30</v>
      </c>
      <c r="G4489" t="n">
        <v>25</v>
      </c>
      <c r="H4489" t="n">
        <v>25</v>
      </c>
      <c r="I4489">
        <f>B4489&amp;"~"&amp;C4489</f>
        <v/>
      </c>
      <c r="J4489" t="inlineStr">
        <is>
          <t>Potato storage buildings, good</t>
        </is>
      </c>
    </row>
    <row r="4490">
      <c r="B4490" t="inlineStr">
        <is>
          <t>Potato Storage Buildings</t>
        </is>
      </c>
      <c r="C4490" t="inlineStr">
        <is>
          <t>Average</t>
        </is>
      </c>
      <c r="F4490" t="n">
        <v>25</v>
      </c>
      <c r="G4490" t="n">
        <v>20</v>
      </c>
      <c r="H4490" t="n">
        <v>20</v>
      </c>
      <c r="I4490">
        <f>B4490&amp;"~"&amp;C4490</f>
        <v/>
      </c>
      <c r="J4490" t="inlineStr">
        <is>
          <t>average</t>
        </is>
      </c>
    </row>
    <row r="4491">
      <c r="B4491" t="inlineStr">
        <is>
          <t>Potato Storage Buildings</t>
        </is>
      </c>
      <c r="C4491" t="inlineStr">
        <is>
          <t>Low Cost</t>
        </is>
      </c>
      <c r="F4491" t="n">
        <v>20</v>
      </c>
      <c r="G4491" t="n">
        <v>15</v>
      </c>
      <c r="H4491" t="n">
        <v>15</v>
      </c>
      <c r="I4491">
        <f>B4491&amp;"~"&amp;C4491</f>
        <v/>
      </c>
      <c r="J4491" t="inlineStr">
        <is>
          <t>cheap and low cost</t>
        </is>
      </c>
    </row>
    <row r="4492">
      <c r="B4492" t="inlineStr">
        <is>
          <t>Potato Storage Buildings</t>
        </is>
      </c>
      <c r="C4492" t="inlineStr">
        <is>
          <t>Cheap</t>
        </is>
      </c>
      <c r="F4492" t="n">
        <v>20</v>
      </c>
      <c r="G4492" t="n">
        <v>15</v>
      </c>
      <c r="H4492" t="n">
        <v>15</v>
      </c>
      <c r="I4492">
        <f>B4492&amp;"~"&amp;C4492</f>
        <v/>
      </c>
      <c r="J4492" t="inlineStr">
        <is>
          <t>cheap and low cost</t>
        </is>
      </c>
    </row>
    <row r="4493">
      <c r="B4493" t="inlineStr">
        <is>
          <t>Vegetable Buildings – Environmental</t>
        </is>
      </c>
      <c r="C4493" t="inlineStr">
        <is>
          <t>Good</t>
        </is>
      </c>
      <c r="H4493" t="n">
        <v>35</v>
      </c>
      <c r="I4493">
        <f>B4493&amp;"~"&amp;C4493</f>
        <v/>
      </c>
      <c r="J4493" t="inlineStr">
        <is>
          <t>Vegetable storage buildings, good</t>
        </is>
      </c>
    </row>
    <row r="4494">
      <c r="B4494" t="inlineStr">
        <is>
          <t>Vegetable Buildings – Environmental</t>
        </is>
      </c>
      <c r="C4494" t="inlineStr">
        <is>
          <t>Fair</t>
        </is>
      </c>
      <c r="H4494" t="n">
        <v>30</v>
      </c>
      <c r="I4494">
        <f>B4494&amp;"~"&amp;C4494</f>
        <v/>
      </c>
      <c r="J4494" t="inlineStr">
        <is>
          <t>low cost and fair</t>
        </is>
      </c>
    </row>
    <row r="4495">
      <c r="B4495" t="inlineStr">
        <is>
          <t>Vegetable Buildings – Environmental</t>
        </is>
      </c>
      <c r="C4495" t="inlineStr">
        <is>
          <t>Low Cost</t>
        </is>
      </c>
      <c r="H4495" t="n">
        <v>30</v>
      </c>
      <c r="I4495">
        <f>B4495&amp;"~"&amp;C4495</f>
        <v/>
      </c>
      <c r="J4495" t="inlineStr">
        <is>
          <t>low cost and fair</t>
        </is>
      </c>
    </row>
    <row r="4496">
      <c r="B4496" t="inlineStr">
        <is>
          <t>Controlled Atmosphere Buildings</t>
        </is>
      </c>
      <c r="C4496" t="inlineStr">
        <is>
          <t>Average</t>
        </is>
      </c>
      <c r="F4496" t="n">
        <v>35</v>
      </c>
      <c r="G4496" t="n">
        <v>30</v>
      </c>
      <c r="H4496" t="n">
        <v>30</v>
      </c>
      <c r="I4496">
        <f>B4496&amp;"~"&amp;C4496</f>
        <v/>
      </c>
      <c r="J4496" t="inlineStr">
        <is>
          <t>Controlled atmosphere storage, average</t>
        </is>
      </c>
    </row>
    <row r="4497">
      <c r="B4497" t="inlineStr">
        <is>
          <t>Greenhouse – Straight-Wall Structures</t>
        </is>
      </c>
      <c r="C4497" t="inlineStr">
        <is>
          <t>Average</t>
        </is>
      </c>
      <c r="G4497" t="n">
        <v>20</v>
      </c>
      <c r="H4497" t="n">
        <v>25</v>
      </c>
      <c r="I4497">
        <f>B4497&amp;"~"&amp;C4497</f>
        <v/>
      </c>
      <c r="J4497" t="inlineStr">
        <is>
          <t>average</t>
        </is>
      </c>
    </row>
    <row r="4498">
      <c r="B4498" t="inlineStr">
        <is>
          <t>Greenhouse – Straight-Wall Structures</t>
        </is>
      </c>
      <c r="C4498" t="inlineStr">
        <is>
          <t>Fair</t>
        </is>
      </c>
      <c r="G4498" t="n">
        <v>15</v>
      </c>
      <c r="H4498" t="n">
        <v>20</v>
      </c>
      <c r="I4498">
        <f>B4498&amp;"~"&amp;C4498</f>
        <v/>
      </c>
      <c r="J4498" t="inlineStr">
        <is>
          <t>fair</t>
        </is>
      </c>
    </row>
    <row r="4499">
      <c r="B4499" t="inlineStr">
        <is>
          <t>Greenhouse – Straight-Wall Structures</t>
        </is>
      </c>
      <c r="C4499" t="inlineStr">
        <is>
          <t>Low Cost</t>
        </is>
      </c>
      <c r="G4499" t="n">
        <v>10</v>
      </c>
      <c r="H4499" t="n">
        <v>15</v>
      </c>
      <c r="I4499">
        <f>B4499&amp;"~"&amp;C4499</f>
        <v/>
      </c>
      <c r="J4499" t="inlineStr">
        <is>
          <t>cheap and low cost</t>
        </is>
      </c>
    </row>
    <row r="4500">
      <c r="B4500" t="inlineStr">
        <is>
          <t>Greenhouse – Straight-Wall Structures</t>
        </is>
      </c>
      <c r="C4500" t="inlineStr">
        <is>
          <t>Cheap</t>
        </is>
      </c>
      <c r="G4500" t="n">
        <v>10</v>
      </c>
      <c r="H4500" t="n">
        <v>15</v>
      </c>
      <c r="I4500">
        <f>B4500&amp;"~"&amp;C4500</f>
        <v/>
      </c>
      <c r="J4500" t="inlineStr">
        <is>
          <t>cheap and low cost</t>
        </is>
      </c>
    </row>
    <row r="4501">
      <c r="B4501" t="inlineStr">
        <is>
          <t>Greenhouse – Straight-Wall Structures</t>
        </is>
      </c>
      <c r="C4501" t="inlineStr">
        <is>
          <t>Excellent</t>
        </is>
      </c>
      <c r="H4501" t="n">
        <v>40</v>
      </c>
      <c r="I4501">
        <f>B4501&amp;"~"&amp;C4501</f>
        <v/>
      </c>
      <c r="J4501" t="inlineStr">
        <is>
          <t>Greenhouses, straight wall, very good and excellent</t>
        </is>
      </c>
    </row>
    <row r="4502">
      <c r="B4502" t="inlineStr">
        <is>
          <t>Greenhouse – Straight-Wall Structures</t>
        </is>
      </c>
      <c r="C4502" t="inlineStr">
        <is>
          <t>Very Good</t>
        </is>
      </c>
      <c r="H4502" t="n">
        <v>40</v>
      </c>
      <c r="I4502">
        <f>B4502&amp;"~"&amp;C4502</f>
        <v/>
      </c>
      <c r="J4502" t="inlineStr">
        <is>
          <t>Greenhouses, straight wall, very good and excellent</t>
        </is>
      </c>
    </row>
    <row r="4503">
      <c r="B4503" t="inlineStr">
        <is>
          <t>Greenhouse – Straight-Wall Structures</t>
        </is>
      </c>
      <c r="C4503" t="inlineStr">
        <is>
          <t>Good</t>
        </is>
      </c>
      <c r="H4503" t="n">
        <v>35</v>
      </c>
      <c r="I4503">
        <f>B4503&amp;"~"&amp;C4503</f>
        <v/>
      </c>
      <c r="J4503" t="inlineStr">
        <is>
          <t>good</t>
        </is>
      </c>
    </row>
    <row r="4504">
      <c r="B4504" t="inlineStr">
        <is>
          <t>Greenhouse – Hoop (Arch-Rib/Quonset) Structures</t>
        </is>
      </c>
      <c r="C4504" t="inlineStr">
        <is>
          <t>Low Cost</t>
        </is>
      </c>
      <c r="G4504" t="n">
        <v>10</v>
      </c>
      <c r="H4504" t="n">
        <v>10</v>
      </c>
      <c r="I4504">
        <f>B4504&amp;"~"&amp;C4504</f>
        <v/>
      </c>
      <c r="J4504" t="inlineStr">
        <is>
          <t>cheap and low cost</t>
        </is>
      </c>
    </row>
    <row r="4505">
      <c r="B4505" t="inlineStr">
        <is>
          <t>Greenhouse – Hoop (Arch-Rib/Quonset) Structures</t>
        </is>
      </c>
      <c r="C4505" t="inlineStr">
        <is>
          <t>Very Good</t>
        </is>
      </c>
      <c r="H4505" t="n">
        <v>35</v>
      </c>
      <c r="I4505">
        <f>B4505&amp;"~"&amp;C4505</f>
        <v/>
      </c>
      <c r="J4505" t="inlineStr">
        <is>
          <t>hoop structures, very good</t>
        </is>
      </c>
    </row>
    <row r="4506">
      <c r="B4506" t="inlineStr">
        <is>
          <t>Greenhouse – Hoop (Arch-Rib/Quonset) Structures</t>
        </is>
      </c>
      <c r="C4506" t="inlineStr">
        <is>
          <t>Good</t>
        </is>
      </c>
      <c r="H4506" t="n">
        <v>30</v>
      </c>
      <c r="I4506">
        <f>B4506&amp;"~"&amp;C4506</f>
        <v/>
      </c>
      <c r="J4506" t="inlineStr">
        <is>
          <t>good</t>
        </is>
      </c>
    </row>
    <row r="4507">
      <c r="B4507" t="inlineStr">
        <is>
          <t>Greenhouse – Hoop (Arch-Rib/Quonset) Structures</t>
        </is>
      </c>
      <c r="C4507" t="inlineStr">
        <is>
          <t>Average</t>
        </is>
      </c>
      <c r="H4507" t="n">
        <v>20</v>
      </c>
      <c r="I4507">
        <f>B4507&amp;"~"&amp;C4507</f>
        <v/>
      </c>
      <c r="J4507" t="inlineStr">
        <is>
          <t>average</t>
        </is>
      </c>
    </row>
    <row r="4508">
      <c r="B4508" t="inlineStr">
        <is>
          <t>Greenhouse – Hoop (Arch-Rib/Quonset) Structures</t>
        </is>
      </c>
      <c r="C4508" t="inlineStr">
        <is>
          <t>Fair</t>
        </is>
      </c>
      <c r="H4508" t="n">
        <v>15</v>
      </c>
      <c r="I4508">
        <f>B4508&amp;"~"&amp;C4508</f>
        <v/>
      </c>
      <c r="J4508" t="inlineStr">
        <is>
          <t>fair</t>
        </is>
      </c>
    </row>
    <row r="4509">
      <c r="B4509" t="inlineStr">
        <is>
          <t>Greenhouse – Hoop (Arch-Rib/Quonset) Structures</t>
        </is>
      </c>
      <c r="C4509" t="inlineStr">
        <is>
          <t>Cheap</t>
        </is>
      </c>
      <c r="G4509" t="n">
        <v>10</v>
      </c>
      <c r="H4509" t="n">
        <v>10</v>
      </c>
      <c r="I4509">
        <f>B4509&amp;"~"&amp;C4509</f>
        <v/>
      </c>
      <c r="J4509" t="inlineStr">
        <is>
          <t>cheap and low cost</t>
        </is>
      </c>
    </row>
    <row r="4510">
      <c r="B4510" t="inlineStr">
        <is>
          <t>Greenhouse Shade Shelters</t>
        </is>
      </c>
      <c r="C4510" t="inlineStr">
        <is>
          <t>Average</t>
        </is>
      </c>
      <c r="G4510" t="n">
        <v>10</v>
      </c>
      <c r="H4510" t="n">
        <v>10</v>
      </c>
      <c r="I4510">
        <f>B4510&amp;"~"&amp;C4510</f>
        <v/>
      </c>
      <c r="J4510" t="inlineStr">
        <is>
          <t>shade shelters, low cost and average</t>
        </is>
      </c>
    </row>
    <row r="4511">
      <c r="B4511" t="inlineStr">
        <is>
          <t>Greenhouse Shade Shelters</t>
        </is>
      </c>
      <c r="C4511" t="inlineStr">
        <is>
          <t>Low Cost</t>
        </is>
      </c>
      <c r="G4511" t="n">
        <v>10</v>
      </c>
      <c r="H4511" t="n">
        <v>10</v>
      </c>
      <c r="I4511">
        <f>B4511&amp;"~"&amp;C4511</f>
        <v/>
      </c>
      <c r="J4511" t="inlineStr">
        <is>
          <t>shade shelters, low cost and average</t>
        </is>
      </c>
    </row>
    <row r="4512">
      <c r="B4512" t="inlineStr">
        <is>
          <t>Lath Shade Houses</t>
        </is>
      </c>
      <c r="C4512" t="inlineStr">
        <is>
          <t>Average</t>
        </is>
      </c>
      <c r="G4512" t="n">
        <v>20</v>
      </c>
      <c r="H4512" t="n">
        <v>25</v>
      </c>
      <c r="I4512">
        <f>B4512&amp;"~"&amp;C4512</f>
        <v/>
      </c>
      <c r="J4512" t="inlineStr">
        <is>
          <t>Lath shade houses, average</t>
        </is>
      </c>
    </row>
    <row r="4513">
      <c r="B4513" t="inlineStr">
        <is>
          <t>Flathouse Storage Buildings</t>
        </is>
      </c>
      <c r="C4513" t="inlineStr">
        <is>
          <t>Good</t>
        </is>
      </c>
      <c r="F4513" t="n">
        <v>45</v>
      </c>
      <c r="G4513" t="n">
        <v>40</v>
      </c>
      <c r="H4513" t="n">
        <v>40</v>
      </c>
      <c r="I4513">
        <f>B4513&amp;"~"&amp;C4513</f>
        <v/>
      </c>
      <c r="J4513" t="inlineStr">
        <is>
          <t>Flathouse storage buildings, good</t>
        </is>
      </c>
    </row>
    <row r="4514">
      <c r="B4514" t="inlineStr">
        <is>
          <t>Flathouse Storage Buildings</t>
        </is>
      </c>
      <c r="C4514" t="inlineStr">
        <is>
          <t>Average</t>
        </is>
      </c>
      <c r="F4514" t="n">
        <v>35</v>
      </c>
      <c r="G4514" t="n">
        <v>30</v>
      </c>
      <c r="H4514" t="n">
        <v>30</v>
      </c>
      <c r="I4514">
        <f>B4514&amp;"~"&amp;C4514</f>
        <v/>
      </c>
      <c r="J4514" t="inlineStr">
        <is>
          <t>average</t>
        </is>
      </c>
    </row>
    <row r="4515">
      <c r="B4515" t="inlineStr">
        <is>
          <t>Feed Handling and Mixing Shed Building</t>
        </is>
      </c>
      <c r="C4515" t="inlineStr">
        <is>
          <t>Average</t>
        </is>
      </c>
      <c r="G4515" t="n">
        <v>20</v>
      </c>
      <c r="H4515" t="n">
        <v>20</v>
      </c>
      <c r="I4515">
        <f>B4515&amp;"~"&amp;C4515</f>
        <v/>
      </c>
      <c r="J4515" t="inlineStr">
        <is>
          <t>Feed handling and mixing, average</t>
        </is>
      </c>
    </row>
    <row r="4516">
      <c r="B4516" t="inlineStr">
        <is>
          <t>Cotton Gins</t>
        </is>
      </c>
      <c r="C4516" t="inlineStr">
        <is>
          <t>Average</t>
        </is>
      </c>
      <c r="H4516" t="n">
        <v>30</v>
      </c>
      <c r="I4516">
        <f>B4516&amp;"~"&amp;C4516</f>
        <v/>
      </c>
      <c r="J4516" t="inlineStr">
        <is>
          <t>Cotton gin buildings, average</t>
        </is>
      </c>
    </row>
    <row r="4517">
      <c r="B4517" t="inlineStr">
        <is>
          <t>Cotton Gins</t>
        </is>
      </c>
      <c r="C4517" t="inlineStr">
        <is>
          <t>Low Cost</t>
        </is>
      </c>
      <c r="H4517" t="n">
        <v>25</v>
      </c>
      <c r="I4517">
        <f>B4517&amp;"~"&amp;C4517</f>
        <v/>
      </c>
      <c r="J4517" t="inlineStr">
        <is>
          <t>low cost</t>
        </is>
      </c>
    </row>
    <row r="4518">
      <c r="B4518" t="inlineStr">
        <is>
          <t>Seed Processing Storage</t>
        </is>
      </c>
      <c r="C4518" t="inlineStr">
        <is>
          <t>Average</t>
        </is>
      </c>
      <c r="G4518" t="n">
        <v>30</v>
      </c>
      <c r="H4518" t="n">
        <v>30</v>
      </c>
      <c r="I4518">
        <f>B4518&amp;"~"&amp;C4518</f>
        <v/>
      </c>
      <c r="J4518" t="inlineStr">
        <is>
          <t>Seed processing storage, average</t>
        </is>
      </c>
    </row>
    <row r="4519">
      <c r="B4519" t="inlineStr">
        <is>
          <t>Secure Storage Modular Shed Buildings</t>
        </is>
      </c>
      <c r="C4519" t="inlineStr">
        <is>
          <t>Good</t>
        </is>
      </c>
      <c r="F4519" t="n">
        <v>25</v>
      </c>
      <c r="H4519" t="n">
        <v>20</v>
      </c>
      <c r="I4519">
        <f>B4519&amp;"~"&amp;C4519</f>
        <v/>
      </c>
      <c r="J4519" t="inlineStr">
        <is>
          <t>secure storage, average and good</t>
        </is>
      </c>
    </row>
    <row r="4520">
      <c r="B4520" t="inlineStr">
        <is>
          <t>Secure Storage Modular Shed Buildings</t>
        </is>
      </c>
      <c r="C4520" t="inlineStr">
        <is>
          <t>Average</t>
        </is>
      </c>
      <c r="F4520" t="n">
        <v>25</v>
      </c>
      <c r="H4520" t="n">
        <v>20</v>
      </c>
      <c r="I4520">
        <f>B4520&amp;"~"&amp;C4520</f>
        <v/>
      </c>
      <c r="J4520" t="inlineStr">
        <is>
          <t>secure storage, average and good</t>
        </is>
      </c>
    </row>
    <row r="4521">
      <c r="B4521" t="inlineStr">
        <is>
          <t>Secure Storage Modular Shed Buildings</t>
        </is>
      </c>
      <c r="C4521" t="inlineStr">
        <is>
          <t>Low Cost</t>
        </is>
      </c>
      <c r="H4521" t="n">
        <v>15</v>
      </c>
      <c r="I4521">
        <f>B4521&amp;"~"&amp;C4521</f>
        <v/>
      </c>
      <c r="J4521" t="inlineStr">
        <is>
          <t>low cost</t>
        </is>
      </c>
    </row>
    <row r="4522">
      <c r="B4522" t="inlineStr">
        <is>
          <t>Prefabricated Storage Shed Buildings</t>
        </is>
      </c>
      <c r="C4522" t="inlineStr">
        <is>
          <t>Excellent</t>
        </is>
      </c>
      <c r="G4522" t="n">
        <v>20</v>
      </c>
      <c r="H4522" t="n">
        <v>20</v>
      </c>
      <c r="I4522">
        <f>B4522&amp;"~"&amp;C4522</f>
        <v/>
      </c>
      <c r="J4522" t="inlineStr">
        <is>
          <t>Prefabricated storage sheds, good and excellent</t>
        </is>
      </c>
    </row>
    <row r="4523">
      <c r="B4523" t="inlineStr">
        <is>
          <t>Prefabricated Storage Shed Buildings</t>
        </is>
      </c>
      <c r="C4523" t="inlineStr">
        <is>
          <t>Good</t>
        </is>
      </c>
      <c r="G4523" t="n">
        <v>20</v>
      </c>
      <c r="H4523" t="n">
        <v>20</v>
      </c>
      <c r="I4523">
        <f>B4523&amp;"~"&amp;C4523</f>
        <v/>
      </c>
      <c r="J4523" t="inlineStr">
        <is>
          <t>Prefabricated storage sheds, good and excellent</t>
        </is>
      </c>
    </row>
    <row r="4524">
      <c r="B4524" t="inlineStr">
        <is>
          <t>Prefabricated Storage Shed Buildings</t>
        </is>
      </c>
      <c r="C4524" t="inlineStr">
        <is>
          <t>Average</t>
        </is>
      </c>
      <c r="G4524" t="n">
        <v>15</v>
      </c>
      <c r="H4524" t="n">
        <v>15</v>
      </c>
      <c r="I4524">
        <f>B4524&amp;"~"&amp;C4524</f>
        <v/>
      </c>
      <c r="J4524" t="inlineStr">
        <is>
          <t>average</t>
        </is>
      </c>
    </row>
    <row r="4525">
      <c r="B4525" t="inlineStr">
        <is>
          <t>Prefabricated Storage Shed Buildings</t>
        </is>
      </c>
      <c r="C4525" t="inlineStr">
        <is>
          <t>Low Cost</t>
        </is>
      </c>
      <c r="G4525" t="n">
        <v>10</v>
      </c>
      <c r="H4525" t="n">
        <v>10</v>
      </c>
      <c r="I4525">
        <f>B4525&amp;"~"&amp;C4525</f>
        <v/>
      </c>
      <c r="J4525" t="inlineStr">
        <is>
          <t>low cost</t>
        </is>
      </c>
    </row>
    <row r="4526">
      <c r="B4526" t="inlineStr">
        <is>
          <t>Corn Crib Bins</t>
        </is>
      </c>
      <c r="C4526" t="inlineStr">
        <is>
          <t>Excellent</t>
        </is>
      </c>
      <c r="G4526" t="n">
        <v>15</v>
      </c>
      <c r="I4526">
        <f>B4526&amp;"~"&amp;C4526</f>
        <v/>
      </c>
      <c r="J4526" t="inlineStr">
        <is>
          <t>Corncrib bins, good and excellent</t>
        </is>
      </c>
    </row>
    <row r="4527">
      <c r="B4527" t="inlineStr">
        <is>
          <t>Corn Crib Bins</t>
        </is>
      </c>
      <c r="C4527" t="inlineStr">
        <is>
          <t>Good</t>
        </is>
      </c>
      <c r="G4527" t="n">
        <v>15</v>
      </c>
      <c r="I4527">
        <f>B4527&amp;"~"&amp;C4527</f>
        <v/>
      </c>
      <c r="J4527" t="inlineStr">
        <is>
          <t>Corncrib bins, good and excellent</t>
        </is>
      </c>
    </row>
    <row r="4528">
      <c r="B4528" t="inlineStr">
        <is>
          <t>Corn Crib Bins</t>
        </is>
      </c>
      <c r="C4528" t="inlineStr">
        <is>
          <t>Average</t>
        </is>
      </c>
      <c r="G4528" t="n">
        <v>10</v>
      </c>
      <c r="I4528">
        <f>B4528&amp;"~"&amp;C4528</f>
        <v/>
      </c>
      <c r="J4528" t="inlineStr">
        <is>
          <t>low cost and average</t>
        </is>
      </c>
    </row>
    <row r="4529">
      <c r="B4529" t="inlineStr">
        <is>
          <t>Corn Crib Bins</t>
        </is>
      </c>
      <c r="C4529" t="inlineStr">
        <is>
          <t>Low Cost</t>
        </is>
      </c>
      <c r="G4529" t="n">
        <v>10</v>
      </c>
      <c r="I4529">
        <f>B4529&amp;"~"&amp;C4529</f>
        <v/>
      </c>
      <c r="J4529" t="inlineStr">
        <is>
          <t>low cost and average</t>
        </is>
      </c>
    </row>
    <row r="4530">
      <c r="B4530" t="inlineStr">
        <is>
          <t>Farm Utility Buildings</t>
        </is>
      </c>
      <c r="C4530" t="inlineStr">
        <is>
          <t>Good</t>
        </is>
      </c>
      <c r="F4530" t="n">
        <v>25</v>
      </c>
      <c r="G4530" t="n">
        <v>20</v>
      </c>
      <c r="H4530" t="n">
        <v>20</v>
      </c>
      <c r="I4530">
        <f>B4530&amp;"~"&amp;C4530</f>
        <v/>
      </c>
      <c r="J4530" t="inlineStr">
        <is>
          <t>good</t>
        </is>
      </c>
    </row>
    <row r="4531">
      <c r="B4531" t="inlineStr">
        <is>
          <t>Farm Utility Buildings</t>
        </is>
      </c>
      <c r="C4531" t="inlineStr">
        <is>
          <t>Average</t>
        </is>
      </c>
      <c r="F4531" t="n">
        <v>20</v>
      </c>
      <c r="G4531" t="n">
        <v>15</v>
      </c>
      <c r="H4531" t="n">
        <v>15</v>
      </c>
      <c r="I4531">
        <f>B4531&amp;"~"&amp;C4531</f>
        <v/>
      </c>
      <c r="J4531" t="inlineStr">
        <is>
          <t>low cost and average</t>
        </is>
      </c>
    </row>
    <row r="4532">
      <c r="B4532" t="inlineStr">
        <is>
          <t>Farm Utility Buildings</t>
        </is>
      </c>
      <c r="C4532" t="inlineStr">
        <is>
          <t>Low Cost</t>
        </is>
      </c>
      <c r="F4532" t="n">
        <v>20</v>
      </c>
      <c r="G4532" t="n">
        <v>15</v>
      </c>
      <c r="H4532" t="n">
        <v>15</v>
      </c>
      <c r="I4532">
        <f>B4532&amp;"~"&amp;C4532</f>
        <v/>
      </c>
      <c r="J4532" t="inlineStr">
        <is>
          <t>low cost and average</t>
        </is>
      </c>
    </row>
    <row r="4533">
      <c r="B4533" t="inlineStr">
        <is>
          <t>Arch-Rib (Quonset) Farm Utility Buildings</t>
        </is>
      </c>
      <c r="C4533" t="inlineStr">
        <is>
          <t>Good</t>
        </is>
      </c>
      <c r="G4533" t="n">
        <v>25</v>
      </c>
      <c r="H4533" t="n">
        <v>25</v>
      </c>
      <c r="I4533">
        <f>B4533&amp;"~"&amp;C4533</f>
        <v/>
      </c>
      <c r="J4533" t="inlineStr">
        <is>
          <t>Utility/arch-rib buildings, good</t>
        </is>
      </c>
    </row>
    <row r="4534">
      <c r="B4534" t="inlineStr">
        <is>
          <t>Arch-Rib (Quonset) Farm Utility Buildings</t>
        </is>
      </c>
      <c r="C4534" t="inlineStr">
        <is>
          <t>Average</t>
        </is>
      </c>
      <c r="G4534" t="n">
        <v>20</v>
      </c>
      <c r="H4534" t="n">
        <v>20</v>
      </c>
      <c r="I4534">
        <f>B4534&amp;"~"&amp;C4534</f>
        <v/>
      </c>
      <c r="J4534" t="inlineStr">
        <is>
          <t>average</t>
        </is>
      </c>
    </row>
    <row r="4535">
      <c r="B4535" t="inlineStr">
        <is>
          <t>Arch-Rib (Quonset) Farm Utility Buildings</t>
        </is>
      </c>
      <c r="C4535" t="inlineStr">
        <is>
          <t>Low Cost</t>
        </is>
      </c>
      <c r="G4535" t="n">
        <v>15</v>
      </c>
      <c r="H4535" t="n">
        <v>15</v>
      </c>
      <c r="I4535">
        <f>B4535&amp;"~"&amp;C4535</f>
        <v/>
      </c>
      <c r="J4535" t="inlineStr">
        <is>
          <t>low cost</t>
        </is>
      </c>
    </row>
    <row r="4536">
      <c r="B4536" t="inlineStr">
        <is>
          <t>Farm Utility/Grain Storage (Granary) Buildings</t>
        </is>
      </c>
      <c r="C4536" t="inlineStr">
        <is>
          <t>Very Good</t>
        </is>
      </c>
      <c r="G4536" t="n">
        <v>25</v>
      </c>
      <c r="I4536">
        <f>B4536&amp;"~"&amp;C4536</f>
        <v/>
      </c>
      <c r="J4536" t="inlineStr">
        <is>
          <t>Utility buildings, farm/grain storage, very good</t>
        </is>
      </c>
    </row>
    <row r="4537">
      <c r="B4537" t="inlineStr">
        <is>
          <t>Farm Utility/Grain Storage (Granary) Buildings</t>
        </is>
      </c>
      <c r="C4537" t="inlineStr">
        <is>
          <t>Good</t>
        </is>
      </c>
      <c r="F4537" t="n">
        <v>25</v>
      </c>
      <c r="G4537" t="n">
        <v>20</v>
      </c>
      <c r="H4537" t="n">
        <v>20</v>
      </c>
      <c r="I4537">
        <f>B4537&amp;"~"&amp;C4537</f>
        <v/>
      </c>
      <c r="J4537" t="inlineStr">
        <is>
          <t>good</t>
        </is>
      </c>
    </row>
    <row r="4538">
      <c r="B4538" t="inlineStr">
        <is>
          <t>Farm Utility Storage Sheds</t>
        </is>
      </c>
      <c r="C4538" t="inlineStr">
        <is>
          <t>Low Cost</t>
        </is>
      </c>
      <c r="F4538" t="n">
        <v>15</v>
      </c>
      <c r="G4538" t="n">
        <v>10</v>
      </c>
      <c r="H4538" t="n">
        <v>10</v>
      </c>
      <c r="I4538">
        <f>B4538&amp;"~"&amp;C4538</f>
        <v/>
      </c>
      <c r="J4538" t="inlineStr">
        <is>
          <t>low cost</t>
        </is>
      </c>
    </row>
    <row r="4539">
      <c r="B4539" t="inlineStr">
        <is>
          <t>Farm Utility Storage Sheds</t>
        </is>
      </c>
      <c r="C4539" t="inlineStr">
        <is>
          <t>Good</t>
        </is>
      </c>
      <c r="G4539" t="n">
        <v>20</v>
      </c>
      <c r="I4539">
        <f>B4539&amp;"~"&amp;C4539</f>
        <v/>
      </c>
      <c r="J4539" t="inlineStr">
        <is>
          <t>Utility storage/loafing sheds, good</t>
        </is>
      </c>
    </row>
    <row r="4540">
      <c r="B4540" t="inlineStr">
        <is>
          <t>Farm Utility Storage Sheds</t>
        </is>
      </c>
      <c r="C4540" t="inlineStr">
        <is>
          <t>Average</t>
        </is>
      </c>
      <c r="G4540" t="n">
        <v>15</v>
      </c>
      <c r="I4540">
        <f>B4540&amp;"~"&amp;C4540</f>
        <v/>
      </c>
      <c r="J4540" t="inlineStr">
        <is>
          <t>average</t>
        </is>
      </c>
    </row>
    <row r="4541">
      <c r="B4541" t="inlineStr">
        <is>
          <t>Farm Utility Lean-Tos</t>
        </is>
      </c>
      <c r="C4541" t="inlineStr">
        <is>
          <t>Good</t>
        </is>
      </c>
      <c r="G4541" t="n">
        <v>20</v>
      </c>
      <c r="H4541" t="n">
        <v>20</v>
      </c>
      <c r="I4541">
        <f>B4541&amp;"~"&amp;C4541</f>
        <v/>
      </c>
      <c r="J4541" t="inlineStr">
        <is>
          <t>farm utility, good</t>
        </is>
      </c>
    </row>
    <row r="4542">
      <c r="B4542" t="inlineStr">
        <is>
          <t>Farm Utility Lean-Tos</t>
        </is>
      </c>
      <c r="C4542" t="inlineStr">
        <is>
          <t>Average</t>
        </is>
      </c>
      <c r="G4542" t="n">
        <v>15</v>
      </c>
      <c r="H4542" t="n">
        <v>15</v>
      </c>
      <c r="I4542">
        <f>B4542&amp;"~"&amp;C4542</f>
        <v/>
      </c>
      <c r="J4542" t="inlineStr">
        <is>
          <t>low cost and average</t>
        </is>
      </c>
    </row>
    <row r="4543">
      <c r="B4543" t="inlineStr">
        <is>
          <t>Farm Utility Lean-Tos</t>
        </is>
      </c>
      <c r="C4543" t="inlineStr">
        <is>
          <t>Low Cost</t>
        </is>
      </c>
      <c r="G4543" t="n">
        <v>15</v>
      </c>
      <c r="H4543" t="n">
        <v>15</v>
      </c>
      <c r="I4543">
        <f>B4543&amp;"~"&amp;C4543</f>
        <v/>
      </c>
      <c r="J4543" t="inlineStr">
        <is>
          <t>low cost and average</t>
        </is>
      </c>
    </row>
    <row r="4544">
      <c r="B4544" t="inlineStr">
        <is>
          <t>Farm Commodity Storage Sheds</t>
        </is>
      </c>
      <c r="C4544" t="inlineStr">
        <is>
          <t>Average</t>
        </is>
      </c>
      <c r="F4544" t="n">
        <v>25</v>
      </c>
      <c r="G4544" t="n">
        <v>20</v>
      </c>
      <c r="H4544" t="n">
        <v>20</v>
      </c>
      <c r="I4544">
        <f>B4544&amp;"~"&amp;C4544</f>
        <v/>
      </c>
      <c r="J4544" t="inlineStr">
        <is>
          <t>Commodity storage sheds, average</t>
        </is>
      </c>
    </row>
    <row r="4545">
      <c r="B4545" t="inlineStr">
        <is>
          <t>Corn Crib Buildings – Spaced Boards</t>
        </is>
      </c>
      <c r="C4545" t="inlineStr">
        <is>
          <t>Good</t>
        </is>
      </c>
      <c r="G4545" t="n">
        <v>20</v>
      </c>
      <c r="I4545">
        <f>B4545&amp;"~"&amp;C4545</f>
        <v/>
      </c>
      <c r="J4545" t="inlineStr">
        <is>
          <t>Corncrib buildings, spaced board, average and good</t>
        </is>
      </c>
    </row>
    <row r="4546">
      <c r="B4546" t="inlineStr">
        <is>
          <t>Corn Crib Buildings – Spaced Boards</t>
        </is>
      </c>
      <c r="C4546" t="inlineStr">
        <is>
          <t>Average</t>
        </is>
      </c>
      <c r="G4546" t="n">
        <v>20</v>
      </c>
      <c r="I4546">
        <f>B4546&amp;"~"&amp;C4546</f>
        <v/>
      </c>
      <c r="J4546" t="inlineStr">
        <is>
          <t>Corncrib buildings, spaced board, average and good</t>
        </is>
      </c>
    </row>
    <row r="4547">
      <c r="B4547" t="inlineStr">
        <is>
          <t>Corn Crib Buildings – Wire Mesh</t>
        </is>
      </c>
      <c r="C4547" t="inlineStr">
        <is>
          <t>Good</t>
        </is>
      </c>
      <c r="G4547" t="n">
        <v>20</v>
      </c>
      <c r="I4547">
        <f>B4547&amp;"~"&amp;C4547</f>
        <v/>
      </c>
      <c r="J4547" t="inlineStr">
        <is>
          <t>wire mesh, good</t>
        </is>
      </c>
    </row>
    <row r="4548">
      <c r="B4548" t="inlineStr">
        <is>
          <t>Corn Crib Buildings – Wire Mesh</t>
        </is>
      </c>
      <c r="C4548" t="inlineStr">
        <is>
          <t>Average</t>
        </is>
      </c>
      <c r="G4548" t="n">
        <v>15</v>
      </c>
      <c r="I4548">
        <f>B4548&amp;"~"&amp;C4548</f>
        <v/>
      </c>
      <c r="J4548" t="inlineStr">
        <is>
          <t>average</t>
        </is>
      </c>
    </row>
    <row r="4549">
      <c r="B4549" t="inlineStr">
        <is>
          <t>Farm Implement (Equipment Shop) Buildings</t>
        </is>
      </c>
      <c r="C4549" t="inlineStr">
        <is>
          <t>Good</t>
        </is>
      </c>
      <c r="F4549" t="n">
        <v>30</v>
      </c>
      <c r="G4549" t="n">
        <v>25</v>
      </c>
      <c r="H4549" t="n">
        <v>25</v>
      </c>
      <c r="I4549">
        <f>B4549&amp;"~"&amp;C4549</f>
        <v/>
      </c>
      <c r="J4549" t="inlineStr">
        <is>
          <t>implement/equipment buildings, good</t>
        </is>
      </c>
    </row>
    <row r="4550">
      <c r="B4550" t="inlineStr">
        <is>
          <t>Farm Implement (Equipment Shop) Buildings</t>
        </is>
      </c>
      <c r="C4550" t="inlineStr">
        <is>
          <t>Average</t>
        </is>
      </c>
      <c r="F4550" t="n">
        <v>25</v>
      </c>
      <c r="G4550" t="n">
        <v>20</v>
      </c>
      <c r="H4550" t="n">
        <v>20</v>
      </c>
      <c r="I4550">
        <f>B4550&amp;"~"&amp;C4550</f>
        <v/>
      </c>
      <c r="J4550" t="inlineStr">
        <is>
          <t>low cost and average</t>
        </is>
      </c>
    </row>
    <row r="4551">
      <c r="B4551" t="inlineStr">
        <is>
          <t>Farm Implement (Equipment Shop) Buildings</t>
        </is>
      </c>
      <c r="C4551" t="inlineStr">
        <is>
          <t>Low Cost</t>
        </is>
      </c>
      <c r="F4551" t="n">
        <v>25</v>
      </c>
      <c r="G4551" t="n">
        <v>20</v>
      </c>
      <c r="H4551" t="n">
        <v>20</v>
      </c>
      <c r="I4551">
        <f>B4551&amp;"~"&amp;C4551</f>
        <v/>
      </c>
      <c r="J4551" t="inlineStr">
        <is>
          <t>low cost and average</t>
        </is>
      </c>
    </row>
    <row r="4552">
      <c r="B4552" t="inlineStr">
        <is>
          <t>Arch-Rib (Quonset) Farm Implement Buildings</t>
        </is>
      </c>
      <c r="C4552" t="inlineStr">
        <is>
          <t>Good</t>
        </is>
      </c>
      <c r="G4552" t="n">
        <v>30</v>
      </c>
      <c r="H4552" t="n">
        <v>30</v>
      </c>
      <c r="I4552">
        <f>B4552&amp;"~"&amp;C4552</f>
        <v/>
      </c>
      <c r="J4552" t="inlineStr">
        <is>
          <t>Implement, arch-rib buildings, good</t>
        </is>
      </c>
    </row>
    <row r="4553">
      <c r="B4553" t="inlineStr">
        <is>
          <t>Arch-Rib (Quonset) Farm Implement Buildings</t>
        </is>
      </c>
      <c r="C4553" t="inlineStr">
        <is>
          <t>Average</t>
        </is>
      </c>
      <c r="G4553" t="n">
        <v>25</v>
      </c>
      <c r="H4553" t="n">
        <v>25</v>
      </c>
      <c r="I4553">
        <f>B4553&amp;"~"&amp;C4553</f>
        <v/>
      </c>
      <c r="J4553" t="inlineStr">
        <is>
          <t>average</t>
        </is>
      </c>
    </row>
    <row r="4554">
      <c r="B4554" t="inlineStr">
        <is>
          <t>Arch-Rib (Quonset) Farm Implement Buildings</t>
        </is>
      </c>
      <c r="C4554" t="inlineStr">
        <is>
          <t>Low Cost</t>
        </is>
      </c>
      <c r="G4554" t="n">
        <v>20</v>
      </c>
      <c r="H4554" t="n">
        <v>20</v>
      </c>
      <c r="I4554">
        <f>B4554&amp;"~"&amp;C4554</f>
        <v/>
      </c>
      <c r="J4554" t="inlineStr">
        <is>
          <t>low cost</t>
        </is>
      </c>
    </row>
    <row r="4555">
      <c r="B4555" t="inlineStr">
        <is>
          <t>Arch-Rib (Quonset) Farm Implement Buildings</t>
        </is>
      </c>
      <c r="C4555" t="inlineStr">
        <is>
          <t>Cheap</t>
        </is>
      </c>
      <c r="G4555" t="n">
        <v>20</v>
      </c>
      <c r="H4555" t="n">
        <v>20</v>
      </c>
      <c r="I4555">
        <f>B4555&amp;"~"&amp;C4555</f>
        <v/>
      </c>
      <c r="J4555" t="inlineStr">
        <is>
          <t>low cost</t>
        </is>
      </c>
    </row>
    <row r="4556">
      <c r="B4556" t="inlineStr">
        <is>
          <t>Farm Implement – Equipment Sheds</t>
        </is>
      </c>
      <c r="C4556" t="inlineStr">
        <is>
          <t>Average</t>
        </is>
      </c>
      <c r="F4556" t="n">
        <v>25</v>
      </c>
      <c r="G4556" t="n">
        <v>20</v>
      </c>
      <c r="H4556" t="n">
        <v>20</v>
      </c>
      <c r="I4556">
        <f>B4556&amp;"~"&amp;C4556</f>
        <v/>
      </c>
      <c r="J4556" t="inlineStr">
        <is>
          <t>implement/equipment sheds, average</t>
        </is>
      </c>
    </row>
    <row r="4557">
      <c r="B4557" t="inlineStr">
        <is>
          <t>Farm Implement – Equipment Sheds</t>
        </is>
      </c>
      <c r="C4557" t="inlineStr">
        <is>
          <t>Low Cost</t>
        </is>
      </c>
      <c r="F4557" t="n">
        <v>20</v>
      </c>
      <c r="G4557" t="n">
        <v>15</v>
      </c>
      <c r="H4557" t="n">
        <v>15</v>
      </c>
      <c r="I4557">
        <f>B4557&amp;"~"&amp;C4557</f>
        <v/>
      </c>
      <c r="J4557" t="inlineStr">
        <is>
          <t>low cost</t>
        </is>
      </c>
    </row>
    <row r="4558">
      <c r="B4558" t="inlineStr">
        <is>
          <t>Barns – General Purpose</t>
        </is>
      </c>
      <c r="C4558" t="inlineStr">
        <is>
          <t>Good</t>
        </is>
      </c>
      <c r="F4558" t="n">
        <v>35</v>
      </c>
      <c r="G4558" t="n">
        <v>30</v>
      </c>
      <c r="H4558" t="n">
        <v>30</v>
      </c>
      <c r="I4558">
        <f>B4558&amp;"~"&amp;C4558</f>
        <v/>
      </c>
      <c r="J4558" t="inlineStr">
        <is>
          <t>general purpose, good</t>
        </is>
      </c>
    </row>
    <row r="4559">
      <c r="B4559" t="inlineStr">
        <is>
          <t>Barns – General Purpose</t>
        </is>
      </c>
      <c r="C4559" t="inlineStr">
        <is>
          <t>Average</t>
        </is>
      </c>
      <c r="F4559" t="n">
        <v>30</v>
      </c>
      <c r="G4559" t="n">
        <v>25</v>
      </c>
      <c r="H4559" t="n">
        <v>25</v>
      </c>
      <c r="I4559">
        <f>B4559&amp;"~"&amp;C4559</f>
        <v/>
      </c>
      <c r="J4559" t="inlineStr">
        <is>
          <t>average</t>
        </is>
      </c>
    </row>
    <row r="4560">
      <c r="B4560" t="inlineStr">
        <is>
          <t>Barns – General Purpose</t>
        </is>
      </c>
      <c r="C4560" t="inlineStr">
        <is>
          <t>Low Cost</t>
        </is>
      </c>
      <c r="F4560" t="n">
        <v>20</v>
      </c>
      <c r="G4560" t="n">
        <v>15</v>
      </c>
      <c r="H4560" t="n">
        <v>15</v>
      </c>
      <c r="I4560">
        <f>B4560&amp;"~"&amp;C4560</f>
        <v/>
      </c>
      <c r="J4560" t="inlineStr">
        <is>
          <t>low cost</t>
        </is>
      </c>
    </row>
    <row r="4561">
      <c r="B4561" t="inlineStr">
        <is>
          <t>Bank Barns (Two-Story) – General Purpose</t>
        </is>
      </c>
      <c r="C4561" t="inlineStr">
        <is>
          <t>Good</t>
        </is>
      </c>
      <c r="F4561" t="n">
        <v>35</v>
      </c>
      <c r="G4561" t="n">
        <v>30</v>
      </c>
      <c r="H4561" t="n">
        <v>30</v>
      </c>
      <c r="I4561">
        <f>B4561&amp;"~"&amp;C4561</f>
        <v/>
      </c>
      <c r="J4561" t="inlineStr">
        <is>
          <t>general purpose, good</t>
        </is>
      </c>
    </row>
    <row r="4562">
      <c r="B4562" t="inlineStr">
        <is>
          <t>Bank Barns (Two-Story) – General Purpose</t>
        </is>
      </c>
      <c r="C4562" t="inlineStr">
        <is>
          <t>Average</t>
        </is>
      </c>
      <c r="F4562" t="n">
        <v>30</v>
      </c>
      <c r="G4562" t="n">
        <v>25</v>
      </c>
      <c r="H4562" t="n">
        <v>25</v>
      </c>
      <c r="I4562">
        <f>B4562&amp;"~"&amp;C4562</f>
        <v/>
      </c>
      <c r="J4562" t="inlineStr">
        <is>
          <t>average</t>
        </is>
      </c>
    </row>
    <row r="4563">
      <c r="B4563" t="inlineStr">
        <is>
          <t>Bank Barns (Two-Story) – General Purpose</t>
        </is>
      </c>
      <c r="C4563" t="inlineStr">
        <is>
          <t>Low Cost</t>
        </is>
      </c>
      <c r="F4563" t="n">
        <v>20</v>
      </c>
      <c r="G4563" t="n">
        <v>15</v>
      </c>
      <c r="H4563" t="n">
        <v>15</v>
      </c>
      <c r="I4563">
        <f>B4563&amp;"~"&amp;C4563</f>
        <v/>
      </c>
      <c r="J4563" t="inlineStr">
        <is>
          <t>low cost</t>
        </is>
      </c>
    </row>
    <row r="4564">
      <c r="B4564" t="inlineStr">
        <is>
          <t>Barns – Special Purpose</t>
        </is>
      </c>
      <c r="C4564" t="inlineStr">
        <is>
          <t>Excellent</t>
        </is>
      </c>
      <c r="F4564" t="n">
        <v>40</v>
      </c>
      <c r="G4564" t="n">
        <v>35</v>
      </c>
      <c r="I4564">
        <f>B4564&amp;"~"&amp;C4564</f>
        <v/>
      </c>
      <c r="J4564" t="inlineStr">
        <is>
          <t>special purpose, excellent</t>
        </is>
      </c>
    </row>
    <row r="4565">
      <c r="B4565" t="inlineStr">
        <is>
          <t>Barns – Special Purpose</t>
        </is>
      </c>
      <c r="C4565" t="inlineStr">
        <is>
          <t>Good</t>
        </is>
      </c>
      <c r="F4565" t="n">
        <v>35</v>
      </c>
      <c r="G4565" t="n">
        <v>30</v>
      </c>
      <c r="I4565">
        <f>B4565&amp;"~"&amp;C4565</f>
        <v/>
      </c>
      <c r="J4565" t="inlineStr">
        <is>
          <t>good</t>
        </is>
      </c>
    </row>
    <row r="4566">
      <c r="B4566" t="inlineStr">
        <is>
          <t>Barns – Special Purpose</t>
        </is>
      </c>
      <c r="C4566" t="inlineStr">
        <is>
          <t>Average</t>
        </is>
      </c>
      <c r="F4566" t="n">
        <v>30</v>
      </c>
      <c r="G4566" t="n">
        <v>25</v>
      </c>
      <c r="I4566">
        <f>B4566&amp;"~"&amp;C4566</f>
        <v/>
      </c>
      <c r="J4566" t="inlineStr">
        <is>
          <t>low cost and average</t>
        </is>
      </c>
    </row>
    <row r="4567">
      <c r="B4567" t="inlineStr">
        <is>
          <t>Barns – Special Purpose</t>
        </is>
      </c>
      <c r="C4567" t="inlineStr">
        <is>
          <t>Low Cost</t>
        </is>
      </c>
      <c r="F4567" t="n">
        <v>30</v>
      </c>
      <c r="G4567" t="n">
        <v>25</v>
      </c>
      <c r="I4567">
        <f>B4567&amp;"~"&amp;C4567</f>
        <v/>
      </c>
      <c r="J4567" t="inlineStr">
        <is>
          <t>low cost and average</t>
        </is>
      </c>
    </row>
    <row r="4568">
      <c r="B4568" t="inlineStr">
        <is>
          <t>Bank Barns (Two-Story) – Special Purpose</t>
        </is>
      </c>
      <c r="C4568" t="inlineStr">
        <is>
          <t>Excellent</t>
        </is>
      </c>
      <c r="F4568" t="n">
        <v>40</v>
      </c>
      <c r="G4568" t="n">
        <v>35</v>
      </c>
      <c r="I4568">
        <f>B4568&amp;"~"&amp;C4568</f>
        <v/>
      </c>
      <c r="J4568" t="inlineStr">
        <is>
          <t>special purpose, excellent</t>
        </is>
      </c>
    </row>
    <row r="4569">
      <c r="B4569" t="inlineStr">
        <is>
          <t>Bank Barns (Two-Story) – Special Purpose</t>
        </is>
      </c>
      <c r="C4569" t="inlineStr">
        <is>
          <t>Good</t>
        </is>
      </c>
      <c r="F4569" t="n">
        <v>35</v>
      </c>
      <c r="G4569" t="n">
        <v>30</v>
      </c>
      <c r="I4569">
        <f>B4569&amp;"~"&amp;C4569</f>
        <v/>
      </c>
      <c r="J4569" t="inlineStr">
        <is>
          <t>good</t>
        </is>
      </c>
    </row>
    <row r="4570">
      <c r="B4570" t="inlineStr">
        <is>
          <t>Bank Barns (Two-Story) – Special Purpose</t>
        </is>
      </c>
      <c r="C4570" t="inlineStr">
        <is>
          <t>Average</t>
        </is>
      </c>
      <c r="F4570" t="n">
        <v>30</v>
      </c>
      <c r="G4570" t="n">
        <v>25</v>
      </c>
      <c r="I4570">
        <f>B4570&amp;"~"&amp;C4570</f>
        <v/>
      </c>
      <c r="J4570" t="inlineStr">
        <is>
          <t>low cost and average</t>
        </is>
      </c>
    </row>
    <row r="4571">
      <c r="B4571" t="inlineStr">
        <is>
          <t>Bank Barns (Two-Story) – Special Purpose</t>
        </is>
      </c>
      <c r="C4571" t="inlineStr">
        <is>
          <t>Low Cost</t>
        </is>
      </c>
      <c r="F4571" t="n">
        <v>30</v>
      </c>
      <c r="G4571" t="n">
        <v>25</v>
      </c>
      <c r="I4571">
        <f>B4571&amp;"~"&amp;C4571</f>
        <v/>
      </c>
      <c r="J4571" t="inlineStr">
        <is>
          <t>low cost and average</t>
        </is>
      </c>
    </row>
    <row r="4572">
      <c r="B4572" t="inlineStr">
        <is>
          <t>Free-Stall Barns</t>
        </is>
      </c>
      <c r="C4572" t="inlineStr">
        <is>
          <t>Excellent</t>
        </is>
      </c>
      <c r="G4572" t="n">
        <v>30</v>
      </c>
      <c r="H4572" t="n">
        <v>30</v>
      </c>
      <c r="I4572">
        <f>B4572&amp;"~"&amp;C4572</f>
        <v/>
      </c>
      <c r="J4572" t="inlineStr">
        <is>
          <t>Barns, freestall and confinement, good and excellent</t>
        </is>
      </c>
    </row>
    <row r="4573">
      <c r="B4573" t="inlineStr">
        <is>
          <t>Free-Stall Barns</t>
        </is>
      </c>
      <c r="C4573" t="inlineStr">
        <is>
          <t>Good</t>
        </is>
      </c>
      <c r="G4573" t="n">
        <v>30</v>
      </c>
      <c r="H4573" t="n">
        <v>30</v>
      </c>
      <c r="I4573">
        <f>B4573&amp;"~"&amp;C4573</f>
        <v/>
      </c>
      <c r="J4573" t="inlineStr">
        <is>
          <t>Barns, freestall and confinement, good and excellent</t>
        </is>
      </c>
    </row>
    <row r="4574">
      <c r="B4574" t="inlineStr">
        <is>
          <t>Free-Stall Barns</t>
        </is>
      </c>
      <c r="C4574" t="inlineStr">
        <is>
          <t>Average</t>
        </is>
      </c>
      <c r="G4574" t="n">
        <v>25</v>
      </c>
      <c r="H4574" t="n">
        <v>25</v>
      </c>
      <c r="I4574">
        <f>B4574&amp;"~"&amp;C4574</f>
        <v/>
      </c>
      <c r="J4574" t="inlineStr">
        <is>
          <t>average</t>
        </is>
      </c>
    </row>
    <row r="4575">
      <c r="B4575" t="inlineStr">
        <is>
          <t>Free-Stall Barns</t>
        </is>
      </c>
      <c r="C4575" t="inlineStr">
        <is>
          <t>Low Cost</t>
        </is>
      </c>
      <c r="G4575" t="n">
        <v>15</v>
      </c>
      <c r="H4575" t="n">
        <v>15</v>
      </c>
      <c r="I4575">
        <f>B4575&amp;"~"&amp;C4575</f>
        <v/>
      </c>
      <c r="J4575" t="inlineStr">
        <is>
          <t>cheap and low cost</t>
        </is>
      </c>
    </row>
    <row r="4576">
      <c r="B4576" t="inlineStr">
        <is>
          <t>Free-Stall Barns</t>
        </is>
      </c>
      <c r="C4576" t="inlineStr">
        <is>
          <t>Cheap</t>
        </is>
      </c>
      <c r="G4576" t="n">
        <v>15</v>
      </c>
      <c r="H4576" t="n">
        <v>15</v>
      </c>
      <c r="I4576">
        <f>B4576&amp;"~"&amp;C4576</f>
        <v/>
      </c>
      <c r="J4576" t="inlineStr">
        <is>
          <t>cheap and low cost</t>
        </is>
      </c>
    </row>
    <row r="4577">
      <c r="B4577" t="inlineStr">
        <is>
          <t>Confinement Barns</t>
        </is>
      </c>
      <c r="C4577" t="inlineStr">
        <is>
          <t>Average</t>
        </is>
      </c>
      <c r="G4577" t="n">
        <v>25</v>
      </c>
      <c r="H4577" t="n">
        <v>25</v>
      </c>
      <c r="I4577">
        <f>B4577&amp;"~"&amp;C4577</f>
        <v/>
      </c>
      <c r="J4577" t="inlineStr">
        <is>
          <t>average</t>
        </is>
      </c>
    </row>
    <row r="4578">
      <c r="B4578" t="inlineStr">
        <is>
          <t>Confinement Barns</t>
        </is>
      </c>
      <c r="C4578" t="inlineStr">
        <is>
          <t>Low Cost</t>
        </is>
      </c>
      <c r="G4578" t="n">
        <v>15</v>
      </c>
      <c r="H4578" t="n">
        <v>15</v>
      </c>
      <c r="I4578">
        <f>B4578&amp;"~"&amp;C4578</f>
        <v/>
      </c>
      <c r="J4578" t="inlineStr">
        <is>
          <t>cheap and low cost</t>
        </is>
      </c>
    </row>
    <row r="4579">
      <c r="B4579" t="inlineStr">
        <is>
          <t>Feeder Barns – Sheds</t>
        </is>
      </c>
      <c r="C4579" t="inlineStr">
        <is>
          <t>Good</t>
        </is>
      </c>
      <c r="G4579" t="n">
        <v>20</v>
      </c>
      <c r="H4579" t="n">
        <v>20</v>
      </c>
      <c r="I4579">
        <f>B4579&amp;"~"&amp;C4579</f>
        <v/>
      </c>
      <c r="J4579" t="inlineStr">
        <is>
          <t>Feeder barns/loafing sheds, good</t>
        </is>
      </c>
    </row>
    <row r="4580">
      <c r="B4580" t="inlineStr">
        <is>
          <t>Feeder Barns – Sheds</t>
        </is>
      </c>
      <c r="C4580" t="inlineStr">
        <is>
          <t>Average</t>
        </is>
      </c>
      <c r="G4580" t="n">
        <v>15</v>
      </c>
      <c r="H4580" t="n">
        <v>15</v>
      </c>
      <c r="I4580">
        <f>B4580&amp;"~"&amp;C4580</f>
        <v/>
      </c>
      <c r="J4580" t="inlineStr">
        <is>
          <t>low cost and average</t>
        </is>
      </c>
    </row>
    <row r="4581">
      <c r="B4581" t="inlineStr">
        <is>
          <t>Feeder Barns – Sheds</t>
        </is>
      </c>
      <c r="C4581" t="inlineStr">
        <is>
          <t>Low Cost</t>
        </is>
      </c>
      <c r="G4581" t="n">
        <v>15</v>
      </c>
      <c r="H4581" t="n">
        <v>15</v>
      </c>
      <c r="I4581">
        <f>B4581&amp;"~"&amp;C4581</f>
        <v/>
      </c>
      <c r="J4581" t="inlineStr">
        <is>
          <t>low cost and average</t>
        </is>
      </c>
    </row>
    <row r="4582">
      <c r="B4582" t="inlineStr">
        <is>
          <t>Loafing Sheds</t>
        </is>
      </c>
      <c r="C4582" t="inlineStr">
        <is>
          <t>Good</t>
        </is>
      </c>
      <c r="G4582" t="n">
        <v>20</v>
      </c>
      <c r="H4582" t="n">
        <v>20</v>
      </c>
      <c r="I4582">
        <f>B4582&amp;"~"&amp;C4582</f>
        <v/>
      </c>
      <c r="J4582" t="inlineStr">
        <is>
          <t>Feeder barns/loafing sheds, good</t>
        </is>
      </c>
    </row>
    <row r="4583">
      <c r="B4583" t="inlineStr">
        <is>
          <t>Loafing Sheds</t>
        </is>
      </c>
      <c r="C4583" t="inlineStr">
        <is>
          <t>Average</t>
        </is>
      </c>
      <c r="G4583" t="n">
        <v>15</v>
      </c>
      <c r="H4583" t="n">
        <v>15</v>
      </c>
      <c r="I4583">
        <f>B4583&amp;"~"&amp;C4583</f>
        <v/>
      </c>
      <c r="J4583" t="inlineStr">
        <is>
          <t>low cost and average</t>
        </is>
      </c>
    </row>
    <row r="4584">
      <c r="B4584" t="inlineStr">
        <is>
          <t>Loafing Sheds</t>
        </is>
      </c>
      <c r="C4584" t="inlineStr">
        <is>
          <t>Low Cost</t>
        </is>
      </c>
      <c r="G4584" t="n">
        <v>15</v>
      </c>
      <c r="H4584" t="n">
        <v>15</v>
      </c>
      <c r="I4584">
        <f>B4584&amp;"~"&amp;C4584</f>
        <v/>
      </c>
      <c r="J4584" t="inlineStr">
        <is>
          <t>low cost and average</t>
        </is>
      </c>
    </row>
    <row r="4585">
      <c r="B4585" t="inlineStr">
        <is>
          <t>Farm Utility Shelters (Open Hay Sheds)</t>
        </is>
      </c>
      <c r="C4585" t="inlineStr">
        <is>
          <t>Good</t>
        </is>
      </c>
      <c r="G4585" t="n">
        <v>20</v>
      </c>
      <c r="H4585" t="n">
        <v>20</v>
      </c>
      <c r="I4585">
        <f>B4585&amp;"~"&amp;C4585</f>
        <v/>
      </c>
      <c r="J4585" t="inlineStr">
        <is>
          <t>Hay sheds/shelters, good</t>
        </is>
      </c>
    </row>
    <row r="4586">
      <c r="B4586" t="inlineStr">
        <is>
          <t>Farm Utility Shelters (Open Hay Sheds)</t>
        </is>
      </c>
      <c r="C4586" t="inlineStr">
        <is>
          <t>Average</t>
        </is>
      </c>
      <c r="G4586" t="n">
        <v>15</v>
      </c>
      <c r="H4586" t="n">
        <v>15</v>
      </c>
      <c r="I4586">
        <f>B4586&amp;"~"&amp;C4586</f>
        <v/>
      </c>
      <c r="J4586" t="inlineStr">
        <is>
          <t>average</t>
        </is>
      </c>
    </row>
    <row r="4587">
      <c r="B4587" t="inlineStr">
        <is>
          <t>Calving Barns – Sheds</t>
        </is>
      </c>
      <c r="C4587" t="inlineStr">
        <is>
          <t>Good</t>
        </is>
      </c>
      <c r="G4587" t="n">
        <v>20</v>
      </c>
      <c r="H4587" t="n">
        <v>20</v>
      </c>
      <c r="I4587">
        <f>B4587&amp;"~"&amp;C4587</f>
        <v/>
      </c>
      <c r="J4587" t="inlineStr">
        <is>
          <t>Calving barn shed, good</t>
        </is>
      </c>
    </row>
    <row r="4588">
      <c r="B4588" t="inlineStr">
        <is>
          <t>Calving Barns – Sheds</t>
        </is>
      </c>
      <c r="C4588" t="inlineStr">
        <is>
          <t>Average</t>
        </is>
      </c>
      <c r="G4588" t="n">
        <v>15</v>
      </c>
      <c r="H4588" t="n">
        <v>15</v>
      </c>
      <c r="I4588">
        <f>B4588&amp;"~"&amp;C4588</f>
        <v/>
      </c>
      <c r="J4588" t="inlineStr">
        <is>
          <t>low cost and average</t>
        </is>
      </c>
    </row>
    <row r="4589">
      <c r="B4589" t="inlineStr">
        <is>
          <t>Calving Barns – Sheds</t>
        </is>
      </c>
      <c r="C4589" t="inlineStr">
        <is>
          <t>Low Cost</t>
        </is>
      </c>
      <c r="G4589" t="n">
        <v>15</v>
      </c>
      <c r="H4589" t="n">
        <v>15</v>
      </c>
      <c r="I4589">
        <f>B4589&amp;"~"&amp;C4589</f>
        <v/>
      </c>
      <c r="J4589" t="inlineStr">
        <is>
          <t>low cost and average</t>
        </is>
      </c>
    </row>
    <row r="4590">
      <c r="B4590" t="inlineStr">
        <is>
          <t>Arena Shelters</t>
        </is>
      </c>
      <c r="C4590" t="inlineStr">
        <is>
          <t>Low Cost</t>
        </is>
      </c>
      <c r="G4590" t="n">
        <v>15</v>
      </c>
      <c r="H4590" t="n">
        <v>15</v>
      </c>
      <c r="I4590">
        <f>B4590&amp;"~"&amp;C4590</f>
        <v/>
      </c>
      <c r="J4590" t="inlineStr">
        <is>
          <t>low cost</t>
        </is>
      </c>
    </row>
    <row r="4591">
      <c r="B4591" t="inlineStr">
        <is>
          <t>Arena Shelters</t>
        </is>
      </c>
      <c r="C4591" t="inlineStr">
        <is>
          <t>Good</t>
        </is>
      </c>
      <c r="H4591" t="n">
        <v>25</v>
      </c>
      <c r="I4591">
        <f>B4591&amp;"~"&amp;C4591</f>
        <v/>
      </c>
      <c r="J4591" t="inlineStr">
        <is>
          <t>Arena shelters, good</t>
        </is>
      </c>
    </row>
    <row r="4592">
      <c r="B4592" t="inlineStr">
        <is>
          <t>Arena Shelters</t>
        </is>
      </c>
      <c r="C4592" t="inlineStr">
        <is>
          <t>Average</t>
        </is>
      </c>
      <c r="H4592" t="n">
        <v>20</v>
      </c>
      <c r="I4592">
        <f>B4592&amp;"~"&amp;C4592</f>
        <v/>
      </c>
      <c r="J4592" t="inlineStr">
        <is>
          <t>average</t>
        </is>
      </c>
    </row>
    <row r="4593">
      <c r="B4593" t="inlineStr">
        <is>
          <t>Farm Sun Shelters</t>
        </is>
      </c>
      <c r="C4593" t="inlineStr">
        <is>
          <t>Average</t>
        </is>
      </c>
      <c r="G4593" t="n">
        <v>10</v>
      </c>
      <c r="I4593">
        <f>B4593&amp;"~"&amp;C4593</f>
        <v/>
      </c>
      <c r="J4593" t="inlineStr">
        <is>
          <t>low cost and average</t>
        </is>
      </c>
    </row>
    <row r="4594">
      <c r="B4594" t="inlineStr">
        <is>
          <t>Farm Sun Shelters</t>
        </is>
      </c>
      <c r="C4594" t="inlineStr">
        <is>
          <t>Low Cost</t>
        </is>
      </c>
      <c r="G4594" t="n">
        <v>10</v>
      </c>
      <c r="I4594">
        <f>B4594&amp;"~"&amp;C4594</f>
        <v/>
      </c>
      <c r="J4594" t="inlineStr">
        <is>
          <t>low cost and average</t>
        </is>
      </c>
    </row>
    <row r="4595">
      <c r="B4595" t="inlineStr">
        <is>
          <t>Arenas</t>
        </is>
      </c>
      <c r="C4595" t="inlineStr">
        <is>
          <t>Excellent</t>
        </is>
      </c>
      <c r="F4595" t="n">
        <v>40</v>
      </c>
      <c r="G4595" t="n">
        <v>35</v>
      </c>
      <c r="H4595" t="n">
        <v>35</v>
      </c>
      <c r="I4595">
        <f>B4595&amp;"~"&amp;C4595</f>
        <v/>
      </c>
      <c r="J4595" t="inlineStr">
        <is>
          <t>Arenas, excellent</t>
        </is>
      </c>
    </row>
    <row r="4596">
      <c r="B4596" t="inlineStr">
        <is>
          <t>Arenas</t>
        </is>
      </c>
      <c r="C4596" t="inlineStr">
        <is>
          <t>Good</t>
        </is>
      </c>
      <c r="F4596" t="n">
        <v>35</v>
      </c>
      <c r="G4596" t="n">
        <v>30</v>
      </c>
      <c r="H4596" t="n">
        <v>30</v>
      </c>
      <c r="I4596">
        <f>B4596&amp;"~"&amp;C4596</f>
        <v/>
      </c>
      <c r="J4596" t="inlineStr">
        <is>
          <t>good</t>
        </is>
      </c>
    </row>
    <row r="4597">
      <c r="B4597" t="inlineStr">
        <is>
          <t>Arenas</t>
        </is>
      </c>
      <c r="C4597" t="inlineStr">
        <is>
          <t>Average</t>
        </is>
      </c>
      <c r="F4597" t="n">
        <v>30</v>
      </c>
      <c r="G4597" t="n">
        <v>25</v>
      </c>
      <c r="H4597" t="n">
        <v>25</v>
      </c>
      <c r="I4597">
        <f>B4597&amp;"~"&amp;C4597</f>
        <v/>
      </c>
      <c r="J4597" t="inlineStr">
        <is>
          <t>average</t>
        </is>
      </c>
    </row>
    <row r="4598">
      <c r="B4598" t="inlineStr">
        <is>
          <t>Arenas</t>
        </is>
      </c>
      <c r="C4598" t="inlineStr">
        <is>
          <t>Low Cost</t>
        </is>
      </c>
      <c r="F4598" t="n">
        <v>20</v>
      </c>
      <c r="G4598" t="n">
        <v>15</v>
      </c>
      <c r="H4598" t="n">
        <v>15</v>
      </c>
      <c r="I4598">
        <f>B4598&amp;"~"&amp;C4598</f>
        <v/>
      </c>
      <c r="J4598" t="inlineStr">
        <is>
          <t>cheap and low cost</t>
        </is>
      </c>
    </row>
    <row r="4599">
      <c r="B4599" t="inlineStr">
        <is>
          <t>Arenas</t>
        </is>
      </c>
      <c r="C4599" t="inlineStr">
        <is>
          <t>Cheap</t>
        </is>
      </c>
      <c r="F4599" t="n">
        <v>20</v>
      </c>
      <c r="G4599" t="n">
        <v>15</v>
      </c>
      <c r="H4599" t="n">
        <v>15</v>
      </c>
      <c r="I4599">
        <f>B4599&amp;"~"&amp;C4599</f>
        <v/>
      </c>
      <c r="J4599" t="inlineStr">
        <is>
          <t>cheap and low cost</t>
        </is>
      </c>
    </row>
    <row r="4600">
      <c r="B4600" t="inlineStr">
        <is>
          <t>Equestrian Lean-Tos</t>
        </is>
      </c>
      <c r="C4600" t="inlineStr">
        <is>
          <t>Average</t>
        </is>
      </c>
      <c r="G4600" t="n">
        <v>25</v>
      </c>
      <c r="H4600" t="n">
        <v>25</v>
      </c>
      <c r="I4600">
        <f>B4600&amp;"~"&amp;C4600</f>
        <v/>
      </c>
      <c r="J4600" t="inlineStr">
        <is>
          <t>Lean-tos, equestrian, average</t>
        </is>
      </c>
    </row>
    <row r="4601">
      <c r="B4601" t="inlineStr">
        <is>
          <t>Equestrian Lean-Tos</t>
        </is>
      </c>
      <c r="C4601" t="inlineStr">
        <is>
          <t>Low Cost</t>
        </is>
      </c>
      <c r="G4601" t="n">
        <v>15</v>
      </c>
      <c r="H4601" t="n">
        <v>15</v>
      </c>
      <c r="I4601">
        <f>B4601&amp;"~"&amp;C4601</f>
        <v/>
      </c>
      <c r="J4601" t="inlineStr">
        <is>
          <t>low cost</t>
        </is>
      </c>
    </row>
    <row r="4602">
      <c r="B4602" t="inlineStr">
        <is>
          <t>Stables</t>
        </is>
      </c>
      <c r="C4602" t="inlineStr">
        <is>
          <t>Good</t>
        </is>
      </c>
      <c r="F4602" t="n">
        <v>35</v>
      </c>
      <c r="G4602" t="n">
        <v>30</v>
      </c>
      <c r="H4602" t="n">
        <v>30</v>
      </c>
      <c r="I4602">
        <f>B4602&amp;"~"&amp;C4602</f>
        <v/>
      </c>
      <c r="J4602" t="inlineStr">
        <is>
          <t>Stables, good</t>
        </is>
      </c>
    </row>
    <row r="4603">
      <c r="B4603" t="inlineStr">
        <is>
          <t>Stables</t>
        </is>
      </c>
      <c r="C4603" t="inlineStr">
        <is>
          <t>Average</t>
        </is>
      </c>
      <c r="F4603" t="n">
        <v>30</v>
      </c>
      <c r="G4603" t="n">
        <v>25</v>
      </c>
      <c r="H4603" t="n">
        <v>25</v>
      </c>
      <c r="I4603">
        <f>B4603&amp;"~"&amp;C4603</f>
        <v/>
      </c>
      <c r="J4603" t="inlineStr">
        <is>
          <t>average</t>
        </is>
      </c>
    </row>
    <row r="4604">
      <c r="B4604" t="inlineStr">
        <is>
          <t>Stables</t>
        </is>
      </c>
      <c r="C4604" t="inlineStr">
        <is>
          <t>Low Cost</t>
        </is>
      </c>
      <c r="F4604" t="n">
        <v>20</v>
      </c>
      <c r="G4604" t="n">
        <v>15</v>
      </c>
      <c r="H4604" t="n">
        <v>15</v>
      </c>
      <c r="I4604">
        <f>B4604&amp;"~"&amp;C4604</f>
        <v/>
      </c>
      <c r="J4604" t="inlineStr">
        <is>
          <t>low cost</t>
        </is>
      </c>
    </row>
    <row r="4605">
      <c r="B4605" t="inlineStr">
        <is>
          <t>Stables</t>
        </is>
      </c>
      <c r="C4605" t="inlineStr">
        <is>
          <t>Cheap</t>
        </is>
      </c>
      <c r="F4605" t="n">
        <v>20</v>
      </c>
      <c r="G4605" t="n">
        <v>15</v>
      </c>
      <c r="H4605" t="n">
        <v>15</v>
      </c>
      <c r="I4605">
        <f>B4605&amp;"~"&amp;C4605</f>
        <v/>
      </c>
      <c r="J4605" t="inlineStr">
        <is>
          <t>low cost</t>
        </is>
      </c>
    </row>
    <row r="4606">
      <c r="B4606" t="inlineStr">
        <is>
          <t>High-Value (Estate) Stables – Horse Barns</t>
        </is>
      </c>
      <c r="C4606" t="inlineStr">
        <is>
          <t>Excellent</t>
        </is>
      </c>
      <c r="F4606" t="n">
        <v>50</v>
      </c>
      <c r="G4606" t="n">
        <v>45</v>
      </c>
      <c r="I4606">
        <f>B4606&amp;"~"&amp;C4606</f>
        <v/>
      </c>
      <c r="J4606" t="inlineStr">
        <is>
          <t>high-value estate stables, excellent</t>
        </is>
      </c>
    </row>
    <row r="4607">
      <c r="B4607" t="inlineStr">
        <is>
          <t>High-Value (Estate) Stables – Horse Barns</t>
        </is>
      </c>
      <c r="C4607" t="inlineStr">
        <is>
          <t>Good</t>
        </is>
      </c>
      <c r="F4607" t="n">
        <v>45</v>
      </c>
      <c r="G4607" t="n">
        <v>40</v>
      </c>
      <c r="I4607">
        <f>B4607&amp;"~"&amp;C4607</f>
        <v/>
      </c>
      <c r="J4607" t="inlineStr">
        <is>
          <t>good</t>
        </is>
      </c>
    </row>
    <row r="4608">
      <c r="B4608" t="inlineStr">
        <is>
          <t>High-Value (Estate) Stables – Horse Barns</t>
        </is>
      </c>
      <c r="C4608" t="inlineStr">
        <is>
          <t>Average</t>
        </is>
      </c>
      <c r="F4608" t="n">
        <v>40</v>
      </c>
      <c r="G4608" t="n">
        <v>35</v>
      </c>
      <c r="H4608" t="n">
        <v>35</v>
      </c>
      <c r="I4608">
        <f>B4608&amp;"~"&amp;C4608</f>
        <v/>
      </c>
      <c r="J4608" t="inlineStr">
        <is>
          <t>low-cost and average</t>
        </is>
      </c>
    </row>
    <row r="4609">
      <c r="B4609" t="inlineStr">
        <is>
          <t>High-Value (Estate) Stables – Horse Barns</t>
        </is>
      </c>
      <c r="C4609" t="inlineStr">
        <is>
          <t>Low Cost</t>
        </is>
      </c>
      <c r="F4609" t="n">
        <v>40</v>
      </c>
      <c r="G4609" t="n">
        <v>35</v>
      </c>
      <c r="H4609" t="n">
        <v>35</v>
      </c>
      <c r="I4609">
        <f>B4609&amp;"~"&amp;C4609</f>
        <v/>
      </c>
      <c r="J4609" t="inlineStr">
        <is>
          <t>low-cost and average</t>
        </is>
      </c>
    </row>
    <row r="4610">
      <c r="B4610" t="inlineStr">
        <is>
          <t>Dairies (Milking Parlors)</t>
        </is>
      </c>
      <c r="C4610" t="inlineStr">
        <is>
          <t>Excellent</t>
        </is>
      </c>
      <c r="F4610" t="n">
        <v>35</v>
      </c>
      <c r="G4610" t="n">
        <v>30</v>
      </c>
      <c r="H4610" t="n">
        <v>30</v>
      </c>
      <c r="I4610">
        <f>B4610&amp;"~"&amp;C4610</f>
        <v/>
      </c>
      <c r="J4610" t="inlineStr">
        <is>
          <t>Dairies/milking parlors, good and excellent</t>
        </is>
      </c>
    </row>
    <row r="4611">
      <c r="B4611" t="inlineStr">
        <is>
          <t>Dairies (Milking Parlors)</t>
        </is>
      </c>
      <c r="C4611" t="inlineStr">
        <is>
          <t>Good</t>
        </is>
      </c>
      <c r="F4611" t="n">
        <v>35</v>
      </c>
      <c r="G4611" t="n">
        <v>30</v>
      </c>
      <c r="H4611" t="n">
        <v>30</v>
      </c>
      <c r="I4611">
        <f>B4611&amp;"~"&amp;C4611</f>
        <v/>
      </c>
      <c r="J4611" t="inlineStr">
        <is>
          <t>Dairies/milking parlors, good and excellent</t>
        </is>
      </c>
    </row>
    <row r="4612">
      <c r="B4612" t="inlineStr">
        <is>
          <t>Dairies (Milking Parlors)</t>
        </is>
      </c>
      <c r="C4612" t="inlineStr">
        <is>
          <t>Average</t>
        </is>
      </c>
      <c r="F4612" t="n">
        <v>30</v>
      </c>
      <c r="G4612" t="n">
        <v>25</v>
      </c>
      <c r="H4612" t="n">
        <v>25</v>
      </c>
      <c r="I4612">
        <f>B4612&amp;"~"&amp;C4612</f>
        <v/>
      </c>
      <c r="J4612" t="inlineStr">
        <is>
          <t>average</t>
        </is>
      </c>
    </row>
    <row r="4613">
      <c r="B4613" t="inlineStr">
        <is>
          <t>Dairies (Milking Parlors)</t>
        </is>
      </c>
      <c r="C4613" t="inlineStr">
        <is>
          <t>Low Cost</t>
        </is>
      </c>
      <c r="F4613" t="n">
        <v>20</v>
      </c>
      <c r="G4613" t="n">
        <v>15</v>
      </c>
      <c r="H4613" t="n">
        <v>15</v>
      </c>
      <c r="I4613">
        <f>B4613&amp;"~"&amp;C4613</f>
        <v/>
      </c>
      <c r="J4613" t="inlineStr">
        <is>
          <t>low cost</t>
        </is>
      </c>
    </row>
    <row r="4614">
      <c r="B4614" t="inlineStr">
        <is>
          <t>Milkhouses</t>
        </is>
      </c>
      <c r="C4614" t="inlineStr">
        <is>
          <t>Good</t>
        </is>
      </c>
      <c r="F4614" t="n">
        <v>35</v>
      </c>
      <c r="G4614" t="n">
        <v>30</v>
      </c>
      <c r="I4614">
        <f>B4614&amp;"~"&amp;C4614</f>
        <v/>
      </c>
      <c r="J4614" t="inlineStr">
        <is>
          <t>Milkhouses and sheds, good</t>
        </is>
      </c>
    </row>
    <row r="4615">
      <c r="B4615" t="inlineStr">
        <is>
          <t>Milkhouses</t>
        </is>
      </c>
      <c r="C4615" t="inlineStr">
        <is>
          <t>Average</t>
        </is>
      </c>
      <c r="F4615" t="n">
        <v>30</v>
      </c>
      <c r="G4615" t="n">
        <v>25</v>
      </c>
      <c r="I4615">
        <f>B4615&amp;"~"&amp;C4615</f>
        <v/>
      </c>
      <c r="J4615" t="inlineStr">
        <is>
          <t>average</t>
        </is>
      </c>
    </row>
    <row r="4616">
      <c r="B4616" t="inlineStr">
        <is>
          <t>Milkhouse Sheds</t>
        </is>
      </c>
      <c r="C4616" t="inlineStr">
        <is>
          <t>Good</t>
        </is>
      </c>
      <c r="F4616" t="n">
        <v>35</v>
      </c>
      <c r="G4616" t="n">
        <v>30</v>
      </c>
      <c r="I4616">
        <f>B4616&amp;"~"&amp;C4616</f>
        <v/>
      </c>
      <c r="J4616" t="inlineStr">
        <is>
          <t>Milkhouses and sheds, good</t>
        </is>
      </c>
    </row>
    <row r="4617">
      <c r="B4617" t="inlineStr">
        <is>
          <t>Milkhouse Sheds</t>
        </is>
      </c>
      <c r="C4617" t="inlineStr">
        <is>
          <t>Average</t>
        </is>
      </c>
      <c r="F4617" t="n">
        <v>30</v>
      </c>
      <c r="G4617" t="n">
        <v>25</v>
      </c>
      <c r="I4617">
        <f>B4617&amp;"~"&amp;C4617</f>
        <v/>
      </c>
      <c r="J4617" t="inlineStr">
        <is>
          <t>average</t>
        </is>
      </c>
    </row>
    <row r="4618">
      <c r="B4618" t="inlineStr">
        <is>
          <t>Hog Barns – Nursery</t>
        </is>
      </c>
      <c r="C4618" t="inlineStr">
        <is>
          <t>Good</t>
        </is>
      </c>
      <c r="F4618" t="n">
        <v>35</v>
      </c>
      <c r="G4618" t="n">
        <v>30</v>
      </c>
      <c r="H4618" t="n">
        <v>30</v>
      </c>
      <c r="I4618">
        <f>B4618&amp;"~"&amp;C4618</f>
        <v/>
      </c>
      <c r="J4618" t="inlineStr">
        <is>
          <t>nursery, good</t>
        </is>
      </c>
    </row>
    <row r="4619">
      <c r="B4619" t="inlineStr">
        <is>
          <t>Hog Barns – Nursery</t>
        </is>
      </c>
      <c r="C4619" t="inlineStr">
        <is>
          <t>Average</t>
        </is>
      </c>
      <c r="F4619" t="n">
        <v>30</v>
      </c>
      <c r="G4619" t="n">
        <v>25</v>
      </c>
      <c r="H4619" t="n">
        <v>25</v>
      </c>
      <c r="I4619">
        <f>B4619&amp;"~"&amp;C4619</f>
        <v/>
      </c>
      <c r="J4619" t="inlineStr">
        <is>
          <t>average</t>
        </is>
      </c>
    </row>
    <row r="4620">
      <c r="B4620" t="inlineStr">
        <is>
          <t>Hog Barns – Breeding/Gestation</t>
        </is>
      </c>
      <c r="C4620" t="inlineStr">
        <is>
          <t>Good</t>
        </is>
      </c>
      <c r="F4620" t="n">
        <v>35</v>
      </c>
      <c r="G4620" t="n">
        <v>30</v>
      </c>
      <c r="H4620" t="n">
        <v>30</v>
      </c>
      <c r="I4620">
        <f>B4620&amp;"~"&amp;C4620</f>
        <v/>
      </c>
      <c r="J4620" t="inlineStr">
        <is>
          <t>Hog barns, breeding, farrowing, good and excellent</t>
        </is>
      </c>
    </row>
    <row r="4621">
      <c r="B4621" t="inlineStr">
        <is>
          <t>Hog Barns – Breeding/Gestation</t>
        </is>
      </c>
      <c r="C4621" t="inlineStr">
        <is>
          <t>Average</t>
        </is>
      </c>
      <c r="F4621" t="n">
        <v>30</v>
      </c>
      <c r="G4621" t="n">
        <v>25</v>
      </c>
      <c r="H4621" t="n">
        <v>25</v>
      </c>
      <c r="I4621">
        <f>B4621&amp;"~"&amp;C4621</f>
        <v/>
      </c>
      <c r="J4621" t="inlineStr">
        <is>
          <t>average</t>
        </is>
      </c>
    </row>
    <row r="4622">
      <c r="B4622" t="inlineStr">
        <is>
          <t>Hog Barns – Breeding/Gestation</t>
        </is>
      </c>
      <c r="C4622" t="inlineStr">
        <is>
          <t>Low Cost</t>
        </is>
      </c>
      <c r="F4622" t="n">
        <v>20</v>
      </c>
      <c r="G4622" t="n">
        <v>15</v>
      </c>
      <c r="H4622" t="n">
        <v>15</v>
      </c>
      <c r="I4622">
        <f>B4622&amp;"~"&amp;C4622</f>
        <v/>
      </c>
      <c r="J4622" t="inlineStr">
        <is>
          <t>cheap and low cost</t>
        </is>
      </c>
    </row>
    <row r="4623">
      <c r="B4623" t="inlineStr">
        <is>
          <t>Hog Barns – Breeding/Gestation</t>
        </is>
      </c>
      <c r="C4623" t="inlineStr">
        <is>
          <t>Cheap</t>
        </is>
      </c>
      <c r="F4623" t="n">
        <v>20</v>
      </c>
      <c r="G4623" t="n">
        <v>15</v>
      </c>
      <c r="H4623" t="n">
        <v>15</v>
      </c>
      <c r="I4623">
        <f>B4623&amp;"~"&amp;C4623</f>
        <v/>
      </c>
      <c r="J4623" t="inlineStr">
        <is>
          <t>cheap and low cost</t>
        </is>
      </c>
    </row>
    <row r="4624">
      <c r="B4624" t="inlineStr">
        <is>
          <t>Hog Barns – Farrowing</t>
        </is>
      </c>
      <c r="C4624" t="inlineStr">
        <is>
          <t>Good</t>
        </is>
      </c>
      <c r="F4624" t="n">
        <v>35</v>
      </c>
      <c r="G4624" t="n">
        <v>30</v>
      </c>
      <c r="H4624" t="n">
        <v>30</v>
      </c>
      <c r="I4624">
        <f>B4624&amp;"~"&amp;C4624</f>
        <v/>
      </c>
      <c r="J4624" t="inlineStr">
        <is>
          <t>Hog barns, breeding, farrowing, good and excellent</t>
        </is>
      </c>
    </row>
    <row r="4625">
      <c r="B4625" t="inlineStr">
        <is>
          <t>Hog Barns – Farrowing</t>
        </is>
      </c>
      <c r="C4625" t="inlineStr">
        <is>
          <t>Average</t>
        </is>
      </c>
      <c r="F4625" t="n">
        <v>30</v>
      </c>
      <c r="G4625" t="n">
        <v>25</v>
      </c>
      <c r="H4625" t="n">
        <v>25</v>
      </c>
      <c r="I4625">
        <f>B4625&amp;"~"&amp;C4625</f>
        <v/>
      </c>
      <c r="J4625" t="inlineStr">
        <is>
          <t>average</t>
        </is>
      </c>
    </row>
    <row r="4626">
      <c r="B4626" t="inlineStr">
        <is>
          <t>Hog Barns – Farrowing</t>
        </is>
      </c>
      <c r="C4626" t="inlineStr">
        <is>
          <t>Low Cost</t>
        </is>
      </c>
      <c r="F4626" t="n">
        <v>20</v>
      </c>
      <c r="G4626" t="n">
        <v>15</v>
      </c>
      <c r="H4626" t="n">
        <v>15</v>
      </c>
      <c r="I4626">
        <f>B4626&amp;"~"&amp;C4626</f>
        <v/>
      </c>
      <c r="J4626" t="inlineStr">
        <is>
          <t>cheap and low cost</t>
        </is>
      </c>
    </row>
    <row r="4627">
      <c r="B4627" t="inlineStr">
        <is>
          <t>Hog Barns – Farrowing</t>
        </is>
      </c>
      <c r="C4627" t="inlineStr">
        <is>
          <t>Cheap</t>
        </is>
      </c>
      <c r="F4627" t="n">
        <v>20</v>
      </c>
      <c r="G4627" t="n">
        <v>15</v>
      </c>
      <c r="H4627" t="n">
        <v>15</v>
      </c>
      <c r="I4627">
        <f>B4627&amp;"~"&amp;C4627</f>
        <v/>
      </c>
      <c r="J4627" t="inlineStr">
        <is>
          <t>cheap and low cost</t>
        </is>
      </c>
    </row>
    <row r="4628">
      <c r="B4628" t="inlineStr">
        <is>
          <t>Hog Barns – Finishing</t>
        </is>
      </c>
      <c r="C4628" t="inlineStr">
        <is>
          <t>Average</t>
        </is>
      </c>
      <c r="F4628" t="n">
        <v>25</v>
      </c>
      <c r="G4628" t="n">
        <v>20</v>
      </c>
      <c r="H4628" t="n">
        <v>20</v>
      </c>
      <c r="I4628">
        <f>B4628&amp;"~"&amp;C4628</f>
        <v/>
      </c>
      <c r="J4628" t="inlineStr">
        <is>
          <t>finishing, average</t>
        </is>
      </c>
    </row>
    <row r="4629">
      <c r="B4629" t="inlineStr">
        <is>
          <t>Hog Barns – Finishing</t>
        </is>
      </c>
      <c r="C4629" t="inlineStr">
        <is>
          <t>Low Cost</t>
        </is>
      </c>
      <c r="F4629" t="n">
        <v>20</v>
      </c>
      <c r="G4629" t="n">
        <v>15</v>
      </c>
      <c r="H4629" t="n">
        <v>15</v>
      </c>
      <c r="I4629">
        <f>B4629&amp;"~"&amp;C4629</f>
        <v/>
      </c>
      <c r="J4629" t="inlineStr">
        <is>
          <t>cheap and low cost</t>
        </is>
      </c>
    </row>
    <row r="4630">
      <c r="B4630" t="inlineStr">
        <is>
          <t>Hog Barns – Finishing</t>
        </is>
      </c>
      <c r="C4630" t="inlineStr">
        <is>
          <t>Cheap</t>
        </is>
      </c>
      <c r="F4630" t="n">
        <v>20</v>
      </c>
      <c r="G4630" t="n">
        <v>15</v>
      </c>
      <c r="H4630" t="n">
        <v>15</v>
      </c>
      <c r="I4630">
        <f>B4630&amp;"~"&amp;C4630</f>
        <v/>
      </c>
      <c r="J4630" t="inlineStr">
        <is>
          <t>cheap and low cost</t>
        </is>
      </c>
    </row>
    <row r="4631">
      <c r="B4631" t="inlineStr">
        <is>
          <t>Modified Hog Sheds</t>
        </is>
      </c>
      <c r="C4631" t="inlineStr">
        <is>
          <t>Average</t>
        </is>
      </c>
      <c r="F4631" t="n">
        <v>25</v>
      </c>
      <c r="G4631" t="n">
        <v>20</v>
      </c>
      <c r="H4631" t="n">
        <v>20</v>
      </c>
      <c r="I4631">
        <f>B4631&amp;"~"&amp;C4631</f>
        <v/>
      </c>
      <c r="J4631" t="inlineStr">
        <is>
          <t>Hog sheds and modified sheds, average</t>
        </is>
      </c>
    </row>
    <row r="4632">
      <c r="B4632" t="inlineStr">
        <is>
          <t>Modified Hog Sheds</t>
        </is>
      </c>
      <c r="C4632" t="inlineStr">
        <is>
          <t>Low Cost</t>
        </is>
      </c>
      <c r="F4632" t="n">
        <v>20</v>
      </c>
      <c r="G4632" t="n">
        <v>15</v>
      </c>
      <c r="H4632" t="n">
        <v>15</v>
      </c>
      <c r="I4632">
        <f>B4632&amp;"~"&amp;C4632</f>
        <v/>
      </c>
      <c r="J4632" t="inlineStr">
        <is>
          <t>cheap and low cost</t>
        </is>
      </c>
    </row>
    <row r="4633">
      <c r="B4633" t="inlineStr">
        <is>
          <t>Hog Sheds</t>
        </is>
      </c>
      <c r="C4633" t="inlineStr">
        <is>
          <t>Average</t>
        </is>
      </c>
      <c r="F4633" t="n">
        <v>25</v>
      </c>
      <c r="G4633" t="n">
        <v>20</v>
      </c>
      <c r="H4633" t="n">
        <v>20</v>
      </c>
      <c r="I4633">
        <f>B4633&amp;"~"&amp;C4633</f>
        <v/>
      </c>
      <c r="J4633" t="inlineStr">
        <is>
          <t>Hog sheds and modified sheds, average</t>
        </is>
      </c>
    </row>
    <row r="4634">
      <c r="B4634" t="inlineStr">
        <is>
          <t>Hog Sheds</t>
        </is>
      </c>
      <c r="C4634" t="inlineStr">
        <is>
          <t>Low Cost</t>
        </is>
      </c>
      <c r="F4634" t="n">
        <v>20</v>
      </c>
      <c r="G4634" t="n">
        <v>15</v>
      </c>
      <c r="H4634" t="n">
        <v>15</v>
      </c>
      <c r="I4634">
        <f>B4634&amp;"~"&amp;C4634</f>
        <v/>
      </c>
      <c r="J4634" t="inlineStr">
        <is>
          <t>cheap and low cost</t>
        </is>
      </c>
    </row>
    <row r="4635">
      <c r="B4635" t="inlineStr">
        <is>
          <t>Hog Sheds</t>
        </is>
      </c>
      <c r="C4635" t="inlineStr">
        <is>
          <t>Cheap</t>
        </is>
      </c>
      <c r="F4635" t="n">
        <v>20</v>
      </c>
      <c r="G4635" t="n">
        <v>15</v>
      </c>
      <c r="H4635" t="n">
        <v>15</v>
      </c>
      <c r="I4635">
        <f>B4635&amp;"~"&amp;C4635</f>
        <v/>
      </c>
      <c r="J4635" t="inlineStr">
        <is>
          <t>cheap and low cost</t>
        </is>
      </c>
    </row>
    <row r="4636">
      <c r="B4636" t="inlineStr">
        <is>
          <t>Sheep Barns</t>
        </is>
      </c>
      <c r="C4636" t="inlineStr">
        <is>
          <t>Good</t>
        </is>
      </c>
      <c r="G4636" t="n">
        <v>25</v>
      </c>
      <c r="H4636" t="n">
        <v>25</v>
      </c>
      <c r="I4636">
        <f>B4636&amp;"~"&amp;C4636</f>
        <v/>
      </c>
      <c r="J4636" t="inlineStr">
        <is>
          <t>Sheep barns, average and good</t>
        </is>
      </c>
    </row>
    <row r="4637">
      <c r="B4637" t="inlineStr">
        <is>
          <t>Sheep Barns</t>
        </is>
      </c>
      <c r="C4637" t="inlineStr">
        <is>
          <t>Average</t>
        </is>
      </c>
      <c r="G4637" t="n">
        <v>25</v>
      </c>
      <c r="H4637" t="n">
        <v>25</v>
      </c>
      <c r="I4637">
        <f>B4637&amp;"~"&amp;C4637</f>
        <v/>
      </c>
      <c r="J4637" t="inlineStr">
        <is>
          <t>Sheep barns, average and good</t>
        </is>
      </c>
    </row>
    <row r="4638">
      <c r="B4638" t="inlineStr">
        <is>
          <t>Sheep Sheds</t>
        </is>
      </c>
      <c r="C4638" t="inlineStr">
        <is>
          <t>Good</t>
        </is>
      </c>
      <c r="G4638" t="n">
        <v>25</v>
      </c>
      <c r="H4638" t="n">
        <v>25</v>
      </c>
      <c r="I4638">
        <f>B4638&amp;"~"&amp;C4638</f>
        <v/>
      </c>
      <c r="J4638" t="inlineStr">
        <is>
          <t>sheds, good</t>
        </is>
      </c>
    </row>
    <row r="4639">
      <c r="B4639" t="inlineStr">
        <is>
          <t>Sheep Sheds</t>
        </is>
      </c>
      <c r="C4639" t="inlineStr">
        <is>
          <t>Average</t>
        </is>
      </c>
      <c r="G4639" t="n">
        <v>20</v>
      </c>
      <c r="H4639" t="n">
        <v>20</v>
      </c>
      <c r="I4639">
        <f>B4639&amp;"~"&amp;C4639</f>
        <v/>
      </c>
      <c r="J4639" t="inlineStr">
        <is>
          <t>average</t>
        </is>
      </c>
    </row>
    <row r="4640">
      <c r="B4640" t="inlineStr">
        <is>
          <t>Sheep Sheds</t>
        </is>
      </c>
      <c r="C4640" t="inlineStr">
        <is>
          <t>Low Cost</t>
        </is>
      </c>
      <c r="G4640" t="n">
        <v>15</v>
      </c>
      <c r="H4640" t="n">
        <v>15</v>
      </c>
      <c r="I4640">
        <f>B4640&amp;"~"&amp;C4640</f>
        <v/>
      </c>
      <c r="J4640" t="inlineStr">
        <is>
          <t>cheap and low cost</t>
        </is>
      </c>
    </row>
    <row r="4641">
      <c r="B4641" t="inlineStr">
        <is>
          <t>Sheep Sheds</t>
        </is>
      </c>
      <c r="C4641" t="inlineStr">
        <is>
          <t>Cheap</t>
        </is>
      </c>
      <c r="G4641" t="n">
        <v>15</v>
      </c>
      <c r="H4641" t="n">
        <v>15</v>
      </c>
      <c r="I4641">
        <f>B4641&amp;"~"&amp;C4641</f>
        <v/>
      </c>
      <c r="J4641" t="inlineStr">
        <is>
          <t>cheap and low cost</t>
        </is>
      </c>
    </row>
    <row r="4642">
      <c r="B4642" t="inlineStr">
        <is>
          <t>Poultry Floor Operation – Breeder Houses</t>
        </is>
      </c>
      <c r="C4642" t="inlineStr">
        <is>
          <t>Good</t>
        </is>
      </c>
      <c r="F4642" t="n">
        <v>25</v>
      </c>
      <c r="G4642" t="n">
        <v>20</v>
      </c>
      <c r="H4642" t="n">
        <v>20</v>
      </c>
      <c r="I4642">
        <f>B4642&amp;"~"&amp;C4642</f>
        <v/>
      </c>
      <c r="J4642" t="inlineStr">
        <is>
          <t>floor operation, breeder/broiler, turkey, good</t>
        </is>
      </c>
    </row>
    <row r="4643">
      <c r="B4643" t="inlineStr">
        <is>
          <t>Poultry Floor Operation – Breeder Houses</t>
        </is>
      </c>
      <c r="C4643" t="inlineStr">
        <is>
          <t>Average</t>
        </is>
      </c>
      <c r="F4643" t="n">
        <v>20</v>
      </c>
      <c r="G4643" t="n">
        <v>15</v>
      </c>
      <c r="H4643" t="n">
        <v>15</v>
      </c>
      <c r="I4643">
        <f>B4643&amp;"~"&amp;C4643</f>
        <v/>
      </c>
      <c r="J4643" t="inlineStr">
        <is>
          <t>average</t>
        </is>
      </c>
    </row>
    <row r="4644">
      <c r="B4644" t="inlineStr">
        <is>
          <t>Poultry Floor Operation – Breeder Houses</t>
        </is>
      </c>
      <c r="C4644" t="inlineStr">
        <is>
          <t>Fair</t>
        </is>
      </c>
      <c r="G4644" t="n">
        <v>15</v>
      </c>
      <c r="H4644" t="n">
        <v>15</v>
      </c>
      <c r="I4644">
        <f>B4644&amp;"~"&amp;C4644</f>
        <v/>
      </c>
      <c r="J4644" t="inlineStr">
        <is>
          <t>cheap, low cost and fair</t>
        </is>
      </c>
    </row>
    <row r="4645">
      <c r="B4645" t="inlineStr">
        <is>
          <t>Poultry Floor Operation – Breeder Houses</t>
        </is>
      </c>
      <c r="C4645" t="inlineStr">
        <is>
          <t>Low Cost</t>
        </is>
      </c>
      <c r="G4645" t="n">
        <v>15</v>
      </c>
      <c r="H4645" t="n">
        <v>15</v>
      </c>
      <c r="I4645">
        <f>B4645&amp;"~"&amp;C4645</f>
        <v/>
      </c>
      <c r="J4645" t="inlineStr">
        <is>
          <t>cheap, low cost and fair</t>
        </is>
      </c>
    </row>
    <row r="4646">
      <c r="B4646" t="inlineStr">
        <is>
          <t>Poultry Floor Operation – Breeder Houses</t>
        </is>
      </c>
      <c r="C4646" t="inlineStr">
        <is>
          <t>Cheap</t>
        </is>
      </c>
      <c r="G4646" t="n">
        <v>15</v>
      </c>
      <c r="H4646" t="n">
        <v>15</v>
      </c>
      <c r="I4646">
        <f>B4646&amp;"~"&amp;C4646</f>
        <v/>
      </c>
      <c r="J4646" t="inlineStr">
        <is>
          <t>cheap, low cost and fair</t>
        </is>
      </c>
    </row>
    <row r="4647">
      <c r="B4647" t="inlineStr">
        <is>
          <t>Poultry Floor Operation – Broiler Houses</t>
        </is>
      </c>
      <c r="C4647" t="inlineStr">
        <is>
          <t>Good</t>
        </is>
      </c>
      <c r="F4647" t="n">
        <v>25</v>
      </c>
      <c r="G4647" t="n">
        <v>20</v>
      </c>
      <c r="H4647" t="n">
        <v>20</v>
      </c>
      <c r="I4647">
        <f>B4647&amp;"~"&amp;C4647</f>
        <v/>
      </c>
      <c r="J4647" t="inlineStr">
        <is>
          <t>floor operation, breeder/broiler, turkey, good</t>
        </is>
      </c>
    </row>
    <row r="4648">
      <c r="B4648" t="inlineStr">
        <is>
          <t>Poultry Floor Operation – Broiler Houses</t>
        </is>
      </c>
      <c r="C4648" t="inlineStr">
        <is>
          <t>Average</t>
        </is>
      </c>
      <c r="F4648" t="n">
        <v>20</v>
      </c>
      <c r="G4648" t="n">
        <v>15</v>
      </c>
      <c r="H4648" t="n">
        <v>15</v>
      </c>
      <c r="I4648">
        <f>B4648&amp;"~"&amp;C4648</f>
        <v/>
      </c>
      <c r="J4648" t="inlineStr">
        <is>
          <t>average</t>
        </is>
      </c>
    </row>
    <row r="4649">
      <c r="B4649" t="inlineStr">
        <is>
          <t>Poultry Floor Operation – Broiler Houses</t>
        </is>
      </c>
      <c r="C4649" t="inlineStr">
        <is>
          <t>Fair</t>
        </is>
      </c>
      <c r="G4649" t="n">
        <v>15</v>
      </c>
      <c r="H4649" t="n">
        <v>15</v>
      </c>
      <c r="I4649">
        <f>B4649&amp;"~"&amp;C4649</f>
        <v/>
      </c>
      <c r="J4649" t="inlineStr">
        <is>
          <t>cheap, low cost and fair</t>
        </is>
      </c>
    </row>
    <row r="4650">
      <c r="B4650" t="inlineStr">
        <is>
          <t>Poultry Floor Operation – Broiler Houses</t>
        </is>
      </c>
      <c r="C4650" t="inlineStr">
        <is>
          <t>Low Cost</t>
        </is>
      </c>
      <c r="G4650" t="n">
        <v>15</v>
      </c>
      <c r="H4650" t="n">
        <v>15</v>
      </c>
      <c r="I4650">
        <f>B4650&amp;"~"&amp;C4650</f>
        <v/>
      </c>
      <c r="J4650" t="inlineStr">
        <is>
          <t>cheap, low cost and fair</t>
        </is>
      </c>
    </row>
    <row r="4651">
      <c r="B4651" t="inlineStr">
        <is>
          <t>Poultry Floor Operation – Broiler Houses</t>
        </is>
      </c>
      <c r="C4651" t="inlineStr">
        <is>
          <t>Cheap</t>
        </is>
      </c>
      <c r="G4651" t="n">
        <v>15</v>
      </c>
      <c r="H4651" t="n">
        <v>15</v>
      </c>
      <c r="I4651">
        <f>B4651&amp;"~"&amp;C4651</f>
        <v/>
      </c>
      <c r="J4651" t="inlineStr">
        <is>
          <t>cheap, low cost and fair</t>
        </is>
      </c>
    </row>
    <row r="4652">
      <c r="B4652" t="inlineStr">
        <is>
          <t>Poultry Cage Operation – Enclosed Houses</t>
        </is>
      </c>
      <c r="C4652" t="inlineStr">
        <is>
          <t>Good</t>
        </is>
      </c>
      <c r="F4652" t="n">
        <v>30</v>
      </c>
      <c r="G4652" t="n">
        <v>25</v>
      </c>
      <c r="H4652" t="n">
        <v>25</v>
      </c>
      <c r="I4652">
        <f>B4652&amp;"~"&amp;C4652</f>
        <v/>
      </c>
      <c r="J4652" t="inlineStr">
        <is>
          <t>Poultry, cage operation, enclosed/screened, good</t>
        </is>
      </c>
    </row>
    <row r="4653">
      <c r="B4653" t="inlineStr">
        <is>
          <t>Poultry Cage Operation – Enclosed Houses</t>
        </is>
      </c>
      <c r="C4653" t="inlineStr">
        <is>
          <t>Average</t>
        </is>
      </c>
      <c r="F4653" t="n">
        <v>25</v>
      </c>
      <c r="G4653" t="n">
        <v>20</v>
      </c>
      <c r="H4653" t="n">
        <v>20</v>
      </c>
      <c r="I4653">
        <f>B4653&amp;"~"&amp;C4653</f>
        <v/>
      </c>
      <c r="J4653" t="inlineStr">
        <is>
          <t>average</t>
        </is>
      </c>
    </row>
    <row r="4654">
      <c r="B4654" t="inlineStr">
        <is>
          <t>Poultry Cage Operation – Enclosed Houses</t>
        </is>
      </c>
      <c r="C4654" t="inlineStr">
        <is>
          <t>Low Cost</t>
        </is>
      </c>
      <c r="F4654" t="n">
        <v>20</v>
      </c>
      <c r="G4654" t="n">
        <v>15</v>
      </c>
      <c r="H4654" t="n">
        <v>15</v>
      </c>
      <c r="I4654">
        <f>B4654&amp;"~"&amp;C4654</f>
        <v/>
      </c>
      <c r="J4654" t="inlineStr">
        <is>
          <t>cheap and low cost</t>
        </is>
      </c>
    </row>
    <row r="4655">
      <c r="B4655" t="inlineStr">
        <is>
          <t>Poultry Cage Operation – Enclosed Houses</t>
        </is>
      </c>
      <c r="C4655" t="inlineStr">
        <is>
          <t>Cheap</t>
        </is>
      </c>
      <c r="F4655" t="n">
        <v>20</v>
      </c>
      <c r="G4655" t="n">
        <v>15</v>
      </c>
      <c r="H4655" t="n">
        <v>15</v>
      </c>
      <c r="I4655">
        <f>B4655&amp;"~"&amp;C4655</f>
        <v/>
      </c>
      <c r="J4655" t="inlineStr">
        <is>
          <t>cheap and low cost</t>
        </is>
      </c>
    </row>
    <row r="4656">
      <c r="B4656" t="inlineStr">
        <is>
          <t>Poultry Cage Operation – Screened Houses</t>
        </is>
      </c>
      <c r="C4656" t="inlineStr">
        <is>
          <t>Average</t>
        </is>
      </c>
      <c r="F4656" t="n">
        <v>25</v>
      </c>
      <c r="G4656" t="n">
        <v>20</v>
      </c>
      <c r="H4656" t="n">
        <v>20</v>
      </c>
      <c r="I4656">
        <f>B4656&amp;"~"&amp;C4656</f>
        <v/>
      </c>
      <c r="J4656" t="inlineStr">
        <is>
          <t>average</t>
        </is>
      </c>
    </row>
    <row r="4657">
      <c r="B4657" t="inlineStr">
        <is>
          <t>Poultry Cage Operation – Screened Houses</t>
        </is>
      </c>
      <c r="C4657" t="inlineStr">
        <is>
          <t>Fair</t>
        </is>
      </c>
      <c r="F4657" t="n">
        <v>20</v>
      </c>
      <c r="G4657" t="n">
        <v>15</v>
      </c>
      <c r="H4657" t="n">
        <v>15</v>
      </c>
      <c r="I4657">
        <f>B4657&amp;"~"&amp;C4657</f>
        <v/>
      </c>
      <c r="J4657" t="inlineStr">
        <is>
          <t>cheap and low cost</t>
        </is>
      </c>
    </row>
    <row r="4658">
      <c r="B4658" t="inlineStr">
        <is>
          <t>Poultry Cage Operation – Screened Houses</t>
        </is>
      </c>
      <c r="C4658" t="inlineStr">
        <is>
          <t>Low Cost</t>
        </is>
      </c>
      <c r="F4658" t="n">
        <v>20</v>
      </c>
      <c r="G4658" t="n">
        <v>15</v>
      </c>
      <c r="H4658" t="n">
        <v>15</v>
      </c>
      <c r="I4658">
        <f>B4658&amp;"~"&amp;C4658</f>
        <v/>
      </c>
      <c r="J4658" t="inlineStr">
        <is>
          <t>cheap and low cost</t>
        </is>
      </c>
    </row>
    <row r="4659">
      <c r="B4659" t="inlineStr">
        <is>
          <t>Poultry Cage Operation – Screened Houses</t>
        </is>
      </c>
      <c r="C4659" t="inlineStr">
        <is>
          <t>Cheap</t>
        </is>
      </c>
      <c r="F4659" t="n">
        <v>20</v>
      </c>
      <c r="G4659" t="n">
        <v>15</v>
      </c>
      <c r="H4659" t="n">
        <v>15</v>
      </c>
      <c r="I4659">
        <f>B4659&amp;"~"&amp;C4659</f>
        <v/>
      </c>
      <c r="J4659" t="inlineStr">
        <is>
          <t>cheap and low cost</t>
        </is>
      </c>
    </row>
    <row r="4660">
      <c r="B4660" t="inlineStr">
        <is>
          <t>Farm Labor Housing – Dormitories</t>
        </is>
      </c>
      <c r="C4660" t="inlineStr">
        <is>
          <t>Good</t>
        </is>
      </c>
      <c r="F4660" t="n">
        <v>30</v>
      </c>
      <c r="G4660" t="n">
        <v>25</v>
      </c>
      <c r="H4660" t="n">
        <v>25</v>
      </c>
      <c r="I4660">
        <f>B4660&amp;"~"&amp;C4660</f>
        <v/>
      </c>
      <c r="J4660" t="inlineStr">
        <is>
          <t>Labor dormitories, good</t>
        </is>
      </c>
    </row>
    <row r="4661">
      <c r="B4661" t="inlineStr">
        <is>
          <t>Farm Labor Housing – Dormitories</t>
        </is>
      </c>
      <c r="C4661" t="inlineStr">
        <is>
          <t>Average</t>
        </is>
      </c>
      <c r="F4661" t="n">
        <v>25</v>
      </c>
      <c r="G4661" t="n">
        <v>20</v>
      </c>
      <c r="H4661" t="n">
        <v>20</v>
      </c>
      <c r="I4661">
        <f>B4661&amp;"~"&amp;C4661</f>
        <v/>
      </c>
      <c r="J4661" t="inlineStr">
        <is>
          <t>average</t>
        </is>
      </c>
    </row>
    <row r="4662">
      <c r="B4662" t="inlineStr">
        <is>
          <t>Farm Labor Housing – Dormitories</t>
        </is>
      </c>
      <c r="C4662" t="inlineStr">
        <is>
          <t>Low Cost</t>
        </is>
      </c>
      <c r="F4662" t="n">
        <v>20</v>
      </c>
      <c r="G4662" t="n">
        <v>15</v>
      </c>
      <c r="I4662">
        <f>B4662&amp;"~"&amp;C4662</f>
        <v/>
      </c>
      <c r="J4662" t="inlineStr">
        <is>
          <t>low cost</t>
        </is>
      </c>
    </row>
    <row r="4663">
      <c r="B4663" t="inlineStr">
        <is>
          <t>Transient Labor Cabins</t>
        </is>
      </c>
      <c r="C4663" t="inlineStr">
        <is>
          <t>Average</t>
        </is>
      </c>
      <c r="G4663" t="n">
        <v>15</v>
      </c>
      <c r="I4663">
        <f>B4663&amp;"~"&amp;C4663</f>
        <v/>
      </c>
      <c r="J4663" t="inlineStr">
        <is>
          <t>Transient labor cabins, average</t>
        </is>
      </c>
    </row>
    <row r="4664">
      <c r="B4664" t="inlineStr">
        <is>
          <t>Hunting Shelters</t>
        </is>
      </c>
      <c r="C4664" t="inlineStr">
        <is>
          <t>Good</t>
        </is>
      </c>
      <c r="G4664" t="n">
        <v>15</v>
      </c>
      <c r="I4664">
        <f>B4664&amp;"~"&amp;C4664</f>
        <v/>
      </c>
      <c r="J4664" t="inlineStr">
        <is>
          <t>Hunting shelters, good</t>
        </is>
      </c>
    </row>
    <row r="4665">
      <c r="B4665" t="inlineStr">
        <is>
          <t>Hunting Shelters</t>
        </is>
      </c>
      <c r="C4665" t="inlineStr">
        <is>
          <t>Average</t>
        </is>
      </c>
      <c r="G4665" t="n">
        <v>10</v>
      </c>
      <c r="I4665">
        <f>B4665&amp;"~"&amp;C4665</f>
        <v/>
      </c>
      <c r="J4665" t="inlineStr">
        <is>
          <t>cheap, low cost and average</t>
        </is>
      </c>
    </row>
    <row r="4666">
      <c r="B4666" t="inlineStr">
        <is>
          <t>Hunting Shelters</t>
        </is>
      </c>
      <c r="C4666" t="inlineStr">
        <is>
          <t>Low Cost</t>
        </is>
      </c>
      <c r="G4666" t="n">
        <v>10</v>
      </c>
      <c r="I4666">
        <f>B4666&amp;"~"&amp;C4666</f>
        <v/>
      </c>
      <c r="J4666" t="inlineStr">
        <is>
          <t>cheap, low cost and average</t>
        </is>
      </c>
    </row>
    <row r="4667">
      <c r="B4667" t="inlineStr">
        <is>
          <t>Hunting Shelters</t>
        </is>
      </c>
      <c r="C4667" t="inlineStr">
        <is>
          <t>Cheap</t>
        </is>
      </c>
      <c r="G4667" t="n">
        <v>10</v>
      </c>
      <c r="I4667">
        <f>B4667&amp;"~"&amp;C4667</f>
        <v/>
      </c>
      <c r="J4667" t="inlineStr">
        <is>
          <t>cheap, low cost and average</t>
        </is>
      </c>
    </row>
    <row r="4668">
      <c r="B4668" t="inlineStr">
        <is>
          <t>High Schools</t>
        </is>
      </c>
      <c r="C4668" t="inlineStr">
        <is>
          <t>Excellent</t>
        </is>
      </c>
      <c r="D4668" t="n">
        <v>50</v>
      </c>
      <c r="E4668" t="n">
        <v>50</v>
      </c>
      <c r="F4668" t="n">
        <v>45</v>
      </c>
      <c r="G4668" t="n">
        <v>40</v>
      </c>
      <c r="H4668" t="n">
        <v>40</v>
      </c>
      <c r="I4668">
        <f>B4668&amp;"~"&amp;C4668</f>
        <v/>
      </c>
      <c r="J4668" t="inlineStr">
        <is>
          <t>High and alternative schools, good and excellent</t>
        </is>
      </c>
    </row>
    <row r="4669">
      <c r="B4669" t="inlineStr">
        <is>
          <t>High Schools</t>
        </is>
      </c>
      <c r="C4669" t="inlineStr">
        <is>
          <t>Good</t>
        </is>
      </c>
      <c r="D4669" t="n">
        <v>50</v>
      </c>
      <c r="E4669" t="n">
        <v>50</v>
      </c>
      <c r="F4669" t="n">
        <v>45</v>
      </c>
      <c r="G4669" t="n">
        <v>40</v>
      </c>
      <c r="H4669" t="n">
        <v>40</v>
      </c>
      <c r="I4669">
        <f>B4669&amp;"~"&amp;C4669</f>
        <v/>
      </c>
      <c r="J4669" t="inlineStr">
        <is>
          <t>High and alternative schools, good and excellent</t>
        </is>
      </c>
    </row>
    <row r="4670">
      <c r="B4670" t="inlineStr">
        <is>
          <t>High Schools</t>
        </is>
      </c>
      <c r="C4670" t="inlineStr">
        <is>
          <t>Average</t>
        </is>
      </c>
      <c r="D4670" t="n">
        <v>45</v>
      </c>
      <c r="E4670" t="n">
        <v>45</v>
      </c>
      <c r="F4670" t="n">
        <v>45</v>
      </c>
      <c r="G4670" t="n">
        <v>40</v>
      </c>
      <c r="H4670" t="n">
        <v>40</v>
      </c>
      <c r="I4670">
        <f>B4670&amp;"~"&amp;C4670</f>
        <v/>
      </c>
      <c r="J4670" t="inlineStr">
        <is>
          <t>average</t>
        </is>
      </c>
    </row>
    <row r="4671">
      <c r="B4671" t="inlineStr">
        <is>
          <t>High Schools</t>
        </is>
      </c>
      <c r="C4671" t="inlineStr">
        <is>
          <t>Low Cost</t>
        </is>
      </c>
      <c r="F4671" t="n">
        <v>40</v>
      </c>
      <c r="G4671" t="n">
        <v>35</v>
      </c>
      <c r="H4671" t="n">
        <v>35</v>
      </c>
      <c r="I4671">
        <f>B4671&amp;"~"&amp;C4671</f>
        <v/>
      </c>
      <c r="J4671" t="inlineStr">
        <is>
          <t>low cost</t>
        </is>
      </c>
    </row>
    <row r="4672">
      <c r="B4672" t="inlineStr">
        <is>
          <t>Middle (Junior High) Schools</t>
        </is>
      </c>
      <c r="C4672" t="inlineStr">
        <is>
          <t>Excellent</t>
        </is>
      </c>
      <c r="D4672" t="n">
        <v>50</v>
      </c>
      <c r="E4672" t="n">
        <v>50</v>
      </c>
      <c r="F4672" t="n">
        <v>45</v>
      </c>
      <c r="G4672" t="n">
        <v>40</v>
      </c>
      <c r="H4672" t="n">
        <v>40</v>
      </c>
      <c r="I4672">
        <f>B4672&amp;"~"&amp;C4672</f>
        <v/>
      </c>
      <c r="J4672" t="inlineStr">
        <is>
          <t>Intermediate (junior high), good and excellent</t>
        </is>
      </c>
    </row>
    <row r="4673">
      <c r="B4673" t="inlineStr">
        <is>
          <t>Middle (Junior High) Schools</t>
        </is>
      </c>
      <c r="C4673" t="inlineStr">
        <is>
          <t>Good</t>
        </is>
      </c>
      <c r="D4673" t="n">
        <v>50</v>
      </c>
      <c r="E4673" t="n">
        <v>50</v>
      </c>
      <c r="F4673" t="n">
        <v>45</v>
      </c>
      <c r="G4673" t="n">
        <v>40</v>
      </c>
      <c r="H4673" t="n">
        <v>40</v>
      </c>
      <c r="I4673">
        <f>B4673&amp;"~"&amp;C4673</f>
        <v/>
      </c>
      <c r="J4673" t="inlineStr">
        <is>
          <t>Intermediate (junior high), good and excellent</t>
        </is>
      </c>
    </row>
    <row r="4674">
      <c r="B4674" t="inlineStr">
        <is>
          <t>Middle (Junior High) Schools</t>
        </is>
      </c>
      <c r="C4674" t="inlineStr">
        <is>
          <t>Average</t>
        </is>
      </c>
      <c r="D4674" t="n">
        <v>45</v>
      </c>
      <c r="E4674" t="n">
        <v>45</v>
      </c>
      <c r="F4674" t="n">
        <v>45</v>
      </c>
      <c r="G4674" t="n">
        <v>40</v>
      </c>
      <c r="H4674" t="n">
        <v>40</v>
      </c>
      <c r="I4674">
        <f>B4674&amp;"~"&amp;C4674</f>
        <v/>
      </c>
      <c r="J4674" t="inlineStr">
        <is>
          <t>average</t>
        </is>
      </c>
    </row>
    <row r="4675">
      <c r="B4675" t="inlineStr">
        <is>
          <t>Middle (Junior High) Schools</t>
        </is>
      </c>
      <c r="C4675" t="inlineStr">
        <is>
          <t>Low Cost</t>
        </is>
      </c>
      <c r="F4675" t="n">
        <v>40</v>
      </c>
      <c r="G4675" t="n">
        <v>35</v>
      </c>
      <c r="H4675" t="n">
        <v>35</v>
      </c>
      <c r="I4675">
        <f>B4675&amp;"~"&amp;C4675</f>
        <v/>
      </c>
      <c r="J4675" t="inlineStr">
        <is>
          <t>low cost</t>
        </is>
      </c>
    </row>
    <row r="4676">
      <c r="B4676" t="inlineStr">
        <is>
          <t>Elementary Schools</t>
        </is>
      </c>
      <c r="C4676" t="inlineStr">
        <is>
          <t>Excellent</t>
        </is>
      </c>
      <c r="D4676" t="n">
        <v>50</v>
      </c>
      <c r="E4676" t="n">
        <v>50</v>
      </c>
      <c r="F4676" t="n">
        <v>45</v>
      </c>
      <c r="G4676" t="n">
        <v>40</v>
      </c>
      <c r="H4676" t="n">
        <v>40</v>
      </c>
      <c r="I4676">
        <f>B4676&amp;"~"&amp;C4676</f>
        <v/>
      </c>
      <c r="J4676" t="inlineStr">
        <is>
          <t>Elementary, good and excellent</t>
        </is>
      </c>
    </row>
    <row r="4677">
      <c r="B4677" t="inlineStr">
        <is>
          <t>Elementary Schools</t>
        </is>
      </c>
      <c r="C4677" t="inlineStr">
        <is>
          <t>Good</t>
        </is>
      </c>
      <c r="D4677" t="n">
        <v>50</v>
      </c>
      <c r="E4677" t="n">
        <v>50</v>
      </c>
      <c r="F4677" t="n">
        <v>45</v>
      </c>
      <c r="G4677" t="n">
        <v>40</v>
      </c>
      <c r="H4677" t="n">
        <v>40</v>
      </c>
      <c r="I4677">
        <f>B4677&amp;"~"&amp;C4677</f>
        <v/>
      </c>
      <c r="J4677" t="inlineStr">
        <is>
          <t>Elementary, good and excellent</t>
        </is>
      </c>
    </row>
    <row r="4678">
      <c r="B4678" t="inlineStr">
        <is>
          <t>Elementary Schools</t>
        </is>
      </c>
      <c r="C4678" t="inlineStr">
        <is>
          <t>Average</t>
        </is>
      </c>
      <c r="D4678" t="n">
        <v>45</v>
      </c>
      <c r="E4678" t="n">
        <v>45</v>
      </c>
      <c r="F4678" t="n">
        <v>45</v>
      </c>
      <c r="G4678" t="n">
        <v>40</v>
      </c>
      <c r="H4678" t="n">
        <v>40</v>
      </c>
      <c r="I4678">
        <f>B4678&amp;"~"&amp;C4678</f>
        <v/>
      </c>
      <c r="J4678" t="inlineStr">
        <is>
          <t>average</t>
        </is>
      </c>
    </row>
    <row r="4679">
      <c r="B4679" t="inlineStr">
        <is>
          <t>Elementary Schools</t>
        </is>
      </c>
      <c r="C4679" t="inlineStr">
        <is>
          <t>Low Cost</t>
        </is>
      </c>
      <c r="F4679" t="n">
        <v>40</v>
      </c>
      <c r="G4679" t="n">
        <v>35</v>
      </c>
      <c r="H4679" t="n">
        <v>35</v>
      </c>
      <c r="I4679">
        <f>B4679&amp;"~"&amp;C4679</f>
        <v/>
      </c>
      <c r="J4679" t="inlineStr">
        <is>
          <t>low cost</t>
        </is>
      </c>
    </row>
    <row r="4680">
      <c r="B4680" t="inlineStr">
        <is>
          <t>Vocational Schools</t>
        </is>
      </c>
      <c r="C4680" t="inlineStr">
        <is>
          <t>Good</t>
        </is>
      </c>
      <c r="D4680" t="n">
        <v>50</v>
      </c>
      <c r="E4680" t="n">
        <v>50</v>
      </c>
      <c r="F4680" t="n">
        <v>45</v>
      </c>
      <c r="G4680" t="n">
        <v>40</v>
      </c>
      <c r="H4680" t="n">
        <v>40</v>
      </c>
      <c r="I4680">
        <f>B4680&amp;"~"&amp;C4680</f>
        <v/>
      </c>
      <c r="J4680" t="inlineStr">
        <is>
          <t>Vocational schools, good and excellent</t>
        </is>
      </c>
    </row>
    <row r="4681">
      <c r="B4681" t="inlineStr">
        <is>
          <t>Vocational Schools</t>
        </is>
      </c>
      <c r="C4681" t="inlineStr">
        <is>
          <t>Average</t>
        </is>
      </c>
      <c r="D4681" t="n">
        <v>45</v>
      </c>
      <c r="E4681" t="n">
        <v>45</v>
      </c>
      <c r="F4681" t="n">
        <v>45</v>
      </c>
      <c r="G4681" t="n">
        <v>40</v>
      </c>
      <c r="H4681" t="n">
        <v>40</v>
      </c>
      <c r="I4681">
        <f>B4681&amp;"~"&amp;C4681</f>
        <v/>
      </c>
      <c r="J4681" t="inlineStr">
        <is>
          <t>average</t>
        </is>
      </c>
    </row>
    <row r="4682">
      <c r="B4682" t="inlineStr">
        <is>
          <t>Vocational Schools</t>
        </is>
      </c>
      <c r="C4682" t="inlineStr">
        <is>
          <t>Excellent</t>
        </is>
      </c>
      <c r="D4682" t="n">
        <v>50</v>
      </c>
      <c r="E4682" t="n">
        <v>50</v>
      </c>
      <c r="F4682" t="n">
        <v>45</v>
      </c>
      <c r="G4682" t="n">
        <v>40</v>
      </c>
      <c r="H4682" t="n">
        <v>40</v>
      </c>
      <c r="I4682">
        <f>B4682&amp;"~"&amp;C4682</f>
        <v/>
      </c>
      <c r="J4682" t="inlineStr">
        <is>
          <t>Vocational schools, good and excellent</t>
        </is>
      </c>
    </row>
    <row r="4683">
      <c r="B4683" t="inlineStr">
        <is>
          <t>Vocational Schools</t>
        </is>
      </c>
      <c r="C4683" t="inlineStr">
        <is>
          <t>Low Cost</t>
        </is>
      </c>
      <c r="F4683" t="n">
        <v>40</v>
      </c>
      <c r="G4683" t="n">
        <v>35</v>
      </c>
      <c r="H4683" t="n">
        <v>35</v>
      </c>
      <c r="I4683">
        <f>B4683&amp;"~"&amp;C4683</f>
        <v/>
      </c>
      <c r="J4683" t="inlineStr">
        <is>
          <t>low cost</t>
        </is>
      </c>
    </row>
    <row r="4684">
      <c r="B4684" t="inlineStr">
        <is>
          <t>Alternative (High) Schools</t>
        </is>
      </c>
      <c r="C4684" t="inlineStr">
        <is>
          <t>Average</t>
        </is>
      </c>
      <c r="D4684" t="n">
        <v>45</v>
      </c>
      <c r="E4684" t="n">
        <v>45</v>
      </c>
      <c r="F4684" t="n">
        <v>45</v>
      </c>
      <c r="G4684" t="n">
        <v>40</v>
      </c>
      <c r="H4684" t="n">
        <v>40</v>
      </c>
      <c r="I4684">
        <f>B4684&amp;"~"&amp;C4684</f>
        <v/>
      </c>
      <c r="J4684" t="inlineStr">
        <is>
          <t>average</t>
        </is>
      </c>
    </row>
    <row r="4685">
      <c r="B4685" t="inlineStr">
        <is>
          <t>Alternative (High) Schools</t>
        </is>
      </c>
      <c r="C4685" t="inlineStr">
        <is>
          <t>Excellent</t>
        </is>
      </c>
      <c r="D4685" t="n">
        <v>50</v>
      </c>
      <c r="E4685" t="n">
        <v>50</v>
      </c>
      <c r="F4685" t="n">
        <v>45</v>
      </c>
      <c r="G4685" t="n">
        <v>40</v>
      </c>
      <c r="H4685" t="n">
        <v>40</v>
      </c>
      <c r="I4685">
        <f>B4685&amp;"~"&amp;C4685</f>
        <v/>
      </c>
      <c r="J4685" t="inlineStr">
        <is>
          <t>High and alternative schools, good and excellent</t>
        </is>
      </c>
    </row>
    <row r="4686">
      <c r="B4686" t="inlineStr">
        <is>
          <t>Alternative (High) Schools</t>
        </is>
      </c>
      <c r="C4686" t="inlineStr">
        <is>
          <t>Good</t>
        </is>
      </c>
      <c r="D4686" t="n">
        <v>50</v>
      </c>
      <c r="E4686" t="n">
        <v>50</v>
      </c>
      <c r="F4686" t="n">
        <v>45</v>
      </c>
      <c r="G4686" t="n">
        <v>40</v>
      </c>
      <c r="H4686" t="n">
        <v>40</v>
      </c>
      <c r="I4686">
        <f>B4686&amp;"~"&amp;C4686</f>
        <v/>
      </c>
      <c r="J4686" t="inlineStr">
        <is>
          <t>High and alternative schools, good and excellent</t>
        </is>
      </c>
    </row>
    <row r="4687">
      <c r="B4687" t="inlineStr">
        <is>
          <t>Day Care Centers</t>
        </is>
      </c>
      <c r="C4687" t="inlineStr">
        <is>
          <t>Average</t>
        </is>
      </c>
      <c r="D4687" t="n">
        <v>45</v>
      </c>
      <c r="E4687" t="n">
        <v>45</v>
      </c>
      <c r="F4687" t="n">
        <v>40</v>
      </c>
      <c r="G4687" t="n">
        <v>35</v>
      </c>
      <c r="H4687" t="n">
        <v>35</v>
      </c>
      <c r="I4687">
        <f>B4687&amp;"~"&amp;C4687</f>
        <v/>
      </c>
      <c r="J4687" t="inlineStr">
        <is>
          <t>low cost and average</t>
        </is>
      </c>
    </row>
    <row r="4688">
      <c r="B4688" t="inlineStr">
        <is>
          <t>Day Care Centers</t>
        </is>
      </c>
      <c r="C4688" t="inlineStr">
        <is>
          <t>Excellent</t>
        </is>
      </c>
      <c r="F4688" t="n">
        <v>45</v>
      </c>
      <c r="G4688" t="n">
        <v>40</v>
      </c>
      <c r="I4688">
        <f>B4688&amp;"~"&amp;C4688</f>
        <v/>
      </c>
      <c r="J4688" t="inlineStr">
        <is>
          <t>Daycare centers, good and excellent</t>
        </is>
      </c>
    </row>
    <row r="4689">
      <c r="B4689" t="inlineStr">
        <is>
          <t>Day Care Centers</t>
        </is>
      </c>
      <c r="C4689" t="inlineStr">
        <is>
          <t>Good</t>
        </is>
      </c>
      <c r="F4689" t="n">
        <v>45</v>
      </c>
      <c r="G4689" t="n">
        <v>40</v>
      </c>
      <c r="I4689">
        <f>B4689&amp;"~"&amp;C4689</f>
        <v/>
      </c>
      <c r="J4689" t="inlineStr">
        <is>
          <t>Daycare centers, good and excellent</t>
        </is>
      </c>
    </row>
    <row r="4690">
      <c r="B4690" t="inlineStr">
        <is>
          <t>Day Care Centers</t>
        </is>
      </c>
      <c r="C4690" t="inlineStr">
        <is>
          <t>Low Cost</t>
        </is>
      </c>
      <c r="D4690" t="n">
        <v>45</v>
      </c>
      <c r="E4690" t="n">
        <v>45</v>
      </c>
      <c r="F4690" t="n">
        <v>40</v>
      </c>
      <c r="G4690" t="n">
        <v>35</v>
      </c>
      <c r="H4690" t="n">
        <v>35</v>
      </c>
      <c r="I4690">
        <f>B4690&amp;"~"&amp;C4690</f>
        <v/>
      </c>
      <c r="J4690" t="inlineStr">
        <is>
          <t>low cost and average</t>
        </is>
      </c>
    </row>
    <row r="4691">
      <c r="B4691" t="inlineStr">
        <is>
          <t>Classrooms</t>
        </is>
      </c>
      <c r="C4691" t="inlineStr">
        <is>
          <t>Excellent</t>
        </is>
      </c>
      <c r="D4691" t="n">
        <v>50</v>
      </c>
      <c r="E4691" t="n">
        <v>50</v>
      </c>
      <c r="F4691" t="n">
        <v>45</v>
      </c>
      <c r="G4691" t="n">
        <v>40</v>
      </c>
      <c r="H4691" t="n">
        <v>40</v>
      </c>
      <c r="I4691">
        <f>B4691&amp;"~"&amp;C4691</f>
        <v/>
      </c>
      <c r="J4691" t="inlineStr">
        <is>
          <t>Classrooms and special learning, good and excellent</t>
        </is>
      </c>
    </row>
    <row r="4692">
      <c r="B4692" t="inlineStr">
        <is>
          <t>Classrooms</t>
        </is>
      </c>
      <c r="C4692" t="inlineStr">
        <is>
          <t>Good</t>
        </is>
      </c>
      <c r="D4692" t="n">
        <v>50</v>
      </c>
      <c r="E4692" t="n">
        <v>50</v>
      </c>
      <c r="F4692" t="n">
        <v>45</v>
      </c>
      <c r="G4692" t="n">
        <v>40</v>
      </c>
      <c r="H4692" t="n">
        <v>40</v>
      </c>
      <c r="I4692">
        <f>B4692&amp;"~"&amp;C4692</f>
        <v/>
      </c>
      <c r="J4692" t="inlineStr">
        <is>
          <t>Classrooms and special learning, good and excellent</t>
        </is>
      </c>
    </row>
    <row r="4693">
      <c r="B4693" t="inlineStr">
        <is>
          <t>Classrooms</t>
        </is>
      </c>
      <c r="C4693" t="inlineStr">
        <is>
          <t>Average</t>
        </is>
      </c>
      <c r="D4693" t="n">
        <v>45</v>
      </c>
      <c r="E4693" t="n">
        <v>45</v>
      </c>
      <c r="F4693" t="n">
        <v>40</v>
      </c>
      <c r="G4693" t="n">
        <v>35</v>
      </c>
      <c r="H4693" t="n">
        <v>35</v>
      </c>
      <c r="I4693">
        <f>B4693&amp;"~"&amp;C4693</f>
        <v/>
      </c>
      <c r="J4693" t="inlineStr">
        <is>
          <t>low cost and average</t>
        </is>
      </c>
    </row>
    <row r="4694">
      <c r="B4694" t="inlineStr">
        <is>
          <t>Classrooms</t>
        </is>
      </c>
      <c r="C4694" t="inlineStr">
        <is>
          <t>Low Cost</t>
        </is>
      </c>
      <c r="D4694" t="n">
        <v>45</v>
      </c>
      <c r="E4694" t="n">
        <v>45</v>
      </c>
      <c r="F4694" t="n">
        <v>40</v>
      </c>
      <c r="G4694" t="n">
        <v>35</v>
      </c>
      <c r="H4694" t="n">
        <v>35</v>
      </c>
      <c r="I4694">
        <f>B4694&amp;"~"&amp;C4694</f>
        <v/>
      </c>
      <c r="J4694" t="inlineStr">
        <is>
          <t>low cost and average</t>
        </is>
      </c>
    </row>
    <row r="4695">
      <c r="B4695" t="inlineStr">
        <is>
          <t>Classrooms</t>
        </is>
      </c>
      <c r="C4695" t="inlineStr">
        <is>
          <t>Cheap</t>
        </is>
      </c>
      <c r="F4695" t="n">
        <v>35</v>
      </c>
      <c r="G4695" t="n">
        <v>30</v>
      </c>
      <c r="H4695" t="n">
        <v>30</v>
      </c>
      <c r="I4695">
        <f>B4695&amp;"~"&amp;C4695</f>
        <v/>
      </c>
      <c r="J4695" t="inlineStr">
        <is>
          <t>cheap</t>
        </is>
      </c>
    </row>
    <row r="4696">
      <c r="B4696" t="inlineStr">
        <is>
          <t>Special Education Classrooms</t>
        </is>
      </c>
      <c r="C4696" t="inlineStr">
        <is>
          <t>Good</t>
        </is>
      </c>
      <c r="D4696" t="n">
        <v>50</v>
      </c>
      <c r="E4696" t="n">
        <v>50</v>
      </c>
      <c r="F4696" t="n">
        <v>45</v>
      </c>
      <c r="G4696" t="n">
        <v>40</v>
      </c>
      <c r="H4696" t="n">
        <v>40</v>
      </c>
      <c r="I4696">
        <f>B4696&amp;"~"&amp;C4696</f>
        <v/>
      </c>
      <c r="J4696" t="inlineStr">
        <is>
          <t>Classrooms and special learning, good and excellent</t>
        </is>
      </c>
    </row>
    <row r="4697">
      <c r="B4697" t="inlineStr">
        <is>
          <t>Special Education Classrooms</t>
        </is>
      </c>
      <c r="C4697" t="inlineStr">
        <is>
          <t>Average</t>
        </is>
      </c>
      <c r="D4697" t="n">
        <v>45</v>
      </c>
      <c r="E4697" t="n">
        <v>45</v>
      </c>
      <c r="F4697" t="n">
        <v>40</v>
      </c>
      <c r="G4697" t="n">
        <v>35</v>
      </c>
      <c r="H4697" t="n">
        <v>35</v>
      </c>
      <c r="I4697">
        <f>B4697&amp;"~"&amp;C4697</f>
        <v/>
      </c>
      <c r="J4697" t="inlineStr">
        <is>
          <t>low cost and average</t>
        </is>
      </c>
    </row>
    <row r="4698">
      <c r="B4698" t="inlineStr">
        <is>
          <t>Special Education Classrooms</t>
        </is>
      </c>
      <c r="C4698" t="inlineStr">
        <is>
          <t>Excellent</t>
        </is>
      </c>
      <c r="D4698" t="n">
        <v>50</v>
      </c>
      <c r="E4698" t="n">
        <v>50</v>
      </c>
      <c r="F4698" t="n">
        <v>45</v>
      </c>
      <c r="G4698" t="n">
        <v>40</v>
      </c>
      <c r="H4698" t="n">
        <v>40</v>
      </c>
      <c r="I4698">
        <f>B4698&amp;"~"&amp;C4698</f>
        <v/>
      </c>
      <c r="J4698" t="inlineStr">
        <is>
          <t>Classrooms and special learning, good and excellent</t>
        </is>
      </c>
    </row>
    <row r="4699">
      <c r="B4699" t="inlineStr">
        <is>
          <t>Relocatable Classrooms</t>
        </is>
      </c>
      <c r="C4699" t="inlineStr">
        <is>
          <t>Excellent</t>
        </is>
      </c>
      <c r="G4699" t="n">
        <v>35</v>
      </c>
      <c r="I4699">
        <f>B4699&amp;"~"&amp;C4699</f>
        <v/>
      </c>
      <c r="J4699" t="inlineStr">
        <is>
          <t>Relocatable classrooms and offices, excellent</t>
        </is>
      </c>
    </row>
    <row r="4700">
      <c r="B4700" t="inlineStr">
        <is>
          <t>Relocatable Classrooms</t>
        </is>
      </c>
      <c r="C4700" t="inlineStr">
        <is>
          <t>Good</t>
        </is>
      </c>
      <c r="G4700" t="n">
        <v>30</v>
      </c>
      <c r="I4700">
        <f>B4700&amp;"~"&amp;C4700</f>
        <v/>
      </c>
      <c r="J4700" t="inlineStr">
        <is>
          <t>good</t>
        </is>
      </c>
    </row>
    <row r="4701">
      <c r="B4701" t="inlineStr">
        <is>
          <t>Relocatable Classrooms</t>
        </is>
      </c>
      <c r="C4701" t="inlineStr">
        <is>
          <t>Average</t>
        </is>
      </c>
      <c r="G4701" t="n">
        <v>25</v>
      </c>
      <c r="I4701">
        <f>B4701&amp;"~"&amp;C4701</f>
        <v/>
      </c>
      <c r="J4701" t="inlineStr">
        <is>
          <t>average</t>
        </is>
      </c>
    </row>
    <row r="4702">
      <c r="B4702" t="inlineStr">
        <is>
          <t>Relocatable Classrooms</t>
        </is>
      </c>
      <c r="C4702" t="inlineStr">
        <is>
          <t>Low Cost</t>
        </is>
      </c>
      <c r="G4702" t="n">
        <v>20</v>
      </c>
      <c r="I4702">
        <f>B4702&amp;"~"&amp;C4702</f>
        <v/>
      </c>
      <c r="J4702" t="inlineStr">
        <is>
          <t>low cost</t>
        </is>
      </c>
    </row>
    <row r="4703">
      <c r="B4703" t="inlineStr">
        <is>
          <t>Relocatable Classrooms</t>
        </is>
      </c>
      <c r="C4703" t="inlineStr">
        <is>
          <t>Cheap</t>
        </is>
      </c>
      <c r="G4703" t="n">
        <v>10</v>
      </c>
      <c r="I4703">
        <f>B4703&amp;"~"&amp;C4703</f>
        <v/>
      </c>
      <c r="J4703" t="inlineStr">
        <is>
          <t>cheap</t>
        </is>
      </c>
    </row>
    <row r="4704">
      <c r="B4704" t="inlineStr">
        <is>
          <t>Manual Arts (Shop) Buildings</t>
        </is>
      </c>
      <c r="C4704" t="inlineStr">
        <is>
          <t>Average</t>
        </is>
      </c>
      <c r="D4704" t="n">
        <v>45</v>
      </c>
      <c r="E4704" t="n">
        <v>45</v>
      </c>
      <c r="F4704" t="n">
        <v>40</v>
      </c>
      <c r="G4704" t="n">
        <v>35</v>
      </c>
      <c r="H4704" t="n">
        <v>35</v>
      </c>
      <c r="I4704">
        <f>B4704&amp;"~"&amp;C4704</f>
        <v/>
      </c>
      <c r="J4704" t="inlineStr">
        <is>
          <t>Manual arts buildings, average and good</t>
        </is>
      </c>
    </row>
    <row r="4705">
      <c r="B4705" t="inlineStr">
        <is>
          <t>Manual Arts (Shop) Buildings</t>
        </is>
      </c>
      <c r="C4705" t="inlineStr">
        <is>
          <t>Low Cost</t>
        </is>
      </c>
      <c r="F4705" t="n">
        <v>35</v>
      </c>
      <c r="G4705" t="n">
        <v>30</v>
      </c>
      <c r="H4705" t="n">
        <v>30</v>
      </c>
      <c r="I4705">
        <f>B4705&amp;"~"&amp;C4705</f>
        <v/>
      </c>
      <c r="J4705" t="inlineStr">
        <is>
          <t>low cost</t>
        </is>
      </c>
    </row>
    <row r="4706">
      <c r="B4706" t="inlineStr">
        <is>
          <t>Manual Arts (Shop) Buildings</t>
        </is>
      </c>
      <c r="C4706" t="inlineStr">
        <is>
          <t>Good</t>
        </is>
      </c>
      <c r="D4706" t="n">
        <v>45</v>
      </c>
      <c r="E4706" t="n">
        <v>45</v>
      </c>
      <c r="F4706" t="n">
        <v>40</v>
      </c>
      <c r="G4706" t="n">
        <v>35</v>
      </c>
      <c r="H4706" t="n">
        <v>35</v>
      </c>
      <c r="I4706">
        <f>B4706&amp;"~"&amp;C4706</f>
        <v/>
      </c>
      <c r="J4706" t="inlineStr">
        <is>
          <t>Manual arts buildings, average and good</t>
        </is>
      </c>
    </row>
    <row r="4707">
      <c r="B4707" t="inlineStr">
        <is>
          <t>Lecture Classrooms</t>
        </is>
      </c>
      <c r="C4707" t="inlineStr">
        <is>
          <t>Average</t>
        </is>
      </c>
      <c r="D4707" t="n">
        <v>45</v>
      </c>
      <c r="E4707" t="n">
        <v>45</v>
      </c>
      <c r="F4707" t="n">
        <v>40</v>
      </c>
      <c r="G4707" t="n">
        <v>35</v>
      </c>
      <c r="H4707" t="n">
        <v>35</v>
      </c>
      <c r="I4707">
        <f>B4707&amp;"~"&amp;C4707</f>
        <v/>
      </c>
      <c r="J4707" t="inlineStr">
        <is>
          <t>low cost and average</t>
        </is>
      </c>
    </row>
    <row r="4708">
      <c r="B4708" t="inlineStr">
        <is>
          <t>Lecture Classrooms</t>
        </is>
      </c>
      <c r="C4708" t="inlineStr">
        <is>
          <t>Good</t>
        </is>
      </c>
      <c r="D4708" t="n">
        <v>50</v>
      </c>
      <c r="E4708" t="n">
        <v>50</v>
      </c>
      <c r="F4708" t="n">
        <v>45</v>
      </c>
      <c r="G4708" t="n">
        <v>40</v>
      </c>
      <c r="H4708" t="n">
        <v>40</v>
      </c>
      <c r="I4708">
        <f>B4708&amp;"~"&amp;C4708</f>
        <v/>
      </c>
      <c r="J4708" t="inlineStr">
        <is>
          <t>Lecture, good and excellent</t>
        </is>
      </c>
    </row>
    <row r="4709">
      <c r="B4709" t="inlineStr">
        <is>
          <t>Multipurpose Buildings</t>
        </is>
      </c>
      <c r="C4709" t="inlineStr">
        <is>
          <t>Good</t>
        </is>
      </c>
      <c r="D4709" t="n">
        <v>45</v>
      </c>
      <c r="E4709" t="n">
        <v>45</v>
      </c>
      <c r="F4709" t="n">
        <v>40</v>
      </c>
      <c r="G4709" t="n">
        <v>35</v>
      </c>
      <c r="H4709" t="n">
        <v>35</v>
      </c>
      <c r="I4709">
        <f>B4709&amp;"~"&amp;C4709</f>
        <v/>
      </c>
      <c r="J4709" t="inlineStr">
        <is>
          <t>average and good</t>
        </is>
      </c>
    </row>
    <row r="4710">
      <c r="B4710" t="inlineStr">
        <is>
          <t>Multipurpose Buildings</t>
        </is>
      </c>
      <c r="C4710" t="inlineStr">
        <is>
          <t>Average</t>
        </is>
      </c>
      <c r="D4710" t="n">
        <v>45</v>
      </c>
      <c r="E4710" t="n">
        <v>45</v>
      </c>
      <c r="F4710" t="n">
        <v>40</v>
      </c>
      <c r="G4710" t="n">
        <v>35</v>
      </c>
      <c r="H4710" t="n">
        <v>35</v>
      </c>
      <c r="I4710">
        <f>B4710&amp;"~"&amp;C4710</f>
        <v/>
      </c>
      <c r="J4710" t="inlineStr">
        <is>
          <t>average and good</t>
        </is>
      </c>
    </row>
    <row r="4711">
      <c r="B4711" t="inlineStr">
        <is>
          <t>Multipurpose Buildings</t>
        </is>
      </c>
      <c r="C4711" t="inlineStr">
        <is>
          <t>Excellent</t>
        </is>
      </c>
      <c r="F4711" t="n">
        <v>45</v>
      </c>
      <c r="I4711">
        <f>B4711&amp;"~"&amp;C4711</f>
        <v/>
      </c>
      <c r="J4711" t="inlineStr">
        <is>
          <t>Multipurpose buildings, excellent</t>
        </is>
      </c>
    </row>
    <row r="4712">
      <c r="B4712" t="inlineStr">
        <is>
          <t>Multipurpose Buildings</t>
        </is>
      </c>
      <c r="C4712" t="inlineStr">
        <is>
          <t>Low Cost</t>
        </is>
      </c>
      <c r="F4712" t="n">
        <v>35</v>
      </c>
      <c r="G4712" t="n">
        <v>30</v>
      </c>
      <c r="H4712" t="n">
        <v>30</v>
      </c>
      <c r="I4712">
        <f>B4712&amp;"~"&amp;C4712</f>
        <v/>
      </c>
      <c r="J4712" t="inlineStr">
        <is>
          <t>low cost</t>
        </is>
      </c>
    </row>
    <row r="4713">
      <c r="B4713" t="inlineStr">
        <is>
          <t>Laboratory Classrooms</t>
        </is>
      </c>
      <c r="C4713" t="inlineStr">
        <is>
          <t>Good</t>
        </is>
      </c>
      <c r="D4713" t="n">
        <v>50</v>
      </c>
      <c r="E4713" t="n">
        <v>50</v>
      </c>
      <c r="F4713" t="n">
        <v>45</v>
      </c>
      <c r="G4713" t="n">
        <v>40</v>
      </c>
      <c r="H4713" t="n">
        <v>40</v>
      </c>
      <c r="I4713">
        <f>B4713&amp;"~"&amp;C4713</f>
        <v/>
      </c>
      <c r="J4713" t="inlineStr">
        <is>
          <t>Laboratories, good and excellent</t>
        </is>
      </c>
    </row>
    <row r="4714">
      <c r="B4714" t="inlineStr">
        <is>
          <t>Laboratory Classrooms</t>
        </is>
      </c>
      <c r="C4714" t="inlineStr">
        <is>
          <t>Average</t>
        </is>
      </c>
      <c r="D4714" t="n">
        <v>45</v>
      </c>
      <c r="E4714" t="n">
        <v>45</v>
      </c>
      <c r="F4714" t="n">
        <v>40</v>
      </c>
      <c r="G4714" t="n">
        <v>35</v>
      </c>
      <c r="H4714" t="n">
        <v>35</v>
      </c>
      <c r="I4714">
        <f>B4714&amp;"~"&amp;C4714</f>
        <v/>
      </c>
      <c r="J4714" t="inlineStr">
        <is>
          <t>low cost and average</t>
        </is>
      </c>
    </row>
    <row r="4715">
      <c r="B4715" t="inlineStr">
        <is>
          <t>Laboratory Classrooms</t>
        </is>
      </c>
      <c r="C4715" t="inlineStr">
        <is>
          <t>Excellent</t>
        </is>
      </c>
      <c r="D4715" t="n">
        <v>50</v>
      </c>
      <c r="E4715" t="n">
        <v>50</v>
      </c>
      <c r="F4715" t="n">
        <v>45</v>
      </c>
      <c r="G4715" t="n">
        <v>40</v>
      </c>
      <c r="H4715" t="n">
        <v>40</v>
      </c>
      <c r="I4715">
        <f>B4715&amp;"~"&amp;C4715</f>
        <v/>
      </c>
      <c r="J4715" t="inlineStr">
        <is>
          <t>Laboratories, good and excellent</t>
        </is>
      </c>
    </row>
    <row r="4716">
      <c r="B4716" t="inlineStr">
        <is>
          <t>Elementary and Secondary Media Centers (Libraries)</t>
        </is>
      </c>
      <c r="C4716" t="inlineStr">
        <is>
          <t>Good</t>
        </is>
      </c>
      <c r="D4716" t="n">
        <v>60</v>
      </c>
      <c r="E4716" t="n">
        <v>60</v>
      </c>
      <c r="F4716" t="n">
        <v>55</v>
      </c>
      <c r="G4716" t="n">
        <v>50</v>
      </c>
      <c r="H4716" t="n">
        <v>50</v>
      </c>
      <c r="I4716">
        <f>B4716&amp;"~"&amp;C4716</f>
        <v/>
      </c>
      <c r="J4716" t="inlineStr">
        <is>
          <t>Media centers, libraries, good and excellent</t>
        </is>
      </c>
    </row>
    <row r="4717">
      <c r="B4717" t="inlineStr">
        <is>
          <t>Elementary and Secondary Media Centers (Libraries)</t>
        </is>
      </c>
      <c r="C4717" t="inlineStr">
        <is>
          <t>Average</t>
        </is>
      </c>
      <c r="D4717" t="n">
        <v>55</v>
      </c>
      <c r="E4717" t="n">
        <v>55</v>
      </c>
      <c r="F4717" t="n">
        <v>50</v>
      </c>
      <c r="G4717" t="n">
        <v>45</v>
      </c>
      <c r="H4717" t="n">
        <v>45</v>
      </c>
      <c r="I4717">
        <f>B4717&amp;"~"&amp;C4717</f>
        <v/>
      </c>
      <c r="J4717" t="inlineStr">
        <is>
          <t>average</t>
        </is>
      </c>
    </row>
    <row r="4718">
      <c r="B4718" t="inlineStr">
        <is>
          <t>Elementary and Secondary Media Centers (Libraries)</t>
        </is>
      </c>
      <c r="C4718" t="inlineStr">
        <is>
          <t>Low Cost</t>
        </is>
      </c>
      <c r="D4718" t="n">
        <v>50</v>
      </c>
      <c r="E4718" t="n">
        <v>50</v>
      </c>
      <c r="F4718" t="n">
        <v>45</v>
      </c>
      <c r="G4718" t="n">
        <v>40</v>
      </c>
      <c r="H4718" t="n">
        <v>40</v>
      </c>
      <c r="I4718">
        <f>B4718&amp;"~"&amp;C4718</f>
        <v/>
      </c>
      <c r="J4718" t="inlineStr">
        <is>
          <t>low cost</t>
        </is>
      </c>
    </row>
    <row r="4719">
      <c r="B4719" t="inlineStr">
        <is>
          <t>Elementary and Secondary Media Centers (Libraries)</t>
        </is>
      </c>
      <c r="C4719" t="inlineStr">
        <is>
          <t>Excellent</t>
        </is>
      </c>
      <c r="D4719" t="n">
        <v>60</v>
      </c>
      <c r="E4719" t="n">
        <v>60</v>
      </c>
      <c r="F4719" t="n">
        <v>55</v>
      </c>
      <c r="G4719" t="n">
        <v>50</v>
      </c>
      <c r="H4719" t="n">
        <v>50</v>
      </c>
      <c r="I4719">
        <f>B4719&amp;"~"&amp;C4719</f>
        <v/>
      </c>
      <c r="J4719" t="inlineStr">
        <is>
          <t>Media centers, libraries, good and excellent</t>
        </is>
      </c>
    </row>
    <row r="4720">
      <c r="B4720" t="inlineStr">
        <is>
          <t>Academic (College) Libraries</t>
        </is>
      </c>
      <c r="C4720" t="inlineStr">
        <is>
          <t>Excellent</t>
        </is>
      </c>
      <c r="D4720" t="n">
        <v>60</v>
      </c>
      <c r="E4720" t="n">
        <v>60</v>
      </c>
      <c r="F4720" t="n">
        <v>55</v>
      </c>
      <c r="G4720" t="n">
        <v>50</v>
      </c>
      <c r="H4720" t="n">
        <v>50</v>
      </c>
      <c r="I4720">
        <f>B4720&amp;"~"&amp;C4720</f>
        <v/>
      </c>
      <c r="J4720" t="inlineStr">
        <is>
          <t>College library, good and excellent</t>
        </is>
      </c>
    </row>
    <row r="4721">
      <c r="B4721" t="inlineStr">
        <is>
          <t>Academic (College) Libraries</t>
        </is>
      </c>
      <c r="C4721" t="inlineStr">
        <is>
          <t>Good</t>
        </is>
      </c>
      <c r="D4721" t="n">
        <v>60</v>
      </c>
      <c r="E4721" t="n">
        <v>60</v>
      </c>
      <c r="F4721" t="n">
        <v>55</v>
      </c>
      <c r="G4721" t="n">
        <v>50</v>
      </c>
      <c r="H4721" t="n">
        <v>50</v>
      </c>
      <c r="I4721">
        <f>B4721&amp;"~"&amp;C4721</f>
        <v/>
      </c>
      <c r="J4721" t="inlineStr">
        <is>
          <t>College library, good and excellent</t>
        </is>
      </c>
    </row>
    <row r="4722">
      <c r="B4722" t="inlineStr">
        <is>
          <t>Academic (College) Libraries</t>
        </is>
      </c>
      <c r="C4722" t="inlineStr">
        <is>
          <t>Average</t>
        </is>
      </c>
      <c r="D4722" t="n">
        <v>55</v>
      </c>
      <c r="E4722" t="n">
        <v>55</v>
      </c>
      <c r="F4722" t="n">
        <v>50</v>
      </c>
      <c r="G4722" t="n">
        <v>45</v>
      </c>
      <c r="H4722" t="n">
        <v>45</v>
      </c>
      <c r="I4722">
        <f>B4722&amp;"~"&amp;C4722</f>
        <v/>
      </c>
      <c r="J4722" t="inlineStr">
        <is>
          <t>average</t>
        </is>
      </c>
    </row>
    <row r="4723">
      <c r="B4723" t="inlineStr">
        <is>
          <t>Academic (College) Libraries</t>
        </is>
      </c>
      <c r="C4723" t="inlineStr">
        <is>
          <t>Low Cost</t>
        </is>
      </c>
      <c r="D4723" t="n">
        <v>50</v>
      </c>
      <c r="E4723" t="n">
        <v>50</v>
      </c>
      <c r="F4723" t="n">
        <v>45</v>
      </c>
      <c r="G4723" t="n">
        <v>40</v>
      </c>
      <c r="H4723" t="n">
        <v>40</v>
      </c>
      <c r="I4723">
        <f>B4723&amp;"~"&amp;C4723</f>
        <v/>
      </c>
      <c r="J4723" t="inlineStr">
        <is>
          <t>low cost</t>
        </is>
      </c>
    </row>
    <row r="4724">
      <c r="B4724" t="inlineStr">
        <is>
          <t>Fine Arts Buildings</t>
        </is>
      </c>
      <c r="C4724" t="inlineStr">
        <is>
          <t>Good</t>
        </is>
      </c>
      <c r="D4724" t="n">
        <v>45</v>
      </c>
      <c r="E4724" t="n">
        <v>45</v>
      </c>
      <c r="F4724" t="n">
        <v>40</v>
      </c>
      <c r="G4724" t="n">
        <v>35</v>
      </c>
      <c r="H4724" t="n">
        <v>35</v>
      </c>
      <c r="I4724">
        <f>B4724&amp;"~"&amp;C4724</f>
        <v/>
      </c>
      <c r="J4724" t="inlineStr">
        <is>
          <t>average and good</t>
        </is>
      </c>
    </row>
    <row r="4725">
      <c r="B4725" t="inlineStr">
        <is>
          <t>Fine Arts Buildings</t>
        </is>
      </c>
      <c r="C4725" t="inlineStr">
        <is>
          <t>Average</t>
        </is>
      </c>
      <c r="D4725" t="n">
        <v>45</v>
      </c>
      <c r="E4725" t="n">
        <v>45</v>
      </c>
      <c r="F4725" t="n">
        <v>40</v>
      </c>
      <c r="G4725" t="n">
        <v>35</v>
      </c>
      <c r="H4725" t="n">
        <v>35</v>
      </c>
      <c r="I4725">
        <f>B4725&amp;"~"&amp;C4725</f>
        <v/>
      </c>
      <c r="J4725" t="inlineStr">
        <is>
          <t>average and good</t>
        </is>
      </c>
    </row>
    <row r="4726">
      <c r="B4726" t="inlineStr">
        <is>
          <t>Fine Arts Buildings</t>
        </is>
      </c>
      <c r="C4726" t="inlineStr">
        <is>
          <t>Excellent</t>
        </is>
      </c>
      <c r="F4726" t="n">
        <v>45</v>
      </c>
      <c r="I4726">
        <f>B4726&amp;"~"&amp;C4726</f>
        <v/>
      </c>
      <c r="J4726" t="inlineStr">
        <is>
          <t>Fine arts buildings, excellent</t>
        </is>
      </c>
    </row>
    <row r="4727">
      <c r="B4727" t="inlineStr">
        <is>
          <t>Fine Arts Buildings</t>
        </is>
      </c>
      <c r="C4727" t="inlineStr">
        <is>
          <t>Low Cost</t>
        </is>
      </c>
      <c r="F4727" t="n">
        <v>35</v>
      </c>
      <c r="G4727" t="n">
        <v>30</v>
      </c>
      <c r="H4727" t="n">
        <v>30</v>
      </c>
      <c r="I4727">
        <f>B4727&amp;"~"&amp;C4727</f>
        <v/>
      </c>
      <c r="J4727" t="inlineStr">
        <is>
          <t>low cost</t>
        </is>
      </c>
    </row>
    <row r="4728">
      <c r="B4728" t="inlineStr">
        <is>
          <t>Book Stores</t>
        </is>
      </c>
      <c r="C4728" t="inlineStr">
        <is>
          <t>Average</t>
        </is>
      </c>
      <c r="D4728" t="n">
        <v>45</v>
      </c>
      <c r="E4728" t="n">
        <v>45</v>
      </c>
      <c r="F4728" t="n">
        <v>40</v>
      </c>
      <c r="G4728" t="n">
        <v>35</v>
      </c>
      <c r="H4728" t="n">
        <v>35</v>
      </c>
      <c r="I4728">
        <f>B4728&amp;"~"&amp;C4728</f>
        <v/>
      </c>
      <c r="J4728" t="inlineStr">
        <is>
          <t>average</t>
        </is>
      </c>
    </row>
    <row r="4729">
      <c r="B4729" t="inlineStr">
        <is>
          <t>Book Stores</t>
        </is>
      </c>
      <c r="C4729" t="inlineStr">
        <is>
          <t>Low Cost</t>
        </is>
      </c>
      <c r="D4729" t="n">
        <v>40</v>
      </c>
      <c r="E4729" t="n">
        <v>40</v>
      </c>
      <c r="F4729" t="n">
        <v>35</v>
      </c>
      <c r="G4729" t="n">
        <v>30</v>
      </c>
      <c r="H4729" t="n">
        <v>30</v>
      </c>
      <c r="I4729">
        <f>B4729&amp;"~"&amp;C4729</f>
        <v/>
      </c>
      <c r="J4729" t="inlineStr">
        <is>
          <t>low cost</t>
        </is>
      </c>
    </row>
    <row r="4730">
      <c r="B4730" t="inlineStr">
        <is>
          <t>Book Stores</t>
        </is>
      </c>
      <c r="C4730" t="inlineStr">
        <is>
          <t>Good</t>
        </is>
      </c>
      <c r="F4730" t="n">
        <v>45</v>
      </c>
      <c r="G4730" t="n">
        <v>40</v>
      </c>
      <c r="I4730">
        <f>B4730&amp;"~"&amp;C4730</f>
        <v/>
      </c>
      <c r="J4730" t="inlineStr">
        <is>
          <t>Bookstores, good</t>
        </is>
      </c>
    </row>
    <row r="4731">
      <c r="B4731" t="inlineStr">
        <is>
          <t>Restroom Buildings</t>
        </is>
      </c>
      <c r="C4731" t="inlineStr">
        <is>
          <t>Average</t>
        </is>
      </c>
      <c r="D4731" t="n">
        <v>35</v>
      </c>
      <c r="E4731" t="n">
        <v>35</v>
      </c>
      <c r="F4731" t="n">
        <v>30</v>
      </c>
      <c r="G4731" t="n">
        <v>25</v>
      </c>
      <c r="I4731">
        <f>B4731&amp;"~"&amp;C4731</f>
        <v/>
      </c>
      <c r="J4731" t="inlineStr">
        <is>
          <t>average</t>
        </is>
      </c>
    </row>
    <row r="4732">
      <c r="B4732" t="inlineStr">
        <is>
          <t>Restroom Buildings</t>
        </is>
      </c>
      <c r="C4732" t="inlineStr">
        <is>
          <t>Excellent</t>
        </is>
      </c>
      <c r="F4732" t="n">
        <v>35</v>
      </c>
      <c r="G4732" t="n">
        <v>30</v>
      </c>
      <c r="I4732">
        <f>B4732&amp;"~"&amp;C4732</f>
        <v/>
      </c>
      <c r="J4732" t="inlineStr">
        <is>
          <t>Restroom buildings, good and excellent</t>
        </is>
      </c>
    </row>
    <row r="4733">
      <c r="B4733" t="inlineStr">
        <is>
          <t>Restroom Buildings</t>
        </is>
      </c>
      <c r="C4733" t="inlineStr">
        <is>
          <t>Good</t>
        </is>
      </c>
      <c r="F4733" t="n">
        <v>35</v>
      </c>
      <c r="G4733" t="n">
        <v>30</v>
      </c>
      <c r="I4733">
        <f>B4733&amp;"~"&amp;C4733</f>
        <v/>
      </c>
      <c r="J4733" t="inlineStr">
        <is>
          <t>Restroom buildings, good and excellent</t>
        </is>
      </c>
    </row>
    <row r="4734">
      <c r="B4734" t="inlineStr">
        <is>
          <t>Restroom Buildings</t>
        </is>
      </c>
      <c r="C4734" t="inlineStr">
        <is>
          <t>Low Cost</t>
        </is>
      </c>
      <c r="F4734" t="n">
        <v>25</v>
      </c>
      <c r="G4734" t="n">
        <v>20</v>
      </c>
      <c r="H4734" t="n">
        <v>20</v>
      </c>
      <c r="I4734">
        <f>B4734&amp;"~"&amp;C4734</f>
        <v/>
      </c>
      <c r="J4734" t="inlineStr">
        <is>
          <t>low cost</t>
        </is>
      </c>
    </row>
    <row r="4735">
      <c r="B4735" t="inlineStr">
        <is>
          <t>Restroom Buildings</t>
        </is>
      </c>
      <c r="C4735" t="inlineStr">
        <is>
          <t>Cheap</t>
        </is>
      </c>
      <c r="F4735" t="n">
        <v>20</v>
      </c>
      <c r="G4735" t="n">
        <v>15</v>
      </c>
      <c r="H4735" t="n">
        <v>15</v>
      </c>
      <c r="I4735">
        <f>B4735&amp;"~"&amp;C4735</f>
        <v/>
      </c>
      <c r="J4735" t="inlineStr">
        <is>
          <t>cheap</t>
        </is>
      </c>
    </row>
    <row r="4736">
      <c r="B4736" t="inlineStr">
        <is>
          <t>Maintenance (Storage) Buildings</t>
        </is>
      </c>
      <c r="C4736" t="inlineStr">
        <is>
          <t>Good</t>
        </is>
      </c>
      <c r="F4736" t="n">
        <v>35</v>
      </c>
      <c r="G4736" t="n">
        <v>30</v>
      </c>
      <c r="H4736" t="n">
        <v>30</v>
      </c>
      <c r="I4736">
        <f>B4736&amp;"~"&amp;C4736</f>
        <v/>
      </c>
      <c r="J4736" t="inlineStr">
        <is>
          <t>Maintenance buildings, good</t>
        </is>
      </c>
    </row>
    <row r="4737">
      <c r="B4737" t="inlineStr">
        <is>
          <t>Maintenance (Storage) Buildings</t>
        </is>
      </c>
      <c r="C4737" t="inlineStr">
        <is>
          <t>Average</t>
        </is>
      </c>
      <c r="F4737" t="n">
        <v>30</v>
      </c>
      <c r="G4737" t="n">
        <v>25</v>
      </c>
      <c r="H4737" t="n">
        <v>25</v>
      </c>
      <c r="I4737">
        <f>B4737&amp;"~"&amp;C4737</f>
        <v/>
      </c>
      <c r="J4737" t="inlineStr">
        <is>
          <t>average</t>
        </is>
      </c>
    </row>
    <row r="4738">
      <c r="B4738" t="inlineStr">
        <is>
          <t>Natatoriums</t>
        </is>
      </c>
      <c r="C4738" t="inlineStr">
        <is>
          <t>Good</t>
        </is>
      </c>
      <c r="D4738" t="n">
        <v>45</v>
      </c>
      <c r="E4738" t="n">
        <v>45</v>
      </c>
      <c r="F4738" t="n">
        <v>40</v>
      </c>
      <c r="G4738" t="n">
        <v>35</v>
      </c>
      <c r="H4738" t="n">
        <v>35</v>
      </c>
      <c r="I4738">
        <f>B4738&amp;"~"&amp;C4738</f>
        <v/>
      </c>
      <c r="J4738" t="inlineStr">
        <is>
          <t>Natatoriums, average and good</t>
        </is>
      </c>
    </row>
    <row r="4739">
      <c r="B4739" t="inlineStr">
        <is>
          <t>Natatoriums</t>
        </is>
      </c>
      <c r="C4739" t="inlineStr">
        <is>
          <t>Average</t>
        </is>
      </c>
      <c r="D4739" t="n">
        <v>45</v>
      </c>
      <c r="E4739" t="n">
        <v>45</v>
      </c>
      <c r="F4739" t="n">
        <v>40</v>
      </c>
      <c r="G4739" t="n">
        <v>35</v>
      </c>
      <c r="H4739" t="n">
        <v>35</v>
      </c>
      <c r="I4739">
        <f>B4739&amp;"~"&amp;C4739</f>
        <v/>
      </c>
      <c r="J4739" t="inlineStr">
        <is>
          <t>Natatoriums, average and good</t>
        </is>
      </c>
    </row>
    <row r="4740">
      <c r="B4740" t="inlineStr">
        <is>
          <t>Natatoriums</t>
        </is>
      </c>
      <c r="C4740" t="inlineStr">
        <is>
          <t>Low Cost</t>
        </is>
      </c>
      <c r="F4740" t="n">
        <v>35</v>
      </c>
      <c r="G4740" t="n">
        <v>30</v>
      </c>
      <c r="H4740" t="n">
        <v>30</v>
      </c>
      <c r="I4740">
        <f>B4740&amp;"~"&amp;C4740</f>
        <v/>
      </c>
      <c r="J4740" t="inlineStr">
        <is>
          <t>low cost</t>
        </is>
      </c>
    </row>
    <row r="4741">
      <c r="B4741" t="inlineStr">
        <is>
          <t>Shower Room Buildings</t>
        </is>
      </c>
      <c r="C4741" t="inlineStr">
        <is>
          <t>Average</t>
        </is>
      </c>
      <c r="D4741" t="n">
        <v>35</v>
      </c>
      <c r="E4741" t="n">
        <v>35</v>
      </c>
      <c r="F4741" t="n">
        <v>30</v>
      </c>
      <c r="G4741" t="n">
        <v>25</v>
      </c>
      <c r="H4741" t="n">
        <v>25</v>
      </c>
      <c r="I4741">
        <f>B4741&amp;"~"&amp;C4741</f>
        <v/>
      </c>
      <c r="J4741" t="inlineStr">
        <is>
          <t>average</t>
        </is>
      </c>
    </row>
    <row r="4742">
      <c r="B4742" t="inlineStr">
        <is>
          <t>Shower Room Buildings</t>
        </is>
      </c>
      <c r="C4742" t="inlineStr">
        <is>
          <t>Excellent</t>
        </is>
      </c>
      <c r="F4742" t="n">
        <v>35</v>
      </c>
      <c r="G4742" t="n">
        <v>30</v>
      </c>
      <c r="I4742">
        <f>B4742&amp;"~"&amp;C4742</f>
        <v/>
      </c>
      <c r="J4742" t="inlineStr">
        <is>
          <t>Shower buildings, good and excellent</t>
        </is>
      </c>
    </row>
    <row r="4743">
      <c r="B4743" t="inlineStr">
        <is>
          <t>Shower Room Buildings</t>
        </is>
      </c>
      <c r="C4743" t="inlineStr">
        <is>
          <t>Good</t>
        </is>
      </c>
      <c r="F4743" t="n">
        <v>35</v>
      </c>
      <c r="G4743" t="n">
        <v>30</v>
      </c>
      <c r="I4743">
        <f>B4743&amp;"~"&amp;C4743</f>
        <v/>
      </c>
      <c r="J4743" t="inlineStr">
        <is>
          <t>Shower buildings, good and excellent</t>
        </is>
      </c>
    </row>
    <row r="4744">
      <c r="B4744" t="inlineStr">
        <is>
          <t>Shower Room Buildings</t>
        </is>
      </c>
      <c r="C4744" t="inlineStr">
        <is>
          <t>Low Cost</t>
        </is>
      </c>
      <c r="F4744" t="n">
        <v>25</v>
      </c>
      <c r="G4744" t="n">
        <v>20</v>
      </c>
      <c r="H4744" t="n">
        <v>20</v>
      </c>
      <c r="I4744">
        <f>B4744&amp;"~"&amp;C4744</f>
        <v/>
      </c>
      <c r="J4744" t="inlineStr">
        <is>
          <t>low cost</t>
        </is>
      </c>
    </row>
    <row r="4745">
      <c r="B4745" t="inlineStr">
        <is>
          <t>Shower Room Buildings</t>
        </is>
      </c>
      <c r="C4745" t="inlineStr">
        <is>
          <t>Cheap</t>
        </is>
      </c>
      <c r="F4745" t="n">
        <v>20</v>
      </c>
      <c r="G4745" t="n">
        <v>15</v>
      </c>
      <c r="H4745" t="n">
        <v>15</v>
      </c>
      <c r="I4745">
        <f>B4745&amp;"~"&amp;C4745</f>
        <v/>
      </c>
      <c r="J4745" t="inlineStr">
        <is>
          <t>cheap</t>
        </is>
      </c>
    </row>
    <row r="4746">
      <c r="B4746" t="inlineStr">
        <is>
          <t>Fieldhouses</t>
        </is>
      </c>
      <c r="C4746" t="inlineStr">
        <is>
          <t>Good</t>
        </is>
      </c>
      <c r="D4746" t="n">
        <v>45</v>
      </c>
      <c r="E4746" t="n">
        <v>45</v>
      </c>
      <c r="F4746" t="n">
        <v>40</v>
      </c>
      <c r="G4746" t="n">
        <v>35</v>
      </c>
      <c r="H4746" t="n">
        <v>35</v>
      </c>
      <c r="I4746">
        <f>B4746&amp;"~"&amp;C4746</f>
        <v/>
      </c>
      <c r="J4746" t="inlineStr">
        <is>
          <t>average and good</t>
        </is>
      </c>
    </row>
    <row r="4747">
      <c r="B4747" t="inlineStr">
        <is>
          <t>Fieldhouses</t>
        </is>
      </c>
      <c r="C4747" t="inlineStr">
        <is>
          <t>Average</t>
        </is>
      </c>
      <c r="D4747" t="n">
        <v>45</v>
      </c>
      <c r="E4747" t="n">
        <v>45</v>
      </c>
      <c r="F4747" t="n">
        <v>40</v>
      </c>
      <c r="G4747" t="n">
        <v>35</v>
      </c>
      <c r="H4747" t="n">
        <v>35</v>
      </c>
      <c r="I4747">
        <f>B4747&amp;"~"&amp;C4747</f>
        <v/>
      </c>
      <c r="J4747" t="inlineStr">
        <is>
          <t>average and good</t>
        </is>
      </c>
    </row>
    <row r="4748">
      <c r="B4748" t="inlineStr">
        <is>
          <t>Fieldhouses</t>
        </is>
      </c>
      <c r="C4748" t="inlineStr">
        <is>
          <t>Excellent</t>
        </is>
      </c>
      <c r="D4748" t="n">
        <v>50</v>
      </c>
      <c r="E4748" t="n">
        <v>50</v>
      </c>
      <c r="F4748" t="n">
        <v>45</v>
      </c>
      <c r="G4748" t="n">
        <v>40</v>
      </c>
      <c r="H4748" t="n">
        <v>40</v>
      </c>
      <c r="I4748">
        <f>B4748&amp;"~"&amp;C4748</f>
        <v/>
      </c>
      <c r="J4748" t="inlineStr">
        <is>
          <t>Field houses, excellent</t>
        </is>
      </c>
    </row>
    <row r="4749">
      <c r="B4749" t="inlineStr">
        <is>
          <t>Fieldhouses</t>
        </is>
      </c>
      <c r="C4749" t="inlineStr">
        <is>
          <t>Low Cost</t>
        </is>
      </c>
      <c r="F4749" t="n">
        <v>35</v>
      </c>
      <c r="G4749" t="n">
        <v>30</v>
      </c>
      <c r="H4749" t="n">
        <v>30</v>
      </c>
      <c r="I4749">
        <f>B4749&amp;"~"&amp;C4749</f>
        <v/>
      </c>
      <c r="J4749" t="inlineStr">
        <is>
          <t>low cost</t>
        </is>
      </c>
    </row>
    <row r="4750">
      <c r="B4750" t="inlineStr">
        <is>
          <t>Fieldhouses</t>
        </is>
      </c>
      <c r="C4750" t="inlineStr">
        <is>
          <t>Cheap</t>
        </is>
      </c>
      <c r="G4750" t="n">
        <v>25</v>
      </c>
      <c r="H4750" t="n">
        <v>25</v>
      </c>
      <c r="I4750">
        <f>B4750&amp;"~"&amp;C4750</f>
        <v/>
      </c>
      <c r="J4750" t="inlineStr">
        <is>
          <t>cheap</t>
        </is>
      </c>
    </row>
    <row r="4751">
      <c r="B4751" t="inlineStr">
        <is>
          <t>Physical Education Buildings</t>
        </is>
      </c>
      <c r="C4751" t="inlineStr">
        <is>
          <t>Good</t>
        </is>
      </c>
      <c r="D4751" t="n">
        <v>45</v>
      </c>
      <c r="E4751" t="n">
        <v>45</v>
      </c>
      <c r="F4751" t="n">
        <v>40</v>
      </c>
      <c r="G4751" t="n">
        <v>35</v>
      </c>
      <c r="H4751" t="n">
        <v>35</v>
      </c>
      <c r="I4751">
        <f>B4751&amp;"~"&amp;C4751</f>
        <v/>
      </c>
      <c r="J4751" t="inlineStr">
        <is>
          <t>average and good</t>
        </is>
      </c>
    </row>
    <row r="4752">
      <c r="B4752" t="inlineStr">
        <is>
          <t>Physical Education Buildings</t>
        </is>
      </c>
      <c r="C4752" t="inlineStr">
        <is>
          <t>Average</t>
        </is>
      </c>
      <c r="D4752" t="n">
        <v>45</v>
      </c>
      <c r="E4752" t="n">
        <v>45</v>
      </c>
      <c r="F4752" t="n">
        <v>40</v>
      </c>
      <c r="G4752" t="n">
        <v>35</v>
      </c>
      <c r="H4752" t="n">
        <v>35</v>
      </c>
      <c r="I4752">
        <f>B4752&amp;"~"&amp;C4752</f>
        <v/>
      </c>
      <c r="J4752" t="inlineStr">
        <is>
          <t>average and good</t>
        </is>
      </c>
    </row>
    <row r="4753">
      <c r="B4753" t="inlineStr">
        <is>
          <t>Physical Education Buildings</t>
        </is>
      </c>
      <c r="C4753" t="inlineStr">
        <is>
          <t>Excellent</t>
        </is>
      </c>
      <c r="F4753" t="n">
        <v>45</v>
      </c>
      <c r="G4753" t="n">
        <v>40</v>
      </c>
      <c r="I4753">
        <f>B4753&amp;"~"&amp;C4753</f>
        <v/>
      </c>
      <c r="J4753" t="inlineStr">
        <is>
          <t>College physical education, excellent</t>
        </is>
      </c>
    </row>
    <row r="4754">
      <c r="B4754" t="inlineStr">
        <is>
          <t>Physical Education Buildings</t>
        </is>
      </c>
      <c r="C4754" t="inlineStr">
        <is>
          <t>Low Cost</t>
        </is>
      </c>
      <c r="F4754" t="n">
        <v>35</v>
      </c>
      <c r="G4754" t="n">
        <v>30</v>
      </c>
      <c r="H4754" t="n">
        <v>30</v>
      </c>
      <c r="I4754">
        <f>B4754&amp;"~"&amp;C4754</f>
        <v/>
      </c>
      <c r="J4754" t="inlineStr">
        <is>
          <t>low cost</t>
        </is>
      </c>
    </row>
    <row r="4755">
      <c r="B4755" t="inlineStr">
        <is>
          <t>Gymnasiums</t>
        </is>
      </c>
      <c r="C4755" t="inlineStr">
        <is>
          <t>Good</t>
        </is>
      </c>
      <c r="D4755" t="n">
        <v>45</v>
      </c>
      <c r="E4755" t="n">
        <v>45</v>
      </c>
      <c r="F4755" t="n">
        <v>40</v>
      </c>
      <c r="G4755" t="n">
        <v>35</v>
      </c>
      <c r="H4755" t="n">
        <v>35</v>
      </c>
      <c r="I4755">
        <f>B4755&amp;"~"&amp;C4755</f>
        <v/>
      </c>
      <c r="J4755" t="inlineStr">
        <is>
          <t>average and good</t>
        </is>
      </c>
    </row>
    <row r="4756">
      <c r="B4756" t="inlineStr">
        <is>
          <t>Gymnasiums</t>
        </is>
      </c>
      <c r="C4756" t="inlineStr">
        <is>
          <t>Average</t>
        </is>
      </c>
      <c r="D4756" t="n">
        <v>45</v>
      </c>
      <c r="E4756" t="n">
        <v>45</v>
      </c>
      <c r="F4756" t="n">
        <v>40</v>
      </c>
      <c r="G4756" t="n">
        <v>35</v>
      </c>
      <c r="H4756" t="n">
        <v>35</v>
      </c>
      <c r="I4756">
        <f>B4756&amp;"~"&amp;C4756</f>
        <v/>
      </c>
      <c r="J4756" t="inlineStr">
        <is>
          <t>average and good</t>
        </is>
      </c>
    </row>
    <row r="4757">
      <c r="B4757" t="inlineStr">
        <is>
          <t>Gymnasiums</t>
        </is>
      </c>
      <c r="C4757" t="inlineStr">
        <is>
          <t>Excellent</t>
        </is>
      </c>
      <c r="D4757" t="n">
        <v>50</v>
      </c>
      <c r="E4757" t="n">
        <v>50</v>
      </c>
      <c r="F4757" t="n">
        <v>45</v>
      </c>
      <c r="G4757" t="n">
        <v>40</v>
      </c>
      <c r="I4757">
        <f>B4757&amp;"~"&amp;C4757</f>
        <v/>
      </c>
      <c r="J4757" t="inlineStr">
        <is>
          <t>Gymnasiums, excellent</t>
        </is>
      </c>
    </row>
    <row r="4758">
      <c r="B4758" t="inlineStr">
        <is>
          <t>Gymnasiums</t>
        </is>
      </c>
      <c r="C4758" t="inlineStr">
        <is>
          <t>Low Cost</t>
        </is>
      </c>
      <c r="F4758" t="n">
        <v>35</v>
      </c>
      <c r="G4758" t="n">
        <v>30</v>
      </c>
      <c r="H4758" t="n">
        <v>30</v>
      </c>
      <c r="I4758">
        <f>B4758&amp;"~"&amp;C4758</f>
        <v/>
      </c>
      <c r="J4758" t="inlineStr">
        <is>
          <t>cheap and low cost</t>
        </is>
      </c>
    </row>
    <row r="4759">
      <c r="B4759" t="inlineStr">
        <is>
          <t>Gymnasiums</t>
        </is>
      </c>
      <c r="C4759" t="inlineStr">
        <is>
          <t>Cheap</t>
        </is>
      </c>
      <c r="F4759" t="n">
        <v>35</v>
      </c>
      <c r="G4759" t="n">
        <v>30</v>
      </c>
      <c r="H4759" t="n">
        <v>30</v>
      </c>
      <c r="I4759">
        <f>B4759&amp;"~"&amp;C4759</f>
        <v/>
      </c>
      <c r="J4759" t="inlineStr">
        <is>
          <t>cheap and low cost</t>
        </is>
      </c>
    </row>
    <row r="4760">
      <c r="B4760" t="inlineStr">
        <is>
          <t>Colleges</t>
        </is>
      </c>
      <c r="C4760" t="inlineStr">
        <is>
          <t>Excellent</t>
        </is>
      </c>
      <c r="D4760" t="n">
        <v>60</v>
      </c>
      <c r="E4760" t="n">
        <v>60</v>
      </c>
      <c r="F4760" t="n">
        <v>55</v>
      </c>
      <c r="G4760" t="n">
        <v>50</v>
      </c>
      <c r="I4760">
        <f>B4760&amp;"~"&amp;C4760</f>
        <v/>
      </c>
      <c r="J4760" t="inlineStr">
        <is>
          <t>College level: entire school plant, excellent</t>
        </is>
      </c>
    </row>
    <row r="4761">
      <c r="B4761" t="inlineStr">
        <is>
          <t>Colleges</t>
        </is>
      </c>
      <c r="C4761" t="inlineStr">
        <is>
          <t>Good</t>
        </is>
      </c>
      <c r="D4761" t="n">
        <v>60</v>
      </c>
      <c r="E4761" t="n">
        <v>60</v>
      </c>
      <c r="F4761" t="n">
        <v>50</v>
      </c>
      <c r="G4761" t="n">
        <v>45</v>
      </c>
      <c r="H4761" t="n">
        <v>45</v>
      </c>
      <c r="I4761">
        <f>B4761&amp;"~"&amp;C4761</f>
        <v/>
      </c>
      <c r="J4761" t="inlineStr">
        <is>
          <t>good</t>
        </is>
      </c>
    </row>
    <row r="4762">
      <c r="B4762" t="inlineStr">
        <is>
          <t>Colleges</t>
        </is>
      </c>
      <c r="C4762" t="inlineStr">
        <is>
          <t>Average</t>
        </is>
      </c>
      <c r="D4762" t="n">
        <v>50</v>
      </c>
      <c r="E4762" t="n">
        <v>50</v>
      </c>
      <c r="F4762" t="n">
        <v>45</v>
      </c>
      <c r="G4762" t="n">
        <v>40</v>
      </c>
      <c r="H4762" t="n">
        <v>40</v>
      </c>
      <c r="I4762">
        <f>B4762&amp;"~"&amp;C4762</f>
        <v/>
      </c>
      <c r="J4762" t="inlineStr">
        <is>
          <t>average</t>
        </is>
      </c>
    </row>
    <row r="4763">
      <c r="B4763" t="inlineStr">
        <is>
          <t>Colleges</t>
        </is>
      </c>
      <c r="C4763" t="inlineStr">
        <is>
          <t>Low Cost</t>
        </is>
      </c>
      <c r="F4763" t="n">
        <v>40</v>
      </c>
      <c r="G4763" t="n">
        <v>35</v>
      </c>
      <c r="H4763" t="n">
        <v>35</v>
      </c>
      <c r="I4763">
        <f>B4763&amp;"~"&amp;C4763</f>
        <v/>
      </c>
      <c r="J4763" t="inlineStr">
        <is>
          <t>low cost</t>
        </is>
      </c>
    </row>
    <row r="4764">
      <c r="B4764" t="inlineStr">
        <is>
          <t>College Classrooms</t>
        </is>
      </c>
      <c r="C4764" t="inlineStr">
        <is>
          <t>Excellent</t>
        </is>
      </c>
      <c r="D4764" t="n">
        <v>60</v>
      </c>
      <c r="E4764" t="n">
        <v>60</v>
      </c>
      <c r="F4764" t="n">
        <v>55</v>
      </c>
      <c r="G4764" t="n">
        <v>50</v>
      </c>
      <c r="I4764">
        <f>B4764&amp;"~"&amp;C4764</f>
        <v/>
      </c>
      <c r="J4764" t="inlineStr">
        <is>
          <t>Classrooms, excellent</t>
        </is>
      </c>
    </row>
    <row r="4765">
      <c r="B4765" t="inlineStr">
        <is>
          <t>College Classrooms</t>
        </is>
      </c>
      <c r="C4765" t="inlineStr">
        <is>
          <t>Good</t>
        </is>
      </c>
      <c r="D4765" t="n">
        <v>60</v>
      </c>
      <c r="E4765" t="n">
        <v>60</v>
      </c>
      <c r="F4765" t="n">
        <v>50</v>
      </c>
      <c r="G4765" t="n">
        <v>45</v>
      </c>
      <c r="H4765" t="n">
        <v>45</v>
      </c>
      <c r="I4765">
        <f>B4765&amp;"~"&amp;C4765</f>
        <v/>
      </c>
      <c r="J4765" t="inlineStr">
        <is>
          <t>good</t>
        </is>
      </c>
    </row>
    <row r="4766">
      <c r="B4766" t="inlineStr">
        <is>
          <t>College Classrooms</t>
        </is>
      </c>
      <c r="C4766" t="inlineStr">
        <is>
          <t>Average</t>
        </is>
      </c>
      <c r="D4766" t="n">
        <v>50</v>
      </c>
      <c r="E4766" t="n">
        <v>50</v>
      </c>
      <c r="F4766" t="n">
        <v>45</v>
      </c>
      <c r="G4766" t="n">
        <v>40</v>
      </c>
      <c r="H4766" t="n">
        <v>40</v>
      </c>
      <c r="I4766">
        <f>B4766&amp;"~"&amp;C4766</f>
        <v/>
      </c>
      <c r="J4766" t="inlineStr">
        <is>
          <t>average</t>
        </is>
      </c>
    </row>
    <row r="4767">
      <c r="B4767" t="inlineStr">
        <is>
          <t>College Classrooms</t>
        </is>
      </c>
      <c r="C4767" t="inlineStr">
        <is>
          <t>Low Cost</t>
        </is>
      </c>
      <c r="F4767" t="n">
        <v>40</v>
      </c>
      <c r="G4767" t="n">
        <v>35</v>
      </c>
      <c r="H4767" t="n">
        <v>35</v>
      </c>
      <c r="I4767">
        <f>B4767&amp;"~"&amp;C4767</f>
        <v/>
      </c>
      <c r="J4767" t="inlineStr">
        <is>
          <t>low cost</t>
        </is>
      </c>
    </row>
    <row r="4768">
      <c r="B4768" t="inlineStr">
        <is>
          <t>Technical Trades Buildings</t>
        </is>
      </c>
      <c r="C4768" t="inlineStr">
        <is>
          <t>Good</t>
        </is>
      </c>
      <c r="D4768" t="n">
        <v>60</v>
      </c>
      <c r="E4768" t="n">
        <v>60</v>
      </c>
      <c r="F4768" t="n">
        <v>50</v>
      </c>
      <c r="G4768" t="n">
        <v>45</v>
      </c>
      <c r="H4768" t="n">
        <v>45</v>
      </c>
      <c r="I4768">
        <f>B4768&amp;"~"&amp;C4768</f>
        <v/>
      </c>
      <c r="J4768" t="inlineStr">
        <is>
          <t>Technical trades buildings, good</t>
        </is>
      </c>
    </row>
    <row r="4769">
      <c r="B4769" t="inlineStr">
        <is>
          <t>Technical Trades Buildings</t>
        </is>
      </c>
      <c r="C4769" t="inlineStr">
        <is>
          <t>Average</t>
        </is>
      </c>
      <c r="D4769" t="n">
        <v>50</v>
      </c>
      <c r="E4769" t="n">
        <v>50</v>
      </c>
      <c r="F4769" t="n">
        <v>45</v>
      </c>
      <c r="G4769" t="n">
        <v>40</v>
      </c>
      <c r="H4769" t="n">
        <v>40</v>
      </c>
      <c r="I4769">
        <f>B4769&amp;"~"&amp;C4769</f>
        <v/>
      </c>
      <c r="J4769" t="inlineStr">
        <is>
          <t>average</t>
        </is>
      </c>
    </row>
    <row r="4770">
      <c r="B4770" t="inlineStr">
        <is>
          <t>Technical Trades Buildings</t>
        </is>
      </c>
      <c r="C4770" t="inlineStr">
        <is>
          <t>Low Cost</t>
        </is>
      </c>
      <c r="F4770" t="n">
        <v>40</v>
      </c>
      <c r="G4770" t="n">
        <v>35</v>
      </c>
      <c r="H4770" t="n">
        <v>35</v>
      </c>
      <c r="I4770">
        <f>B4770&amp;"~"&amp;C4770</f>
        <v/>
      </c>
      <c r="J4770" t="inlineStr">
        <is>
          <t>low cost</t>
        </is>
      </c>
    </row>
    <row r="4771">
      <c r="B4771" t="inlineStr">
        <is>
          <t>Lecture Hall Buildings</t>
        </is>
      </c>
      <c r="C4771" t="inlineStr">
        <is>
          <t>Excellent</t>
        </is>
      </c>
      <c r="F4771" t="n">
        <v>55</v>
      </c>
      <c r="I4771">
        <f>B4771&amp;"~"&amp;C4771</f>
        <v/>
      </c>
      <c r="J4771" t="inlineStr">
        <is>
          <t>Lecture halls, excellent</t>
        </is>
      </c>
    </row>
    <row r="4772">
      <c r="B4772" t="inlineStr">
        <is>
          <t>Lecture Hall Buildings</t>
        </is>
      </c>
      <c r="C4772" t="inlineStr">
        <is>
          <t>Good</t>
        </is>
      </c>
      <c r="D4772" t="n">
        <v>60</v>
      </c>
      <c r="E4772" t="n">
        <v>60</v>
      </c>
      <c r="F4772" t="n">
        <v>50</v>
      </c>
      <c r="G4772" t="n">
        <v>45</v>
      </c>
      <c r="H4772" t="n">
        <v>45</v>
      </c>
      <c r="I4772">
        <f>B4772&amp;"~"&amp;C4772</f>
        <v/>
      </c>
      <c r="J4772" t="inlineStr">
        <is>
          <t>good</t>
        </is>
      </c>
    </row>
    <row r="4773">
      <c r="B4773" t="inlineStr">
        <is>
          <t>Lecture Hall Buildings</t>
        </is>
      </c>
      <c r="C4773" t="inlineStr">
        <is>
          <t>Average</t>
        </is>
      </c>
      <c r="D4773" t="n">
        <v>50</v>
      </c>
      <c r="E4773" t="n">
        <v>50</v>
      </c>
      <c r="F4773" t="n">
        <v>45</v>
      </c>
      <c r="G4773" t="n">
        <v>40</v>
      </c>
      <c r="H4773" t="n">
        <v>40</v>
      </c>
      <c r="I4773">
        <f>B4773&amp;"~"&amp;C4773</f>
        <v/>
      </c>
      <c r="J4773" t="inlineStr">
        <is>
          <t>average</t>
        </is>
      </c>
    </row>
    <row r="4774">
      <c r="B4774" t="inlineStr">
        <is>
          <t>Arts &amp; Crafts Buildings</t>
        </is>
      </c>
      <c r="C4774" t="inlineStr">
        <is>
          <t>Excellent</t>
        </is>
      </c>
      <c r="D4774" t="n">
        <v>60</v>
      </c>
      <c r="E4774" t="n">
        <v>60</v>
      </c>
      <c r="F4774" t="n">
        <v>55</v>
      </c>
      <c r="I4774">
        <f>B4774&amp;"~"&amp;C4774</f>
        <v/>
      </c>
      <c r="J4774" t="inlineStr">
        <is>
          <t>Arts and crafts buildings, excellent</t>
        </is>
      </c>
    </row>
    <row r="4775">
      <c r="B4775" t="inlineStr">
        <is>
          <t>Arts &amp; Crafts Buildings</t>
        </is>
      </c>
      <c r="C4775" t="inlineStr">
        <is>
          <t>Good</t>
        </is>
      </c>
      <c r="D4775" t="n">
        <v>60</v>
      </c>
      <c r="E4775" t="n">
        <v>60</v>
      </c>
      <c r="F4775" t="n">
        <v>50</v>
      </c>
      <c r="G4775" t="n">
        <v>45</v>
      </c>
      <c r="H4775" t="n">
        <v>45</v>
      </c>
      <c r="I4775">
        <f>B4775&amp;"~"&amp;C4775</f>
        <v/>
      </c>
      <c r="J4775" t="inlineStr">
        <is>
          <t>good</t>
        </is>
      </c>
    </row>
    <row r="4776">
      <c r="B4776" t="inlineStr">
        <is>
          <t>Arts &amp; Crafts Buildings</t>
        </is>
      </c>
      <c r="C4776" t="inlineStr">
        <is>
          <t>Average</t>
        </is>
      </c>
      <c r="D4776" t="n">
        <v>50</v>
      </c>
      <c r="E4776" t="n">
        <v>50</v>
      </c>
      <c r="F4776" t="n">
        <v>45</v>
      </c>
      <c r="G4776" t="n">
        <v>40</v>
      </c>
      <c r="H4776" t="n">
        <v>40</v>
      </c>
      <c r="I4776">
        <f>B4776&amp;"~"&amp;C4776</f>
        <v/>
      </c>
      <c r="J4776" t="inlineStr">
        <is>
          <t>average</t>
        </is>
      </c>
    </row>
    <row r="4777">
      <c r="B4777" t="inlineStr">
        <is>
          <t>Arts &amp; Crafts Buildings</t>
        </is>
      </c>
      <c r="C4777" t="inlineStr">
        <is>
          <t>Low Cost</t>
        </is>
      </c>
      <c r="F4777" t="n">
        <v>40</v>
      </c>
      <c r="G4777" t="n">
        <v>35</v>
      </c>
      <c r="H4777" t="n">
        <v>35</v>
      </c>
      <c r="I4777">
        <f>B4777&amp;"~"&amp;C4777</f>
        <v/>
      </c>
      <c r="J4777" t="inlineStr">
        <is>
          <t>low cost</t>
        </is>
      </c>
    </row>
    <row r="4778">
      <c r="B4778" t="inlineStr">
        <is>
          <t>Science Buildings</t>
        </is>
      </c>
      <c r="C4778" t="inlineStr">
        <is>
          <t>Excellent</t>
        </is>
      </c>
      <c r="D4778" t="n">
        <v>60</v>
      </c>
      <c r="E4778" t="n">
        <v>60</v>
      </c>
      <c r="F4778" t="n">
        <v>55</v>
      </c>
      <c r="G4778" t="n">
        <v>50</v>
      </c>
      <c r="I4778">
        <f>B4778&amp;"~"&amp;C4778</f>
        <v/>
      </c>
      <c r="J4778" t="inlineStr">
        <is>
          <t>Science buildings, excellent</t>
        </is>
      </c>
    </row>
    <row r="4779">
      <c r="B4779" t="inlineStr">
        <is>
          <t>Science Buildings</t>
        </is>
      </c>
      <c r="C4779" t="inlineStr">
        <is>
          <t>Good</t>
        </is>
      </c>
      <c r="D4779" t="n">
        <v>60</v>
      </c>
      <c r="E4779" t="n">
        <v>60</v>
      </c>
      <c r="F4779" t="n">
        <v>50</v>
      </c>
      <c r="G4779" t="n">
        <v>45</v>
      </c>
      <c r="H4779" t="n">
        <v>45</v>
      </c>
      <c r="I4779">
        <f>B4779&amp;"~"&amp;C4779</f>
        <v/>
      </c>
      <c r="J4779" t="inlineStr">
        <is>
          <t>good</t>
        </is>
      </c>
    </row>
    <row r="4780">
      <c r="B4780" t="inlineStr">
        <is>
          <t>Science Buildings</t>
        </is>
      </c>
      <c r="C4780" t="inlineStr">
        <is>
          <t>Average</t>
        </is>
      </c>
      <c r="D4780" t="n">
        <v>50</v>
      </c>
      <c r="E4780" t="n">
        <v>50</v>
      </c>
      <c r="F4780" t="n">
        <v>45</v>
      </c>
      <c r="G4780" t="n">
        <v>40</v>
      </c>
      <c r="H4780" t="n">
        <v>40</v>
      </c>
      <c r="I4780">
        <f>B4780&amp;"~"&amp;C4780</f>
        <v/>
      </c>
      <c r="J4780" t="inlineStr">
        <is>
          <t>average</t>
        </is>
      </c>
    </row>
    <row r="4781">
      <c r="B4781" t="inlineStr">
        <is>
          <t>Science Buildings</t>
        </is>
      </c>
      <c r="C4781" t="inlineStr">
        <is>
          <t>Low Cost</t>
        </is>
      </c>
      <c r="D4781" t="n">
        <v>50</v>
      </c>
      <c r="E4781" t="n">
        <v>50</v>
      </c>
      <c r="F4781" t="n">
        <v>40</v>
      </c>
      <c r="G4781" t="n">
        <v>35</v>
      </c>
      <c r="H4781" t="n">
        <v>35</v>
      </c>
      <c r="I4781">
        <f>B4781&amp;"~"&amp;C4781</f>
        <v/>
      </c>
      <c r="J4781" t="inlineStr">
        <is>
          <t>low cost</t>
        </is>
      </c>
    </row>
    <row r="4782">
      <c r="B4782" t="inlineStr">
        <is>
          <t>Commons</t>
        </is>
      </c>
      <c r="C4782" t="inlineStr">
        <is>
          <t>Excellent</t>
        </is>
      </c>
      <c r="D4782" t="n">
        <v>60</v>
      </c>
      <c r="E4782" t="n">
        <v>60</v>
      </c>
      <c r="F4782" t="n">
        <v>55</v>
      </c>
      <c r="G4782" t="n">
        <v>50</v>
      </c>
      <c r="I4782">
        <f>B4782&amp;"~"&amp;C4782</f>
        <v/>
      </c>
      <c r="J4782" t="inlineStr">
        <is>
          <t>Commons, excellent</t>
        </is>
      </c>
    </row>
    <row r="4783">
      <c r="B4783" t="inlineStr">
        <is>
          <t>Commons</t>
        </is>
      </c>
      <c r="C4783" t="inlineStr">
        <is>
          <t>Good</t>
        </is>
      </c>
      <c r="D4783" t="n">
        <v>60</v>
      </c>
      <c r="E4783" t="n">
        <v>60</v>
      </c>
      <c r="F4783" t="n">
        <v>50</v>
      </c>
      <c r="G4783" t="n">
        <v>45</v>
      </c>
      <c r="H4783" t="n">
        <v>45</v>
      </c>
      <c r="I4783">
        <f>B4783&amp;"~"&amp;C4783</f>
        <v/>
      </c>
      <c r="J4783" t="inlineStr">
        <is>
          <t>good</t>
        </is>
      </c>
    </row>
    <row r="4784">
      <c r="B4784" t="inlineStr">
        <is>
          <t>Commons</t>
        </is>
      </c>
      <c r="C4784" t="inlineStr">
        <is>
          <t>Average</t>
        </is>
      </c>
      <c r="D4784" t="n">
        <v>50</v>
      </c>
      <c r="E4784" t="n">
        <v>50</v>
      </c>
      <c r="F4784" t="n">
        <v>45</v>
      </c>
      <c r="G4784" t="n">
        <v>40</v>
      </c>
      <c r="H4784" t="n">
        <v>40</v>
      </c>
      <c r="I4784">
        <f>B4784&amp;"~"&amp;C4784</f>
        <v/>
      </c>
      <c r="J4784" t="inlineStr">
        <is>
          <t>average</t>
        </is>
      </c>
    </row>
    <row r="4785">
      <c r="B4785" t="inlineStr">
        <is>
          <t>Commons</t>
        </is>
      </c>
      <c r="C4785" t="inlineStr">
        <is>
          <t>Low Cost</t>
        </is>
      </c>
      <c r="F4785" t="n">
        <v>40</v>
      </c>
      <c r="G4785" t="n">
        <v>35</v>
      </c>
      <c r="H4785" t="n">
        <v>35</v>
      </c>
      <c r="I4785">
        <f>B4785&amp;"~"&amp;C4785</f>
        <v/>
      </c>
      <c r="J4785" t="inlineStr">
        <is>
          <t>low cost</t>
        </is>
      </c>
    </row>
    <row r="4786">
      <c r="B4786" t="inlineStr">
        <is>
          <t>Administration (Office) Buildings</t>
        </is>
      </c>
      <c r="C4786" t="inlineStr">
        <is>
          <t>Excellent</t>
        </is>
      </c>
      <c r="D4786" t="n">
        <v>55</v>
      </c>
      <c r="E4786" t="n">
        <v>55</v>
      </c>
      <c r="F4786" t="n">
        <v>50</v>
      </c>
      <c r="G4786" t="n">
        <v>45</v>
      </c>
      <c r="I4786">
        <f>B4786&amp;"~"&amp;C4786</f>
        <v/>
      </c>
      <c r="J4786" t="inlineStr">
        <is>
          <t>Administration buildings, excellent</t>
        </is>
      </c>
    </row>
    <row r="4787">
      <c r="B4787" t="inlineStr">
        <is>
          <t>Administration (Office) Buildings</t>
        </is>
      </c>
      <c r="C4787" t="inlineStr">
        <is>
          <t>Good</t>
        </is>
      </c>
      <c r="D4787" t="n">
        <v>50</v>
      </c>
      <c r="E4787" t="n">
        <v>50</v>
      </c>
      <c r="F4787" t="n">
        <v>45</v>
      </c>
      <c r="G4787" t="n">
        <v>40</v>
      </c>
      <c r="H4787" t="n">
        <v>40</v>
      </c>
      <c r="I4787">
        <f>B4787&amp;"~"&amp;C4787</f>
        <v/>
      </c>
      <c r="J4787" t="inlineStr">
        <is>
          <t>good</t>
        </is>
      </c>
    </row>
    <row r="4788">
      <c r="B4788" t="inlineStr">
        <is>
          <t>Administration (Office) Buildings</t>
        </is>
      </c>
      <c r="C4788" t="inlineStr">
        <is>
          <t>Average</t>
        </is>
      </c>
      <c r="D4788" t="n">
        <v>45</v>
      </c>
      <c r="E4788" t="n">
        <v>45</v>
      </c>
      <c r="F4788" t="n">
        <v>45</v>
      </c>
      <c r="G4788" t="n">
        <v>40</v>
      </c>
      <c r="H4788" t="n">
        <v>40</v>
      </c>
      <c r="I4788">
        <f>B4788&amp;"~"&amp;C4788</f>
        <v/>
      </c>
      <c r="J4788" t="inlineStr">
        <is>
          <t>average</t>
        </is>
      </c>
    </row>
    <row r="4789">
      <c r="B4789" t="inlineStr">
        <is>
          <t>Administration (Office) Buildings</t>
        </is>
      </c>
      <c r="C4789" t="inlineStr">
        <is>
          <t>Low Cost</t>
        </is>
      </c>
      <c r="D4789" t="n">
        <v>45</v>
      </c>
      <c r="E4789" t="n">
        <v>45</v>
      </c>
      <c r="F4789" t="n">
        <v>40</v>
      </c>
      <c r="G4789" t="n">
        <v>35</v>
      </c>
      <c r="H4789" t="n">
        <v>35</v>
      </c>
      <c r="I4789">
        <f>B4789&amp;"~"&amp;C4789</f>
        <v/>
      </c>
      <c r="J4789" t="inlineStr">
        <is>
          <t>low cost</t>
        </is>
      </c>
    </row>
    <row r="4790">
      <c r="B4790" t="inlineStr">
        <is>
          <t>Relocatable Offices</t>
        </is>
      </c>
      <c r="C4790" t="inlineStr">
        <is>
          <t>Excellent</t>
        </is>
      </c>
      <c r="G4790" t="n">
        <v>35</v>
      </c>
      <c r="I4790">
        <f>B4790&amp;"~"&amp;C4790</f>
        <v/>
      </c>
      <c r="J4790" t="inlineStr">
        <is>
          <t>Relocatable classrooms and offices, excellent</t>
        </is>
      </c>
    </row>
    <row r="4791">
      <c r="B4791" t="inlineStr">
        <is>
          <t>Relocatable Offices</t>
        </is>
      </c>
      <c r="C4791" t="inlineStr">
        <is>
          <t>Good</t>
        </is>
      </c>
      <c r="G4791" t="n">
        <v>30</v>
      </c>
      <c r="I4791">
        <f>B4791&amp;"~"&amp;C4791</f>
        <v/>
      </c>
      <c r="J4791" t="inlineStr">
        <is>
          <t>good</t>
        </is>
      </c>
    </row>
    <row r="4792">
      <c r="B4792" t="inlineStr">
        <is>
          <t>Relocatable Offices</t>
        </is>
      </c>
      <c r="C4792" t="inlineStr">
        <is>
          <t>Average</t>
        </is>
      </c>
      <c r="G4792" t="n">
        <v>25</v>
      </c>
      <c r="I4792">
        <f>B4792&amp;"~"&amp;C4792</f>
        <v/>
      </c>
      <c r="J4792" t="inlineStr">
        <is>
          <t>average</t>
        </is>
      </c>
    </row>
    <row r="4793">
      <c r="B4793" t="inlineStr">
        <is>
          <t>Relocatable Offices</t>
        </is>
      </c>
      <c r="C4793" t="inlineStr">
        <is>
          <t>Low Cost</t>
        </is>
      </c>
      <c r="G4793" t="n">
        <v>20</v>
      </c>
      <c r="I4793">
        <f>B4793&amp;"~"&amp;C4793</f>
        <v/>
      </c>
      <c r="J4793" t="inlineStr">
        <is>
          <t>low cost</t>
        </is>
      </c>
    </row>
    <row r="4794">
      <c r="B4794" t="inlineStr">
        <is>
          <t>Relocatable Offices</t>
        </is>
      </c>
      <c r="C4794" t="inlineStr">
        <is>
          <t>Cheap</t>
        </is>
      </c>
      <c r="G4794" t="n">
        <v>10</v>
      </c>
      <c r="I4794">
        <f>B4794&amp;"~"&amp;C4794</f>
        <v/>
      </c>
      <c r="J4794" t="inlineStr">
        <is>
          <t>cheap</t>
        </is>
      </c>
    </row>
    <row r="4795">
      <c r="B4795" t="inlineStr">
        <is>
          <t>Commercial (Institutional) Greenhouses</t>
        </is>
      </c>
      <c r="C4795" t="inlineStr">
        <is>
          <t>Fair</t>
        </is>
      </c>
      <c r="G4795" t="n">
        <v>25</v>
      </c>
      <c r="H4795" t="n">
        <v>30</v>
      </c>
      <c r="I4795">
        <f>B4795&amp;"~"&amp;C4795</f>
        <v/>
      </c>
      <c r="J4795" t="inlineStr">
        <is>
          <t>fair and average</t>
        </is>
      </c>
    </row>
    <row r="4796">
      <c r="B4796" t="inlineStr">
        <is>
          <t>Commercial (Institutional) Greenhouses</t>
        </is>
      </c>
      <c r="C4796" t="inlineStr">
        <is>
          <t>Low Cost</t>
        </is>
      </c>
      <c r="G4796" t="n">
        <v>20</v>
      </c>
      <c r="H4796" t="n">
        <v>25</v>
      </c>
      <c r="I4796">
        <f>B4796&amp;"~"&amp;C4796</f>
        <v/>
      </c>
      <c r="J4796" t="inlineStr">
        <is>
          <t>low cost</t>
        </is>
      </c>
    </row>
    <row r="4797">
      <c r="B4797" t="inlineStr">
        <is>
          <t>Commercial (Institutional) Greenhouses</t>
        </is>
      </c>
      <c r="C4797" t="inlineStr">
        <is>
          <t>Excellent</t>
        </is>
      </c>
      <c r="H4797" t="n">
        <v>40</v>
      </c>
      <c r="I4797">
        <f>B4797&amp;"~"&amp;C4797</f>
        <v/>
      </c>
      <c r="J4797" t="inlineStr">
        <is>
          <t>Institutional greenhouses, very good and excellent</t>
        </is>
      </c>
    </row>
    <row r="4798">
      <c r="B4798" t="inlineStr">
        <is>
          <t>Commercial (Institutional) Greenhouses</t>
        </is>
      </c>
      <c r="C4798" t="inlineStr">
        <is>
          <t>Very Good</t>
        </is>
      </c>
      <c r="H4798" t="n">
        <v>40</v>
      </c>
      <c r="I4798">
        <f>B4798&amp;"~"&amp;C4798</f>
        <v/>
      </c>
      <c r="J4798" t="inlineStr">
        <is>
          <t>Institutional greenhouses, very good and excellent</t>
        </is>
      </c>
    </row>
    <row r="4799">
      <c r="B4799" t="inlineStr">
        <is>
          <t>Commercial (Institutional) Greenhouses</t>
        </is>
      </c>
      <c r="C4799" t="inlineStr">
        <is>
          <t>Good</t>
        </is>
      </c>
      <c r="H4799" t="n">
        <v>35</v>
      </c>
      <c r="I4799">
        <f>B4799&amp;"~"&amp;C4799</f>
        <v/>
      </c>
      <c r="J4799" t="inlineStr">
        <is>
          <t>good</t>
        </is>
      </c>
    </row>
    <row r="4800">
      <c r="B4800" t="inlineStr">
        <is>
          <t>Commercial (Institutional) Greenhouses</t>
        </is>
      </c>
      <c r="C4800" t="inlineStr">
        <is>
          <t>Average</t>
        </is>
      </c>
      <c r="G4800" t="n">
        <v>25</v>
      </c>
      <c r="H4800" t="n">
        <v>30</v>
      </c>
      <c r="I4800">
        <f>B4800&amp;"~"&amp;C4800</f>
        <v/>
      </c>
      <c r="J4800" t="inlineStr">
        <is>
          <t>fair and average</t>
        </is>
      </c>
    </row>
    <row r="4801">
      <c r="B4801" t="inlineStr">
        <is>
          <t>Commercial (Institutional) Greenhouses</t>
        </is>
      </c>
      <c r="C4801" t="inlineStr">
        <is>
          <t>Cheap</t>
        </is>
      </c>
      <c r="G4801" t="n">
        <v>20</v>
      </c>
      <c r="H4801" t="n">
        <v>25</v>
      </c>
      <c r="I4801">
        <f>B4801&amp;"~"&amp;C4801</f>
        <v/>
      </c>
      <c r="J4801" t="inlineStr">
        <is>
          <t>low cost</t>
        </is>
      </c>
    </row>
    <row r="4804">
      <c r="B4804" s="2454" t="inlineStr">
        <is>
          <t>REFERENCE 12 -- Depreciation Percent-Good Table, Commercial Properties (MVS Sec.97 p.24). Applies to Sections 11/13/14/15 per MVS's own 'Properties Included' key.</t>
        </is>
      </c>
    </row>
    <row r="4805">
      <c r="B4805" t="inlineStr">
        <is>
          <t>Blank cells = combination not tabulated in the manual (effective age exceeds what's charted for that life expectancy) -- treat as fully/near-fully depreciated; see Sec.97 salvage-value guidance.</t>
        </is>
      </c>
    </row>
    <row r="4806">
      <c r="B4806" t="inlineStr">
        <is>
          <t>Effective Age (yrs) \ Typical Life (yrs) -&gt;</t>
        </is>
      </c>
      <c r="C4806" t="n">
        <v>70</v>
      </c>
      <c r="D4806" t="n">
        <v>60</v>
      </c>
      <c r="E4806" t="n">
        <v>55</v>
      </c>
      <c r="F4806" t="n">
        <v>50</v>
      </c>
      <c r="G4806" t="n">
        <v>45</v>
      </c>
      <c r="H4806" t="n">
        <v>40</v>
      </c>
      <c r="I4806" t="n">
        <v>35</v>
      </c>
      <c r="J4806" t="n">
        <v>30</v>
      </c>
      <c r="K4806" t="n">
        <v>25</v>
      </c>
      <c r="L4806" t="n">
        <v>20</v>
      </c>
    </row>
    <row r="4807">
      <c r="B4807" t="n">
        <v>1</v>
      </c>
      <c r="C4807" t="n">
        <v>0</v>
      </c>
      <c r="D4807" t="n">
        <v>0</v>
      </c>
      <c r="E4807" t="n">
        <v>0</v>
      </c>
      <c r="F4807" t="n">
        <v>0</v>
      </c>
      <c r="G4807" t="n">
        <v>1</v>
      </c>
      <c r="H4807" t="n">
        <v>1</v>
      </c>
      <c r="I4807" t="n">
        <v>1</v>
      </c>
      <c r="J4807" t="n">
        <v>2</v>
      </c>
      <c r="K4807" t="n">
        <v>2</v>
      </c>
      <c r="L4807" t="n">
        <v>3</v>
      </c>
    </row>
    <row r="4808">
      <c r="B4808" t="n">
        <v>2</v>
      </c>
      <c r="C4808" t="n">
        <v>0</v>
      </c>
      <c r="D4808" t="n">
        <v>1</v>
      </c>
      <c r="E4808" t="n">
        <v>1</v>
      </c>
      <c r="F4808" t="n">
        <v>1</v>
      </c>
      <c r="G4808" t="n">
        <v>1</v>
      </c>
      <c r="H4808" t="n">
        <v>2</v>
      </c>
      <c r="I4808" t="n">
        <v>2</v>
      </c>
      <c r="J4808" t="n">
        <v>3</v>
      </c>
      <c r="K4808" t="n">
        <v>5</v>
      </c>
      <c r="L4808" t="n">
        <v>7</v>
      </c>
    </row>
    <row r="4809">
      <c r="B4809" t="n">
        <v>3</v>
      </c>
      <c r="C4809" t="n">
        <v>0</v>
      </c>
      <c r="D4809" t="n">
        <v>1</v>
      </c>
      <c r="E4809" t="n">
        <v>1</v>
      </c>
      <c r="F4809" t="n">
        <v>1</v>
      </c>
      <c r="G4809" t="n">
        <v>2</v>
      </c>
      <c r="H4809" t="n">
        <v>3</v>
      </c>
      <c r="I4809" t="n">
        <v>4</v>
      </c>
      <c r="J4809" t="n">
        <v>5</v>
      </c>
      <c r="K4809" t="n">
        <v>7</v>
      </c>
      <c r="L4809" t="n">
        <v>10</v>
      </c>
    </row>
    <row r="4810">
      <c r="B4810" t="n">
        <v>4</v>
      </c>
      <c r="C4810" t="n">
        <v>1</v>
      </c>
      <c r="D4810" t="n">
        <v>1</v>
      </c>
      <c r="E4810" t="n">
        <v>1</v>
      </c>
      <c r="F4810" t="n">
        <v>2</v>
      </c>
      <c r="G4810" t="n">
        <v>3</v>
      </c>
      <c r="H4810" t="n">
        <v>4</v>
      </c>
      <c r="I4810" t="n">
        <v>5</v>
      </c>
      <c r="J4810" t="n">
        <v>7</v>
      </c>
      <c r="K4810" t="n">
        <v>10</v>
      </c>
      <c r="L4810" t="n">
        <v>14</v>
      </c>
    </row>
    <row r="4811">
      <c r="B4811" t="n">
        <v>5</v>
      </c>
      <c r="C4811" t="n">
        <v>1</v>
      </c>
      <c r="D4811" t="n">
        <v>1</v>
      </c>
      <c r="E4811" t="n">
        <v>2</v>
      </c>
      <c r="F4811" t="n">
        <v>3</v>
      </c>
      <c r="G4811" t="n">
        <v>4</v>
      </c>
      <c r="H4811" t="n">
        <v>5</v>
      </c>
      <c r="I4811" t="n">
        <v>6</v>
      </c>
      <c r="J4811" t="n">
        <v>9</v>
      </c>
      <c r="K4811" t="n">
        <v>13</v>
      </c>
      <c r="L4811" t="n">
        <v>18</v>
      </c>
    </row>
    <row r="4812">
      <c r="B4812" t="n">
        <v>6</v>
      </c>
      <c r="C4812" t="n">
        <v>1</v>
      </c>
      <c r="D4812" t="n">
        <v>2</v>
      </c>
      <c r="E4812" t="n">
        <v>2</v>
      </c>
      <c r="F4812" t="n">
        <v>3</v>
      </c>
      <c r="G4812" t="n">
        <v>4</v>
      </c>
      <c r="H4812" t="n">
        <v>6</v>
      </c>
      <c r="I4812" t="n">
        <v>8</v>
      </c>
      <c r="J4812" t="n">
        <v>11</v>
      </c>
      <c r="K4812" t="n">
        <v>16</v>
      </c>
      <c r="L4812" t="n">
        <v>22</v>
      </c>
    </row>
    <row r="4813">
      <c r="B4813" t="n">
        <v>7</v>
      </c>
      <c r="C4813" t="n">
        <v>1</v>
      </c>
      <c r="D4813" t="n">
        <v>2</v>
      </c>
      <c r="E4813" t="n">
        <v>3</v>
      </c>
      <c r="F4813" t="n">
        <v>4</v>
      </c>
      <c r="G4813" t="n">
        <v>5</v>
      </c>
      <c r="H4813" t="n">
        <v>7</v>
      </c>
      <c r="I4813" t="n">
        <v>10</v>
      </c>
      <c r="J4813" t="n">
        <v>14</v>
      </c>
      <c r="K4813" t="n">
        <v>19</v>
      </c>
      <c r="L4813" t="n">
        <v>26</v>
      </c>
    </row>
    <row r="4814">
      <c r="B4814" t="n">
        <v>8</v>
      </c>
      <c r="C4814" t="n">
        <v>1</v>
      </c>
      <c r="D4814" t="n">
        <v>2</v>
      </c>
      <c r="E4814" t="n">
        <v>3</v>
      </c>
      <c r="F4814" t="n">
        <v>5</v>
      </c>
      <c r="G4814" t="n">
        <v>6</v>
      </c>
      <c r="H4814" t="n">
        <v>8</v>
      </c>
      <c r="I4814" t="n">
        <v>11</v>
      </c>
      <c r="J4814" t="n">
        <v>16</v>
      </c>
      <c r="K4814" t="n">
        <v>22</v>
      </c>
      <c r="L4814" t="n">
        <v>30</v>
      </c>
    </row>
    <row r="4815">
      <c r="B4815" t="n">
        <v>9</v>
      </c>
      <c r="C4815" t="n">
        <v>2</v>
      </c>
      <c r="D4815" t="n">
        <v>3</v>
      </c>
      <c r="E4815" t="n">
        <v>4</v>
      </c>
      <c r="F4815" t="n">
        <v>5</v>
      </c>
      <c r="G4815" t="n">
        <v>7</v>
      </c>
      <c r="H4815" t="n">
        <v>10</v>
      </c>
      <c r="I4815" t="n">
        <v>13</v>
      </c>
      <c r="J4815" t="n">
        <v>18</v>
      </c>
      <c r="K4815" t="n">
        <v>25</v>
      </c>
      <c r="L4815" t="n">
        <v>35</v>
      </c>
    </row>
    <row r="4816">
      <c r="B4816" t="n">
        <v>10</v>
      </c>
      <c r="C4816" t="n">
        <v>2</v>
      </c>
      <c r="D4816" t="n">
        <v>3</v>
      </c>
      <c r="E4816" t="n">
        <v>4</v>
      </c>
      <c r="F4816" t="n">
        <v>6</v>
      </c>
      <c r="G4816" t="n">
        <v>8</v>
      </c>
      <c r="H4816" t="n">
        <v>11</v>
      </c>
      <c r="I4816" t="n">
        <v>15</v>
      </c>
      <c r="J4816" t="n">
        <v>21</v>
      </c>
      <c r="K4816" t="n">
        <v>29</v>
      </c>
      <c r="L4816" t="n">
        <v>40</v>
      </c>
    </row>
    <row r="4817">
      <c r="B4817" t="n">
        <v>11</v>
      </c>
      <c r="C4817" t="n">
        <v>2</v>
      </c>
      <c r="D4817" t="n">
        <v>4</v>
      </c>
      <c r="E4817" t="n">
        <v>5</v>
      </c>
      <c r="F4817" t="n">
        <v>7</v>
      </c>
      <c r="G4817" t="n">
        <v>9</v>
      </c>
      <c r="H4817" t="n">
        <v>13</v>
      </c>
      <c r="I4817" t="n">
        <v>17</v>
      </c>
      <c r="J4817" t="n">
        <v>24</v>
      </c>
      <c r="K4817" t="n">
        <v>32</v>
      </c>
      <c r="L4817" t="n">
        <v>45</v>
      </c>
    </row>
    <row r="4818">
      <c r="B4818" t="n">
        <v>12</v>
      </c>
      <c r="C4818" t="n">
        <v>2</v>
      </c>
      <c r="D4818" t="n">
        <v>4</v>
      </c>
      <c r="E4818" t="n">
        <v>6</v>
      </c>
      <c r="F4818" t="n">
        <v>8</v>
      </c>
      <c r="G4818" t="n">
        <v>10</v>
      </c>
      <c r="H4818" t="n">
        <v>14</v>
      </c>
      <c r="I4818" t="n">
        <v>19</v>
      </c>
      <c r="J4818" t="n">
        <v>26</v>
      </c>
      <c r="K4818" t="n">
        <v>36</v>
      </c>
      <c r="L4818" t="n">
        <v>50</v>
      </c>
    </row>
    <row r="4819">
      <c r="B4819" t="n">
        <v>13</v>
      </c>
      <c r="C4819" t="n">
        <v>2</v>
      </c>
      <c r="D4819" t="n">
        <v>5</v>
      </c>
      <c r="E4819" t="n">
        <v>6</v>
      </c>
      <c r="F4819" t="n">
        <v>9</v>
      </c>
      <c r="G4819" t="n">
        <v>12</v>
      </c>
      <c r="H4819" t="n">
        <v>16</v>
      </c>
      <c r="I4819" t="n">
        <v>22</v>
      </c>
      <c r="J4819" t="n">
        <v>29</v>
      </c>
      <c r="K4819" t="n">
        <v>40</v>
      </c>
      <c r="L4819" t="n">
        <v>55</v>
      </c>
    </row>
    <row r="4820">
      <c r="B4820" t="n">
        <v>14</v>
      </c>
      <c r="C4820" t="n">
        <v>3</v>
      </c>
      <c r="D4820" t="n">
        <v>5</v>
      </c>
      <c r="E4820" t="n">
        <v>7</v>
      </c>
      <c r="F4820" t="n">
        <v>10</v>
      </c>
      <c r="G4820" t="n">
        <v>13</v>
      </c>
      <c r="H4820" t="n">
        <v>18</v>
      </c>
      <c r="I4820" t="n">
        <v>24</v>
      </c>
      <c r="J4820" t="n">
        <v>32</v>
      </c>
      <c r="K4820" t="n">
        <v>44</v>
      </c>
      <c r="L4820" t="n">
        <v>60</v>
      </c>
    </row>
    <row r="4821">
      <c r="B4821" t="n">
        <v>15</v>
      </c>
      <c r="C4821" t="n">
        <v>3</v>
      </c>
      <c r="D4821" t="n">
        <v>6</v>
      </c>
      <c r="E4821" t="n">
        <v>8</v>
      </c>
      <c r="F4821" t="n">
        <v>11</v>
      </c>
      <c r="G4821" t="n">
        <v>14</v>
      </c>
      <c r="H4821" t="n">
        <v>20</v>
      </c>
      <c r="I4821" t="n">
        <v>26</v>
      </c>
      <c r="J4821" t="n">
        <v>35</v>
      </c>
      <c r="K4821" t="n">
        <v>48</v>
      </c>
      <c r="L4821" t="n">
        <v>65</v>
      </c>
    </row>
    <row r="4822">
      <c r="B4822" t="n">
        <v>16</v>
      </c>
      <c r="C4822" t="n">
        <v>3</v>
      </c>
      <c r="D4822" t="n">
        <v>7</v>
      </c>
      <c r="E4822" t="n">
        <v>9</v>
      </c>
      <c r="F4822" t="n">
        <v>12</v>
      </c>
      <c r="G4822" t="n">
        <v>16</v>
      </c>
      <c r="H4822" t="n">
        <v>22</v>
      </c>
      <c r="I4822" t="n">
        <v>28</v>
      </c>
      <c r="J4822" t="n">
        <v>39</v>
      </c>
      <c r="K4822" t="n">
        <v>52</v>
      </c>
      <c r="L4822" t="n">
        <v>69</v>
      </c>
    </row>
    <row r="4823">
      <c r="B4823" t="n">
        <v>17</v>
      </c>
      <c r="C4823" t="n">
        <v>4</v>
      </c>
      <c r="D4823" t="n">
        <v>7</v>
      </c>
      <c r="E4823" t="n">
        <v>10</v>
      </c>
      <c r="F4823" t="n">
        <v>13</v>
      </c>
      <c r="G4823" t="n">
        <v>18</v>
      </c>
      <c r="H4823" t="n">
        <v>24</v>
      </c>
      <c r="I4823" t="n">
        <v>31</v>
      </c>
      <c r="J4823" t="n">
        <v>42</v>
      </c>
      <c r="K4823" t="n">
        <v>56</v>
      </c>
      <c r="L4823" t="n">
        <v>73</v>
      </c>
    </row>
    <row r="4824">
      <c r="B4824" t="n">
        <v>18</v>
      </c>
      <c r="C4824" t="n">
        <v>4</v>
      </c>
      <c r="D4824" t="n">
        <v>8</v>
      </c>
      <c r="E4824" t="n">
        <v>11</v>
      </c>
      <c r="F4824" t="n">
        <v>14</v>
      </c>
      <c r="G4824" t="n">
        <v>19</v>
      </c>
      <c r="H4824" t="n">
        <v>26</v>
      </c>
      <c r="I4824" t="n">
        <v>34</v>
      </c>
      <c r="J4824" t="n">
        <v>46</v>
      </c>
      <c r="K4824" t="n">
        <v>60</v>
      </c>
      <c r="L4824" t="n">
        <v>76</v>
      </c>
    </row>
    <row r="4825">
      <c r="B4825" t="n">
        <v>19</v>
      </c>
      <c r="C4825" t="n">
        <v>4</v>
      </c>
      <c r="D4825" t="n">
        <v>9</v>
      </c>
      <c r="E4825" t="n">
        <v>12</v>
      </c>
      <c r="F4825" t="n">
        <v>16</v>
      </c>
      <c r="G4825" t="n">
        <v>21</v>
      </c>
      <c r="H4825" t="n">
        <v>28</v>
      </c>
      <c r="I4825" t="n">
        <v>36</v>
      </c>
      <c r="J4825" t="n">
        <v>49</v>
      </c>
      <c r="K4825" t="n">
        <v>64</v>
      </c>
      <c r="L4825" t="n">
        <v>78</v>
      </c>
    </row>
    <row r="4826">
      <c r="B4826" t="n">
        <v>20</v>
      </c>
      <c r="C4826" t="n">
        <v>5</v>
      </c>
      <c r="D4826" t="n">
        <v>9</v>
      </c>
      <c r="E4826" t="n">
        <v>13</v>
      </c>
      <c r="F4826" t="n">
        <v>17</v>
      </c>
      <c r="G4826" t="n">
        <v>23</v>
      </c>
      <c r="H4826" t="n">
        <v>30</v>
      </c>
      <c r="I4826" t="n">
        <v>39</v>
      </c>
      <c r="J4826" t="n">
        <v>53</v>
      </c>
      <c r="K4826" t="n">
        <v>68</v>
      </c>
      <c r="L4826" t="n">
        <v>79</v>
      </c>
    </row>
    <row r="4827">
      <c r="B4827" t="n">
        <v>21</v>
      </c>
      <c r="C4827" t="n">
        <v>5</v>
      </c>
      <c r="D4827" t="n">
        <v>10</v>
      </c>
      <c r="E4827" t="n">
        <v>14</v>
      </c>
      <c r="F4827" t="n">
        <v>18</v>
      </c>
      <c r="G4827" t="n">
        <v>25</v>
      </c>
      <c r="H4827" t="n">
        <v>32</v>
      </c>
      <c r="I4827" t="n">
        <v>42</v>
      </c>
      <c r="J4827" t="n">
        <v>57</v>
      </c>
      <c r="K4827" t="n">
        <v>71</v>
      </c>
      <c r="L4827" t="n">
        <v>80</v>
      </c>
    </row>
    <row r="4828">
      <c r="B4828" t="n">
        <v>22</v>
      </c>
      <c r="C4828" t="n">
        <v>6</v>
      </c>
      <c r="D4828" t="n">
        <v>11</v>
      </c>
      <c r="E4828" t="n">
        <v>15</v>
      </c>
      <c r="F4828" t="n">
        <v>20</v>
      </c>
      <c r="G4828" t="n">
        <v>27</v>
      </c>
      <c r="H4828" t="n">
        <v>35</v>
      </c>
      <c r="I4828" t="n">
        <v>45</v>
      </c>
      <c r="J4828" t="n">
        <v>60</v>
      </c>
      <c r="K4828" t="n">
        <v>73</v>
      </c>
    </row>
    <row r="4829">
      <c r="B4829" t="n">
        <v>23</v>
      </c>
      <c r="C4829" t="n">
        <v>6</v>
      </c>
      <c r="D4829" t="n">
        <v>12</v>
      </c>
      <c r="E4829" t="n">
        <v>16</v>
      </c>
      <c r="F4829" t="n">
        <v>21</v>
      </c>
      <c r="G4829" t="n">
        <v>29</v>
      </c>
      <c r="H4829" t="n">
        <v>37</v>
      </c>
      <c r="I4829" t="n">
        <v>48</v>
      </c>
      <c r="J4829" t="n">
        <v>63</v>
      </c>
      <c r="K4829" t="n">
        <v>75</v>
      </c>
    </row>
    <row r="4830">
      <c r="B4830" t="n">
        <v>24</v>
      </c>
      <c r="C4830" t="n">
        <v>7</v>
      </c>
      <c r="D4830" t="n">
        <v>13</v>
      </c>
      <c r="E4830" t="n">
        <v>17</v>
      </c>
      <c r="F4830" t="n">
        <v>23</v>
      </c>
      <c r="G4830" t="n">
        <v>31</v>
      </c>
      <c r="H4830" t="n">
        <v>40</v>
      </c>
      <c r="I4830" t="n">
        <v>52</v>
      </c>
      <c r="J4830" t="n">
        <v>66</v>
      </c>
      <c r="K4830" t="n">
        <v>77</v>
      </c>
    </row>
    <row r="4831">
      <c r="B4831" t="n">
        <v>25</v>
      </c>
      <c r="C4831" t="n">
        <v>7</v>
      </c>
      <c r="D4831" t="n">
        <v>14</v>
      </c>
      <c r="E4831" t="n">
        <v>19</v>
      </c>
      <c r="F4831" t="n">
        <v>25</v>
      </c>
      <c r="G4831" t="n">
        <v>33</v>
      </c>
      <c r="H4831" t="n">
        <v>43</v>
      </c>
      <c r="I4831" t="n">
        <v>55</v>
      </c>
      <c r="J4831" t="n">
        <v>69</v>
      </c>
      <c r="K4831" t="n">
        <v>79</v>
      </c>
    </row>
    <row r="4832">
      <c r="B4832" t="n">
        <v>26</v>
      </c>
      <c r="C4832" t="n">
        <v>8</v>
      </c>
      <c r="D4832" t="n">
        <v>15</v>
      </c>
      <c r="E4832" t="n">
        <v>20</v>
      </c>
      <c r="F4832" t="n">
        <v>27</v>
      </c>
      <c r="G4832" t="n">
        <v>35</v>
      </c>
      <c r="H4832" t="n">
        <v>46</v>
      </c>
      <c r="I4832" t="n">
        <v>58</v>
      </c>
      <c r="J4832" t="n">
        <v>72</v>
      </c>
      <c r="K4832" t="n">
        <v>80</v>
      </c>
    </row>
    <row r="4833">
      <c r="B4833" t="n">
        <v>27</v>
      </c>
      <c r="C4833" t="n">
        <v>9</v>
      </c>
      <c r="D4833" t="n">
        <v>16</v>
      </c>
      <c r="E4833" t="n">
        <v>21</v>
      </c>
      <c r="F4833" t="n">
        <v>28</v>
      </c>
      <c r="G4833" t="n">
        <v>37</v>
      </c>
      <c r="H4833" t="n">
        <v>49</v>
      </c>
      <c r="I4833" t="n">
        <v>61</v>
      </c>
      <c r="J4833" t="n">
        <v>75</v>
      </c>
    </row>
    <row r="4834">
      <c r="B4834" t="n">
        <v>28</v>
      </c>
      <c r="C4834" t="n">
        <v>9</v>
      </c>
      <c r="D4834" t="n">
        <v>17</v>
      </c>
      <c r="E4834" t="n">
        <v>23</v>
      </c>
      <c r="F4834" t="n">
        <v>30</v>
      </c>
      <c r="G4834" t="n">
        <v>40</v>
      </c>
      <c r="H4834" t="n">
        <v>52</v>
      </c>
      <c r="I4834" t="n">
        <v>64</v>
      </c>
      <c r="J4834" t="n">
        <v>77</v>
      </c>
    </row>
    <row r="4835">
      <c r="B4835" t="n">
        <v>29</v>
      </c>
      <c r="C4835" t="n">
        <v>10</v>
      </c>
      <c r="D4835" t="n">
        <v>18</v>
      </c>
      <c r="E4835" t="n">
        <v>24</v>
      </c>
      <c r="F4835" t="n">
        <v>32</v>
      </c>
      <c r="G4835" t="n">
        <v>42</v>
      </c>
      <c r="H4835" t="n">
        <v>54</v>
      </c>
      <c r="I4835" t="n">
        <v>68</v>
      </c>
      <c r="J4835" t="n">
        <v>78</v>
      </c>
    </row>
    <row r="4836">
      <c r="B4836" t="n">
        <v>30</v>
      </c>
      <c r="C4836" t="n">
        <v>11</v>
      </c>
      <c r="D4836" t="n">
        <v>20</v>
      </c>
      <c r="E4836" t="n">
        <v>26</v>
      </c>
      <c r="F4836" t="n">
        <v>34</v>
      </c>
      <c r="G4836" t="n">
        <v>45</v>
      </c>
      <c r="H4836" t="n">
        <v>57</v>
      </c>
      <c r="I4836" t="n">
        <v>72</v>
      </c>
      <c r="J4836" t="n">
        <v>79</v>
      </c>
    </row>
    <row r="4837">
      <c r="B4837" t="n">
        <v>32</v>
      </c>
      <c r="C4837" t="n">
        <v>13</v>
      </c>
      <c r="D4837" t="n">
        <v>22</v>
      </c>
      <c r="E4837" t="n">
        <v>30</v>
      </c>
      <c r="F4837" t="n">
        <v>38</v>
      </c>
      <c r="G4837" t="n">
        <v>50</v>
      </c>
      <c r="H4837" t="n">
        <v>62</v>
      </c>
      <c r="I4837" t="n">
        <v>75</v>
      </c>
      <c r="J4837" t="n">
        <v>80</v>
      </c>
    </row>
    <row r="4838">
      <c r="B4838" t="n">
        <v>34</v>
      </c>
      <c r="C4838" t="n">
        <v>15</v>
      </c>
      <c r="D4838" t="n">
        <v>25</v>
      </c>
      <c r="E4838" t="n">
        <v>34</v>
      </c>
      <c r="F4838" t="n">
        <v>43</v>
      </c>
      <c r="G4838" t="n">
        <v>55</v>
      </c>
      <c r="H4838" t="n">
        <v>68</v>
      </c>
      <c r="I4838" t="n">
        <v>77</v>
      </c>
    </row>
    <row r="4839">
      <c r="B4839" t="n">
        <v>36</v>
      </c>
      <c r="C4839" t="n">
        <v>17</v>
      </c>
      <c r="D4839" t="n">
        <v>28</v>
      </c>
      <c r="E4839" t="n">
        <v>38</v>
      </c>
      <c r="F4839" t="n">
        <v>48</v>
      </c>
      <c r="G4839" t="n">
        <v>61</v>
      </c>
      <c r="H4839" t="n">
        <v>73</v>
      </c>
      <c r="I4839" t="n">
        <v>79</v>
      </c>
    </row>
    <row r="4840">
      <c r="B4840" t="n">
        <v>38</v>
      </c>
      <c r="C4840" t="n">
        <v>19</v>
      </c>
      <c r="D4840" t="n">
        <v>32</v>
      </c>
      <c r="E4840" t="n">
        <v>42</v>
      </c>
      <c r="F4840" t="n">
        <v>53</v>
      </c>
      <c r="G4840" t="n">
        <v>67</v>
      </c>
      <c r="H4840" t="n">
        <v>77</v>
      </c>
      <c r="I4840" t="n">
        <v>80</v>
      </c>
    </row>
    <row r="4841">
      <c r="B4841" t="n">
        <v>40</v>
      </c>
      <c r="C4841" t="n">
        <v>21</v>
      </c>
      <c r="D4841" t="n">
        <v>35</v>
      </c>
      <c r="E4841" t="n">
        <v>46</v>
      </c>
      <c r="F4841" t="n">
        <v>59</v>
      </c>
      <c r="G4841" t="n">
        <v>72</v>
      </c>
      <c r="H4841" t="n">
        <v>79</v>
      </c>
    </row>
    <row r="4842">
      <c r="B4842" t="n">
        <v>42</v>
      </c>
      <c r="C4842" t="n">
        <v>25</v>
      </c>
      <c r="D4842" t="n">
        <v>39</v>
      </c>
      <c r="E4842" t="n">
        <v>51</v>
      </c>
      <c r="F4842" t="n">
        <v>65</v>
      </c>
      <c r="G4842" t="n">
        <v>75</v>
      </c>
      <c r="H4842" t="n">
        <v>80</v>
      </c>
    </row>
    <row r="4843">
      <c r="B4843" t="n">
        <v>44</v>
      </c>
      <c r="C4843" t="n">
        <v>28</v>
      </c>
      <c r="D4843" t="n">
        <v>43</v>
      </c>
      <c r="E4843" t="n">
        <v>56</v>
      </c>
      <c r="F4843" t="n">
        <v>70</v>
      </c>
      <c r="G4843" t="n">
        <v>77</v>
      </c>
    </row>
    <row r="4844">
      <c r="B4844" t="n">
        <v>46</v>
      </c>
      <c r="C4844" t="n">
        <v>31</v>
      </c>
      <c r="D4844" t="n">
        <v>48</v>
      </c>
      <c r="E4844" t="n">
        <v>60</v>
      </c>
      <c r="F4844" t="n">
        <v>74</v>
      </c>
      <c r="G4844" t="n">
        <v>78</v>
      </c>
    </row>
    <row r="4845">
      <c r="B4845" t="n">
        <v>48</v>
      </c>
      <c r="C4845" t="n">
        <v>34</v>
      </c>
      <c r="D4845" t="n">
        <v>53</v>
      </c>
      <c r="E4845" t="n">
        <v>64</v>
      </c>
      <c r="F4845" t="n">
        <v>77</v>
      </c>
      <c r="G4845" t="n">
        <v>79</v>
      </c>
    </row>
    <row r="4846">
      <c r="B4846" t="n">
        <v>50</v>
      </c>
      <c r="C4846" t="n">
        <v>38</v>
      </c>
      <c r="D4846" t="n">
        <v>58</v>
      </c>
      <c r="E4846" t="n">
        <v>68</v>
      </c>
      <c r="F4846" t="n">
        <v>79</v>
      </c>
      <c r="G4846" t="n">
        <v>80</v>
      </c>
    </row>
    <row r="4847">
      <c r="B4847" t="n">
        <v>55</v>
      </c>
      <c r="C4847" t="n">
        <v>48</v>
      </c>
      <c r="D4847" t="n">
        <v>67</v>
      </c>
      <c r="E4847" t="n">
        <v>75</v>
      </c>
      <c r="F4847" t="n">
        <v>80</v>
      </c>
    </row>
    <row r="4848">
      <c r="B4848" t="n">
        <v>60</v>
      </c>
      <c r="C4848" t="n">
        <v>57</v>
      </c>
      <c r="D4848" t="n">
        <v>74</v>
      </c>
      <c r="E4848" t="n">
        <v>78</v>
      </c>
    </row>
    <row r="4849">
      <c r="B4849" t="n">
        <v>65</v>
      </c>
      <c r="C4849" t="n">
        <v>65</v>
      </c>
      <c r="D4849" t="n">
        <v>78</v>
      </c>
      <c r="E4849" t="n">
        <v>80</v>
      </c>
    </row>
    <row r="4850">
      <c r="B4850" t="n">
        <v>70</v>
      </c>
      <c r="C4850" t="n">
        <v>71</v>
      </c>
      <c r="D4850" t="n">
        <v>80</v>
      </c>
    </row>
    <row r="4851">
      <c r="B4851" t="n">
        <v>75</v>
      </c>
      <c r="C4851" t="n">
        <v>75</v>
      </c>
    </row>
    <row r="4852">
      <c r="B4852" t="n">
        <v>80</v>
      </c>
      <c r="C4852" t="n">
        <v>78</v>
      </c>
    </row>
    <row r="4854">
      <c r="B4854" s="2454" t="inlineStr">
        <is>
          <t>REFERENCE 13 -- Depreciation Percent-Good Table, Residential Properties (MVS Sec.97 p.25). Applies per MVS's 'Properties Included' key: Sec.11 all except apartments/hotels/resorts; Sec.12 all except motels/lodges/large multiples; Sec.15 libraries; Sec.16 churches &amp; fraternal; Sec.17 farm/residential uses; Sec.18 all schools. The 'Depr' column in Reference 4 picks the table per occupancy.</t>
        </is>
      </c>
    </row>
    <row r="4855">
      <c r="B4855" t="inlineStr">
        <is>
          <t>Blank cells = combination not tabulated (age exceeds chart for that life); treat as fully/near-fully depreciated per Sec.97 salvage guidance. For lives under 20 years see Sec.97 p.26.</t>
        </is>
      </c>
    </row>
    <row r="4856">
      <c r="B4856" s="2455" t="inlineStr">
        <is>
          <t>Effective Age (yrs) \ Typical Life (yrs) -&gt;</t>
        </is>
      </c>
      <c r="C4856" s="2455" t="n">
        <v>70</v>
      </c>
      <c r="D4856" s="2455" t="n">
        <v>65</v>
      </c>
      <c r="E4856" s="2455" t="n">
        <v>60</v>
      </c>
      <c r="F4856" s="2455" t="n">
        <v>55</v>
      </c>
      <c r="G4856" s="2455" t="n">
        <v>50</v>
      </c>
      <c r="H4856" s="2455" t="n">
        <v>45</v>
      </c>
      <c r="I4856" s="2455" t="n">
        <v>40</v>
      </c>
      <c r="J4856" s="2455" t="n">
        <v>35</v>
      </c>
      <c r="K4856" s="2455" t="n">
        <v>30</v>
      </c>
      <c r="L4856" s="2455" t="n">
        <v>25</v>
      </c>
      <c r="M4856" s="2455" t="n">
        <v>20</v>
      </c>
    </row>
    <row r="4857">
      <c r="B4857" t="n">
        <v>1</v>
      </c>
      <c r="C4857" t="n">
        <v>0</v>
      </c>
      <c r="D4857" t="n">
        <v>0</v>
      </c>
      <c r="E4857" t="n">
        <v>0</v>
      </c>
      <c r="F4857" t="n">
        <v>1</v>
      </c>
      <c r="G4857" t="n">
        <v>1</v>
      </c>
      <c r="H4857" t="n">
        <v>1</v>
      </c>
      <c r="I4857" t="n">
        <v>1</v>
      </c>
      <c r="J4857" t="n">
        <v>2</v>
      </c>
      <c r="K4857" t="n">
        <v>2</v>
      </c>
      <c r="L4857" t="n">
        <v>3</v>
      </c>
      <c r="M4857" t="n">
        <v>3</v>
      </c>
    </row>
    <row r="4858">
      <c r="B4858" t="n">
        <v>2</v>
      </c>
      <c r="C4858" t="n">
        <v>1</v>
      </c>
      <c r="D4858" t="n">
        <v>1</v>
      </c>
      <c r="E4858" t="n">
        <v>1</v>
      </c>
      <c r="F4858" t="n">
        <v>2</v>
      </c>
      <c r="G4858" t="n">
        <v>2</v>
      </c>
      <c r="H4858" t="n">
        <v>2</v>
      </c>
      <c r="I4858" t="n">
        <v>3</v>
      </c>
      <c r="J4858" t="n">
        <v>4</v>
      </c>
      <c r="K4858" t="n">
        <v>4</v>
      </c>
      <c r="L4858" t="n">
        <v>6</v>
      </c>
      <c r="M4858" t="n">
        <v>7</v>
      </c>
    </row>
    <row r="4859">
      <c r="B4859" t="n">
        <v>3</v>
      </c>
      <c r="C4859" t="n">
        <v>1</v>
      </c>
      <c r="D4859" t="n">
        <v>2</v>
      </c>
      <c r="E4859" t="n">
        <v>2</v>
      </c>
      <c r="F4859" t="n">
        <v>2</v>
      </c>
      <c r="G4859" t="n">
        <v>3</v>
      </c>
      <c r="H4859" t="n">
        <v>3</v>
      </c>
      <c r="I4859" t="n">
        <v>4</v>
      </c>
      <c r="J4859" t="n">
        <v>5</v>
      </c>
      <c r="K4859" t="n">
        <v>6</v>
      </c>
      <c r="L4859" t="n">
        <v>9</v>
      </c>
      <c r="M4859" t="n">
        <v>11</v>
      </c>
    </row>
    <row r="4860">
      <c r="B4860" t="n">
        <v>4</v>
      </c>
      <c r="C4860" t="n">
        <v>2</v>
      </c>
      <c r="D4860" t="n">
        <v>2</v>
      </c>
      <c r="E4860" t="n">
        <v>3</v>
      </c>
      <c r="F4860" t="n">
        <v>3</v>
      </c>
      <c r="G4860" t="n">
        <v>4</v>
      </c>
      <c r="H4860" t="n">
        <v>4</v>
      </c>
      <c r="I4860" t="n">
        <v>5</v>
      </c>
      <c r="J4860" t="n">
        <v>7</v>
      </c>
      <c r="K4860" t="n">
        <v>9</v>
      </c>
      <c r="L4860" t="n">
        <v>12</v>
      </c>
      <c r="M4860" t="n">
        <v>15</v>
      </c>
    </row>
    <row r="4861">
      <c r="B4861" t="n">
        <v>5</v>
      </c>
      <c r="C4861" t="n">
        <v>2</v>
      </c>
      <c r="D4861" t="n">
        <v>3</v>
      </c>
      <c r="E4861" t="n">
        <v>4</v>
      </c>
      <c r="F4861" t="n">
        <v>4</v>
      </c>
      <c r="G4861" t="n">
        <v>5</v>
      </c>
      <c r="H4861" t="n">
        <v>6</v>
      </c>
      <c r="I4861" t="n">
        <v>7</v>
      </c>
      <c r="J4861" t="n">
        <v>9</v>
      </c>
      <c r="K4861" t="n">
        <v>12</v>
      </c>
      <c r="L4861" t="n">
        <v>15</v>
      </c>
      <c r="M4861" t="n">
        <v>20</v>
      </c>
    </row>
    <row r="4862">
      <c r="B4862" t="n">
        <v>6</v>
      </c>
      <c r="C4862" t="n">
        <v>3</v>
      </c>
      <c r="D4862" t="n">
        <v>4</v>
      </c>
      <c r="E4862" t="n">
        <v>4</v>
      </c>
      <c r="F4862" t="n">
        <v>5</v>
      </c>
      <c r="G4862" t="n">
        <v>6</v>
      </c>
      <c r="H4862" t="n">
        <v>7</v>
      </c>
      <c r="I4862" t="n">
        <v>9</v>
      </c>
      <c r="J4862" t="n">
        <v>11</v>
      </c>
      <c r="K4862" t="n">
        <v>14</v>
      </c>
      <c r="L4862" t="n">
        <v>18</v>
      </c>
      <c r="M4862" t="n">
        <v>24</v>
      </c>
    </row>
    <row r="4863">
      <c r="B4863" t="n">
        <v>7</v>
      </c>
      <c r="C4863" t="n">
        <v>4</v>
      </c>
      <c r="D4863" t="n">
        <v>5</v>
      </c>
      <c r="E4863" t="n">
        <v>5</v>
      </c>
      <c r="F4863" t="n">
        <v>6</v>
      </c>
      <c r="G4863" t="n">
        <v>7</v>
      </c>
      <c r="H4863" t="n">
        <v>8</v>
      </c>
      <c r="I4863" t="n">
        <v>10</v>
      </c>
      <c r="J4863" t="n">
        <v>13</v>
      </c>
      <c r="K4863" t="n">
        <v>17</v>
      </c>
      <c r="L4863" t="n">
        <v>22</v>
      </c>
      <c r="M4863" t="n">
        <v>28</v>
      </c>
    </row>
    <row r="4864">
      <c r="B4864" t="n">
        <v>8</v>
      </c>
      <c r="C4864" t="n">
        <v>4</v>
      </c>
      <c r="D4864" t="n">
        <v>5</v>
      </c>
      <c r="E4864" t="n">
        <v>6</v>
      </c>
      <c r="F4864" t="n">
        <v>7</v>
      </c>
      <c r="G4864" t="n">
        <v>8</v>
      </c>
      <c r="H4864" t="n">
        <v>10</v>
      </c>
      <c r="I4864" t="n">
        <v>12</v>
      </c>
      <c r="J4864" t="n">
        <v>15</v>
      </c>
      <c r="K4864" t="n">
        <v>19</v>
      </c>
      <c r="L4864" t="n">
        <v>25</v>
      </c>
      <c r="M4864" t="n">
        <v>33</v>
      </c>
    </row>
    <row r="4865">
      <c r="B4865" t="n">
        <v>9</v>
      </c>
      <c r="C4865" t="n">
        <v>5</v>
      </c>
      <c r="D4865" t="n">
        <v>6</v>
      </c>
      <c r="E4865" t="n">
        <v>7</v>
      </c>
      <c r="F4865" t="n">
        <v>8</v>
      </c>
      <c r="G4865" t="n">
        <v>10</v>
      </c>
      <c r="H4865" t="n">
        <v>11</v>
      </c>
      <c r="I4865" t="n">
        <v>14</v>
      </c>
      <c r="J4865" t="n">
        <v>17</v>
      </c>
      <c r="K4865" t="n">
        <v>22</v>
      </c>
      <c r="L4865" t="n">
        <v>29</v>
      </c>
      <c r="M4865" t="n">
        <v>38</v>
      </c>
    </row>
    <row r="4866">
      <c r="B4866" t="n">
        <v>10</v>
      </c>
      <c r="C4866" t="n">
        <v>5</v>
      </c>
      <c r="D4866" t="n">
        <v>7</v>
      </c>
      <c r="E4866" t="n">
        <v>8</v>
      </c>
      <c r="F4866" t="n">
        <v>9</v>
      </c>
      <c r="G4866" t="n">
        <v>11</v>
      </c>
      <c r="H4866" t="n">
        <v>13</v>
      </c>
      <c r="I4866" t="n">
        <v>16</v>
      </c>
      <c r="J4866" t="n">
        <v>20</v>
      </c>
      <c r="K4866" t="n">
        <v>25</v>
      </c>
      <c r="L4866" t="n">
        <v>32</v>
      </c>
      <c r="M4866" t="n">
        <v>43</v>
      </c>
    </row>
    <row r="4867">
      <c r="B4867" t="n">
        <v>11</v>
      </c>
      <c r="C4867" t="n">
        <v>6</v>
      </c>
      <c r="D4867" t="n">
        <v>8</v>
      </c>
      <c r="E4867" t="n">
        <v>9</v>
      </c>
      <c r="F4867" t="n">
        <v>10</v>
      </c>
      <c r="G4867" t="n">
        <v>12</v>
      </c>
      <c r="H4867" t="n">
        <v>14</v>
      </c>
      <c r="I4867" t="n">
        <v>18</v>
      </c>
      <c r="J4867" t="n">
        <v>22</v>
      </c>
      <c r="K4867" t="n">
        <v>28</v>
      </c>
      <c r="L4867" t="n">
        <v>36</v>
      </c>
      <c r="M4867" t="n">
        <v>48</v>
      </c>
    </row>
    <row r="4868">
      <c r="B4868" t="n">
        <v>12</v>
      </c>
      <c r="C4868" t="n">
        <v>7</v>
      </c>
      <c r="D4868" t="n">
        <v>9</v>
      </c>
      <c r="E4868" t="n">
        <v>10</v>
      </c>
      <c r="F4868" t="n">
        <v>11</v>
      </c>
      <c r="G4868" t="n">
        <v>13</v>
      </c>
      <c r="H4868" t="n">
        <v>15</v>
      </c>
      <c r="I4868" t="n">
        <v>20</v>
      </c>
      <c r="J4868" t="n">
        <v>24</v>
      </c>
      <c r="K4868" t="n">
        <v>31</v>
      </c>
      <c r="L4868" t="n">
        <v>40</v>
      </c>
      <c r="M4868" t="n">
        <v>53</v>
      </c>
    </row>
    <row r="4869">
      <c r="B4869" t="n">
        <v>13</v>
      </c>
      <c r="C4869" t="n">
        <v>8</v>
      </c>
      <c r="D4869" t="n">
        <v>10</v>
      </c>
      <c r="E4869" t="n">
        <v>11</v>
      </c>
      <c r="F4869" t="n">
        <v>12</v>
      </c>
      <c r="G4869" t="n">
        <v>15</v>
      </c>
      <c r="H4869" t="n">
        <v>17</v>
      </c>
      <c r="I4869" t="n">
        <v>22</v>
      </c>
      <c r="J4869" t="n">
        <v>26</v>
      </c>
      <c r="K4869" t="n">
        <v>34</v>
      </c>
      <c r="L4869" t="n">
        <v>44</v>
      </c>
      <c r="M4869" t="n">
        <v>57</v>
      </c>
    </row>
    <row r="4870">
      <c r="B4870" t="n">
        <v>14</v>
      </c>
      <c r="C4870" t="n">
        <v>8</v>
      </c>
      <c r="D4870" t="n">
        <v>10</v>
      </c>
      <c r="E4870" t="n">
        <v>12</v>
      </c>
      <c r="F4870" t="n">
        <v>13</v>
      </c>
      <c r="G4870" t="n">
        <v>16</v>
      </c>
      <c r="H4870" t="n">
        <v>19</v>
      </c>
      <c r="I4870" t="n">
        <v>24</v>
      </c>
      <c r="J4870" t="n">
        <v>29</v>
      </c>
      <c r="K4870" t="n">
        <v>37</v>
      </c>
      <c r="L4870" t="n">
        <v>48</v>
      </c>
      <c r="M4870" t="n">
        <v>61</v>
      </c>
    </row>
    <row r="4871">
      <c r="B4871" t="n">
        <v>15</v>
      </c>
      <c r="C4871" t="n">
        <v>9</v>
      </c>
      <c r="D4871" t="n">
        <v>11</v>
      </c>
      <c r="E4871" t="n">
        <v>12</v>
      </c>
      <c r="F4871" t="n">
        <v>15</v>
      </c>
      <c r="G4871" t="n">
        <v>17</v>
      </c>
      <c r="H4871" t="n">
        <v>21</v>
      </c>
      <c r="I4871" t="n">
        <v>26</v>
      </c>
      <c r="J4871" t="n">
        <v>32</v>
      </c>
      <c r="K4871" t="n">
        <v>40</v>
      </c>
      <c r="L4871" t="n">
        <v>52</v>
      </c>
      <c r="M4871" t="n">
        <v>66</v>
      </c>
    </row>
    <row r="4872">
      <c r="B4872" t="n">
        <v>16</v>
      </c>
      <c r="C4872" t="n">
        <v>10</v>
      </c>
      <c r="D4872" t="n">
        <v>12</v>
      </c>
      <c r="E4872" t="n">
        <v>13</v>
      </c>
      <c r="F4872" t="n">
        <v>16</v>
      </c>
      <c r="G4872" t="n">
        <v>19</v>
      </c>
      <c r="H4872" t="n">
        <v>23</v>
      </c>
      <c r="I4872" t="n">
        <v>28</v>
      </c>
      <c r="J4872" t="n">
        <v>34</v>
      </c>
      <c r="K4872" t="n">
        <v>43</v>
      </c>
      <c r="L4872" t="n">
        <v>55</v>
      </c>
      <c r="M4872" t="n">
        <v>70</v>
      </c>
    </row>
    <row r="4873">
      <c r="B4873" t="n">
        <v>17</v>
      </c>
      <c r="C4873" t="n">
        <v>10</v>
      </c>
      <c r="D4873" t="n">
        <v>13</v>
      </c>
      <c r="E4873" t="n">
        <v>15</v>
      </c>
      <c r="F4873" t="n">
        <v>17</v>
      </c>
      <c r="G4873" t="n">
        <v>20</v>
      </c>
      <c r="H4873" t="n">
        <v>25</v>
      </c>
      <c r="I4873" t="n">
        <v>30</v>
      </c>
      <c r="J4873" t="n">
        <v>37</v>
      </c>
      <c r="K4873" t="n">
        <v>46</v>
      </c>
      <c r="L4873" t="n">
        <v>59</v>
      </c>
      <c r="M4873" t="n">
        <v>73</v>
      </c>
    </row>
    <row r="4874">
      <c r="B4874" t="n">
        <v>18</v>
      </c>
      <c r="C4874" t="n">
        <v>11</v>
      </c>
      <c r="D4874" t="n">
        <v>14</v>
      </c>
      <c r="E4874" t="n">
        <v>16</v>
      </c>
      <c r="F4874" t="n">
        <v>19</v>
      </c>
      <c r="G4874" t="n">
        <v>22</v>
      </c>
      <c r="H4874" t="n">
        <v>27</v>
      </c>
      <c r="I4874" t="n">
        <v>32</v>
      </c>
      <c r="J4874" t="n">
        <v>40</v>
      </c>
      <c r="K4874" t="n">
        <v>50</v>
      </c>
      <c r="L4874" t="n">
        <v>63</v>
      </c>
      <c r="M4874" t="n">
        <v>76</v>
      </c>
    </row>
    <row r="4875">
      <c r="B4875" t="n">
        <v>19</v>
      </c>
      <c r="C4875" t="n">
        <v>12</v>
      </c>
      <c r="D4875" t="n">
        <v>15</v>
      </c>
      <c r="E4875" t="n">
        <v>17</v>
      </c>
      <c r="F4875" t="n">
        <v>20</v>
      </c>
      <c r="G4875" t="n">
        <v>24</v>
      </c>
      <c r="H4875" t="n">
        <v>28</v>
      </c>
      <c r="I4875" t="n">
        <v>34</v>
      </c>
      <c r="J4875" t="n">
        <v>43</v>
      </c>
      <c r="K4875" t="n">
        <v>53</v>
      </c>
      <c r="L4875" t="n">
        <v>67</v>
      </c>
      <c r="M4875" t="n">
        <v>78</v>
      </c>
    </row>
    <row r="4876">
      <c r="B4876" t="n">
        <v>20</v>
      </c>
      <c r="C4876" t="n">
        <v>13</v>
      </c>
      <c r="D4876" t="n">
        <v>16</v>
      </c>
      <c r="E4876" t="n">
        <v>18</v>
      </c>
      <c r="F4876" t="n">
        <v>21</v>
      </c>
      <c r="G4876" t="n">
        <v>25</v>
      </c>
      <c r="H4876" t="n">
        <v>30</v>
      </c>
      <c r="I4876" t="n">
        <v>37</v>
      </c>
      <c r="J4876" t="n">
        <v>45</v>
      </c>
      <c r="K4876" t="n">
        <v>56</v>
      </c>
      <c r="L4876" t="n">
        <v>71</v>
      </c>
      <c r="M4876" t="n">
        <v>79</v>
      </c>
    </row>
    <row r="4877">
      <c r="B4877" t="n">
        <v>22</v>
      </c>
      <c r="C4877" t="n">
        <v>14</v>
      </c>
      <c r="D4877" t="n">
        <v>17</v>
      </c>
      <c r="E4877" t="n">
        <v>20</v>
      </c>
      <c r="F4877" t="n">
        <v>23</v>
      </c>
      <c r="G4877" t="n">
        <v>28</v>
      </c>
      <c r="H4877" t="n">
        <v>34</v>
      </c>
      <c r="I4877" t="n">
        <v>42</v>
      </c>
      <c r="J4877" t="n">
        <v>51</v>
      </c>
      <c r="K4877" t="n">
        <v>62</v>
      </c>
      <c r="L4877" t="n">
        <v>76</v>
      </c>
      <c r="M4877" t="n">
        <v>80</v>
      </c>
    </row>
    <row r="4878">
      <c r="B4878" t="n">
        <v>24</v>
      </c>
      <c r="C4878" t="n">
        <v>16</v>
      </c>
      <c r="D4878" t="n">
        <v>20</v>
      </c>
      <c r="E4878" t="n">
        <v>23</v>
      </c>
      <c r="F4878" t="n">
        <v>26</v>
      </c>
      <c r="G4878" t="n">
        <v>31</v>
      </c>
      <c r="H4878" t="n">
        <v>38</v>
      </c>
      <c r="I4878" t="n">
        <v>47</v>
      </c>
      <c r="J4878" t="n">
        <v>57</v>
      </c>
      <c r="K4878" t="n">
        <v>68</v>
      </c>
      <c r="L4878" t="n">
        <v>79</v>
      </c>
    </row>
    <row r="4879">
      <c r="B4879" t="n">
        <v>26</v>
      </c>
      <c r="C4879" t="n">
        <v>18</v>
      </c>
      <c r="D4879" t="n">
        <v>22</v>
      </c>
      <c r="E4879" t="n">
        <v>25</v>
      </c>
      <c r="F4879" t="n">
        <v>29</v>
      </c>
      <c r="G4879" t="n">
        <v>35</v>
      </c>
      <c r="H4879" t="n">
        <v>43</v>
      </c>
      <c r="I4879" t="n">
        <v>52</v>
      </c>
      <c r="J4879" t="n">
        <v>62</v>
      </c>
      <c r="K4879" t="n">
        <v>74</v>
      </c>
      <c r="L4879" t="n">
        <v>80</v>
      </c>
    </row>
    <row r="4880">
      <c r="B4880" t="n">
        <v>28</v>
      </c>
      <c r="C4880" t="n">
        <v>20</v>
      </c>
      <c r="D4880" t="n">
        <v>24</v>
      </c>
      <c r="E4880" t="n">
        <v>28</v>
      </c>
      <c r="F4880" t="n">
        <v>33</v>
      </c>
      <c r="G4880" t="n">
        <v>39</v>
      </c>
      <c r="H4880" t="n">
        <v>47</v>
      </c>
      <c r="I4880" t="n">
        <v>57</v>
      </c>
      <c r="J4880" t="n">
        <v>68</v>
      </c>
      <c r="K4880" t="n">
        <v>77</v>
      </c>
    </row>
    <row r="4881">
      <c r="B4881" t="n">
        <v>30</v>
      </c>
      <c r="C4881" t="n">
        <v>22</v>
      </c>
      <c r="D4881" t="n">
        <v>27</v>
      </c>
      <c r="E4881" t="n">
        <v>31</v>
      </c>
      <c r="F4881" t="n">
        <v>36</v>
      </c>
      <c r="G4881" t="n">
        <v>44</v>
      </c>
      <c r="H4881" t="n">
        <v>52</v>
      </c>
      <c r="I4881" t="n">
        <v>62</v>
      </c>
      <c r="J4881" t="n">
        <v>71</v>
      </c>
      <c r="K4881" t="n">
        <v>79</v>
      </c>
    </row>
    <row r="4882">
      <c r="B4882" t="n">
        <v>32</v>
      </c>
      <c r="C4882" t="n">
        <v>24</v>
      </c>
      <c r="D4882" t="n">
        <v>29</v>
      </c>
      <c r="E4882" t="n">
        <v>34</v>
      </c>
      <c r="F4882" t="n">
        <v>40</v>
      </c>
      <c r="G4882" t="n">
        <v>47</v>
      </c>
      <c r="H4882" t="n">
        <v>56</v>
      </c>
      <c r="I4882" t="n">
        <v>67</v>
      </c>
      <c r="J4882" t="n">
        <v>74</v>
      </c>
      <c r="K4882" t="n">
        <v>80</v>
      </c>
    </row>
    <row r="4883">
      <c r="B4883" t="n">
        <v>34</v>
      </c>
      <c r="C4883" t="n">
        <v>27</v>
      </c>
      <c r="D4883" t="n">
        <v>32</v>
      </c>
      <c r="E4883" t="n">
        <v>37</v>
      </c>
      <c r="F4883" t="n">
        <v>44</v>
      </c>
      <c r="G4883" t="n">
        <v>51</v>
      </c>
      <c r="H4883" t="n">
        <v>60</v>
      </c>
      <c r="I4883" t="n">
        <v>71</v>
      </c>
      <c r="J4883" t="n">
        <v>77</v>
      </c>
    </row>
    <row r="4884">
      <c r="B4884" t="n">
        <v>36</v>
      </c>
      <c r="C4884" t="n">
        <v>29</v>
      </c>
      <c r="D4884" t="n">
        <v>35</v>
      </c>
      <c r="E4884" t="n">
        <v>40</v>
      </c>
      <c r="F4884" t="n">
        <v>47</v>
      </c>
      <c r="G4884" t="n">
        <v>55</v>
      </c>
      <c r="H4884" t="n">
        <v>65</v>
      </c>
      <c r="I4884" t="n">
        <v>74</v>
      </c>
      <c r="J4884" t="n">
        <v>79</v>
      </c>
    </row>
    <row r="4885">
      <c r="B4885" t="n">
        <v>38</v>
      </c>
      <c r="C4885" t="n">
        <v>32</v>
      </c>
      <c r="D4885" t="n">
        <v>38</v>
      </c>
      <c r="E4885" t="n">
        <v>43</v>
      </c>
      <c r="F4885" t="n">
        <v>51</v>
      </c>
      <c r="G4885" t="n">
        <v>59</v>
      </c>
      <c r="H4885" t="n">
        <v>69</v>
      </c>
      <c r="I4885" t="n">
        <v>77</v>
      </c>
      <c r="J4885" t="n">
        <v>80</v>
      </c>
    </row>
    <row r="4886">
      <c r="B4886" t="n">
        <v>40</v>
      </c>
      <c r="C4886" t="n">
        <v>35</v>
      </c>
      <c r="D4886" t="n">
        <v>41</v>
      </c>
      <c r="E4886" t="n">
        <v>47</v>
      </c>
      <c r="F4886" t="n">
        <v>55</v>
      </c>
      <c r="G4886" t="n">
        <v>63</v>
      </c>
      <c r="H4886" t="n">
        <v>72</v>
      </c>
      <c r="I4886" t="n">
        <v>79</v>
      </c>
    </row>
    <row r="4887">
      <c r="B4887" t="n">
        <v>42</v>
      </c>
      <c r="C4887" t="n">
        <v>38</v>
      </c>
      <c r="D4887" t="n">
        <v>45</v>
      </c>
      <c r="E4887" t="n">
        <v>51</v>
      </c>
      <c r="F4887" t="n">
        <v>59</v>
      </c>
      <c r="G4887" t="n">
        <v>66</v>
      </c>
      <c r="H4887" t="n">
        <v>75</v>
      </c>
      <c r="I4887" t="n">
        <v>80</v>
      </c>
    </row>
    <row r="4888">
      <c r="B4888" t="n">
        <v>44</v>
      </c>
      <c r="C4888" t="n">
        <v>41</v>
      </c>
      <c r="D4888" t="n">
        <v>48</v>
      </c>
      <c r="E4888" t="n">
        <v>54</v>
      </c>
      <c r="F4888" t="n">
        <v>62</v>
      </c>
      <c r="G4888" t="n">
        <v>69</v>
      </c>
      <c r="H4888" t="n">
        <v>77</v>
      </c>
    </row>
    <row r="4889">
      <c r="B4889" t="n">
        <v>46</v>
      </c>
      <c r="C4889" t="n">
        <v>44</v>
      </c>
      <c r="D4889" t="n">
        <v>51</v>
      </c>
      <c r="E4889" t="n">
        <v>57</v>
      </c>
      <c r="F4889" t="n">
        <v>65</v>
      </c>
      <c r="G4889" t="n">
        <v>72</v>
      </c>
      <c r="H4889" t="n">
        <v>79</v>
      </c>
    </row>
    <row r="4890">
      <c r="B4890" t="n">
        <v>48</v>
      </c>
      <c r="C4890" t="n">
        <v>46</v>
      </c>
      <c r="D4890" t="n">
        <v>54</v>
      </c>
      <c r="E4890" t="n">
        <v>61</v>
      </c>
      <c r="F4890" t="n">
        <v>68</v>
      </c>
      <c r="G4890" t="n">
        <v>75</v>
      </c>
      <c r="H4890" t="n">
        <v>80</v>
      </c>
    </row>
    <row r="4891">
      <c r="B4891" t="n">
        <v>50</v>
      </c>
      <c r="C4891" t="n">
        <v>49</v>
      </c>
      <c r="D4891" t="n">
        <v>57</v>
      </c>
      <c r="E4891" t="n">
        <v>64</v>
      </c>
      <c r="F4891" t="n">
        <v>71</v>
      </c>
      <c r="G4891" t="n">
        <v>77</v>
      </c>
    </row>
    <row r="4892">
      <c r="B4892" t="n">
        <v>55</v>
      </c>
      <c r="C4892" t="n">
        <v>57</v>
      </c>
      <c r="D4892" t="n">
        <v>64</v>
      </c>
      <c r="E4892" t="n">
        <v>70</v>
      </c>
      <c r="F4892" t="n">
        <v>77</v>
      </c>
      <c r="G4892" t="n">
        <v>80</v>
      </c>
    </row>
    <row r="4893">
      <c r="B4893" t="n">
        <v>60</v>
      </c>
      <c r="C4893" t="n">
        <v>64</v>
      </c>
      <c r="D4893" t="n">
        <v>69</v>
      </c>
      <c r="E4893" t="n">
        <v>74</v>
      </c>
      <c r="F4893" t="n">
        <v>80</v>
      </c>
    </row>
    <row r="4894">
      <c r="B4894" t="n">
        <v>65</v>
      </c>
      <c r="C4894" t="n">
        <v>71</v>
      </c>
      <c r="D4894" t="n">
        <v>74</v>
      </c>
      <c r="E4894" t="n">
        <v>78</v>
      </c>
    </row>
    <row r="4895">
      <c r="B4895" t="n">
        <v>70</v>
      </c>
      <c r="C4895" t="n">
        <v>76</v>
      </c>
      <c r="D4895" t="n">
        <v>78</v>
      </c>
      <c r="E4895" t="n">
        <v>80</v>
      </c>
    </row>
    <row r="4896">
      <c r="B4896" t="n">
        <v>75</v>
      </c>
      <c r="C4896" t="n">
        <v>80</v>
      </c>
      <c r="D4896" t="n">
        <v>80</v>
      </c>
      <c r="J4896" t="n">
        <v>16</v>
      </c>
    </row>
    <row r="4897">
      <c r="B4897" t="n">
        <v>80</v>
      </c>
      <c r="J4897" t="n">
        <v>17</v>
      </c>
    </row>
    <row r="4898">
      <c r="B4898" t="n">
        <v>90</v>
      </c>
      <c r="L4898" t="n">
        <v>20</v>
      </c>
    </row>
    <row r="4901">
      <c r="B4901" s="2454" t="inlineStr">
        <is>
          <t>REFERENCE 14 -- MVS tables NOT in the lookup engine (nonstandard format or building components priced separately). Value these directly from the manual page cited.</t>
        </is>
      </c>
    </row>
    <row r="4902">
      <c r="B4902" s="2455" t="inlineStr">
        <is>
          <t>Item</t>
        </is>
      </c>
      <c r="C4902" s="2455" t="inlineStr">
        <is>
          <t>Section</t>
        </is>
      </c>
      <c r="D4902" s="2455" t="inlineStr">
        <is>
          <t>Page</t>
        </is>
      </c>
      <c r="E4902" s="2455" t="inlineStr">
        <is>
          <t>Why not in lookup</t>
        </is>
      </c>
    </row>
    <row r="4903">
      <c r="B4903" t="inlineStr">
        <is>
          <t>Classes A And B: Interior Build-Out</t>
        </is>
      </c>
      <c r="C4903" t="inlineStr">
        <is>
          <t>11</t>
        </is>
      </c>
      <c r="D4903" t="inlineStr">
        <is>
          <t>16</t>
        </is>
      </c>
      <c r="E4903" t="inlineStr">
        <is>
          <t>Per-SF interior build-out/finish adder; use the manual page directly</t>
        </is>
      </c>
    </row>
    <row r="4904">
      <c r="B4904" t="inlineStr">
        <is>
          <t>Classes C And D: Interior Build-Out</t>
        </is>
      </c>
      <c r="C4904" t="inlineStr">
        <is>
          <t>11</t>
        </is>
      </c>
      <c r="D4904" t="inlineStr">
        <is>
          <t>17</t>
        </is>
      </c>
      <c r="E4904" t="inlineStr">
        <is>
          <t>Per-SF interior build-out/finish adder; use the manual page directly</t>
        </is>
      </c>
    </row>
    <row r="4905">
      <c r="B4905" t="inlineStr">
        <is>
          <t>Classes A And B: Interior Build-Out</t>
        </is>
      </c>
      <c r="C4905" t="inlineStr">
        <is>
          <t>11</t>
        </is>
      </c>
      <c r="D4905" t="inlineStr">
        <is>
          <t>20</t>
        </is>
      </c>
      <c r="E4905" t="inlineStr">
        <is>
          <t>Per-SF interior build-out/finish adder; use the manual page directly</t>
        </is>
      </c>
    </row>
    <row r="4906">
      <c r="B4906" t="inlineStr">
        <is>
          <t>Classes C, D And S: Interior Build-Out</t>
        </is>
      </c>
      <c r="C4906" t="inlineStr">
        <is>
          <t>11</t>
        </is>
      </c>
      <c r="D4906" t="inlineStr">
        <is>
          <t>21</t>
        </is>
      </c>
      <c r="E4906" t="inlineStr">
        <is>
          <t>Per-SF interior build-out/finish adder; use the manual page directly</t>
        </is>
      </c>
    </row>
    <row r="4907">
      <c r="B4907" t="inlineStr">
        <is>
          <t>Classes A And B: Interior Build-Out</t>
        </is>
      </c>
      <c r="C4907" t="inlineStr">
        <is>
          <t>11</t>
        </is>
      </c>
      <c r="D4907" t="inlineStr">
        <is>
          <t>23</t>
        </is>
      </c>
      <c r="E4907" t="inlineStr">
        <is>
          <t>Per-SF interior build-out/finish adder; use the manual page directly</t>
        </is>
      </c>
    </row>
    <row r="4908">
      <c r="B4908" t="inlineStr">
        <is>
          <t>Classes C, D And S: Interior Build-Out</t>
        </is>
      </c>
      <c r="C4908" t="inlineStr">
        <is>
          <t>11</t>
        </is>
      </c>
      <c r="D4908" t="inlineStr">
        <is>
          <t>24</t>
        </is>
      </c>
      <c r="E4908" t="inlineStr">
        <is>
          <t>Per-SF interior build-out/finish adder; use the manual page directly</t>
        </is>
      </c>
    </row>
    <row r="4909">
      <c r="B4909" t="inlineStr">
        <is>
          <t>Classes A And B: Interior Build-Out</t>
        </is>
      </c>
      <c r="C4909" t="inlineStr">
        <is>
          <t>11</t>
        </is>
      </c>
      <c r="D4909" t="inlineStr">
        <is>
          <t>26</t>
        </is>
      </c>
      <c r="E4909" t="inlineStr">
        <is>
          <t>Per-SF interior build-out/finish adder; use the manual page directly</t>
        </is>
      </c>
    </row>
    <row r="4910">
      <c r="B4910" t="inlineStr">
        <is>
          <t>Classes C And D: Interior Build-Out</t>
        </is>
      </c>
      <c r="C4910" t="inlineStr">
        <is>
          <t>11</t>
        </is>
      </c>
      <c r="D4910" t="inlineStr">
        <is>
          <t>27</t>
        </is>
      </c>
      <c r="E4910" t="inlineStr">
        <is>
          <t>Per-SF interior build-out/finish adder; use the manual page directly</t>
        </is>
      </c>
    </row>
    <row r="4911">
      <c r="B4911" t="inlineStr">
        <is>
          <t>Interior Build-Out</t>
        </is>
      </c>
      <c r="C4911" t="inlineStr">
        <is>
          <t>12</t>
        </is>
      </c>
      <c r="D4911" t="inlineStr">
        <is>
          <t>19</t>
        </is>
      </c>
      <c r="E4911" t="inlineStr">
        <is>
          <t>Per-SF interior build-out/finish adder; use the manual page directly</t>
        </is>
      </c>
    </row>
    <row r="4912">
      <c r="B4912" t="inlineStr">
        <is>
          <t>Interior Build-Out</t>
        </is>
      </c>
      <c r="C4912" t="inlineStr">
        <is>
          <t>12</t>
        </is>
      </c>
      <c r="D4912" t="inlineStr">
        <is>
          <t>23</t>
        </is>
      </c>
      <c r="E4912" t="inlineStr">
        <is>
          <t>Per-SF interior build-out/finish adder; use the manual page directly</t>
        </is>
      </c>
    </row>
    <row r="4913">
      <c r="B4913" t="inlineStr">
        <is>
          <t>High-Value Residences</t>
        </is>
      </c>
      <c r="C4913" t="inlineStr">
        <is>
          <t>12</t>
        </is>
      </c>
      <c r="D4913" t="inlineStr">
        <is>
          <t>27</t>
        </is>
      </c>
      <c r="E4913" t="inlineStr">
        <is>
          <t>High-Value Residences use tier ratings I-VI, not Class/Quality; use MVS 12-27 directly</t>
        </is>
      </c>
    </row>
    <row r="4914">
      <c r="B4914" t="inlineStr">
        <is>
          <t>Detached End Unit Inside Unit</t>
        </is>
      </c>
      <c r="C4914" t="inlineStr">
        <is>
          <t>12</t>
        </is>
      </c>
      <c r="D4914" t="inlineStr">
        <is>
          <t>33</t>
        </is>
      </c>
      <c r="E4914" t="inlineStr">
        <is>
          <t>Urban-row detached/end/inside-unit cost adjustments; use MVS 12-33 directly</t>
        </is>
      </c>
    </row>
    <row r="4915">
      <c r="B4915" t="inlineStr">
        <is>
          <t>Residential Garages – Detached</t>
        </is>
      </c>
      <c r="C4915" t="inlineStr">
        <is>
          <t>12</t>
        </is>
      </c>
      <c r="D4915" t="inlineStr">
        <is>
          <t>35</t>
        </is>
      </c>
      <c r="E4915" t="inlineStr">
        <is>
          <t>Residential Garages – priced per garage-size bracket; use MVS 12-35 directly</t>
        </is>
      </c>
    </row>
    <row r="4916">
      <c r="B4916" t="inlineStr">
        <is>
          <t>Shopping Center Mall Concourses And Basements</t>
        </is>
      </c>
      <c r="C4916" t="inlineStr">
        <is>
          <t>13</t>
        </is>
      </c>
      <c r="D4916" t="inlineStr">
        <is>
          <t>36</t>
        </is>
      </c>
      <c r="E4916" t="inlineStr">
        <is>
          <t>Mall concourse/basement sub-blocks (enclosed/open/basement); use MVS 13-36 directly</t>
        </is>
      </c>
    </row>
    <row r="4917">
      <c r="B4917" t="inlineStr">
        <is>
          <t>Regional Shopping Center Interior Retail Space</t>
        </is>
      </c>
      <c r="C4917" t="inlineStr">
        <is>
          <t>13</t>
        </is>
      </c>
      <c r="D4917" t="inlineStr">
        <is>
          <t>38</t>
        </is>
      </c>
      <c r="E4917" t="inlineStr">
        <is>
          <t>Per-SF interior build-out/finish adder; use the manual page directly</t>
        </is>
      </c>
    </row>
    <row r="4918">
      <c r="B4918" t="inlineStr">
        <is>
          <t>Industrial, Interior Office Space</t>
        </is>
      </c>
      <c r="C4918" t="inlineStr">
        <is>
          <t>14</t>
        </is>
      </c>
      <c r="D4918" t="inlineStr">
        <is>
          <t>35</t>
        </is>
      </c>
      <c r="E4918" t="inlineStr">
        <is>
          <t>Per-SF interior build-out/finish adder; use the manual page directly</t>
        </is>
      </c>
    </row>
    <row r="4919">
      <c r="B4919" t="inlineStr">
        <is>
          <t>Classes A And B: Interior Office Finish</t>
        </is>
      </c>
      <c r="C4919" t="inlineStr">
        <is>
          <t>15</t>
        </is>
      </c>
      <c r="D4919" t="inlineStr">
        <is>
          <t>34</t>
        </is>
      </c>
      <c r="E4919" t="inlineStr">
        <is>
          <t>Per-SF interior build-out/finish adder; use the manual page directly</t>
        </is>
      </c>
    </row>
    <row r="4920">
      <c r="B4920" t="inlineStr">
        <is>
          <t>Classes C, D And S: Interior Office</t>
        </is>
      </c>
      <c r="C4920" t="inlineStr">
        <is>
          <t>15</t>
        </is>
      </c>
      <c r="D4920" t="inlineStr">
        <is>
          <t>35</t>
        </is>
      </c>
      <c r="E4920" t="inlineStr">
        <is>
          <t>Per-SF interior build-out/finish adder; use the manual page directly</t>
        </is>
      </c>
    </row>
    <row r="4921">
      <c r="B4921" t="inlineStr">
        <is>
          <t>Basements / Mezzanines (hotel, apartment, retail, industrial, SFR, nursing home, governmental)</t>
        </is>
      </c>
      <c r="C4921" t="inlineStr">
        <is>
          <t>11/12/13/14/15</t>
        </is>
      </c>
      <c r="D4921" t="inlineStr">
        <is>
          <t>e.g. 11-18/25, 12-26, 13-30, 14-18/27, 15-26/30</t>
        </is>
      </c>
      <c r="E4921" t="inlineStr">
        <is>
          <t>Building-component add-ons keyed to the host building</t>
        </is>
      </c>
    </row>
    <row r="4922">
      <c r="B4922" t="inlineStr">
        <is>
          <t>Miscellaneous Dock Structures</t>
        </is>
      </c>
      <c r="C4922" t="inlineStr">
        <is>
          <t>14</t>
        </is>
      </c>
      <c r="D4922" t="inlineStr">
        <is>
          <t>27</t>
        </is>
      </c>
      <c r="E4922" t="inlineStr">
        <is>
          <t>Per-SF/per-unit dock components</t>
        </is>
      </c>
    </row>
    <row r="4923">
      <c r="B4923" t="inlineStr">
        <is>
          <t>Mausoleums (per-crypt) / Rule-of-Thumb cost pages</t>
        </is>
      </c>
      <c r="C4923" t="inlineStr">
        <is>
          <t>11</t>
        </is>
      </c>
      <c r="D4923" t="inlineStr">
        <is>
          <t>32/37</t>
        </is>
      </c>
      <c r="E4923" t="inlineStr">
        <is>
          <t>Per-crypt / per-room unit costs, not $/SF Class-Quality tables</t>
        </is>
      </c>
    </row>
    <row r="4924">
      <c r="B4924" t="inlineStr">
        <is>
          <t>Historical Residences</t>
        </is>
      </c>
      <c r="C4924" t="inlineStr">
        <is>
          <t>12</t>
        </is>
      </c>
      <c r="D4924" t="inlineStr">
        <is>
          <t>24</t>
        </is>
      </c>
      <c r="E4924" t="inlineStr">
        <is>
          <t>Adjustment guidance to standard SFR costs, no cost table</t>
        </is>
      </c>
    </row>
    <row r="4925">
      <c r="B4925" t="inlineStr">
        <is>
          <t>Mountain &amp; Resort Cottages, A-Frame Cabins, Storm Shelters</t>
        </is>
      </c>
      <c r="C4925" t="inlineStr">
        <is>
          <t>12</t>
        </is>
      </c>
      <c r="D4925" t="inlineStr">
        <is>
          <t>37</t>
        </is>
      </c>
      <c r="E4925" t="inlineStr">
        <is>
          <t>Narrative/per-unit costs</t>
        </is>
      </c>
    </row>
    <row r="4926">
      <c r="B4926" t="inlineStr">
        <is>
          <t>Manufactured Single-Family Housing</t>
        </is>
      </c>
      <c r="C4926" t="inlineStr">
        <is>
          <t>12</t>
        </is>
      </c>
      <c r="D4926" t="inlineStr">
        <is>
          <t>42</t>
        </is>
      </c>
      <c r="E4926" t="inlineStr">
        <is>
          <t>Separate manufactured-housing cost schedule</t>
        </is>
      </c>
    </row>
    <row r="4927">
      <c r="B4927" t="inlineStr">
        <is>
          <t>Baled Straw / Earth-Sheltered / Rammed Earth / Tropical / Log-home notes</t>
        </is>
      </c>
      <c r="C4927" t="inlineStr">
        <is>
          <t>12</t>
        </is>
      </c>
      <c r="D4927" t="inlineStr">
        <is>
          <t>29-30</t>
        </is>
      </c>
      <c r="E4927" t="inlineStr">
        <is>
          <t>Adjustment notes to standard residence tables (Log Homes cost table IS in the lookup)</t>
        </is>
      </c>
    </row>
    <row r="4928">
      <c r="B4928" t="inlineStr">
        <is>
          <t>Single-Family Floor Area/Shape multipliers</t>
        </is>
      </c>
      <c r="C4928" t="inlineStr">
        <is>
          <t>12</t>
        </is>
      </c>
      <c r="D4928" t="inlineStr">
        <is>
          <t>26</t>
        </is>
      </c>
      <c r="E4928" t="inlineStr">
        <is>
          <t>Residential size/shape refinement grid</t>
        </is>
      </c>
    </row>
    <row r="4929">
      <c r="B4929" t="inlineStr">
        <is>
          <t>Grain elevators, silos, steel bins/tanks, bucket elevators, dryers, watering systems</t>
        </is>
      </c>
      <c r="C4929" t="inlineStr">
        <is>
          <t>17</t>
        </is>
      </c>
      <c r="D4929" t="inlineStr">
        <is>
          <t>51-58</t>
        </is>
      </c>
      <c r="E4929" t="inlineStr">
        <is>
          <t>Per-bushel/per-unit equipment schedules</t>
        </is>
      </c>
    </row>
    <row r="4930">
      <c r="B4930" t="inlineStr">
        <is>
          <t>Segregated-cost &amp; unit-in-place sections (40-67), yard improvements (Sec.66), equipment (Sec.65)</t>
        </is>
      </c>
      <c r="C4930" t="inlineStr">
        <is>
          <t>various</t>
        </is>
      </c>
      <c r="D4930" t="inlineStr">
        <is>
          <t>--</t>
        </is>
      </c>
      <c r="E4930" t="inlineStr">
        <is>
          <t>Component pricing systems outside the calculator method</t>
        </is>
      </c>
    </row>
    <row r="4932">
      <c r="B4932" s="2454" t="inlineStr">
        <is>
          <t>Notes</t>
        </is>
      </c>
    </row>
    <row r="4933">
      <c r="B4933" t="inlineStr">
        <is>
          <t>- Current Cost Multiplier / Local Area Multiplier / Sec.98 Denver Index are from inserts dated January 2025 bound into this MVS June 2024 edition.</t>
        </is>
      </c>
    </row>
    <row r="4934">
      <c r="B4934" t="inlineStr">
        <is>
          <t>- Colorado's biennial reassessment fixes the appraisal/level-of-value date; the De-Trend block rolls the Jan-2025-vintage cost level back to that date via MVS Sec.98.</t>
        </is>
      </c>
    </row>
    <row r="4935">
      <c r="B4935" t="inlineStr">
        <is>
          <t>- No Adams County line exists in MVS -- 'Denver' is the county's proxy per MVS suburb-uses-nearest-larger-city guidance (Sec.99 p.1).</t>
        </is>
      </c>
    </row>
    <row r="4936">
      <c r="B4936" t="inlineStr">
        <is>
          <t>- Region for the Current Cost Multiplier is presumed WESTERN for Colorado.</t>
        </is>
      </c>
    </row>
    <row r="4937">
      <c r="B4937" t="inlineStr">
        <is>
          <t>- Base $/SF values cross-checked against the Sq.M. column of every table (must agree within 2% at 10.764 SF/SqM); range-priced tables (some Sec.17 sheds) store the midpoint and cite the range.</t>
        </is>
      </c>
    </row>
    <row r="4938">
      <c r="B4938" t="inlineStr">
        <is>
          <t>- Life Expectancy (Reference 11) is the full Sec.97 pp.10-16 transcription; each occupancy/quality is mapped to its printed bucket (bucket text shown in the last column).</t>
        </is>
      </c>
    </row>
    <row r="4939">
      <c r="B4939" t="inlineStr">
        <is>
          <t>- Depreciation: Reference 4 column H selects Commercial (Sec.97 p.24) or Residential (p.25) percent-good per MVS's own Properties Included key. Lives under 20 years are not tabulated -- see Sec.97 p.26.</t>
        </is>
      </c>
    </row>
    <row r="4940">
      <c r="B4940" t="inlineStr">
        <is>
          <t>- Sections 12/17 have no story-height table (multiplier 1.000 used); Section 17 has no sprinkler table (0 used -- price manually if sprinklered).</t>
        </is>
      </c>
    </row>
    <row r="4941">
      <c r="B4941" t="inlineStr">
        <is>
          <t>- Next reassessment cycle: update the Appraisal Date and refresh the Sec.98/99 quarterly inserts.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42"/>
  <sheetViews>
    <sheetView showGridLines="0" zoomScale="130" zoomScaleNormal="130" workbookViewId="0">
      <pane xSplit="2" ySplit="2" topLeftCell="C3" activePane="bottomRight" state="frozen"/>
      <selection pane="topRight" activeCell="A1" sqref="A1"/>
      <selection pane="bottomLeft" activeCell="A1" sqref="A1"/>
      <selection pane="bottomRight" activeCell="N40" sqref="N40"/>
    </sheetView>
  </sheetViews>
  <sheetFormatPr baseColWidth="8" defaultColWidth="9.140625" defaultRowHeight="15"/>
  <cols>
    <col width="2" customWidth="1" style="1560" min="1" max="1"/>
    <col width="40" bestFit="1" customWidth="1" style="372" min="2" max="2"/>
    <col width="16" customWidth="1" style="1557" min="3" max="3"/>
    <col width="14" customWidth="1" style="1557" min="4" max="4"/>
    <col width="4" customWidth="1" style="1557" min="5" max="5"/>
    <col width="14" customWidth="1" style="1902" min="6" max="6"/>
    <col width="16" bestFit="1" customWidth="1" style="1902" min="7" max="7"/>
    <col width="3" customWidth="1" style="1560" min="8" max="8"/>
    <col width="70" customWidth="1" style="1560" min="9" max="9"/>
    <col width="9.140625" customWidth="1" style="1560" min="10" max="10"/>
    <col width="18.28515625" customWidth="1" style="1560" min="11" max="11"/>
    <col width="15.7109375" bestFit="1" customWidth="1" style="1560" min="12" max="12"/>
    <col width="8.5703125" customWidth="1" style="1560" min="13" max="13"/>
    <col width="15.7109375" bestFit="1" customWidth="1" style="1560" min="14" max="14"/>
    <col width="15.7109375" customWidth="1" style="1560" min="15" max="15"/>
    <col width="3.85546875" customWidth="1" style="1560" min="16" max="16"/>
    <col width="40.42578125" bestFit="1" customWidth="1" style="1560" min="17" max="17"/>
    <col width="13.28515625" customWidth="1" style="1560" min="18" max="18"/>
    <col width="7.5703125" bestFit="1" customWidth="1" style="1560" min="19" max="19"/>
    <col width="15.7109375" customWidth="1" style="1560" min="20" max="21"/>
    <col width="9.140625" customWidth="1" style="1560" min="22" max="23"/>
    <col width="9.140625" customWidth="1" style="1560" min="24" max="16384"/>
  </cols>
  <sheetData>
    <row r="1" s="1449">
      <c r="A1" s="2393" t="n"/>
      <c r="B1" s="2394" t="inlineStr">
        <is>
          <t>COST APPROACH -- MVS Calculator</t>
        </is>
      </c>
      <c r="C1" s="2395" t="n"/>
      <c r="D1" s="2395" t="n"/>
      <c r="E1" s="2395" t="n"/>
      <c r="F1" s="2395" t="n"/>
      <c r="G1" s="2395" t="n"/>
      <c r="H1" s="2395" t="n"/>
      <c r="I1" s="2396" t="n"/>
      <c r="J1" s="2395" t="n"/>
      <c r="K1" s="2395" t="n"/>
      <c r="L1" s="2395" t="n"/>
      <c r="M1" s="2395" t="n"/>
      <c r="N1" s="2395" t="n"/>
      <c r="O1" s="2395" t="n"/>
      <c r="P1" s="2395" t="n"/>
      <c r="Q1" s="2395" t="n"/>
      <c r="R1" s="2395" t="n"/>
      <c r="S1" s="2395" t="n"/>
      <c r="T1" s="2395" t="n"/>
      <c r="U1" s="2395" t="n"/>
    </row>
    <row r="2" ht="28" customHeight="1" s="1449">
      <c r="A2" s="2395" t="n"/>
      <c r="B2" s="2430" t="inlineStr">
        <is>
          <t>Fill in the yellow cells only (Steps 1-3 below, plus the site-improvement/depreciation line items further down). Everything else calculates automatically from the MVS reference tables on the 'M&amp;S Inputs' tab. Your final indicated value appears at the bottom of this sheet.</t>
        </is>
      </c>
      <c r="H2" s="2395" t="n"/>
      <c r="I2" s="2395" t="n"/>
      <c r="J2" s="2395" t="n"/>
      <c r="K2" s="2395" t="n"/>
      <c r="L2" s="2395" t="n"/>
      <c r="M2" s="2395" t="n"/>
      <c r="N2" s="2395" t="n"/>
      <c r="O2" s="2395" t="n"/>
      <c r="P2" s="2395" t="n"/>
      <c r="Q2" s="2399" t="n"/>
      <c r="R2" s="2399" t="n"/>
      <c r="S2" s="2395" t="n"/>
      <c r="T2" s="2395" t="n"/>
      <c r="U2" s="2395" t="n"/>
    </row>
    <row r="3" s="1449">
      <c r="A3" s="2395" t="n"/>
      <c r="B3" s="2400" t="inlineStr">
        <is>
          <t>STEP 1 -- BUILDING IDENTIFICATION</t>
        </is>
      </c>
      <c r="C3" s="2401" t="n"/>
      <c r="D3" s="2401" t="n"/>
      <c r="E3" s="2401" t="n"/>
      <c r="F3" s="2401" t="n"/>
      <c r="G3" s="2401" t="n"/>
      <c r="H3" s="2395" t="n"/>
      <c r="I3" s="2395" t="n"/>
      <c r="J3" s="2395" t="n"/>
      <c r="K3" s="2395" t="n"/>
      <c r="L3" s="2395" t="n"/>
      <c r="M3" s="2395" t="n"/>
      <c r="N3" s="2395" t="n"/>
      <c r="O3" s="2395" t="n"/>
      <c r="P3" s="2395" t="n"/>
      <c r="Q3" s="2399" t="n"/>
      <c r="R3" s="2395" t="n"/>
      <c r="S3" s="2395" t="n"/>
      <c r="T3" s="2395" t="n"/>
      <c r="U3" s="2395" t="n"/>
    </row>
    <row r="4" customFormat="1" s="112">
      <c r="A4" s="2395" t="n"/>
      <c r="B4" s="2395" t="inlineStr">
        <is>
          <t>Occupancy Type</t>
        </is>
      </c>
      <c r="C4" s="2402" t="inlineStr">
        <is>
          <t>Storage Warehouses</t>
        </is>
      </c>
      <c r="D4" s="2403" t="n"/>
      <c r="E4" s="2403" t="n"/>
      <c r="F4" s="2403" t="n"/>
      <c r="G4" s="2403" t="n"/>
      <c r="H4" s="2395" t="n"/>
      <c r="I4" s="2404" t="inlineStr">
        <is>
          <t>Choose the occupancy that best matches the subject improvement.</t>
        </is>
      </c>
      <c r="J4" s="2395" t="n"/>
      <c r="K4" s="2395" t="n"/>
      <c r="L4" s="2395" t="n"/>
      <c r="M4" s="2395" t="n"/>
      <c r="N4" s="2395" t="n"/>
      <c r="O4" s="2395" t="n"/>
      <c r="P4" s="2395" t="n"/>
      <c r="Q4" s="2395" t="n"/>
      <c r="R4" s="2395" t="n"/>
      <c r="S4" s="2395" t="n"/>
      <c r="T4" s="2395" t="n"/>
      <c r="U4" s="2395" t="n"/>
    </row>
    <row r="5" customFormat="1" s="366">
      <c r="A5" s="2395" t="n"/>
      <c r="B5" s="2405" t="inlineStr">
        <is>
          <t>Occupancy Code / Section / Page (auto)</t>
        </is>
      </c>
      <c r="C5" s="2406">
        <f>IFERROR(INDEX(OCC_CODE,MATCH($C$4,OCC_NAME,0))&amp;"  |  MVS Sec. "&amp;INDEX(OCC_SECTION,MATCH($C$4,OCC_NAME,0))&amp;" p."&amp;INDEX(OCC_PAGE,MATCH($C$4,OCC_NAME,0)),"")</f>
        <v/>
      </c>
      <c r="D5" s="2399" t="n"/>
      <c r="E5" s="2399" t="n"/>
      <c r="F5" s="2399" t="n"/>
      <c r="G5" s="2399" t="n"/>
      <c r="H5" s="2395" t="n"/>
      <c r="I5" s="2395" t="n"/>
      <c r="J5" s="2399" t="n"/>
      <c r="K5" s="2399" t="n"/>
      <c r="L5" s="2399" t="n"/>
      <c r="M5" s="2399" t="n"/>
      <c r="N5" s="2395" t="n"/>
      <c r="O5" s="2395" t="n"/>
      <c r="P5" s="2395" t="n"/>
      <c r="Q5" s="2395" t="n"/>
      <c r="R5" s="2395" t="n"/>
      <c r="S5" s="2395" t="n"/>
      <c r="T5" s="2395" t="n"/>
      <c r="U5" s="2395" t="n"/>
    </row>
    <row r="6" customFormat="1" s="366">
      <c r="A6" s="2395" t="n"/>
      <c r="B6" s="2407" t="inlineStr">
        <is>
          <t>Building Class</t>
        </is>
      </c>
      <c r="C6" s="2408" t="inlineStr">
        <is>
          <t>C</t>
        </is>
      </c>
      <c r="D6" s="2399" t="n"/>
      <c r="E6" s="2399" t="n"/>
      <c r="F6" s="2399" t="n"/>
      <c r="G6" s="2399" t="n"/>
      <c r="H6" s="2395" t="n"/>
      <c r="I6" s="2404" t="inlineStr">
        <is>
          <t>A=Fireproofed steel. B=Reinf. concrete. C=Masonry/steel-or-wood frame. CMILL=mill-type masonry. D=Wood/combustible (DPOLE=pole-frame, DMASVEN=masonry veneer on wood frame). S=Pre-engineered metal (SSLANT=slant-wall). A-B / CDS = classes printed jointly by MVS. See Class Reference on M&amp;S Inputs.</t>
        </is>
      </c>
      <c r="J6" s="2399" t="n"/>
      <c r="K6" s="2399" t="n"/>
      <c r="L6" s="2399" t="n"/>
      <c r="M6" s="2399" t="n"/>
      <c r="N6" s="2395" t="n"/>
      <c r="O6" s="2395" t="n"/>
      <c r="P6" s="2395" t="n"/>
      <c r="Q6" s="2395" t="n"/>
      <c r="R6" s="2395" t="n"/>
      <c r="S6" s="2395" t="n"/>
      <c r="T6" s="2395" t="n"/>
      <c r="U6" s="2395" t="n"/>
    </row>
    <row r="7" customFormat="1" s="366">
      <c r="A7" s="2395" t="n"/>
      <c r="B7" s="2407" t="inlineStr">
        <is>
          <t>Quality</t>
        </is>
      </c>
      <c r="C7" s="2409" t="inlineStr">
        <is>
          <t>Average</t>
        </is>
      </c>
      <c r="D7" s="2399" t="n"/>
      <c r="E7" s="2399" t="n"/>
      <c r="F7" s="2399" t="n"/>
      <c r="G7" s="2399" t="n"/>
      <c r="H7" s="2395" t="n"/>
      <c r="I7" s="2404" t="inlineStr">
        <is>
          <t>Low Cost | Fair | Average | Good | Very Good | Excellent (some occupancies also use Cheap). Pick a tier that exists for the chosen occupancy/class in the base-cost table.</t>
        </is>
      </c>
      <c r="J7" s="2399" t="n"/>
      <c r="K7" s="2395" t="n"/>
      <c r="L7" s="2395" t="n"/>
      <c r="M7" s="2395" t="n"/>
      <c r="N7" s="2395" t="n"/>
      <c r="O7" s="2395" t="n"/>
      <c r="P7" s="2395" t="n"/>
      <c r="Q7" s="2395" t="n"/>
      <c r="R7" s="2395" t="n"/>
      <c r="S7" s="2395" t="n"/>
      <c r="T7" s="2395" t="n"/>
      <c r="U7" s="2395" t="n"/>
    </row>
    <row r="8" customFormat="1" s="366">
      <c r="A8" s="2395" t="n"/>
      <c r="B8" s="2407" t="inlineStr">
        <is>
          <t>City / Local Area (for Local Multiplier)</t>
        </is>
      </c>
      <c r="C8" s="2409" t="inlineStr">
        <is>
          <t>Denver</t>
        </is>
      </c>
      <c r="D8" s="2399" t="n"/>
      <c r="E8" s="2399" t="n"/>
      <c r="F8" s="2399" t="n"/>
      <c r="G8" s="2399" t="n"/>
      <c r="H8" s="2395" t="n"/>
      <c r="I8" s="2404" t="inlineStr">
        <is>
          <t>Adams County has no dedicated MVS line -- 'Denver' is the recommended proxy (nearest larger city, per MVS's own guidance); 'Colorado (statewide average)' is the fallback.</t>
        </is>
      </c>
      <c r="J8" s="2395" t="n"/>
      <c r="K8" s="2395" t="n"/>
      <c r="L8" s="2395" t="n"/>
      <c r="M8" s="2395" t="n"/>
      <c r="N8" s="2395" t="n"/>
      <c r="O8" s="2395" t="n"/>
      <c r="P8" s="2395" t="n"/>
      <c r="Q8" s="2395" t="n"/>
      <c r="R8" s="2395" t="n"/>
      <c r="S8" s="2395" t="n"/>
      <c r="T8" s="2395" t="n"/>
      <c r="U8" s="2395" t="n"/>
    </row>
    <row r="9" customFormat="1" s="366">
      <c r="A9" s="2395" t="n"/>
      <c r="B9" s="2407" t="n"/>
      <c r="C9" s="2395" t="n"/>
      <c r="D9" s="2399" t="n"/>
      <c r="E9" s="2399" t="n"/>
      <c r="F9" s="2399" t="n"/>
      <c r="G9" s="2399" t="n"/>
      <c r="H9" s="2395" t="n"/>
      <c r="I9" s="2395" t="n"/>
      <c r="J9" s="2395" t="n"/>
      <c r="K9" s="2395" t="n"/>
      <c r="L9" s="2395" t="n"/>
      <c r="M9" s="2395" t="n"/>
      <c r="N9" s="2395" t="n"/>
      <c r="O9" s="2395" t="n"/>
      <c r="P9" s="2395" t="n"/>
      <c r="Q9" s="2395" t="n"/>
      <c r="R9" s="2395" t="n"/>
      <c r="S9" s="2395" t="n"/>
      <c r="T9" s="2395" t="n"/>
      <c r="U9" s="2395" t="n"/>
    </row>
    <row r="10" customFormat="1" s="366">
      <c r="A10" s="2395" t="n"/>
      <c r="B10" s="2410" t="inlineStr">
        <is>
          <t>STEP 2 -- SIZE, SHAPE &amp; SPRINKLER</t>
        </is>
      </c>
      <c r="C10" s="2401" t="n"/>
      <c r="D10" s="2411" t="n"/>
      <c r="E10" s="2411" t="n"/>
      <c r="F10" s="2411" t="n"/>
      <c r="G10" s="2411" t="n"/>
      <c r="H10" s="2395" t="n"/>
      <c r="I10" s="2395" t="n"/>
      <c r="J10" s="2395" t="n"/>
      <c r="K10" s="2395" t="n"/>
      <c r="L10" s="2395" t="n"/>
      <c r="M10" s="2395" t="n"/>
      <c r="N10" s="2395" t="n"/>
      <c r="O10" s="2395" t="n"/>
      <c r="P10" s="2395" t="n"/>
      <c r="Q10" s="2395" t="n"/>
      <c r="R10" s="2395" t="n"/>
      <c r="S10" s="2395" t="n"/>
      <c r="T10" s="2395" t="n"/>
      <c r="U10" s="2395" t="n"/>
    </row>
    <row r="11" customFormat="1" s="366">
      <c r="A11" s="2395" t="n"/>
      <c r="B11" s="2407" t="inlineStr">
        <is>
          <t>Avg Eave / Wall Height (ft)</t>
        </is>
      </c>
      <c r="C11" s="2409" t="n">
        <v>18</v>
      </c>
      <c r="D11" s="2399" t="n"/>
      <c r="E11" s="2399" t="n"/>
      <c r="F11" s="2399" t="n"/>
      <c r="G11" s="2399" t="n"/>
      <c r="H11" s="2395" t="n"/>
      <c r="I11" s="2395" t="n"/>
      <c r="J11" s="2395" t="n"/>
      <c r="K11" s="2395" t="n"/>
      <c r="L11" s="2395" t="n"/>
      <c r="M11" s="2395" t="n"/>
      <c r="N11" s="2395" t="n"/>
      <c r="O11" s="2395" t="n"/>
      <c r="P11" s="2395" t="n"/>
      <c r="Q11" s="2395" t="n"/>
      <c r="R11" s="2395" t="n"/>
      <c r="S11" s="2395" t="n"/>
      <c r="T11" s="2395" t="n"/>
      <c r="U11" s="2395" t="n"/>
    </row>
    <row r="12" customFormat="1" s="366">
      <c r="A12" s="2395" t="n"/>
      <c r="B12" s="2407" t="inlineStr">
        <is>
          <t>Area/Perimeter Multiplier Factor 1</t>
        </is>
      </c>
      <c r="C12" s="2409" t="n">
        <v>1</v>
      </c>
      <c r="D12" s="2399" t="n"/>
      <c r="E12" s="2399" t="n"/>
      <c r="F12" s="2399" t="n"/>
      <c r="G12" s="2399" t="n"/>
      <c r="H12" s="2395" t="n"/>
      <c r="I12" s="2404" t="inlineStr">
        <is>
          <t>Look up your building's SF vs. average perimeter in the MVS Floor Area-Perimeter grid for this occupancy's section; enter the two bracketing values here to average.</t>
        </is>
      </c>
      <c r="J12" s="2395" t="n"/>
      <c r="K12" s="2395" t="n"/>
      <c r="L12" s="2395" t="n"/>
      <c r="M12" s="2395" t="n"/>
      <c r="N12" s="2395" t="n"/>
      <c r="O12" s="2395" t="n"/>
      <c r="P12" s="2395" t="n"/>
      <c r="Q12" s="2395" t="n"/>
      <c r="R12" s="2395" t="n"/>
      <c r="S12" s="2395" t="n"/>
      <c r="T12" s="2395" t="n"/>
      <c r="U12" s="2395" t="n"/>
    </row>
    <row r="13" customFormat="1" s="366" thickBot="1">
      <c r="A13" s="2395" t="n"/>
      <c r="B13" s="2407" t="inlineStr">
        <is>
          <t>Area/Perimeter Multiplier Factor 2</t>
        </is>
      </c>
      <c r="C13" s="2412" t="n">
        <v>1</v>
      </c>
      <c r="D13" s="2399" t="n"/>
      <c r="E13" s="2399" t="n"/>
      <c r="F13" s="2399" t="n"/>
      <c r="G13" s="2399" t="n"/>
      <c r="H13" s="2395" t="n"/>
      <c r="I13" s="2395" t="n"/>
      <c r="J13" s="2395" t="n"/>
      <c r="K13" s="2395" t="n"/>
      <c r="L13" s="2395" t="n"/>
      <c r="M13" s="2395" t="n"/>
      <c r="N13" s="2395" t="n"/>
      <c r="O13" s="2395" t="n"/>
      <c r="P13" s="2395" t="n"/>
      <c r="Q13" s="2395" t="n"/>
      <c r="R13" s="2395" t="n"/>
      <c r="S13" s="2395" t="n"/>
      <c r="T13" s="2395" t="n"/>
      <c r="U13" s="2395" t="n"/>
    </row>
    <row r="14" customFormat="1" s="366">
      <c r="A14" s="2395" t="n"/>
      <c r="B14" s="2405" t="inlineStr">
        <is>
          <t>Sprinkler Quality Tier</t>
        </is>
      </c>
      <c r="C14" s="2413" t="inlineStr">
        <is>
          <t>Average</t>
        </is>
      </c>
      <c r="D14" s="2399" t="n"/>
      <c r="E14" s="2399" t="n"/>
      <c r="F14" s="2399" t="n"/>
      <c r="G14" s="2399" t="n"/>
      <c r="H14" s="2395" t="n"/>
      <c r="I14" s="2404" t="inlineStr">
        <is>
          <t>Independent of building quality -- set to match the actual sprinkler system grade. Wet-system cost auto-looked-up for Sections 11-16 &amp; 18; Section 17 (sheds/farm) has no MVS sprinkler table -- 0 is used, price manually if sprinklered.</t>
        </is>
      </c>
      <c r="J14" s="2395" t="n"/>
      <c r="K14" s="2395" t="n"/>
      <c r="L14" s="2395" t="n"/>
      <c r="M14" s="2395" t="n"/>
      <c r="N14" s="2395" t="n"/>
      <c r="O14" s="2395" t="n"/>
      <c r="P14" s="2395" t="n"/>
      <c r="Q14" s="2395" t="n"/>
      <c r="R14" s="2395" t="n"/>
      <c r="S14" s="2395" t="n"/>
      <c r="T14" s="2395" t="n"/>
      <c r="U14" s="2395" t="n"/>
    </row>
    <row r="15" customFormat="1" s="366">
      <c r="A15" s="2395" t="n"/>
      <c r="B15" s="2407" t="n"/>
      <c r="C15" s="2399" t="n"/>
      <c r="D15" s="2414" t="n"/>
      <c r="E15" s="2414" t="n"/>
      <c r="F15" s="2399" t="n"/>
      <c r="G15" s="2399" t="n"/>
      <c r="H15" s="2395" t="n"/>
      <c r="I15" s="2395" t="n"/>
      <c r="J15" s="2395" t="n"/>
      <c r="K15" s="2395" t="n"/>
      <c r="L15" s="2395" t="n"/>
      <c r="M15" s="2395" t="n"/>
      <c r="N15" s="2395" t="n"/>
      <c r="O15" s="2395" t="n"/>
      <c r="P15" s="2395" t="n"/>
      <c r="Q15" s="2395" t="n"/>
      <c r="R15" s="2395" t="n"/>
      <c r="S15" s="2395" t="n"/>
      <c r="T15" s="2395" t="n"/>
      <c r="U15" s="2395" t="n"/>
    </row>
    <row r="16" customFormat="1" s="366">
      <c r="A16" s="2395" t="n"/>
      <c r="B16" s="2410" t="inlineStr">
        <is>
          <t>STEP 3 -- APPRAISAL DATE &amp; DE-TREND</t>
        </is>
      </c>
      <c r="C16" s="2411" t="n"/>
      <c r="D16" s="2415" t="n"/>
      <c r="E16" s="2415" t="n"/>
      <c r="F16" s="2411" t="n"/>
      <c r="G16" s="2411" t="n"/>
      <c r="H16" s="2395" t="n"/>
      <c r="I16" s="2395" t="n"/>
      <c r="J16" s="2395" t="n"/>
      <c r="K16" s="2395" t="n"/>
      <c r="L16" s="2395" t="n"/>
      <c r="M16" s="2395" t="n"/>
      <c r="N16" s="2395" t="n"/>
      <c r="O16" s="2395" t="n"/>
      <c r="P16" s="2395" t="n"/>
      <c r="Q16" s="2395" t="n"/>
      <c r="R16" s="2395" t="n"/>
      <c r="S16" s="2395" t="n"/>
      <c r="T16" s="2395" t="n"/>
      <c r="U16" s="2395" t="n"/>
    </row>
    <row r="17" customFormat="1" s="366">
      <c r="A17" s="2395" t="n"/>
      <c r="B17" s="2407" t="inlineStr">
        <is>
          <t>Appraisal / Level-of-Value Date</t>
        </is>
      </c>
      <c r="C17" s="2413">
        <f>DATE(2024,6,30)</f>
        <v/>
      </c>
      <c r="D17" s="2414" t="n"/>
      <c r="E17" s="2414" t="n"/>
      <c r="F17" s="2399" t="n"/>
      <c r="G17" s="2399" t="n"/>
      <c r="H17" s="2395" t="n"/>
      <c r="I17" s="2404" t="inlineStr">
        <is>
          <t>Colorado's biennial reassessment fixes this at the end of the statutory base period. Current cycle: 7/1/2022-6/30/2024, level of value = 6/30/2024. Update to 6/30/2025 next cycle.</t>
        </is>
      </c>
      <c r="J17" s="2395" t="n"/>
      <c r="K17" s="2395" t="n"/>
      <c r="L17" s="2395" t="n"/>
      <c r="M17" s="2395" t="n"/>
      <c r="N17" s="2395" t="n"/>
      <c r="O17" s="2395" t="n"/>
      <c r="P17" s="2395" t="n"/>
      <c r="Q17" s="2395" t="n"/>
      <c r="R17" s="2395" t="n"/>
      <c r="S17" s="2395" t="n"/>
      <c r="T17" s="2395" t="n"/>
      <c r="U17" s="2395" t="n"/>
    </row>
    <row r="18" customFormat="1" s="366">
      <c r="A18" s="2395" t="n"/>
      <c r="B18" s="2407" t="inlineStr">
        <is>
          <t>Bracket Quarter - Earlier</t>
        </is>
      </c>
      <c r="C18" s="2413" t="inlineStr">
        <is>
          <t>Apr 2024</t>
        </is>
      </c>
      <c r="D18" s="2414" t="n"/>
      <c r="E18" s="2414" t="n"/>
      <c r="F18" s="2399" t="n"/>
      <c r="G18" s="2399" t="n"/>
      <c r="H18" s="2395" t="n"/>
      <c r="I18" s="2404" t="inlineStr">
        <is>
          <t>Pick the two MVS Sec.98 Denver index quarters that straddle the Appraisal Date above (see Denver Index table on M&amp;S Inputs). Rolls the Jan-2025-vintage multipliers below back to your actual valuation date.</t>
        </is>
      </c>
      <c r="J18" s="2395" t="n"/>
      <c r="K18" s="2395" t="n"/>
      <c r="L18" s="2395" t="n"/>
      <c r="M18" s="2395" t="n"/>
      <c r="N18" s="2395" t="n"/>
      <c r="O18" s="2395" t="n"/>
      <c r="P18" s="2395" t="n"/>
      <c r="Q18" s="2395" t="n"/>
      <c r="R18" s="2395" t="n"/>
      <c r="S18" s="2395" t="n"/>
      <c r="T18" s="2395" t="n"/>
      <c r="U18" s="2395" t="n"/>
    </row>
    <row r="19" customFormat="1" s="366">
      <c r="A19" s="2395" t="n"/>
      <c r="B19" s="2407" t="inlineStr">
        <is>
          <t>Bracket Quarter - Later</t>
        </is>
      </c>
      <c r="C19" s="2413" t="inlineStr">
        <is>
          <t>Jul 2024</t>
        </is>
      </c>
      <c r="D19" s="2414" t="n"/>
      <c r="E19" s="2414" t="n"/>
      <c r="F19" s="2414" t="n"/>
      <c r="G19" s="2399" t="n"/>
      <c r="H19" s="2395" t="n"/>
      <c r="I19" s="2395" t="n"/>
      <c r="J19" s="2395" t="n"/>
      <c r="K19" s="2395" t="n"/>
      <c r="L19" s="2395" t="n"/>
      <c r="M19" s="2395" t="n"/>
      <c r="N19" s="2395" t="n"/>
      <c r="O19" s="2395" t="n"/>
      <c r="P19" s="2395" t="n"/>
      <c r="Q19" s="2395" t="n"/>
      <c r="R19" s="2395" t="n"/>
      <c r="S19" s="2395" t="n"/>
      <c r="T19" s="2395" t="n"/>
      <c r="U19" s="2395" t="n"/>
    </row>
    <row r="20" customFormat="1" s="366">
      <c r="A20" s="2395" t="n"/>
      <c r="B20" s="2405" t="n"/>
      <c r="C20" s="2399" t="n"/>
      <c r="D20" s="2399" t="n"/>
      <c r="E20" s="2399" t="n"/>
      <c r="F20" s="2399" t="n"/>
      <c r="G20" s="2399" t="n"/>
      <c r="H20" s="2395" t="n"/>
      <c r="I20" s="2395" t="n"/>
      <c r="J20" s="2395" t="n"/>
      <c r="K20" s="2395" t="n"/>
      <c r="L20" s="2395" t="n"/>
      <c r="M20" s="2395" t="n"/>
      <c r="N20" s="2395" t="n"/>
      <c r="O20" s="2395" t="n"/>
      <c r="P20" s="2395" t="n"/>
      <c r="Q20" s="2395" t="n"/>
      <c r="R20" s="2395" t="n"/>
      <c r="S20" s="2395" t="n"/>
      <c r="T20" s="2395" t="n"/>
      <c r="U20" s="2395" t="n"/>
    </row>
    <row r="21" customFormat="1" s="366">
      <c r="A21" s="2395" t="n"/>
      <c r="B21" s="2431" t="inlineStr">
        <is>
          <t>COST APPROACH SUMMARY</t>
        </is>
      </c>
      <c r="C21" s="2432" t="n"/>
      <c r="D21" s="2432" t="n"/>
      <c r="E21" s="2432" t="n"/>
      <c r="F21" s="2432" t="n"/>
      <c r="G21" s="2432" t="n"/>
      <c r="H21" s="2395" t="n"/>
      <c r="I21" s="2395" t="n"/>
      <c r="J21" s="2395" t="n"/>
      <c r="K21" s="2395" t="n"/>
      <c r="L21" s="2395" t="n"/>
      <c r="M21" s="2395" t="n"/>
      <c r="N21" s="2395" t="n"/>
      <c r="O21" s="2395" t="n"/>
      <c r="P21" s="2395" t="n"/>
      <c r="Q21" s="2395" t="n"/>
      <c r="R21" s="2395" t="n"/>
      <c r="S21" s="2395" t="n"/>
      <c r="T21" s="2395" t="n"/>
      <c r="U21" s="2395" t="n"/>
    </row>
    <row r="22" customFormat="1" s="366">
      <c r="A22" s="2395" t="n"/>
      <c r="B22" s="2433" t="inlineStr">
        <is>
          <t>Replacement Cost New (RCN)</t>
        </is>
      </c>
      <c r="C22" s="2434" t="inlineStr">
        <is>
          <t>Area (SF)</t>
        </is>
      </c>
      <c r="D22" s="2435" t="inlineStr">
        <is>
          <t>$/SF</t>
        </is>
      </c>
      <c r="E22" s="2399" t="n"/>
      <c r="F22" s="2435" t="inlineStr">
        <is>
          <t>Subtotal</t>
        </is>
      </c>
      <c r="G22" s="2435" t="inlineStr">
        <is>
          <t>Total Cost</t>
        </is>
      </c>
      <c r="H22" s="2395" t="n"/>
      <c r="I22" s="2395" t="n"/>
      <c r="J22" s="2395" t="n"/>
      <c r="K22" s="2395" t="n"/>
      <c r="L22" s="2395" t="n"/>
      <c r="M22" s="2395" t="n"/>
      <c r="N22" s="2395" t="n"/>
      <c r="O22" s="2395" t="n"/>
      <c r="P22" s="2395" t="n"/>
      <c r="Q22" s="2395" t="n"/>
      <c r="R22" s="2395" t="n"/>
      <c r="S22" s="2395" t="n"/>
      <c r="T22" s="2395" t="n"/>
      <c r="U22" s="2395" t="n"/>
    </row>
    <row r="23" customFormat="1" s="366">
      <c r="A23" s="2395" t="n"/>
      <c r="B23" s="2436" t="inlineStr">
        <is>
          <t>Building Improvements</t>
        </is>
      </c>
      <c r="C23" s="2395" t="n"/>
      <c r="D23" s="2399" t="n"/>
      <c r="E23" s="2399" t="n"/>
      <c r="F23" s="2399" t="n"/>
      <c r="G23" s="2399" t="n"/>
      <c r="H23" s="2395" t="n"/>
      <c r="I23" s="2395" t="n"/>
      <c r="J23" s="2395" t="n"/>
      <c r="K23" s="2395" t="n"/>
      <c r="L23" s="2395" t="n"/>
      <c r="M23" s="2395" t="n"/>
      <c r="N23" s="2395" t="n"/>
      <c r="O23" s="2395" t="n"/>
      <c r="P23" s="2395" t="n"/>
      <c r="Q23" s="2395" t="n"/>
      <c r="R23" s="2395" t="n"/>
      <c r="S23" s="2395" t="n"/>
      <c r="T23" s="2395" t="n"/>
      <c r="U23" s="2395" t="n"/>
    </row>
    <row r="24" customFormat="1" s="366">
      <c r="A24" s="2395" t="n"/>
      <c r="B24" s="2407" t="inlineStr">
        <is>
          <t>Base Cost</t>
        </is>
      </c>
      <c r="C24" s="2437">
        <f>'Property Info'!B5</f>
        <v/>
      </c>
      <c r="D24" s="2399">
        <f>IFERROR(INDEX(BC_VALUE,MATCH($C$4&amp;"~"&amp;$C$6&amp;"~"&amp;$C$7,BC_KEY,0)),"NOT FOUND")</f>
        <v/>
      </c>
      <c r="E24" s="2399" t="n"/>
      <c r="F24" s="2399">
        <f>C24*D24</f>
        <v/>
      </c>
      <c r="G24" s="2399" t="n"/>
      <c r="H24" s="2395" t="n"/>
      <c r="I24" s="2404">
        <f>IFERROR("Verified MVS base cost -- "&amp;INDEX(BC_CITE,MATCH($C$4&amp;"~"&amp;$C$6&amp;"~"&amp;$C$7,BC_KEY,0)),"")&amp;" | Area auto-linked to Property Info!B5 (GBA)."</f>
        <v/>
      </c>
      <c r="J24" s="2395" t="n"/>
      <c r="K24" s="2395" t="n"/>
      <c r="L24" s="2395" t="n"/>
      <c r="M24" s="2395" t="n"/>
      <c r="N24" s="2395" t="n"/>
      <c r="O24" s="2395" t="n"/>
      <c r="P24" s="2395" t="n"/>
      <c r="Q24" s="2395" t="n"/>
      <c r="R24" s="2395" t="n"/>
      <c r="S24" s="2395" t="n"/>
      <c r="T24" s="2395" t="n"/>
      <c r="U24" s="2395" t="n"/>
    </row>
    <row r="25" customFormat="1" s="366">
      <c r="A25" s="2395" t="n"/>
      <c r="B25" s="2407" t="inlineStr">
        <is>
          <t>Sprinklers</t>
        </is>
      </c>
      <c r="C25" s="2437">
        <f>C24</f>
        <v/>
      </c>
      <c r="D25" s="2399">
        <f>IFERROR(INDEX(INDIRECT("SPR"&amp;INDEX(OCC_SPR,MATCH($C$4,OCC_NAME,0))&amp;"_VALS"),MATCH($C$24,INDIRECT("SPR"&amp;INDEX(OCC_SPR,MATCH($C$4,OCC_NAME,0))&amp;"_SF"),1),MATCH($C$14,SPR_HDR,0)),0)</f>
        <v/>
      </c>
      <c r="E25" s="2399" t="n"/>
      <c r="F25" s="2399">
        <f>C25*D25</f>
        <v/>
      </c>
      <c r="G25" s="2399" t="n"/>
      <c r="H25" s="2395" t="n"/>
      <c r="I25" s="2404" t="inlineStr">
        <is>
          <t>Wet-system cost, by building SF (nearest coverage bracket &lt;= actual SF). Enter 0 manually below if unsprinklered.</t>
        </is>
      </c>
      <c r="J25" s="2395" t="n"/>
      <c r="K25" s="2395" t="n"/>
      <c r="L25" s="2395" t="n"/>
      <c r="M25" s="2395" t="n"/>
      <c r="N25" s="2395" t="n"/>
      <c r="O25" s="2395" t="n"/>
      <c r="P25" s="2395" t="n"/>
      <c r="Q25" s="2395" t="n"/>
      <c r="R25" s="2395" t="n"/>
      <c r="S25" s="2395" t="n"/>
      <c r="T25" s="2395" t="n"/>
      <c r="U25" s="2395" t="n"/>
    </row>
    <row r="26" customFormat="1" s="366">
      <c r="A26" s="2395" t="n"/>
      <c r="B26" s="2407" t="n"/>
      <c r="C26" s="2399" t="n"/>
      <c r="D26" s="2399" t="n"/>
      <c r="E26" s="2399" t="n"/>
      <c r="F26" s="2399" t="n"/>
      <c r="G26" s="2399" t="n"/>
      <c r="H26" s="2395" t="n"/>
      <c r="I26" s="2395" t="n"/>
      <c r="J26" s="2395" t="n"/>
      <c r="K26" s="2395" t="n"/>
      <c r="L26" s="2395" t="n"/>
      <c r="M26" s="2395" t="n"/>
      <c r="N26" s="2395" t="n"/>
      <c r="O26" s="2395" t="n"/>
      <c r="P26" s="2395" t="n"/>
      <c r="Q26" s="2395" t="n"/>
      <c r="R26" s="2395" t="n"/>
      <c r="S26" s="2395" t="n"/>
      <c r="T26" s="2395" t="n"/>
      <c r="U26" s="2395" t="n"/>
    </row>
    <row r="27" customFormat="1" s="366">
      <c r="A27" s="2395" t="n"/>
      <c r="B27" s="2407" t="n"/>
      <c r="C27" s="2399" t="n"/>
      <c r="D27" s="2399" t="n"/>
      <c r="E27" s="2395" t="n"/>
      <c r="F27" s="2416" t="n"/>
      <c r="G27" s="2399" t="n"/>
      <c r="H27" s="2395" t="n"/>
      <c r="I27" s="2395" t="n"/>
      <c r="J27" s="2395" t="n"/>
      <c r="K27" s="2395" t="n"/>
      <c r="L27" s="2395" t="n"/>
      <c r="M27" s="2395" t="n"/>
      <c r="N27" s="2395" t="n"/>
      <c r="O27" s="2395" t="n"/>
      <c r="P27" s="2395" t="n"/>
      <c r="Q27" s="2395" t="n"/>
      <c r="R27" s="2395" t="n"/>
      <c r="S27" s="2395" t="n"/>
      <c r="T27" s="2395" t="n"/>
      <c r="U27" s="2395" t="n"/>
    </row>
    <row r="28" customFormat="1" s="366">
      <c r="A28" s="2395" t="n"/>
      <c r="B28" s="2405" t="n"/>
      <c r="C28" s="2399" t="n"/>
      <c r="D28" s="2395" t="n"/>
      <c r="E28" s="2395" t="n"/>
      <c r="F28" s="2416" t="n"/>
      <c r="G28" s="2399" t="n"/>
      <c r="H28" s="2395" t="n"/>
      <c r="I28" s="2395" t="n"/>
      <c r="J28" s="2395" t="n"/>
      <c r="K28" s="2395" t="n"/>
      <c r="L28" s="2395" t="n"/>
      <c r="M28" s="2395" t="n"/>
      <c r="N28" s="2395" t="n"/>
      <c r="O28" s="2395" t="n"/>
      <c r="P28" s="2395" t="n"/>
      <c r="Q28" s="2395" t="n"/>
      <c r="R28" s="2395" t="n"/>
      <c r="S28" s="2395" t="n"/>
      <c r="T28" s="2395" t="n"/>
      <c r="U28" s="2395" t="n"/>
    </row>
    <row r="29" customFormat="1" s="366">
      <c r="A29" s="2395" t="n"/>
      <c r="B29" s="2405" t="n"/>
      <c r="C29" s="2399" t="n"/>
      <c r="D29" s="2395" t="n"/>
      <c r="E29" s="2395" t="n"/>
      <c r="F29" s="2399" t="n"/>
      <c r="G29" s="2399" t="n"/>
      <c r="H29" s="2395" t="n"/>
      <c r="I29" s="2399" t="n"/>
      <c r="J29" s="2395" t="n"/>
      <c r="K29" s="2395" t="n"/>
      <c r="L29" s="2395" t="n"/>
      <c r="M29" s="2395" t="n"/>
      <c r="N29" s="2395" t="n"/>
      <c r="O29" s="2395" t="n"/>
      <c r="P29" s="2395" t="n"/>
      <c r="Q29" s="2395" t="n"/>
      <c r="R29" s="2395" t="n"/>
      <c r="S29" s="2395" t="n"/>
      <c r="T29" s="2395" t="n"/>
      <c r="U29" s="2395" t="n"/>
    </row>
    <row r="30" customFormat="1" s="366">
      <c r="A30" s="2395" t="n"/>
      <c r="B30" s="2407" t="n"/>
      <c r="C30" s="2399" t="n"/>
      <c r="D30" s="2417" t="n"/>
      <c r="E30" s="2417" t="n"/>
      <c r="F30" s="2399" t="n"/>
      <c r="G30" s="2399" t="n"/>
      <c r="H30" s="2395" t="n"/>
      <c r="I30" s="2395" t="n"/>
      <c r="J30" s="2395" t="n"/>
      <c r="K30" s="2395" t="n"/>
      <c r="L30" s="2395" t="n"/>
      <c r="M30" s="2395" t="n"/>
      <c r="N30" s="2395" t="n"/>
      <c r="O30" s="2395" t="n"/>
      <c r="P30" s="2395" t="n"/>
      <c r="Q30" s="2395" t="n"/>
      <c r="R30" s="2395" t="n"/>
      <c r="S30" s="2395" t="n"/>
      <c r="T30" s="2395" t="n"/>
      <c r="U30" s="2395" t="n"/>
    </row>
    <row r="31" customFormat="1" s="366">
      <c r="A31" s="2395" t="n"/>
      <c r="B31" s="2438" t="inlineStr">
        <is>
          <t>Subtotal</t>
        </is>
      </c>
      <c r="C31" s="2399" t="n"/>
      <c r="D31" s="2399" t="n"/>
      <c r="E31" s="2399" t="n"/>
      <c r="F31" s="2439">
        <f>SUM(F24:F30)</f>
        <v/>
      </c>
      <c r="G31" s="2399" t="n"/>
      <c r="H31" s="2395" t="n"/>
      <c r="I31" s="2395" t="n"/>
      <c r="J31" s="2395" t="n"/>
      <c r="K31" s="2395" t="n"/>
      <c r="L31" s="2395" t="n"/>
      <c r="M31" s="2395" t="n"/>
      <c r="N31" s="2395" t="n"/>
      <c r="O31" s="2395" t="n"/>
      <c r="P31" s="2395" t="n"/>
      <c r="Q31" s="2395" t="n"/>
      <c r="R31" s="2395" t="n"/>
      <c r="S31" s="2395" t="n"/>
      <c r="T31" s="2395" t="n"/>
      <c r="U31" s="2395" t="n"/>
    </row>
    <row r="32" customFormat="1" s="366">
      <c r="A32" s="2395" t="n"/>
      <c r="B32" s="2440" t="inlineStr">
        <is>
          <t>Multipliers</t>
        </is>
      </c>
      <c r="C32" s="2441" t="n"/>
      <c r="D32" s="2442" t="n"/>
      <c r="E32" s="2442" t="n"/>
      <c r="F32" s="2443" t="n"/>
      <c r="G32" s="2441" t="n"/>
      <c r="H32" s="2395" t="n"/>
      <c r="I32" s="2395" t="n"/>
      <c r="J32" s="2395" t="n"/>
      <c r="K32" s="2395" t="n"/>
      <c r="L32" s="2395" t="n"/>
      <c r="M32" s="2395" t="n"/>
      <c r="N32" s="2395" t="n"/>
      <c r="O32" s="2395" t="n"/>
      <c r="P32" s="2395" t="n"/>
      <c r="Q32" s="2395" t="n"/>
      <c r="R32" s="2395" t="n"/>
      <c r="S32" s="2395" t="n"/>
      <c r="T32" s="2395" t="n"/>
      <c r="U32" s="2395" t="n"/>
    </row>
    <row r="33" customFormat="1" s="366">
      <c r="A33" s="2395" t="n"/>
      <c r="B33" s="2405" t="inlineStr">
        <is>
          <t>Current Cost (de-trended to Appraisal Date)</t>
        </is>
      </c>
      <c r="C33" s="2399" t="n"/>
      <c r="D33" s="2399">
        <f>IFERROR(INDEX(CCM_VALUES,MATCH(IF($C$6="CMILL","C",IF($C$6="DPOLE","D",IF($C$6="A-B","B",$C$6))),CCM_CLASS,0),MATCH("Sec."&amp;INDEX(OCC_SECTION,MATCH($C$4,OCC_NAME,0)),CCM_SECTIONHDR,0)),"")/IFERROR(INDEX(DEN_VALUES,MATCH($C$18,DEN_LABEL,0),MATCH("Class "&amp;IF($C$6="CMILL","C",IF($C$6="DPOLE","D",IF($C$6="A-B","B",$C$6))),DEN_CLASSHDR,0))+(INDEX(DEN_VALUES,MATCH($C$19,DEN_LABEL,0),MATCH("Class "&amp;IF($C$6="CMILL","C",IF($C$6="DPOLE","D",IF($C$6="A-B","B",$C$6))),DEN_CLASSHDR,0))-INDEX(DEN_VALUES,MATCH($C$18,DEN_LABEL,0),MATCH("Class "&amp;IF($C$6="CMILL","C",IF($C$6="DPOLE","D",IF($C$6="A-B","B",$C$6))),DEN_CLASSHDR,0)))*($C$17-DATEVALUE("1 "&amp;$C$18))/(DATEVALUE("1 "&amp;$C$19)-DATEVALUE("1 "&amp;$C$18)),1)</f>
        <v/>
      </c>
      <c r="E33" s="2399" t="n"/>
      <c r="F33" s="2399" t="n"/>
      <c r="G33" s="2399" t="n"/>
      <c r="H33" s="2395" t="n"/>
      <c r="I33" s="2444" t="inlineStr">
        <is>
          <t>MVS Sec.99 p.3 Current Cost Multiplier (WESTERN region assumed for Colorado) divided by the Sec.98 Denver de-trend factor for the Appraisal Date -- see Step 3.</t>
        </is>
      </c>
      <c r="J33" s="2395" t="n"/>
      <c r="K33" s="2395" t="n"/>
      <c r="L33" s="2395" t="n"/>
      <c r="M33" s="2395" t="n"/>
      <c r="N33" s="2395" t="n"/>
      <c r="O33" s="2395" t="n"/>
      <c r="P33" s="2395" t="n"/>
      <c r="Q33" s="2395" t="n"/>
      <c r="R33" s="2395" t="n"/>
      <c r="S33" s="2395" t="n"/>
      <c r="T33" s="2395" t="n"/>
      <c r="U33" s="2395" t="n"/>
    </row>
    <row r="34" customFormat="1" s="366">
      <c r="A34" s="2395" t="n"/>
      <c r="B34" s="2407" t="inlineStr">
        <is>
          <t>Local Area</t>
        </is>
      </c>
      <c r="C34" s="2399" t="n"/>
      <c r="D34" s="2399">
        <f>IFERROR(INDEX(LAM_VALUES,MATCH($C$8,LAM_CITY,0),MATCH("Class "&amp;IF($C$6="CMILL","C",IF($C$6="DPOLE","D",IF($C$6="A-B","B",$C$6))),LAM_CLASSHDR,0)),"")</f>
        <v/>
      </c>
      <c r="E34" s="2399" t="n"/>
      <c r="F34" s="2399" t="n"/>
      <c r="G34" s="2399" t="n"/>
      <c r="H34" s="2395" t="n"/>
      <c r="I34" s="2404" t="inlineStr">
        <is>
          <t>MVS Sec.99 p.7 Local Area Multiplier.</t>
        </is>
      </c>
      <c r="J34" s="2395" t="n"/>
      <c r="K34" s="2395" t="n"/>
      <c r="L34" s="2395" t="n"/>
      <c r="M34" s="2395" t="n"/>
      <c r="N34" s="2395" t="n"/>
      <c r="O34" s="2395" t="n"/>
      <c r="P34" s="2395" t="n"/>
      <c r="Q34" s="2395" t="n"/>
      <c r="R34" s="2395" t="n"/>
      <c r="S34" s="2395" t="n"/>
      <c r="T34" s="2395" t="n"/>
      <c r="U34" s="2395" t="n"/>
    </row>
    <row r="35" customFormat="1" s="366">
      <c r="A35" s="2395" t="n"/>
      <c r="B35" s="2399" t="inlineStr">
        <is>
          <t>Area/Perimeter Multiplier</t>
        </is>
      </c>
      <c r="C35" s="2399" t="n"/>
      <c r="D35" s="2399">
        <f>AVERAGE(C12:C13)</f>
        <v/>
      </c>
      <c r="E35" s="2399" t="n"/>
      <c r="F35" s="2399" t="n"/>
      <c r="G35" s="2399" t="n"/>
      <c r="H35" s="2395" t="n"/>
      <c r="I35" s="2395" t="n"/>
      <c r="J35" s="2395" t="n"/>
      <c r="K35" s="2395" t="n"/>
      <c r="L35" s="2395" t="n"/>
      <c r="M35" s="2395" t="n"/>
      <c r="N35" s="2395" t="n"/>
      <c r="O35" s="2395" t="n"/>
      <c r="P35" s="2395" t="n"/>
      <c r="Q35" s="2395" t="n"/>
      <c r="R35" s="2395" t="n"/>
      <c r="S35" s="2395" t="n"/>
      <c r="T35" s="2395" t="n"/>
      <c r="U35" s="2395" t="n"/>
    </row>
    <row r="36" customFormat="1" s="366">
      <c r="A36" s="2395" t="n"/>
      <c r="B36" s="2399" t="inlineStr">
        <is>
          <t>Story Height (Height entered in Step 2)</t>
        </is>
      </c>
      <c r="C36" s="2399" t="n"/>
      <c r="D36" s="2399">
        <f>IFERROR(INDEX(INDIRECT("SH"&amp;INDEX(OCC_STORY,MATCH($C$4,OCC_NAME,0))&amp;"_M"),MATCH($C$11,INDIRECT("SH"&amp;INDEX(OCC_STORY,MATCH($C$4,OCC_NAME,0))&amp;"_H"),1)),1)</f>
        <v/>
      </c>
      <c r="E36" s="2399" t="n"/>
      <c r="F36" s="2399" t="n"/>
      <c r="G36" s="2399" t="n"/>
      <c r="H36" s="2395" t="n"/>
      <c r="I36" s="2395" t="inlineStr">
        <is>
          <t>Story-height multiplier auto-selected from the occupancy's MVS section table. Sections 12 &amp; 17 publish no table -- 1.000 used.</t>
        </is>
      </c>
      <c r="J36" s="2395" t="n"/>
      <c r="K36" s="2395" t="n"/>
      <c r="L36" s="2395" t="n"/>
      <c r="M36" s="2395" t="n"/>
      <c r="N36" s="2395" t="n"/>
      <c r="O36" s="2395" t="n"/>
      <c r="P36" s="2395" t="n"/>
      <c r="Q36" s="2395" t="n"/>
      <c r="R36" s="2395" t="n"/>
      <c r="S36" s="2395" t="n"/>
      <c r="T36" s="2395" t="n"/>
      <c r="U36" s="2395" t="n"/>
    </row>
    <row r="37" customFormat="1" s="366">
      <c r="A37" s="2395" t="n"/>
      <c r="B37" s="2438" t="inlineStr">
        <is>
          <t>Product of Multipliers</t>
        </is>
      </c>
      <c r="C37" s="2399" t="n"/>
      <c r="D37" s="2399" t="n"/>
      <c r="E37" s="2399" t="n"/>
      <c r="F37" s="2439">
        <f>ROUND(PRODUCT(D33:D36),3)</f>
        <v/>
      </c>
      <c r="G37" s="2399" t="n"/>
      <c r="H37" s="2395" t="n"/>
      <c r="I37" s="2395" t="n"/>
      <c r="J37" s="2395" t="n"/>
      <c r="K37" s="2395" t="n"/>
      <c r="L37" s="2395" t="n"/>
      <c r="M37" s="2395" t="n"/>
      <c r="N37" s="2395" t="n"/>
      <c r="O37" s="2395" t="n"/>
      <c r="P37" s="2395" t="n"/>
      <c r="Q37" s="2395" t="n"/>
      <c r="R37" s="2395" t="n"/>
      <c r="S37" s="2395" t="n"/>
      <c r="T37" s="2395" t="n"/>
      <c r="U37" s="2395" t="n"/>
    </row>
    <row r="38" customFormat="1" s="366">
      <c r="A38" s="2395" t="n"/>
      <c r="B38" s="2436" t="inlineStr">
        <is>
          <t>Adjusted Base Building Cost</t>
        </is>
      </c>
      <c r="C38" s="2399" t="n"/>
      <c r="D38" s="2399" t="n"/>
      <c r="E38" s="2399" t="n"/>
      <c r="F38" s="2399" t="n"/>
      <c r="G38" s="2439">
        <f>F37*F31</f>
        <v/>
      </c>
      <c r="H38" s="2395" t="n"/>
      <c r="I38" s="2395" t="n"/>
      <c r="J38" s="2395" t="n"/>
      <c r="K38" s="2395" t="n"/>
      <c r="L38" s="2395" t="n"/>
      <c r="M38" s="2395" t="n"/>
      <c r="N38" s="2395" t="n"/>
      <c r="O38" s="2395" t="n"/>
      <c r="P38" s="2395" t="n"/>
      <c r="Q38" s="2399" t="n"/>
      <c r="R38" s="2399" t="n"/>
      <c r="S38" s="2395" t="n"/>
      <c r="T38" s="2395" t="n"/>
      <c r="U38" s="2395" t="n"/>
    </row>
    <row r="39" customFormat="1" s="366">
      <c r="A39" s="2395" t="n"/>
      <c r="B39" s="2440" t="inlineStr">
        <is>
          <t>Site Improvements (enter your own measured quantities in the Area column)</t>
        </is>
      </c>
      <c r="C39" s="2441" t="n"/>
      <c r="D39" s="2441" t="n"/>
      <c r="E39" s="2441" t="n"/>
      <c r="F39" s="2441" t="n"/>
      <c r="G39" s="2441" t="n"/>
      <c r="H39" s="2395" t="n"/>
      <c r="I39" s="2395" t="n"/>
      <c r="J39" s="2395" t="n"/>
      <c r="K39" s="2395" t="n"/>
      <c r="L39" s="2395" t="n"/>
      <c r="M39" s="2395" t="n"/>
      <c r="N39" s="2395" t="n"/>
      <c r="O39" s="2395" t="n"/>
      <c r="P39" s="2395" t="n"/>
      <c r="Q39" s="2395" t="n"/>
      <c r="R39" s="2395" t="n"/>
      <c r="S39" s="2395" t="n"/>
      <c r="T39" s="2395" t="n"/>
      <c r="U39" s="2399" t="n"/>
    </row>
    <row r="40" customFormat="1" s="366">
      <c r="A40" s="2395" t="n"/>
      <c r="B40" s="2418" t="inlineStr">
        <is>
          <t>Parking/Loading Areas (asphalt)</t>
        </is>
      </c>
      <c r="C40" s="2413" t="n"/>
      <c r="D40" s="2413" t="n">
        <v>3.1</v>
      </c>
      <c r="E40" s="2399" t="n"/>
      <c r="F40" s="2399">
        <f>D40*C40</f>
        <v/>
      </c>
      <c r="G40" s="2399" t="n"/>
      <c r="H40" s="2395" t="n"/>
      <c r="I40" s="2404" t="inlineStr">
        <is>
          <t>MVS Sec.66 p.1, 4-inch asphalt (large areas &gt;3,000 SF), average of low-high range. Enter your own measured SF in the Area column.</t>
        </is>
      </c>
      <c r="J40" s="2395" t="n"/>
      <c r="K40" s="2395" t="n"/>
      <c r="L40" s="2395" t="n"/>
      <c r="M40" s="2395" t="n"/>
      <c r="N40" s="2395" t="n"/>
      <c r="O40" s="2395" t="n"/>
      <c r="P40" s="2395" t="n"/>
      <c r="Q40" s="2395" t="n"/>
      <c r="R40" s="2395" t="n"/>
      <c r="S40" s="2395" t="n"/>
      <c r="T40" s="2395" t="n"/>
      <c r="U40" s="2399" t="n"/>
    </row>
    <row r="41" customFormat="1" s="366">
      <c r="A41" s="2395" t="n"/>
      <c r="B41" s="2418" t="inlineStr">
        <is>
          <t>Striping (Per Space)</t>
        </is>
      </c>
      <c r="C41" s="2413" t="n"/>
      <c r="D41" s="2413" t="n">
        <v>20</v>
      </c>
      <c r="E41" s="2399" t="n"/>
      <c r="F41" s="2399">
        <f>D41*C41</f>
        <v/>
      </c>
      <c r="G41" s="2399" t="n"/>
      <c r="H41" s="2395" t="n"/>
      <c r="I41" s="2404" t="inlineStr">
        <is>
          <t>Market-derived; no dedicated MVS table. Enter number of striped spaces in the Area column.</t>
        </is>
      </c>
      <c r="J41" s="2395" t="n"/>
      <c r="K41" s="2395" t="n"/>
      <c r="L41" s="2395" t="n"/>
      <c r="M41" s="2395" t="n"/>
      <c r="N41" s="2395" t="n"/>
      <c r="O41" s="2395" t="n"/>
      <c r="P41" s="2395" t="n"/>
      <c r="Q41" s="2395" t="n"/>
      <c r="R41" s="2395" t="n"/>
      <c r="S41" s="2395" t="n"/>
      <c r="T41" s="2395" t="n"/>
      <c r="U41" s="2399" t="n"/>
    </row>
    <row r="42" customFormat="1" s="366">
      <c r="A42" s="2395" t="n"/>
      <c r="B42" s="2418" t="inlineStr">
        <is>
          <t>Paving (concrete)</t>
        </is>
      </c>
      <c r="C42" s="2413" t="n"/>
      <c r="D42" s="2413" t="n">
        <v>5.51</v>
      </c>
      <c r="E42" s="2399" t="n"/>
      <c r="F42" s="2399">
        <f>D42*C42</f>
        <v/>
      </c>
      <c r="G42" s="2399" t="n"/>
      <c r="H42" s="2395" t="n"/>
      <c r="I42" s="2404" t="inlineStr">
        <is>
          <t>MVS Sec.66 p.1, 6-inch concrete (large areas &gt;3,000 SF), average of low-high range.</t>
        </is>
      </c>
      <c r="J42" s="2395" t="n"/>
      <c r="K42" s="2395" t="n"/>
      <c r="L42" s="2395" t="n"/>
      <c r="M42" s="2395" t="n"/>
      <c r="N42" s="2395" t="n"/>
      <c r="O42" s="2395" t="n"/>
      <c r="P42" s="2395" t="n"/>
      <c r="Q42" s="2395" t="n"/>
      <c r="R42" s="2395" t="n"/>
      <c r="S42" s="2395" t="n"/>
      <c r="T42" s="2395" t="n"/>
      <c r="U42" s="2399" t="n"/>
    </row>
    <row r="43" customFormat="1" s="366">
      <c r="A43" s="2395" t="n"/>
      <c r="B43" s="2405" t="inlineStr">
        <is>
          <t>Other1</t>
        </is>
      </c>
      <c r="C43" s="2413" t="n"/>
      <c r="D43" s="2413" t="n"/>
      <c r="E43" s="2399" t="n"/>
      <c r="F43" s="2399">
        <f>D43*C43</f>
        <v/>
      </c>
      <c r="G43" s="2399" t="n"/>
      <c r="H43" s="2395" t="n"/>
      <c r="I43" s="2395" t="n"/>
      <c r="J43" s="2395" t="n"/>
      <c r="K43" s="2395" t="n"/>
      <c r="L43" s="2395" t="n"/>
      <c r="M43" s="2395" t="n"/>
      <c r="N43" s="2395" t="n"/>
      <c r="O43" s="2395" t="n"/>
      <c r="P43" s="2395" t="n"/>
      <c r="Q43" s="2395" t="n"/>
      <c r="R43" s="2395" t="n"/>
      <c r="S43" s="2395" t="n"/>
      <c r="T43" s="2395" t="n"/>
      <c r="U43" s="2399" t="n"/>
    </row>
    <row r="44" customFormat="1" s="366">
      <c r="A44" s="2395" t="n"/>
      <c r="B44" s="2405" t="inlineStr">
        <is>
          <t>Other2</t>
        </is>
      </c>
      <c r="C44" s="2413" t="n"/>
      <c r="D44" s="2413" t="n"/>
      <c r="E44" s="2399" t="n"/>
      <c r="F44" s="2399">
        <f>D44*C44</f>
        <v/>
      </c>
      <c r="G44" s="2399" t="n"/>
      <c r="H44" s="2395" t="n"/>
      <c r="I44" s="2395" t="n"/>
      <c r="J44" s="2395" t="n"/>
      <c r="K44" s="2395" t="n"/>
      <c r="L44" s="2395" t="n"/>
      <c r="M44" s="2395" t="n"/>
      <c r="N44" s="2395" t="n"/>
      <c r="O44" s="2395" t="n"/>
      <c r="P44" s="2395" t="n"/>
      <c r="Q44" s="2395" t="n"/>
      <c r="R44" s="2395" t="n"/>
      <c r="S44" s="2395" t="n"/>
      <c r="T44" s="2395" t="n"/>
      <c r="U44" s="2395" t="n"/>
    </row>
    <row r="45" customFormat="1" s="366">
      <c r="A45" s="2395" t="n"/>
      <c r="B45" s="2405" t="inlineStr">
        <is>
          <t>Landscaping, Lighting, Other Site Improvements</t>
        </is>
      </c>
      <c r="C45" s="2445" t="n"/>
      <c r="D45" s="2413" t="n">
        <v>5.5</v>
      </c>
      <c r="E45" s="2399" t="n"/>
      <c r="F45" s="2399">
        <f>D45*C45</f>
        <v/>
      </c>
      <c r="G45" s="2399" t="n"/>
      <c r="H45" s="2395" t="n"/>
      <c r="I45" s="2404" t="inlineStr">
        <is>
          <t>MVS Sec.66 landscaping / market estimate. Enter your own measured lot SF in the Area column.</t>
        </is>
      </c>
      <c r="J45" s="2395" t="n"/>
      <c r="K45" s="2395" t="n"/>
      <c r="L45" s="2395" t="n"/>
      <c r="M45" s="2395" t="n"/>
      <c r="N45" s="2395" t="n"/>
      <c r="O45" s="2395" t="n"/>
      <c r="P45" s="2395" t="n"/>
      <c r="Q45" s="2395" t="n"/>
      <c r="R45" s="2395" t="n"/>
      <c r="S45" s="2395" t="n"/>
      <c r="T45" s="2395" t="n"/>
      <c r="U45" s="2395" t="n"/>
    </row>
    <row r="46" customFormat="1" s="366">
      <c r="A46" s="2395" t="n"/>
      <c r="B46" s="2439" t="inlineStr">
        <is>
          <t>Total Site Improvements</t>
        </is>
      </c>
      <c r="C46" s="2399" t="n"/>
      <c r="D46" s="2399" t="n"/>
      <c r="E46" s="2399" t="n"/>
      <c r="F46" s="2399" t="n"/>
      <c r="G46" s="2439">
        <f>SUM(F40:F45)</f>
        <v/>
      </c>
      <c r="H46" s="2395" t="n"/>
      <c r="I46" s="2395" t="n"/>
      <c r="J46" s="2395" t="n"/>
      <c r="K46" s="2395" t="n"/>
      <c r="L46" s="2395" t="n"/>
      <c r="M46" s="2395" t="n"/>
      <c r="N46" s="2395" t="n"/>
      <c r="O46" s="2395" t="n"/>
      <c r="P46" s="2395" t="n"/>
      <c r="Q46" s="2395" t="n"/>
      <c r="R46" s="2395" t="n"/>
      <c r="S46" s="2395" t="n"/>
      <c r="T46" s="2395" t="n"/>
      <c r="U46" s="2395" t="n"/>
    </row>
    <row r="47" customFormat="1" s="366">
      <c r="A47" s="2395" t="n"/>
      <c r="B47" s="2436" t="inlineStr">
        <is>
          <t>Total Construction Costs</t>
        </is>
      </c>
      <c r="C47" s="2399" t="n"/>
      <c r="D47" s="2399" t="n"/>
      <c r="E47" s="2399" t="n"/>
      <c r="F47" s="2399" t="n"/>
      <c r="G47" s="2439">
        <f>SUM(G38:G46)</f>
        <v/>
      </c>
      <c r="H47" s="2395" t="n"/>
      <c r="I47" s="2395" t="n"/>
      <c r="J47" s="2395" t="n"/>
      <c r="K47" s="2395" t="n"/>
      <c r="L47" s="2395" t="n"/>
      <c r="M47" s="2395" t="n"/>
      <c r="N47" s="2395" t="n"/>
      <c r="O47" s="2395" t="n"/>
      <c r="P47" s="2395" t="n"/>
      <c r="Q47" s="2395" t="n"/>
      <c r="R47" s="2395" t="n"/>
      <c r="S47" s="2395" t="n"/>
      <c r="T47" s="2395" t="n"/>
      <c r="U47" s="2395" t="n"/>
    </row>
    <row r="48" customFormat="1" s="366">
      <c r="A48" s="2395" t="n"/>
      <c r="B48" s="2405" t="inlineStr">
        <is>
          <t>Plus Other Indirect Costs (% of Direct Costs)</t>
        </is>
      </c>
      <c r="C48" s="2413" t="n">
        <v>0.1</v>
      </c>
      <c r="D48" s="2399" t="n"/>
      <c r="E48" s="2399" t="n"/>
      <c r="F48" s="2399" t="n"/>
      <c r="G48" s="2399">
        <f>G47*(C48)</f>
        <v/>
      </c>
      <c r="H48" s="2395" t="n"/>
      <c r="I48" s="2404" t="inlineStr">
        <is>
          <t>Financing, permits, professional fees, insurance during construction. Typical 8-15%.</t>
        </is>
      </c>
      <c r="J48" s="2395" t="n"/>
      <c r="K48" s="2395" t="n"/>
      <c r="L48" s="2395" t="n"/>
      <c r="M48" s="2395" t="n"/>
      <c r="N48" s="2395" t="n"/>
      <c r="O48" s="2395" t="n"/>
      <c r="P48" s="2395" t="n"/>
      <c r="Q48" s="2395" t="n"/>
      <c r="R48" s="2395" t="n"/>
      <c r="S48" s="2395" t="n"/>
      <c r="T48" s="2395" t="n"/>
      <c r="U48" s="2395" t="n"/>
    </row>
    <row r="49" customFormat="1" s="366">
      <c r="A49" s="2395" t="n"/>
      <c r="B49" s="2439" t="inlineStr">
        <is>
          <t>Subtotal Replacement Cost New (RCN)</t>
        </is>
      </c>
      <c r="C49" s="2419" t="n"/>
      <c r="D49" s="2399" t="n"/>
      <c r="E49" s="2399" t="n"/>
      <c r="F49" s="2399" t="n"/>
      <c r="G49" s="2439">
        <f>SUM(G47:G48)</f>
        <v/>
      </c>
      <c r="H49" s="2395" t="n"/>
      <c r="I49" s="2395" t="n"/>
      <c r="J49" s="2395" t="n"/>
      <c r="K49" s="2395" t="n"/>
      <c r="L49" s="2395" t="n"/>
      <c r="M49" s="2395" t="n"/>
      <c r="N49" s="2395" t="n"/>
      <c r="O49" s="2395" t="n"/>
      <c r="P49" s="2395" t="n"/>
      <c r="Q49" s="2395" t="n"/>
      <c r="R49" s="2395" t="n"/>
      <c r="S49" s="2395" t="n"/>
      <c r="T49" s="2395" t="n"/>
      <c r="U49" s="2395" t="n"/>
    </row>
    <row r="50" customFormat="1" s="366">
      <c r="A50" s="2395" t="n"/>
      <c r="B50" s="2399" t="inlineStr">
        <is>
          <t>Plus Entrepreneurial Profit (% of RCN)</t>
        </is>
      </c>
      <c r="C50" s="2413" t="n">
        <v>0.15</v>
      </c>
      <c r="D50" s="2399" t="n"/>
      <c r="E50" s="2399" t="n"/>
      <c r="F50" s="2399" t="n"/>
      <c r="G50" s="2399">
        <f>G49*C50</f>
        <v/>
      </c>
      <c r="H50" s="2395" t="n"/>
      <c r="I50" s="2404" t="inlineStr">
        <is>
          <t>Developer expected return above cost. Typical 10-20%.</t>
        </is>
      </c>
      <c r="J50" s="2395" t="n"/>
      <c r="K50" s="2395" t="n"/>
      <c r="L50" s="2395" t="n"/>
      <c r="M50" s="2395" t="n"/>
      <c r="N50" s="2395" t="n"/>
      <c r="O50" s="2395" t="n"/>
      <c r="P50" s="2395" t="n"/>
      <c r="Q50" s="2395" t="n"/>
      <c r="R50" s="2395" t="n"/>
      <c r="S50" s="2395" t="n"/>
      <c r="T50" s="2395" t="n"/>
      <c r="U50" s="2395" t="n"/>
    </row>
    <row r="51" customFormat="1" s="366">
      <c r="A51" s="2395" t="n"/>
      <c r="B51" s="2446" t="inlineStr">
        <is>
          <t>Total Replacement Cost New (RCN)</t>
        </is>
      </c>
      <c r="C51" s="2399" t="n"/>
      <c r="D51" s="2399" t="n"/>
      <c r="E51" s="2399" t="n"/>
      <c r="F51" s="2399" t="n"/>
      <c r="G51" s="2446">
        <f>SUM(G49:G50)</f>
        <v/>
      </c>
      <c r="H51" s="2395" t="n"/>
      <c r="I51" s="2395" t="n"/>
      <c r="J51" s="2395" t="n"/>
      <c r="K51" s="2395" t="n"/>
      <c r="L51" s="2395" t="n"/>
      <c r="M51" s="2395" t="n"/>
      <c r="N51" s="2395" t="n"/>
      <c r="O51" s="2395" t="n"/>
      <c r="P51" s="2395" t="n"/>
      <c r="Q51" s="2395" t="n"/>
      <c r="R51" s="2395" t="n"/>
      <c r="S51" s="2395" t="n"/>
      <c r="T51" s="2395" t="n"/>
      <c r="U51" s="2395" t="n"/>
    </row>
    <row r="52" customFormat="1" s="366">
      <c r="A52" s="2395" t="n"/>
      <c r="B52" s="2420" t="inlineStr">
        <is>
          <t>per square foot of gross building area</t>
        </is>
      </c>
      <c r="C52" s="2421" t="n"/>
      <c r="D52" s="2399" t="n"/>
      <c r="E52" s="2399" t="n"/>
      <c r="F52" s="2399" t="n"/>
      <c r="G52" s="2395">
        <f>caRCN/C24</f>
        <v/>
      </c>
      <c r="H52" s="2395" t="n"/>
      <c r="I52" s="2395" t="n"/>
      <c r="J52" s="2395" t="n"/>
      <c r="K52" s="2395" t="n"/>
      <c r="L52" s="2395" t="n"/>
      <c r="M52" s="2395" t="n"/>
      <c r="N52" s="2395" t="n"/>
      <c r="O52" s="2395" t="n"/>
      <c r="P52" s="2395" t="n"/>
      <c r="Q52" s="2395" t="n"/>
      <c r="R52" s="2395" t="n"/>
      <c r="S52" s="2395" t="n"/>
      <c r="T52" s="2395" t="n"/>
      <c r="U52" s="2395" t="n"/>
    </row>
    <row r="53" customFormat="1" s="366">
      <c r="A53" s="2395" t="n"/>
      <c r="B53" s="2405" t="n"/>
      <c r="C53" s="2399" t="n"/>
      <c r="D53" s="2399" t="n"/>
      <c r="E53" s="2399" t="n"/>
      <c r="F53" s="2399" t="n"/>
      <c r="G53" s="2416" t="n"/>
      <c r="H53" s="2395" t="n"/>
      <c r="I53" s="2395" t="n"/>
      <c r="J53" s="2395" t="n"/>
      <c r="K53" s="2395" t="n"/>
      <c r="L53" s="2395" t="n"/>
      <c r="M53" s="2395" t="n"/>
      <c r="N53" s="2395" t="n"/>
      <c r="O53" s="2395" t="n"/>
      <c r="P53" s="2395" t="n"/>
      <c r="Q53" s="2395" t="n"/>
      <c r="R53" s="2395" t="n"/>
      <c r="S53" s="2395" t="n"/>
      <c r="T53" s="2395" t="n"/>
      <c r="U53" s="2395" t="n"/>
    </row>
    <row r="54" customFormat="1" s="366">
      <c r="A54" s="2395" t="n"/>
      <c r="B54" s="2447" t="inlineStr">
        <is>
          <t>Less Accrued Depreciation</t>
        </is>
      </c>
      <c r="C54" s="2441" t="n"/>
      <c r="D54" s="2441" t="n"/>
      <c r="E54" s="2441" t="n"/>
      <c r="F54" s="2441" t="n"/>
      <c r="G54" s="2448" t="n"/>
      <c r="H54" s="2395" t="n"/>
      <c r="I54" s="2395" t="n"/>
      <c r="J54" s="2395" t="n"/>
      <c r="K54" s="2395" t="n"/>
      <c r="L54" s="2395" t="n"/>
      <c r="M54" s="2395" t="n"/>
      <c r="N54" s="2395" t="n"/>
      <c r="O54" s="2395" t="n"/>
      <c r="P54" s="2395" t="n"/>
      <c r="Q54" s="2395" t="n"/>
      <c r="R54" s="2395" t="n"/>
      <c r="S54" s="2395" t="n"/>
      <c r="T54" s="2395" t="n"/>
      <c r="U54" s="2395" t="n"/>
    </row>
    <row r="55" customFormat="1" s="1563">
      <c r="A55" s="2395" t="n"/>
      <c r="B55" s="2439" t="inlineStr">
        <is>
          <t>Physical</t>
        </is>
      </c>
      <c r="C55" s="2422" t="n"/>
      <c r="D55" s="2422" t="n"/>
      <c r="E55" s="2403" t="n"/>
      <c r="F55" s="2403" t="n"/>
      <c r="G55" s="2403" t="n"/>
      <c r="H55" s="2395" t="n"/>
      <c r="I55" s="2395" t="n"/>
      <c r="J55" s="2395" t="n"/>
      <c r="K55" s="2395" t="n"/>
      <c r="L55" s="2395" t="n"/>
      <c r="M55" s="2395" t="n"/>
      <c r="N55" s="2395" t="n"/>
      <c r="O55" s="2395" t="n"/>
      <c r="P55" s="2395" t="n"/>
      <c r="Q55" s="2423" t="n"/>
      <c r="R55" s="2395" t="n"/>
      <c r="S55" s="2395" t="n"/>
      <c r="T55" s="2395" t="n"/>
      <c r="U55" s="2395" t="n"/>
    </row>
    <row r="56" customFormat="1" s="1563">
      <c r="A56" s="2395" t="n"/>
      <c r="B56" s="2399" t="inlineStr">
        <is>
          <t>Curable (Deferred Maintenance)</t>
        </is>
      </c>
      <c r="C56" s="2422" t="n"/>
      <c r="D56" s="2396" t="n"/>
      <c r="E56" s="2403" t="n"/>
      <c r="F56" s="2402" t="n">
        <v>0</v>
      </c>
      <c r="G56" s="2399" t="n"/>
      <c r="H56" s="2395" t="n"/>
      <c r="I56" s="2404" t="inlineStr">
        <is>
          <t>Dollar cost to cure deferred items (roof, HVAC, etc). 0 = none.</t>
        </is>
      </c>
      <c r="J56" s="2395" t="n"/>
      <c r="K56" s="2395" t="n"/>
      <c r="L56" s="2395" t="n"/>
      <c r="M56" s="2395" t="n"/>
      <c r="N56" s="2395" t="n"/>
      <c r="O56" s="2395" t="n"/>
      <c r="P56" s="2395" t="n"/>
      <c r="Q56" s="2403" t="n"/>
      <c r="R56" s="2403" t="n"/>
      <c r="S56" s="2403" t="n"/>
      <c r="T56" s="2395" t="n"/>
      <c r="U56" s="2395" t="n"/>
    </row>
    <row r="57" s="1449">
      <c r="A57" s="2395" t="n"/>
      <c r="B57" s="2449" t="inlineStr">
        <is>
          <t>Incurable</t>
        </is>
      </c>
      <c r="C57" s="2422" t="n"/>
      <c r="D57" s="2422" t="n"/>
      <c r="E57" s="2403" t="n"/>
      <c r="F57" s="2395" t="n"/>
      <c r="G57" s="2395" t="n"/>
      <c r="H57" s="2395" t="n"/>
      <c r="I57" s="2395" t="n"/>
      <c r="J57" s="2395" t="n"/>
      <c r="K57" s="2395" t="n"/>
      <c r="L57" s="2395" t="n"/>
      <c r="M57" s="2395" t="n"/>
      <c r="N57" s="2395" t="n"/>
      <c r="O57" s="2395" t="n"/>
      <c r="P57" s="2395" t="n"/>
      <c r="Q57" s="2395" t="n"/>
      <c r="R57" s="2395" t="n"/>
      <c r="S57" s="2395" t="n"/>
      <c r="T57" s="2395" t="n"/>
      <c r="U57" s="2395" t="n"/>
    </row>
    <row r="58" s="1449">
      <c r="A58" s="2395" t="n"/>
      <c r="B58" s="2395" t="inlineStr">
        <is>
          <t>Effective Age (Years)</t>
        </is>
      </c>
      <c r="C58" s="2409" t="n">
        <v>0</v>
      </c>
      <c r="D58" s="2395" t="n"/>
      <c r="E58" s="2395" t="n"/>
      <c r="F58" s="2395" t="n"/>
      <c r="G58" s="2395" t="n"/>
      <c r="H58" s="2395" t="n"/>
      <c r="I58" s="2404" t="inlineStr">
        <is>
          <t>Per MVS Sec.97: true age adjusted for modernization/condition, not necessarily chronological age. Judgment call from inspection.</t>
        </is>
      </c>
      <c r="J58" s="2395" t="n"/>
      <c r="K58" s="2395" t="n"/>
      <c r="L58" s="2395" t="n"/>
      <c r="M58" s="2395" t="n"/>
      <c r="N58" s="2395" t="n"/>
      <c r="O58" s="2395" t="n"/>
      <c r="P58" s="2395" t="n"/>
      <c r="Q58" s="2395" t="n"/>
      <c r="R58" s="2395" t="n"/>
      <c r="S58" s="2395" t="n"/>
      <c r="T58" s="2395" t="n"/>
      <c r="U58" s="2395" t="n"/>
    </row>
    <row r="59" s="1449">
      <c r="A59" s="2395" t="n"/>
      <c r="B59" s="2395" t="inlineStr">
        <is>
          <t>Typical Life Expectancy (MVS Sec.97, auto)</t>
        </is>
      </c>
      <c r="C59" s="2437">
        <f>IFERROR(INDEX(LIFE_VALUES,MATCH($C$4&amp;"~"&amp;$C$7,LIFE_KEY,0),MATCH("Class "&amp;IF($C$6="CMILL","C",IF(OR($C$6="DPOLE",$C$6="DMASVEN",$C$6="CDS"),"D",IF($C$6="A-B","B",IF($C$6="SSLANT","S",$C$6)))),LIFE_CLASSHDR,0)),"n/a for this Class/Quality -- see Life Expectancy table on M&amp;S Inputs")</f>
        <v/>
      </c>
      <c r="D59" s="2395" t="n"/>
      <c r="E59" s="2395" t="n"/>
      <c r="F59" s="2395" t="n"/>
      <c r="G59" s="2395" t="n"/>
      <c r="H59" s="2395" t="n"/>
      <c r="I59" s="2404" t="inlineStr">
        <is>
          <t>MVS Sec.97 pp.10-16, by occupancy/quality/class (full table on M&amp;S Inputs).</t>
        </is>
      </c>
      <c r="J59" s="2395" t="n"/>
      <c r="K59" s="2423" t="n"/>
      <c r="L59" s="2395" t="n"/>
      <c r="M59" s="2395" t="n"/>
      <c r="N59" s="2395" t="n"/>
      <c r="O59" s="2395" t="n"/>
      <c r="P59" s="2423" t="n"/>
      <c r="Q59" s="2395" t="n"/>
      <c r="R59" s="2395" t="n"/>
      <c r="S59" s="2395" t="n"/>
      <c r="T59" s="2395" t="n"/>
      <c r="U59" s="2395" t="n"/>
    </row>
    <row r="60" s="1449">
      <c r="A60" s="2395" t="n"/>
      <c r="B60" s="2395" t="inlineStr">
        <is>
          <t>Total Incurable Physical Depreciation (MVS Sec.97 percent-good curve)</t>
        </is>
      </c>
      <c r="C60" s="2406">
        <f>IFERROR(IF(INDEX(OCC_DEPR,MATCH($C$4,OCC_NAME,0))="R",INDEX(DEPRR_VALUES,MATCH($C$58,DEPRR_AGE,1),MATCH($C$59,DEPRR_LIFEHDR,0)),INDEX(DEPR_VALUES,MATCH($C$58,DEPR_AGE,1),MATCH($C$59,DEPR_LIFEHDR,0)))/100,"n/a -- age exceeds tabulated range; treat as fully depreciated per Sec.97 salvage guidance")</f>
        <v/>
      </c>
      <c r="D60" s="2395" t="n"/>
      <c r="E60" s="2395" t="n"/>
      <c r="F60" s="2395">
        <f>G51*C60</f>
        <v/>
      </c>
      <c r="G60" s="2395" t="n"/>
      <c r="H60" s="2395" t="n"/>
      <c r="I60" s="2404" t="inlineStr">
        <is>
          <t>MVS Sec.97 percent-good: Commercial (p.24) or Residential (p.25) table auto-selected per MVS's Properties Included key (Reference 4 on M&amp;S Inputs).</t>
        </is>
      </c>
      <c r="J60" s="2395" t="n"/>
      <c r="K60" s="2395" t="n"/>
      <c r="L60" s="2403" t="n"/>
      <c r="M60" s="2403" t="n"/>
      <c r="N60" s="2403" t="n"/>
      <c r="O60" s="2403" t="n"/>
      <c r="P60" s="2403" t="n"/>
      <c r="Q60" s="2395" t="n"/>
      <c r="R60" s="2395" t="n"/>
      <c r="S60" s="2395" t="n"/>
      <c r="T60" s="2395" t="n"/>
      <c r="U60" s="2395" t="n"/>
    </row>
    <row r="61" s="1449">
      <c r="A61" s="2395" t="n"/>
      <c r="B61" s="2395" t="inlineStr">
        <is>
          <t>Functional Obsolescence</t>
        </is>
      </c>
      <c r="C61" s="2409" t="n">
        <v>0</v>
      </c>
      <c r="D61" s="2395" t="n"/>
      <c r="E61" s="2395" t="n"/>
      <c r="F61" s="2395">
        <f>C61*caRCN</f>
        <v/>
      </c>
      <c r="G61" s="2395" t="n"/>
      <c r="H61" s="2395" t="n"/>
      <c r="I61" s="2404" t="inlineStr">
        <is>
          <t>Loss from design deficiencies (excess bays, substandard ceiling height, etc). 0 = none.</t>
        </is>
      </c>
      <c r="J61" s="2395" t="n"/>
      <c r="K61" s="2395" t="n"/>
      <c r="L61" s="2403" t="n"/>
      <c r="M61" s="2403" t="n"/>
      <c r="N61" s="2403" t="n"/>
      <c r="O61" s="2403" t="n"/>
      <c r="P61" s="2403" t="n"/>
      <c r="Q61" s="2395" t="n"/>
      <c r="R61" s="2395" t="n"/>
      <c r="S61" s="2395" t="n"/>
      <c r="T61" s="2395" t="n"/>
      <c r="U61" s="2395" t="n"/>
    </row>
    <row r="62" s="1449">
      <c r="A62" s="2395" t="n"/>
      <c r="B62" s="2395" t="inlineStr">
        <is>
          <t>External Obsolescence</t>
        </is>
      </c>
      <c r="C62" s="2409" t="n">
        <v>0</v>
      </c>
      <c r="D62" s="2395" t="n"/>
      <c r="E62" s="2395" t="n"/>
      <c r="F62" s="2395">
        <f>C62*caRCN</f>
        <v/>
      </c>
      <c r="G62" s="2395" t="n"/>
      <c r="H62" s="2395" t="n"/>
      <c r="I62" s="2404" t="inlineStr">
        <is>
          <t>Loss from external/locational/market factors. 0 = none.</t>
        </is>
      </c>
      <c r="J62" s="2395" t="n"/>
      <c r="K62" s="2395" t="n"/>
      <c r="L62" s="2403" t="n"/>
      <c r="M62" s="2403" t="n"/>
      <c r="N62" s="2403" t="n"/>
      <c r="O62" s="2403" t="n"/>
      <c r="P62" s="2403" t="n"/>
      <c r="Q62" s="2395" t="n"/>
      <c r="R62" s="2395" t="n"/>
      <c r="S62" s="2395" t="n"/>
      <c r="T62" s="2395" t="n"/>
      <c r="U62" s="2395" t="n"/>
    </row>
    <row r="63" s="1449">
      <c r="A63" s="2395" t="n"/>
      <c r="B63" s="2449" t="inlineStr">
        <is>
          <t>Total</t>
        </is>
      </c>
      <c r="C63" s="2395">
        <f>G63/caRCN</f>
        <v/>
      </c>
      <c r="D63" s="2395" t="n"/>
      <c r="E63" s="2395" t="n"/>
      <c r="F63" s="2395" t="n"/>
      <c r="G63" s="2449">
        <f>SUM(F56:F62)</f>
        <v/>
      </c>
      <c r="H63" s="2395" t="n"/>
      <c r="I63" s="2395" t="n"/>
      <c r="J63" s="2395" t="n"/>
      <c r="K63" s="2399" t="n"/>
      <c r="L63" s="2403" t="n"/>
      <c r="M63" s="2403" t="n"/>
      <c r="N63" s="2403" t="n"/>
      <c r="O63" s="2403" t="n"/>
      <c r="P63" s="2403" t="n"/>
      <c r="Q63" s="2395" t="n"/>
      <c r="R63" s="2395" t="n"/>
      <c r="S63" s="2395" t="n"/>
      <c r="T63" s="2395" t="n"/>
      <c r="U63" s="2395" t="n"/>
    </row>
    <row r="64" s="1449">
      <c r="A64" s="2395" t="n"/>
      <c r="B64" s="2450" t="inlineStr">
        <is>
          <t>Depreciated Value of the Improvements</t>
        </is>
      </c>
      <c r="C64" s="2395" t="n"/>
      <c r="D64" s="2395" t="n"/>
      <c r="E64" s="2395" t="n"/>
      <c r="F64" s="2395" t="n"/>
      <c r="G64" s="2450">
        <f>caRCN-G63</f>
        <v/>
      </c>
      <c r="H64" s="2395" t="n"/>
      <c r="I64" s="2395" t="n"/>
      <c r="J64" s="2395" t="n"/>
      <c r="K64" s="2399" t="n"/>
      <c r="L64" s="2403" t="n"/>
      <c r="M64" s="2403" t="n"/>
      <c r="N64" s="2403" t="n"/>
      <c r="O64" s="2403" t="n"/>
      <c r="P64" s="2403" t="n"/>
      <c r="Q64" s="2395" t="n"/>
      <c r="R64" s="2395" t="n"/>
      <c r="S64" s="2395" t="n"/>
      <c r="T64" s="2395" t="n"/>
      <c r="U64" s="2395" t="n"/>
    </row>
    <row r="65" s="1449">
      <c r="A65" s="2395" t="n"/>
      <c r="B65" s="2395" t="inlineStr">
        <is>
          <t>per square foot of gross building area</t>
        </is>
      </c>
      <c r="C65" s="2395" t="n"/>
      <c r="D65" s="2395" t="n"/>
      <c r="E65" s="2395" t="n"/>
      <c r="F65" s="2395" t="n"/>
      <c r="G65" s="2395">
        <f>caRCNDeprec/C24</f>
        <v/>
      </c>
      <c r="H65" s="2395" t="n"/>
      <c r="I65" s="2395" t="n"/>
      <c r="J65" s="2395" t="n"/>
      <c r="K65" s="2395" t="n"/>
      <c r="L65" s="2395" t="n"/>
      <c r="M65" s="2395" t="n"/>
      <c r="N65" s="2395" t="n"/>
      <c r="O65" s="2395" t="n"/>
      <c r="P65" s="2395" t="n"/>
      <c r="Q65" s="2395" t="n"/>
      <c r="R65" s="2395" t="n"/>
      <c r="S65" s="2395" t="n"/>
      <c r="T65" s="2395" t="n"/>
      <c r="U65" s="2395" t="n"/>
    </row>
    <row r="66" s="1449">
      <c r="A66" s="2395" t="n"/>
      <c r="B66" s="2423" t="n"/>
      <c r="C66" s="2395" t="n"/>
      <c r="D66" s="2395" t="n"/>
      <c r="E66" s="2395" t="n"/>
      <c r="F66" s="2395" t="n"/>
      <c r="G66" s="2395" t="n"/>
      <c r="H66" s="2395" t="n"/>
      <c r="I66" s="2395" t="n"/>
      <c r="J66" s="2395" t="n"/>
      <c r="K66" s="2395" t="n"/>
      <c r="L66" s="2395" t="n"/>
      <c r="M66" s="2395" t="n"/>
      <c r="N66" s="2395" t="n"/>
      <c r="O66" s="2395" t="n"/>
      <c r="P66" s="2395" t="n"/>
      <c r="Q66" s="2395" t="n"/>
      <c r="R66" s="2395" t="n"/>
      <c r="S66" s="2395" t="n"/>
      <c r="T66" s="2395" t="n"/>
      <c r="U66" s="2395" t="n"/>
    </row>
    <row r="67" s="1449">
      <c r="A67" s="2395" t="n"/>
      <c r="B67" s="2395" t="inlineStr">
        <is>
          <t>Plus Land Value</t>
        </is>
      </c>
      <c r="C67" s="2403" t="n"/>
      <c r="D67" s="2403" t="n"/>
      <c r="E67" s="2403" t="n"/>
      <c r="F67" s="2403" t="n"/>
      <c r="G67" s="2403">
        <f>'Land Sales'!C65</f>
        <v/>
      </c>
      <c r="H67" s="2395" t="n"/>
      <c r="I67" s="2404" t="inlineStr">
        <is>
          <t>Set to the value concluded on the Land Sales worksheet. If using a land value from another source, overwrite this cell directly.</t>
        </is>
      </c>
      <c r="J67" s="2395" t="n"/>
      <c r="K67" s="2395" t="n"/>
      <c r="L67" s="2395" t="n"/>
      <c r="M67" s="2395" t="n"/>
      <c r="N67" s="2395" t="n"/>
      <c r="O67" s="2395" t="n"/>
      <c r="P67" s="2395" t="n"/>
      <c r="Q67" s="2395" t="n"/>
      <c r="R67" s="2395" t="n"/>
      <c r="S67" s="2395" t="n"/>
      <c r="T67" s="2395" t="n"/>
      <c r="U67" s="2395" t="n"/>
    </row>
    <row r="68" s="1449">
      <c r="A68" s="2395" t="n"/>
      <c r="B68" s="2405" t="n"/>
      <c r="C68" s="2399" t="n"/>
      <c r="D68" s="2399" t="n"/>
      <c r="E68" s="2399" t="n"/>
      <c r="F68" s="2399" t="n"/>
      <c r="G68" s="2399" t="n"/>
      <c r="H68" s="2395" t="n"/>
      <c r="I68" s="2395" t="n"/>
      <c r="J68" s="2395" t="n"/>
      <c r="K68" s="2395" t="n"/>
      <c r="L68" s="2395" t="n"/>
      <c r="M68" s="2395" t="n"/>
      <c r="N68" s="2395" t="n"/>
      <c r="O68" s="2395" t="n"/>
      <c r="P68" s="2395" t="n"/>
      <c r="Q68" s="2395" t="n"/>
      <c r="R68" s="2395" t="n"/>
      <c r="S68" s="2395" t="n"/>
      <c r="T68" s="2395" t="n"/>
      <c r="U68" s="2395" t="n"/>
    </row>
    <row r="69" s="1449">
      <c r="A69" s="2395" t="n"/>
      <c r="B69" s="2451" t="inlineStr">
        <is>
          <t>Indicated Value by Cost Approach</t>
        </is>
      </c>
      <c r="C69" s="2424" t="n"/>
      <c r="D69" s="2399" t="n"/>
      <c r="E69" s="2399" t="n"/>
      <c r="F69" s="2399" t="n"/>
      <c r="G69" s="2452">
        <f>G64+G67</f>
        <v/>
      </c>
      <c r="H69" s="2395" t="n"/>
      <c r="I69" s="2395" t="n"/>
      <c r="J69" s="2395" t="n"/>
      <c r="K69" s="2395" t="n"/>
      <c r="L69" s="2395" t="n"/>
      <c r="M69" s="2395" t="n"/>
      <c r="N69" s="2395" t="n"/>
      <c r="O69" s="2395" t="n"/>
      <c r="P69" s="2395" t="n"/>
      <c r="Q69" s="2395" t="n"/>
      <c r="R69" s="2395" t="n"/>
      <c r="S69" s="2395" t="n"/>
      <c r="T69" s="2395" t="n"/>
      <c r="U69" s="2395" t="n"/>
    </row>
    <row r="70" s="1449">
      <c r="A70" s="2395" t="n"/>
      <c r="B70" s="2407" t="n">
        <v>5000</v>
      </c>
      <c r="C70" s="2395" t="n"/>
      <c r="D70" s="2399" t="n"/>
      <c r="E70" s="2399" t="n"/>
      <c r="F70" s="2399" t="n"/>
      <c r="G70" s="2452">
        <f>ROUND((G69/B70),0)*B70</f>
        <v/>
      </c>
      <c r="H70" s="2395" t="n"/>
      <c r="I70" s="2404" t="inlineStr">
        <is>
          <t>Rounded to the nearest $5,000 (change the value in column B to round to a different increment).</t>
        </is>
      </c>
      <c r="J70" s="2395" t="n"/>
      <c r="K70" s="2395" t="n"/>
      <c r="L70" s="2395" t="n"/>
      <c r="M70" s="2395" t="n"/>
      <c r="N70" s="2395" t="n"/>
      <c r="O70" s="2395" t="n"/>
      <c r="P70" s="2395" t="n"/>
      <c r="Q70" s="2395" t="n"/>
      <c r="R70" s="2395" t="n"/>
      <c r="S70" s="2395" t="n"/>
      <c r="T70" s="2395" t="n"/>
      <c r="U70" s="2395" t="n"/>
    </row>
    <row r="71" s="1449">
      <c r="A71" s="2395" t="n"/>
      <c r="B71" s="2407" t="inlineStr">
        <is>
          <t>per square foot of gross building area</t>
        </is>
      </c>
      <c r="C71" s="2395" t="n"/>
      <c r="D71" s="2399" t="n"/>
      <c r="E71" s="2399" t="n"/>
      <c r="F71" s="2399" t="n"/>
      <c r="G71" s="2399">
        <f>G70/C24</f>
        <v/>
      </c>
      <c r="H71" s="2395" t="n"/>
      <c r="I71" s="2395" t="n"/>
      <c r="J71" s="2395" t="n"/>
      <c r="K71" s="2395" t="n"/>
      <c r="L71" s="2395" t="n"/>
      <c r="M71" s="2395" t="n"/>
      <c r="N71" s="2395" t="n"/>
      <c r="O71" s="2395" t="n"/>
      <c r="P71" s="2395" t="n"/>
      <c r="Q71" s="2395" t="n"/>
      <c r="R71" s="2395" t="n"/>
      <c r="S71" s="2395" t="n"/>
      <c r="T71" s="2395" t="n"/>
      <c r="U71" s="2395" t="n"/>
    </row>
    <row r="72" s="1449">
      <c r="A72" s="2395" t="n"/>
      <c r="B72" s="2407" t="n"/>
      <c r="C72" s="2395" t="n"/>
      <c r="D72" s="2399" t="n"/>
      <c r="E72" s="2399" t="n"/>
      <c r="F72" s="2399" t="n"/>
      <c r="G72" s="2399" t="n"/>
      <c r="H72" s="2395" t="n"/>
      <c r="I72" s="2395" t="n"/>
      <c r="J72" s="2395" t="n"/>
      <c r="K72" s="2395" t="n"/>
      <c r="L72" s="2395" t="n"/>
      <c r="M72" s="2395" t="n"/>
      <c r="N72" s="2395" t="n"/>
      <c r="O72" s="2395" t="n"/>
      <c r="P72" s="2395" t="n"/>
      <c r="Q72" s="2395" t="n"/>
      <c r="R72" s="2395" t="n"/>
      <c r="S72" s="2395" t="n"/>
      <c r="T72" s="2395" t="n"/>
      <c r="U72" s="2395" t="n"/>
    </row>
    <row r="73" s="1449">
      <c r="A73" s="2395" t="n"/>
      <c r="B73" s="2407" t="inlineStr">
        <is>
          <t>MVS June 2024 Ed.</t>
        </is>
      </c>
      <c r="C73" s="2395">
        <f>IFERROR(INDEX(BC_OCC,MATCH($C$4&amp;"~"&amp;$C$6&amp;"~"&amp;$C$7,BC_KEY,0)),"")&amp;" | "&amp;$C$4</f>
        <v/>
      </c>
      <c r="D73" s="2399">
        <f>"Class: "&amp;$C$6&amp;" / "&amp;$C$7</f>
        <v/>
      </c>
      <c r="E73" s="2399" t="n"/>
      <c r="F73" s="2399" t="n"/>
      <c r="G73" s="2399" t="n"/>
      <c r="H73" s="2395" t="n"/>
      <c r="I73" s="2395" t="n"/>
      <c r="J73" s="2395" t="n"/>
      <c r="K73" s="2395" t="n"/>
      <c r="L73" s="2395" t="n"/>
      <c r="M73" s="2395" t="n"/>
      <c r="N73" s="2395" t="n"/>
      <c r="O73" s="2395" t="n"/>
      <c r="P73" s="2395" t="n"/>
      <c r="Q73" s="2395" t="n"/>
      <c r="R73" s="2395" t="n"/>
      <c r="S73" s="2395" t="n"/>
      <c r="T73" s="2395" t="n"/>
      <c r="U73" s="2395" t="n"/>
    </row>
    <row r="74" s="1449">
      <c r="A74" s="2395" t="n"/>
      <c r="B74" s="2407" t="inlineStr">
        <is>
          <t>Colorado -- WESTERN region (assumed)</t>
        </is>
      </c>
      <c r="C74" s="2395">
        <f>"CCM/De-trend: "&amp;TEXT(D33,"0.000")&amp;" | LAM: "&amp;TEXT(D34,"0.000")</f>
        <v/>
      </c>
      <c r="D74" s="2399">
        <f>"Sec.99 p.3/p.7 (Jan 2025 insert) + Sec.98 Denver de-trend"</f>
        <v/>
      </c>
      <c r="E74" s="2399" t="n"/>
      <c r="F74" s="2399" t="n"/>
      <c r="G74" s="2399" t="n"/>
      <c r="H74" s="2395" t="n"/>
      <c r="I74" s="2395" t="n"/>
      <c r="J74" s="2395" t="n"/>
      <c r="K74" s="2395" t="n"/>
      <c r="L74" s="2395" t="n"/>
      <c r="M74" s="2395" t="n"/>
      <c r="N74" s="2395" t="n"/>
      <c r="O74" s="2395" t="n"/>
      <c r="P74" s="2395" t="n"/>
      <c r="Q74" s="2395" t="n"/>
      <c r="R74" s="2395" t="n"/>
      <c r="S74" s="2395" t="n"/>
      <c r="T74" s="2395" t="n"/>
      <c r="U74" s="2395" t="n"/>
    </row>
    <row r="75" s="1449">
      <c r="A75" s="2395" t="n"/>
      <c r="B75" s="2407" t="n"/>
      <c r="C75" s="2395">
        <f>"Story Ht Mult: "&amp;TEXT(D36,"0.000")&amp;" | Area Mult: "&amp;TEXT(D35,"0.000")</f>
        <v/>
      </c>
      <c r="D75" s="2399" t="n"/>
      <c r="E75" s="2399" t="n"/>
      <c r="F75" s="2399" t="n"/>
      <c r="G75" s="2399" t="n"/>
      <c r="H75" s="2395" t="n"/>
      <c r="I75" s="2395" t="n"/>
      <c r="J75" s="2395" t="n"/>
      <c r="K75" s="2395" t="n"/>
      <c r="L75" s="2395" t="n"/>
      <c r="M75" s="2395" t="n"/>
      <c r="N75" s="2395" t="n"/>
      <c r="O75" s="2395" t="n"/>
      <c r="P75" s="2395" t="n"/>
      <c r="Q75" s="2395" t="n"/>
      <c r="R75" s="2395" t="n"/>
      <c r="S75" s="2395" t="n"/>
      <c r="T75" s="2395" t="n"/>
      <c r="U75" s="2395" t="n"/>
    </row>
    <row r="76" hidden="1" s="1449">
      <c r="A76" s="2395" t="n"/>
      <c r="B76" s="2407" t="n"/>
      <c r="C76" s="2417" t="n"/>
      <c r="D76" s="2399" t="n"/>
      <c r="E76" s="2399" t="n"/>
      <c r="F76" s="2399" t="n"/>
      <c r="G76" s="2399" t="n"/>
      <c r="H76" s="2395" t="n"/>
      <c r="I76" s="2395" t="n"/>
      <c r="J76" s="2395" t="n"/>
      <c r="K76" s="2395" t="n"/>
      <c r="L76" s="2395" t="n"/>
      <c r="M76" s="2395" t="n"/>
      <c r="N76" s="2395" t="n"/>
      <c r="O76" s="2395" t="n"/>
      <c r="P76" s="2395" t="n"/>
      <c r="Q76" s="2395" t="n"/>
      <c r="R76" s="2395" t="n"/>
      <c r="S76" s="2395" t="n"/>
      <c r="T76" s="2395" t="n"/>
      <c r="U76" s="2395" t="n"/>
    </row>
    <row r="77" hidden="1" s="1449">
      <c r="A77" s="2395" t="n"/>
      <c r="B77" s="2405" t="n"/>
      <c r="C77" s="2399" t="n"/>
      <c r="D77" s="2399" t="n"/>
      <c r="E77" s="2399" t="n"/>
      <c r="F77" s="2399" t="n"/>
      <c r="G77" s="2399" t="n"/>
      <c r="H77" s="2395" t="n"/>
      <c r="I77" s="2395" t="n"/>
      <c r="J77" s="2395" t="n"/>
      <c r="K77" s="2395" t="n"/>
      <c r="L77" s="2395" t="n"/>
      <c r="M77" s="2395" t="n"/>
      <c r="N77" s="2395" t="n"/>
      <c r="O77" s="2395" t="n"/>
      <c r="P77" s="2395" t="n"/>
      <c r="Q77" s="2395" t="n"/>
      <c r="R77" s="2395" t="n"/>
      <c r="S77" s="2395" t="n"/>
      <c r="T77" s="2395" t="n"/>
      <c r="U77" s="2395" t="n"/>
    </row>
    <row r="78" hidden="1" s="1449">
      <c r="A78" s="2395" t="n"/>
      <c r="B78" s="2407" t="n"/>
      <c r="C78" s="2399" t="n"/>
      <c r="D78" s="2414" t="n"/>
      <c r="E78" s="2414" t="n"/>
      <c r="F78" s="2399" t="n"/>
      <c r="G78" s="2399" t="n"/>
      <c r="H78" s="2395" t="n"/>
      <c r="I78" s="2395" t="n"/>
      <c r="J78" s="2395" t="n"/>
      <c r="K78" s="2395" t="n"/>
      <c r="L78" s="2395" t="n"/>
      <c r="M78" s="2395" t="n"/>
      <c r="N78" s="2395" t="n"/>
      <c r="O78" s="2395" t="n"/>
      <c r="P78" s="2395" t="n"/>
      <c r="Q78" s="2395" t="n"/>
      <c r="R78" s="2395" t="n"/>
      <c r="S78" s="2395" t="n"/>
      <c r="T78" s="2395" t="n"/>
      <c r="U78" s="2395" t="n"/>
    </row>
    <row r="79" hidden="1" s="1449">
      <c r="A79" s="2395" t="n"/>
      <c r="B79" s="2407" t="n"/>
      <c r="C79" s="2399" t="n"/>
      <c r="D79" s="2414" t="n"/>
      <c r="E79" s="2414" t="n"/>
      <c r="F79" s="2399" t="n"/>
      <c r="G79" s="2399" t="n"/>
      <c r="H79" s="2395" t="n"/>
      <c r="I79" s="2395" t="n"/>
      <c r="J79" s="2395" t="n"/>
      <c r="K79" s="2395" t="n"/>
      <c r="L79" s="2395" t="n"/>
      <c r="M79" s="2395" t="n"/>
      <c r="N79" s="2395" t="n"/>
      <c r="O79" s="2395" t="n"/>
      <c r="P79" s="2395" t="n"/>
      <c r="Q79" s="2395" t="n"/>
      <c r="R79" s="2395" t="n"/>
      <c r="S79" s="2395" t="n"/>
      <c r="T79" s="2395" t="n"/>
      <c r="U79" s="2395" t="n"/>
    </row>
    <row r="80" hidden="1" s="1449">
      <c r="A80" s="2395" t="n"/>
      <c r="B80" s="2407" t="n"/>
      <c r="C80" s="2399" t="n"/>
      <c r="D80" s="2414" t="n"/>
      <c r="E80" s="2414" t="n"/>
      <c r="F80" s="2399" t="n"/>
      <c r="G80" s="2399" t="n"/>
      <c r="H80" s="2395" t="n"/>
      <c r="I80" s="2395" t="n"/>
      <c r="J80" s="2395" t="n"/>
      <c r="K80" s="2395" t="n"/>
      <c r="L80" s="2395" t="n"/>
      <c r="M80" s="2395" t="n"/>
      <c r="N80" s="2395" t="n"/>
      <c r="O80" s="2395" t="n"/>
      <c r="P80" s="2395" t="n"/>
      <c r="Q80" s="2395" t="n"/>
      <c r="R80" s="2395" t="n"/>
      <c r="S80" s="2395" t="n"/>
      <c r="T80" s="2395" t="n"/>
      <c r="U80" s="2395" t="n"/>
    </row>
    <row r="81" hidden="1" s="1449">
      <c r="A81" s="2395" t="n"/>
      <c r="B81" s="2407" t="n"/>
      <c r="C81" s="2399" t="n"/>
      <c r="D81" s="2414" t="n"/>
      <c r="E81" s="2414" t="n"/>
      <c r="F81" s="2399" t="n"/>
      <c r="G81" s="2399" t="n"/>
      <c r="H81" s="2395" t="n"/>
      <c r="I81" s="2395" t="n"/>
      <c r="J81" s="2395" t="n"/>
      <c r="K81" s="2395" t="n"/>
      <c r="L81" s="2395" t="n"/>
      <c r="M81" s="2395" t="n"/>
      <c r="N81" s="2395" t="n"/>
      <c r="O81" s="2395" t="n"/>
      <c r="P81" s="2395" t="n"/>
      <c r="Q81" s="2395" t="n"/>
      <c r="R81" s="2395" t="n"/>
      <c r="S81" s="2395" t="n"/>
      <c r="T81" s="2395" t="n"/>
      <c r="U81" s="2395" t="n"/>
    </row>
    <row r="82" hidden="1" s="1449">
      <c r="A82" s="2395" t="n"/>
      <c r="B82" s="2407" t="n"/>
      <c r="C82" s="2399" t="n"/>
      <c r="D82" s="2414" t="n"/>
      <c r="E82" s="2414" t="n"/>
      <c r="F82" s="2414" t="n"/>
      <c r="G82" s="2399" t="n"/>
      <c r="H82" s="2395" t="n"/>
      <c r="I82" s="2395" t="n"/>
      <c r="J82" s="2395" t="n"/>
      <c r="K82" s="2395" t="n"/>
      <c r="L82" s="2395" t="n"/>
      <c r="M82" s="2395" t="n"/>
      <c r="N82" s="2395" t="n"/>
      <c r="O82" s="2395" t="n"/>
      <c r="P82" s="2395" t="n"/>
      <c r="Q82" s="2395" t="n"/>
      <c r="R82" s="2395" t="n"/>
      <c r="S82" s="2395" t="n"/>
      <c r="T82" s="2395" t="n"/>
      <c r="U82" s="2395" t="n"/>
    </row>
    <row r="83" hidden="1" s="1449">
      <c r="A83" s="2395" t="n"/>
      <c r="B83" s="2405" t="n"/>
      <c r="C83" s="2399" t="n"/>
      <c r="D83" s="2399" t="n"/>
      <c r="E83" s="2399" t="n"/>
      <c r="F83" s="2399" t="n"/>
      <c r="G83" s="2399" t="n"/>
      <c r="H83" s="2395" t="n"/>
      <c r="I83" s="2395" t="n"/>
      <c r="J83" s="2395" t="n"/>
      <c r="K83" s="2395" t="n"/>
      <c r="L83" s="2395" t="n"/>
      <c r="M83" s="2395" t="n"/>
      <c r="N83" s="2395" t="n"/>
      <c r="O83" s="2395" t="n"/>
      <c r="P83" s="2395" t="n"/>
      <c r="Q83" s="2395" t="n"/>
      <c r="R83" s="2395" t="n"/>
      <c r="S83" s="2395" t="n"/>
      <c r="T83" s="2395" t="n"/>
      <c r="U83" s="2395" t="n"/>
    </row>
    <row r="84" hidden="1" s="1449">
      <c r="A84" s="2395" t="n"/>
      <c r="B84" s="2405" t="n"/>
      <c r="C84" s="2399" t="n"/>
      <c r="D84" s="2399" t="n"/>
      <c r="E84" s="2399" t="n"/>
      <c r="F84" s="2399" t="n"/>
      <c r="G84" s="2399" t="n"/>
      <c r="H84" s="2395" t="n"/>
      <c r="I84" s="2395" t="n"/>
      <c r="J84" s="2395" t="n"/>
      <c r="K84" s="2395" t="n"/>
      <c r="L84" s="2395" t="n"/>
      <c r="M84" s="2395" t="n"/>
      <c r="N84" s="2395" t="n"/>
      <c r="O84" s="2395" t="n"/>
      <c r="P84" s="2395" t="n"/>
      <c r="Q84" s="2395" t="n"/>
      <c r="R84" s="2395" t="n"/>
      <c r="S84" s="2395" t="n"/>
      <c r="T84" s="2395" t="n"/>
      <c r="U84" s="2395" t="n"/>
    </row>
    <row r="85" hidden="1" s="1449">
      <c r="A85" s="2395" t="n"/>
      <c r="B85" s="2407" t="n"/>
      <c r="C85" s="2395" t="n"/>
      <c r="D85" s="2399" t="n"/>
      <c r="E85" s="2399" t="n"/>
      <c r="F85" s="2399" t="n"/>
      <c r="G85" s="2399" t="n"/>
      <c r="H85" s="2395" t="n"/>
      <c r="I85" s="2395" t="n"/>
      <c r="J85" s="2395" t="n"/>
      <c r="K85" s="2395" t="n"/>
      <c r="L85" s="2395" t="n"/>
      <c r="M85" s="2395" t="n"/>
      <c r="N85" s="2395" t="n"/>
      <c r="O85" s="2395" t="n"/>
      <c r="P85" s="2395" t="n"/>
      <c r="Q85" s="2395" t="n"/>
      <c r="R85" s="2395" t="n"/>
      <c r="S85" s="2395" t="n"/>
      <c r="T85" s="2395" t="n"/>
      <c r="U85" s="2395" t="n"/>
    </row>
    <row r="86" hidden="1" s="1449">
      <c r="A86" s="2395" t="n"/>
      <c r="B86" s="2407" t="n"/>
      <c r="C86" s="2395" t="n"/>
      <c r="D86" s="2399" t="n"/>
      <c r="E86" s="2399" t="n"/>
      <c r="F86" s="2399" t="n"/>
      <c r="G86" s="2399" t="n"/>
      <c r="H86" s="2395" t="n"/>
      <c r="I86" s="2395" t="n"/>
      <c r="J86" s="2395" t="n"/>
      <c r="K86" s="2395" t="n"/>
      <c r="L86" s="2395" t="n"/>
      <c r="M86" s="2395" t="n"/>
      <c r="N86" s="2395" t="n"/>
      <c r="O86" s="2395" t="n"/>
      <c r="P86" s="2395" t="n"/>
      <c r="Q86" s="2395" t="n"/>
      <c r="R86" s="2395" t="n"/>
      <c r="S86" s="2395" t="n"/>
      <c r="T86" s="2395" t="n"/>
      <c r="U86" s="2395" t="n"/>
    </row>
    <row r="87" hidden="1" s="1449">
      <c r="A87" s="2395" t="n"/>
      <c r="B87" s="2407" t="n"/>
      <c r="C87" s="2395" t="n"/>
      <c r="D87" s="2399" t="n"/>
      <c r="E87" s="2399" t="n"/>
      <c r="F87" s="2399" t="n"/>
      <c r="G87" s="2399" t="n"/>
      <c r="H87" s="2395" t="n"/>
      <c r="I87" s="2395" t="n"/>
      <c r="J87" s="2395" t="n"/>
      <c r="K87" s="2395" t="n"/>
      <c r="L87" s="2395" t="n"/>
      <c r="M87" s="2395" t="n"/>
      <c r="N87" s="2395" t="n"/>
      <c r="O87" s="2395" t="n"/>
      <c r="P87" s="2395" t="n"/>
      <c r="Q87" s="2395" t="n"/>
      <c r="R87" s="2395" t="n"/>
      <c r="S87" s="2395" t="n"/>
      <c r="T87" s="2395" t="n"/>
      <c r="U87" s="2395" t="n"/>
    </row>
    <row r="88" hidden="1" s="1449">
      <c r="A88" s="2395" t="n"/>
      <c r="B88" s="2407" t="n"/>
      <c r="C88" s="2399" t="n"/>
      <c r="D88" s="2399" t="n"/>
      <c r="E88" s="2399" t="n"/>
      <c r="F88" s="2399" t="n"/>
      <c r="G88" s="2399" t="n"/>
      <c r="H88" s="2395" t="n"/>
      <c r="I88" s="2395" t="n"/>
      <c r="J88" s="2395" t="n"/>
      <c r="K88" s="2395" t="n"/>
      <c r="L88" s="2395" t="n"/>
      <c r="M88" s="2395" t="n"/>
      <c r="N88" s="2395" t="n"/>
      <c r="O88" s="2395" t="n"/>
      <c r="P88" s="2395" t="n"/>
      <c r="Q88" s="2395" t="n"/>
      <c r="R88" s="2395" t="n"/>
      <c r="S88" s="2395" t="n"/>
      <c r="T88" s="2395" t="n"/>
      <c r="U88" s="2395" t="n"/>
    </row>
    <row r="89" hidden="1" s="1449">
      <c r="A89" s="2395" t="n"/>
      <c r="B89" s="2407" t="n"/>
      <c r="C89" s="2399" t="n"/>
      <c r="D89" s="2399" t="n"/>
      <c r="E89" s="2395" t="n"/>
      <c r="F89" s="2416" t="n"/>
      <c r="G89" s="2399" t="n"/>
      <c r="H89" s="2395" t="n"/>
      <c r="I89" s="2395" t="n"/>
      <c r="J89" s="2395" t="n"/>
      <c r="K89" s="2395" t="n"/>
      <c r="L89" s="2395" t="n"/>
      <c r="M89" s="2395" t="n"/>
      <c r="N89" s="2395" t="n"/>
      <c r="O89" s="2395" t="n"/>
      <c r="P89" s="2395" t="n"/>
      <c r="Q89" s="2395" t="n"/>
      <c r="R89" s="2395" t="n"/>
      <c r="S89" s="2395" t="n"/>
      <c r="T89" s="2395" t="n"/>
      <c r="U89" s="2395" t="n"/>
    </row>
    <row r="90" hidden="1" s="1449">
      <c r="A90" s="2395" t="n"/>
      <c r="B90" s="2405" t="n"/>
      <c r="C90" s="2399" t="n"/>
      <c r="D90" s="2395" t="n"/>
      <c r="E90" s="2395" t="n"/>
      <c r="F90" s="2416" t="n"/>
      <c r="G90" s="2399" t="n"/>
      <c r="H90" s="2395" t="n"/>
      <c r="I90" s="2395" t="n"/>
      <c r="J90" s="2395" t="n"/>
      <c r="K90" s="2395" t="n"/>
      <c r="L90" s="2395" t="n"/>
      <c r="M90" s="2395" t="n"/>
      <c r="N90" s="2395" t="n"/>
      <c r="O90" s="2395" t="n"/>
      <c r="P90" s="2395" t="n"/>
      <c r="Q90" s="2395" t="n"/>
      <c r="R90" s="2395" t="n"/>
      <c r="S90" s="2395" t="n"/>
      <c r="T90" s="2395" t="n"/>
      <c r="U90" s="2395" t="n"/>
    </row>
    <row r="91" hidden="1" s="1449">
      <c r="A91" s="2395" t="n"/>
      <c r="B91" s="2405" t="n"/>
      <c r="C91" s="2399" t="n"/>
      <c r="D91" s="2395" t="n"/>
      <c r="E91" s="2395" t="n"/>
      <c r="F91" s="2399" t="n"/>
      <c r="G91" s="2399" t="n"/>
      <c r="H91" s="2395" t="n"/>
      <c r="I91" s="2395" t="n"/>
      <c r="J91" s="2395" t="n"/>
      <c r="K91" s="2395" t="n"/>
      <c r="L91" s="2395" t="n"/>
      <c r="M91" s="2395" t="n"/>
      <c r="N91" s="2395" t="n"/>
      <c r="O91" s="2395" t="n"/>
      <c r="P91" s="2395" t="n"/>
      <c r="Q91" s="2395" t="n"/>
      <c r="R91" s="2395" t="n"/>
      <c r="S91" s="2395" t="n"/>
      <c r="T91" s="2395" t="n"/>
      <c r="U91" s="2395" t="n"/>
    </row>
    <row r="92" hidden="1" s="1449">
      <c r="A92" s="2395" t="n"/>
      <c r="B92" s="2407" t="n"/>
      <c r="C92" s="2399" t="n"/>
      <c r="D92" s="2417" t="n"/>
      <c r="E92" s="2417" t="n"/>
      <c r="F92" s="2399" t="n"/>
      <c r="G92" s="2399" t="n"/>
      <c r="H92" s="2395" t="n"/>
      <c r="I92" s="2395" t="n"/>
      <c r="J92" s="2395" t="n"/>
      <c r="K92" s="2395" t="n"/>
      <c r="L92" s="2395" t="n"/>
      <c r="M92" s="2395" t="n"/>
      <c r="N92" s="2395" t="n"/>
      <c r="O92" s="2395" t="n"/>
      <c r="P92" s="2395" t="n"/>
      <c r="Q92" s="2395" t="n"/>
      <c r="R92" s="2395" t="n"/>
      <c r="S92" s="2395" t="n"/>
      <c r="T92" s="2395" t="n"/>
      <c r="U92" s="2395" t="n"/>
    </row>
    <row r="93" hidden="1" s="1449">
      <c r="A93" s="2395" t="n"/>
      <c r="B93" s="2405" t="n"/>
      <c r="C93" s="2399" t="n"/>
      <c r="D93" s="2399" t="n"/>
      <c r="E93" s="2399" t="n"/>
      <c r="F93" s="2399" t="n"/>
      <c r="G93" s="2399" t="n"/>
      <c r="H93" s="2395" t="n"/>
      <c r="I93" s="2395" t="n"/>
      <c r="J93" s="2395" t="n"/>
      <c r="K93" s="2395" t="n"/>
      <c r="L93" s="2395" t="n"/>
      <c r="M93" s="2395" t="n"/>
      <c r="N93" s="2395" t="n"/>
      <c r="O93" s="2395" t="n"/>
      <c r="P93" s="2395" t="n"/>
      <c r="Q93" s="2395" t="n"/>
      <c r="R93" s="2395" t="n"/>
      <c r="S93" s="2395" t="n"/>
      <c r="T93" s="2395" t="n"/>
      <c r="U93" s="2395" t="n"/>
    </row>
    <row r="94" hidden="1" s="1449">
      <c r="A94" s="2395" t="n"/>
      <c r="B94" s="2407" t="n"/>
      <c r="C94" s="2399" t="n"/>
      <c r="D94" s="2417" t="n"/>
      <c r="E94" s="2417" t="n"/>
      <c r="F94" s="2395" t="n"/>
      <c r="G94" s="2399" t="n"/>
      <c r="H94" s="2395" t="n"/>
      <c r="I94" s="2395" t="n"/>
      <c r="J94" s="2395" t="n"/>
      <c r="K94" s="2395" t="n"/>
      <c r="L94" s="2395" t="n"/>
      <c r="M94" s="2395" t="n"/>
      <c r="N94" s="2395" t="n"/>
      <c r="O94" s="2395" t="n"/>
      <c r="P94" s="2395" t="n"/>
      <c r="Q94" s="2395" t="n"/>
      <c r="R94" s="2395" t="n"/>
      <c r="S94" s="2395" t="n"/>
      <c r="T94" s="2395" t="n"/>
      <c r="U94" s="2395" t="n"/>
    </row>
    <row r="95" hidden="1" s="1449">
      <c r="A95" s="2395" t="n"/>
      <c r="B95" s="2405" t="n"/>
      <c r="C95" s="2399" t="n"/>
      <c r="D95" s="2399" t="n"/>
      <c r="E95" s="2399" t="n"/>
      <c r="F95" s="2399" t="n"/>
      <c r="G95" s="2399" t="n"/>
      <c r="H95" s="2395" t="n"/>
      <c r="I95" s="2395" t="n"/>
      <c r="J95" s="2395" t="n"/>
      <c r="K95" s="2395" t="n"/>
      <c r="L95" s="2395" t="n"/>
      <c r="M95" s="2395" t="n"/>
      <c r="N95" s="2395" t="n"/>
      <c r="O95" s="2395" t="n"/>
      <c r="P95" s="2395" t="n"/>
      <c r="Q95" s="2395" t="n"/>
      <c r="R95" s="2395" t="n"/>
      <c r="S95" s="2395" t="n"/>
      <c r="T95" s="2395" t="n"/>
      <c r="U95" s="2395" t="n"/>
    </row>
    <row r="96" hidden="1" s="1449">
      <c r="A96" s="2395" t="n"/>
      <c r="B96" s="2407" t="n"/>
      <c r="C96" s="2399" t="n"/>
      <c r="D96" s="2399" t="n"/>
      <c r="E96" s="2399" t="n"/>
      <c r="F96" s="2399" t="n"/>
      <c r="G96" s="2399" t="n"/>
      <c r="H96" s="2395" t="n"/>
      <c r="I96" s="2395" t="n"/>
      <c r="J96" s="2395" t="n"/>
      <c r="K96" s="2395" t="n"/>
      <c r="L96" s="2395" t="n"/>
      <c r="M96" s="2395" t="n"/>
      <c r="N96" s="2395" t="n"/>
      <c r="O96" s="2395" t="n"/>
      <c r="P96" s="2395" t="n"/>
      <c r="Q96" s="2395" t="n"/>
      <c r="R96" s="2395" t="n"/>
      <c r="S96" s="2395" t="n"/>
      <c r="T96" s="2395" t="n"/>
      <c r="U96" s="2395" t="n"/>
    </row>
    <row r="97" hidden="1" s="1449">
      <c r="A97" s="2395" t="n"/>
      <c r="B97" s="2399" t="n"/>
      <c r="C97" s="2399" t="n"/>
      <c r="D97" s="2399" t="n"/>
      <c r="E97" s="2399" t="n"/>
      <c r="F97" s="2399" t="n"/>
      <c r="G97" s="2399" t="n"/>
      <c r="H97" s="2395" t="n"/>
      <c r="I97" s="2395" t="n"/>
      <c r="J97" s="2395" t="n"/>
      <c r="K97" s="2395" t="n"/>
      <c r="L97" s="2395" t="n"/>
      <c r="M97" s="2395" t="n"/>
      <c r="N97" s="2395" t="n"/>
      <c r="O97" s="2395" t="n"/>
      <c r="P97" s="2395" t="n"/>
      <c r="Q97" s="2395" t="n"/>
      <c r="R97" s="2395" t="n"/>
      <c r="S97" s="2395" t="n"/>
      <c r="T97" s="2395" t="n"/>
      <c r="U97" s="2395" t="n"/>
    </row>
    <row r="98" hidden="1" s="1449">
      <c r="A98" s="2395" t="n"/>
      <c r="B98" s="2399" t="n"/>
      <c r="C98" s="2399" t="n"/>
      <c r="D98" s="2399" t="n"/>
      <c r="E98" s="2399" t="n"/>
      <c r="F98" s="2399" t="n"/>
      <c r="G98" s="2399" t="n"/>
      <c r="H98" s="2395" t="n"/>
      <c r="I98" s="2395" t="n"/>
      <c r="J98" s="2395" t="n"/>
      <c r="K98" s="2395" t="n"/>
      <c r="L98" s="2395" t="n"/>
      <c r="M98" s="2395" t="n"/>
      <c r="N98" s="2395" t="n"/>
      <c r="O98" s="2395" t="n"/>
      <c r="P98" s="2395" t="n"/>
      <c r="Q98" s="2395" t="n"/>
      <c r="R98" s="2395" t="n"/>
      <c r="S98" s="2395" t="n"/>
      <c r="T98" s="2395" t="n"/>
      <c r="U98" s="2395" t="n"/>
    </row>
    <row r="99" hidden="1" s="1449">
      <c r="A99" s="2395" t="n"/>
      <c r="B99" s="2405" t="n"/>
      <c r="C99" s="2399" t="n"/>
      <c r="D99" s="2399" t="n"/>
      <c r="E99" s="2399" t="n"/>
      <c r="F99" s="2399" t="n"/>
      <c r="G99" s="2399" t="n"/>
      <c r="H99" s="2395" t="n"/>
      <c r="I99" s="2395" t="n"/>
      <c r="J99" s="2395" t="n"/>
      <c r="K99" s="2395" t="n"/>
      <c r="L99" s="2395" t="n"/>
      <c r="M99" s="2395" t="n"/>
      <c r="N99" s="2395" t="n"/>
      <c r="O99" s="2395" t="n"/>
      <c r="P99" s="2395" t="n"/>
      <c r="Q99" s="2395" t="n"/>
      <c r="R99" s="2395" t="n"/>
      <c r="S99" s="2395" t="n"/>
      <c r="T99" s="2395" t="n"/>
      <c r="U99" s="2395" t="n"/>
    </row>
    <row r="100" hidden="1" s="1449">
      <c r="A100" s="2395" t="n"/>
      <c r="B100" s="2407" t="n"/>
      <c r="C100" s="2399" t="n"/>
      <c r="D100" s="2399" t="n"/>
      <c r="E100" s="2399" t="n"/>
      <c r="F100" s="2399" t="n"/>
      <c r="G100" s="2399" t="n"/>
      <c r="H100" s="2395" t="n"/>
      <c r="I100" s="2395" t="n"/>
      <c r="J100" s="2395" t="n"/>
      <c r="K100" s="2395" t="n"/>
      <c r="L100" s="2395" t="n"/>
      <c r="M100" s="2395" t="n"/>
      <c r="N100" s="2395" t="n"/>
      <c r="O100" s="2395" t="n"/>
      <c r="P100" s="2395" t="n"/>
      <c r="Q100" s="2395" t="n"/>
      <c r="R100" s="2395" t="n"/>
      <c r="S100" s="2395" t="n"/>
      <c r="T100" s="2395" t="n"/>
      <c r="U100" s="2395" t="n"/>
    </row>
    <row r="101" hidden="1" s="1449">
      <c r="A101" s="2395" t="n"/>
      <c r="B101" s="2407" t="n"/>
      <c r="C101" s="2399" t="n"/>
      <c r="D101" s="2399" t="n"/>
      <c r="E101" s="2399" t="n"/>
      <c r="F101" s="2399" t="n"/>
      <c r="G101" s="2399" t="n"/>
      <c r="H101" s="2395" t="n"/>
      <c r="I101" s="2395" t="n"/>
      <c r="J101" s="2395" t="n"/>
      <c r="K101" s="2395" t="n"/>
      <c r="L101" s="2395" t="n"/>
      <c r="M101" s="2395" t="n"/>
      <c r="N101" s="2395" t="n"/>
      <c r="O101" s="2395" t="n"/>
      <c r="P101" s="2395" t="n"/>
      <c r="Q101" s="2395" t="n"/>
      <c r="R101" s="2395" t="n"/>
      <c r="S101" s="2395" t="n"/>
      <c r="T101" s="2395" t="n"/>
      <c r="U101" s="2395" t="n"/>
    </row>
    <row r="102" hidden="1" s="1449">
      <c r="A102" s="2395" t="n"/>
      <c r="B102" s="2418" t="n"/>
      <c r="C102" s="2399" t="n"/>
      <c r="D102" s="2399" t="n"/>
      <c r="E102" s="2399" t="n"/>
      <c r="F102" s="2399" t="n"/>
      <c r="G102" s="2399" t="n"/>
      <c r="H102" s="2395" t="n"/>
      <c r="I102" s="2395" t="n"/>
      <c r="J102" s="2395" t="n"/>
      <c r="K102" s="2395" t="n"/>
      <c r="L102" s="2395" t="n"/>
      <c r="M102" s="2395" t="n"/>
      <c r="N102" s="2395" t="n"/>
      <c r="O102" s="2395" t="n"/>
      <c r="P102" s="2395" t="n"/>
      <c r="Q102" s="2395" t="n"/>
      <c r="R102" s="2395" t="n"/>
      <c r="S102" s="2395" t="n"/>
      <c r="T102" s="2395" t="n"/>
      <c r="U102" s="2395" t="n"/>
    </row>
    <row r="103" hidden="1" s="1449">
      <c r="A103" s="2395" t="n"/>
      <c r="B103" s="2418" t="n"/>
      <c r="C103" s="2399" t="n"/>
      <c r="D103" s="2399" t="n"/>
      <c r="E103" s="2399" t="n"/>
      <c r="F103" s="2399" t="n"/>
      <c r="G103" s="2399" t="n"/>
      <c r="H103" s="2395" t="n"/>
      <c r="I103" s="2395" t="n"/>
      <c r="J103" s="2395" t="n"/>
      <c r="K103" s="2395" t="n"/>
      <c r="L103" s="2395" t="n"/>
      <c r="M103" s="2395" t="n"/>
      <c r="N103" s="2395" t="n"/>
      <c r="O103" s="2395" t="n"/>
      <c r="P103" s="2395" t="n"/>
      <c r="Q103" s="2395" t="n"/>
      <c r="R103" s="2395" t="n"/>
      <c r="S103" s="2395" t="n"/>
      <c r="T103" s="2395" t="n"/>
      <c r="U103" s="2395" t="n"/>
    </row>
    <row r="104" hidden="1" s="1449">
      <c r="A104" s="2395" t="n"/>
      <c r="B104" s="2418" t="n"/>
      <c r="C104" s="2399" t="n"/>
      <c r="D104" s="2399" t="n"/>
      <c r="E104" s="2399" t="n"/>
      <c r="F104" s="2399" t="n"/>
      <c r="G104" s="2399" t="n"/>
      <c r="H104" s="2395" t="n"/>
      <c r="I104" s="2395" t="n"/>
      <c r="J104" s="2395" t="n"/>
      <c r="K104" s="2395" t="n"/>
      <c r="L104" s="2395" t="n"/>
      <c r="M104" s="2395" t="n"/>
      <c r="N104" s="2395" t="n"/>
      <c r="O104" s="2395" t="n"/>
      <c r="P104" s="2395" t="n"/>
      <c r="Q104" s="2395" t="n"/>
      <c r="R104" s="2395" t="n"/>
      <c r="S104" s="2395" t="n"/>
      <c r="T104" s="2395" t="n"/>
      <c r="U104" s="2395" t="n"/>
    </row>
    <row r="105" hidden="1" s="1449">
      <c r="A105" s="2395" t="n"/>
      <c r="B105" s="2405" t="n"/>
      <c r="C105" s="2399" t="n"/>
      <c r="D105" s="2399" t="n"/>
      <c r="E105" s="2399" t="n"/>
      <c r="F105" s="2399" t="n"/>
      <c r="G105" s="2399" t="n"/>
      <c r="H105" s="2395" t="n"/>
      <c r="I105" s="2395" t="n"/>
      <c r="J105" s="2395" t="n"/>
      <c r="K105" s="2395" t="n"/>
      <c r="L105" s="2395" t="n"/>
      <c r="M105" s="2395" t="n"/>
      <c r="N105" s="2395" t="n"/>
      <c r="O105" s="2395" t="n"/>
      <c r="P105" s="2395" t="n"/>
      <c r="Q105" s="2395" t="n"/>
      <c r="R105" s="2395" t="n"/>
      <c r="S105" s="2395" t="n"/>
      <c r="T105" s="2395" t="n"/>
      <c r="U105" s="2395" t="n"/>
    </row>
    <row r="106" hidden="1" s="1449">
      <c r="A106" s="2395" t="n"/>
      <c r="B106" s="2405" t="n"/>
      <c r="C106" s="2399" t="n"/>
      <c r="D106" s="2399" t="n"/>
      <c r="E106" s="2399" t="n"/>
      <c r="F106" s="2399" t="n"/>
      <c r="G106" s="2399" t="n"/>
      <c r="H106" s="2395" t="n"/>
      <c r="I106" s="2395" t="n"/>
      <c r="J106" s="2395" t="n"/>
      <c r="K106" s="2395" t="n"/>
      <c r="L106" s="2395" t="n"/>
      <c r="M106" s="2395" t="n"/>
      <c r="N106" s="2395" t="n"/>
      <c r="O106" s="2395" t="n"/>
      <c r="P106" s="2395" t="n"/>
      <c r="Q106" s="2395" t="n"/>
      <c r="R106" s="2395" t="n"/>
      <c r="S106" s="2395" t="n"/>
      <c r="T106" s="2395" t="n"/>
      <c r="U106" s="2395" t="n"/>
    </row>
    <row r="107" hidden="1" s="1449">
      <c r="A107" s="2395" t="n"/>
      <c r="B107" s="2405" t="n"/>
      <c r="C107" s="2419" t="n"/>
      <c r="D107" s="2399" t="n"/>
      <c r="E107" s="2399" t="n"/>
      <c r="F107" s="2399" t="n"/>
      <c r="G107" s="2399" t="n"/>
      <c r="H107" s="2395" t="n"/>
      <c r="I107" s="2395" t="n"/>
      <c r="J107" s="2395" t="n"/>
      <c r="K107" s="2395" t="n"/>
      <c r="L107" s="2395" t="n"/>
      <c r="M107" s="2395" t="n"/>
      <c r="N107" s="2395" t="n"/>
      <c r="O107" s="2395" t="n"/>
      <c r="P107" s="2395" t="n"/>
      <c r="Q107" s="2395" t="n"/>
      <c r="R107" s="2395" t="n"/>
      <c r="S107" s="2395" t="n"/>
      <c r="T107" s="2395" t="n"/>
      <c r="U107" s="2395" t="n"/>
    </row>
    <row r="108" hidden="1" s="1449">
      <c r="A108" s="2395" t="n"/>
      <c r="B108" s="2399" t="n"/>
      <c r="C108" s="2399" t="n"/>
      <c r="D108" s="2399" t="n"/>
      <c r="E108" s="2399" t="n"/>
      <c r="F108" s="2399" t="n"/>
      <c r="G108" s="2399" t="n"/>
      <c r="H108" s="2395" t="n"/>
      <c r="I108" s="2395" t="n"/>
      <c r="J108" s="2395" t="n"/>
      <c r="K108" s="2395" t="n"/>
      <c r="L108" s="2395" t="n"/>
      <c r="M108" s="2395" t="n"/>
      <c r="N108" s="2395" t="n"/>
      <c r="O108" s="2395" t="n"/>
      <c r="P108" s="2395" t="n"/>
      <c r="Q108" s="2395" t="n"/>
      <c r="R108" s="2395" t="n"/>
      <c r="S108" s="2395" t="n"/>
      <c r="T108" s="2395" t="n"/>
      <c r="U108" s="2395" t="n"/>
    </row>
    <row r="109" hidden="1" s="1449">
      <c r="A109" s="2395" t="n"/>
      <c r="B109" s="2407" t="n"/>
      <c r="C109" s="2399" t="n"/>
      <c r="D109" s="2399" t="n"/>
      <c r="E109" s="2399" t="n"/>
      <c r="F109" s="2399" t="n"/>
      <c r="G109" s="2399" t="n"/>
      <c r="H109" s="2395" t="n"/>
      <c r="I109" s="2395" t="n"/>
      <c r="J109" s="2395" t="n"/>
      <c r="K109" s="2395" t="n"/>
      <c r="L109" s="2395" t="n"/>
      <c r="M109" s="2395" t="n"/>
      <c r="N109" s="2395" t="n"/>
      <c r="O109" s="2395" t="n"/>
      <c r="P109" s="2395" t="n"/>
      <c r="Q109" s="2395" t="n"/>
      <c r="R109" s="2395" t="n"/>
      <c r="S109" s="2395" t="n"/>
      <c r="T109" s="2395" t="n"/>
      <c r="U109" s="2395" t="n"/>
    </row>
    <row r="110" hidden="1" s="1449">
      <c r="A110" s="2395" t="n"/>
      <c r="B110" s="2405" t="n"/>
      <c r="C110" s="2399" t="n"/>
      <c r="D110" s="2399" t="n"/>
      <c r="E110" s="2399" t="n"/>
      <c r="F110" s="2399" t="n"/>
      <c r="G110" s="2399" t="n"/>
      <c r="H110" s="2395" t="n"/>
      <c r="I110" s="2395" t="n"/>
      <c r="J110" s="2395" t="n"/>
      <c r="K110" s="2395" t="n"/>
      <c r="L110" s="2395" t="n"/>
      <c r="M110" s="2395" t="n"/>
      <c r="N110" s="2395" t="n"/>
      <c r="O110" s="2395" t="n"/>
      <c r="P110" s="2395" t="n"/>
      <c r="Q110" s="2425" t="n"/>
      <c r="R110" s="2399" t="n"/>
      <c r="S110" s="2395" t="n"/>
      <c r="T110" s="2395" t="n"/>
      <c r="U110" s="2395" t="n"/>
    </row>
    <row r="111" hidden="1" s="1449">
      <c r="A111" s="2395" t="n"/>
      <c r="B111" s="2399" t="n"/>
      <c r="C111" s="2419" t="n"/>
      <c r="D111" s="2399" t="n"/>
      <c r="E111" s="2399" t="n"/>
      <c r="F111" s="2399" t="n"/>
      <c r="G111" s="2399" t="n"/>
      <c r="H111" s="2395" t="n"/>
      <c r="I111" s="2395" t="n"/>
      <c r="J111" s="2395" t="n"/>
      <c r="K111" s="2395" t="n"/>
      <c r="L111" s="2395" t="n"/>
      <c r="M111" s="2395" t="n"/>
      <c r="N111" s="2395" t="n"/>
      <c r="O111" s="2395" t="n"/>
      <c r="P111" s="2395" t="n"/>
      <c r="Q111" s="2425" t="n"/>
      <c r="R111" s="2399" t="n"/>
      <c r="S111" s="2395" t="n"/>
      <c r="T111" s="2395" t="n"/>
      <c r="U111" s="2395" t="n"/>
    </row>
    <row r="112" hidden="1" s="1449">
      <c r="A112" s="2395" t="n"/>
      <c r="B112" s="2399" t="n"/>
      <c r="C112" s="2399" t="n"/>
      <c r="D112" s="2399" t="n"/>
      <c r="E112" s="2399" t="n"/>
      <c r="F112" s="2399" t="n"/>
      <c r="G112" s="2399" t="n"/>
      <c r="H112" s="2395" t="n"/>
      <c r="I112" s="2395" t="n"/>
      <c r="J112" s="2395" t="n"/>
      <c r="K112" s="2395" t="n"/>
      <c r="L112" s="2395" t="n"/>
      <c r="M112" s="2395" t="n"/>
      <c r="N112" s="2395" t="n"/>
      <c r="O112" s="2395" t="n"/>
      <c r="P112" s="2395" t="n"/>
      <c r="Q112" s="2395" t="n"/>
      <c r="R112" s="2395" t="n"/>
      <c r="S112" s="2395" t="n"/>
      <c r="T112" s="2395" t="n"/>
      <c r="U112" s="2395" t="n"/>
    </row>
    <row r="113" hidden="1" s="1449">
      <c r="A113" s="2395" t="n"/>
      <c r="B113" s="2399" t="n"/>
      <c r="C113" s="2399" t="n"/>
      <c r="D113" s="2399" t="n"/>
      <c r="E113" s="2399" t="n"/>
      <c r="F113" s="2399" t="n"/>
      <c r="G113" s="2399" t="n"/>
      <c r="H113" s="2395" t="n"/>
      <c r="I113" s="2395" t="n"/>
      <c r="J113" s="2395" t="n"/>
      <c r="K113" s="2395" t="n"/>
      <c r="L113" s="2395" t="n"/>
      <c r="M113" s="2395" t="n"/>
      <c r="N113" s="2395" t="n"/>
      <c r="O113" s="2395" t="n"/>
      <c r="P113" s="2395" t="n"/>
      <c r="Q113" s="2395" t="n"/>
      <c r="R113" s="2395" t="n"/>
      <c r="S113" s="2395" t="n"/>
      <c r="T113" s="2395" t="n"/>
      <c r="U113" s="2395" t="n"/>
    </row>
    <row r="114" hidden="1" s="1449">
      <c r="A114" s="2395" t="n"/>
      <c r="B114" s="2420" t="n"/>
      <c r="C114" s="2421" t="n"/>
      <c r="D114" s="2399" t="n"/>
      <c r="E114" s="2399" t="n"/>
      <c r="F114" s="2399" t="n"/>
      <c r="G114" s="2395" t="n"/>
      <c r="H114" s="2395" t="n"/>
      <c r="I114" s="2395" t="n"/>
      <c r="J114" s="2395" t="n"/>
      <c r="K114" s="2395" t="n"/>
      <c r="L114" s="2395" t="n"/>
      <c r="M114" s="2395" t="n"/>
      <c r="N114" s="2395" t="n"/>
      <c r="O114" s="2395" t="n"/>
      <c r="P114" s="2395" t="n"/>
      <c r="Q114" s="2395" t="n"/>
      <c r="R114" s="2395" t="n"/>
      <c r="S114" s="2395" t="n"/>
      <c r="T114" s="2395" t="n"/>
      <c r="U114" s="2395" t="n"/>
    </row>
    <row r="115" hidden="1" s="1449">
      <c r="A115" s="2395" t="n"/>
      <c r="B115" s="2405" t="n"/>
      <c r="C115" s="2399" t="n"/>
      <c r="D115" s="2399" t="n"/>
      <c r="E115" s="2399" t="n"/>
      <c r="F115" s="2399" t="n"/>
      <c r="G115" s="2416" t="n"/>
      <c r="H115" s="2395" t="n"/>
      <c r="I115" s="2395" t="n"/>
      <c r="J115" s="2395" t="n"/>
      <c r="K115" s="2395" t="n"/>
      <c r="L115" s="2395" t="n"/>
      <c r="M115" s="2395" t="n"/>
      <c r="N115" s="2395" t="n"/>
      <c r="O115" s="2395" t="n"/>
      <c r="P115" s="2395" t="n"/>
      <c r="Q115" s="2395" t="n"/>
      <c r="R115" s="2395" t="n"/>
      <c r="S115" s="2395" t="n"/>
      <c r="T115" s="2395" t="n"/>
      <c r="U115" s="2395" t="n"/>
    </row>
    <row r="116" hidden="1" s="1449">
      <c r="A116" s="2395" t="n"/>
      <c r="B116" s="2396" t="n"/>
      <c r="C116" s="2396" t="n"/>
      <c r="D116" s="2399" t="n"/>
      <c r="E116" s="2425" t="n"/>
      <c r="F116" s="2425" t="n"/>
      <c r="G116" s="2425" t="n"/>
      <c r="H116" s="2395" t="n"/>
      <c r="I116" s="2395" t="n"/>
      <c r="J116" s="2395" t="n"/>
      <c r="K116" s="2395" t="n"/>
      <c r="L116" s="2395" t="n"/>
      <c r="M116" s="2395" t="n"/>
      <c r="N116" s="2395" t="n"/>
      <c r="O116" s="2395" t="n"/>
      <c r="P116" s="2395" t="n"/>
      <c r="Q116" s="2395" t="n"/>
      <c r="R116" s="2395" t="n"/>
      <c r="S116" s="2395" t="n"/>
      <c r="T116" s="2395" t="n"/>
      <c r="U116" s="2395" t="n"/>
    </row>
    <row r="117" hidden="1" s="1449">
      <c r="A117" s="2395" t="n"/>
      <c r="B117" s="2422" t="n"/>
      <c r="C117" s="2422" t="n"/>
      <c r="D117" s="2422" t="n"/>
      <c r="E117" s="2422" t="n"/>
      <c r="F117" s="2422" t="n"/>
      <c r="G117" s="2422" t="n"/>
      <c r="H117" s="2395" t="n"/>
      <c r="I117" s="2395" t="n"/>
      <c r="J117" s="2395" t="n"/>
      <c r="K117" s="2395" t="n"/>
      <c r="L117" s="2395" t="n"/>
      <c r="M117" s="2395" t="n"/>
      <c r="N117" s="2395" t="n"/>
      <c r="O117" s="2395" t="n"/>
      <c r="P117" s="2395" t="n"/>
      <c r="Q117" s="2395" t="n"/>
      <c r="R117" s="2395" t="n"/>
      <c r="S117" s="2395" t="n"/>
      <c r="T117" s="2395" t="n"/>
      <c r="U117" s="2395" t="n"/>
    </row>
    <row r="118" hidden="1" s="1449">
      <c r="A118" s="2395" t="n"/>
      <c r="B118" s="2395" t="n"/>
      <c r="C118" s="2395" t="n"/>
      <c r="D118" s="2395" t="n"/>
      <c r="E118" s="2395" t="n"/>
      <c r="F118" s="2395" t="n"/>
      <c r="G118" s="2395" t="n"/>
      <c r="H118" s="2395" t="n"/>
      <c r="I118" s="2395" t="n"/>
      <c r="J118" s="2395" t="n"/>
      <c r="K118" s="2395" t="n"/>
      <c r="L118" s="2395" t="n"/>
      <c r="M118" s="2395" t="n"/>
      <c r="N118" s="2395" t="n"/>
      <c r="O118" s="2395" t="n"/>
      <c r="P118" s="2395" t="n"/>
      <c r="Q118" s="2425" t="n"/>
      <c r="R118" s="2399" t="n"/>
      <c r="S118" s="2395" t="n"/>
      <c r="T118" s="2395" t="n"/>
      <c r="U118" s="2395" t="n"/>
    </row>
    <row r="119" hidden="1" s="1449">
      <c r="A119" s="2395" t="n"/>
      <c r="B119" s="2417" t="n"/>
      <c r="C119" s="2395" t="n"/>
      <c r="D119" s="2395" t="n"/>
      <c r="E119" s="2395" t="n"/>
      <c r="F119" s="2395" t="n"/>
      <c r="G119" s="2395" t="n"/>
      <c r="H119" s="2395" t="n"/>
      <c r="I119" s="2395" t="n"/>
      <c r="J119" s="2395" t="n"/>
      <c r="K119" s="2395" t="n"/>
      <c r="L119" s="2395" t="n"/>
      <c r="M119" s="2395" t="n"/>
      <c r="N119" s="2395" t="n"/>
      <c r="O119" s="2395" t="n"/>
      <c r="P119" s="2395" t="n"/>
      <c r="Q119" s="2425" t="n"/>
      <c r="R119" s="2399" t="n"/>
      <c r="S119" s="2395" t="n"/>
      <c r="T119" s="2395" t="n"/>
      <c r="U119" s="2395" t="n"/>
    </row>
    <row r="120" hidden="1" s="1449">
      <c r="A120" s="2395" t="n"/>
      <c r="B120" s="2396" t="n"/>
      <c r="C120" s="2399" t="n"/>
      <c r="D120" s="2426" t="n"/>
      <c r="E120" s="2395" t="n"/>
      <c r="F120" s="2395" t="n"/>
      <c r="G120" s="2395" t="n"/>
      <c r="H120" s="2395" t="n"/>
      <c r="I120" s="2395" t="n"/>
      <c r="J120" s="2395" t="n"/>
      <c r="K120" s="2395" t="n"/>
      <c r="L120" s="2395" t="n"/>
      <c r="M120" s="2395" t="n"/>
      <c r="N120" s="2395" t="n"/>
      <c r="O120" s="2395" t="n"/>
      <c r="P120" s="2395" t="n"/>
      <c r="Q120" s="2425" t="n"/>
      <c r="R120" s="2399" t="n"/>
      <c r="S120" s="2395" t="n"/>
      <c r="T120" s="2395" t="n"/>
      <c r="U120" s="2395" t="n"/>
    </row>
    <row r="121" hidden="1" s="1449">
      <c r="A121" s="2395" t="n"/>
      <c r="B121" s="2396" t="n"/>
      <c r="C121" s="2399" t="n"/>
      <c r="D121" s="2427" t="n"/>
      <c r="E121" s="2395" t="n"/>
      <c r="F121" s="2395" t="n"/>
      <c r="G121" s="2395" t="n"/>
      <c r="H121" s="2395" t="n"/>
      <c r="I121" s="2395" t="n"/>
      <c r="J121" s="2395" t="n"/>
      <c r="K121" s="2395" t="n"/>
      <c r="L121" s="2395" t="n"/>
      <c r="M121" s="2395" t="n"/>
      <c r="N121" s="2395" t="n"/>
      <c r="O121" s="2395" t="n"/>
      <c r="P121" s="2395" t="n"/>
      <c r="Q121" s="2425" t="n"/>
      <c r="R121" s="2399" t="n"/>
      <c r="S121" s="2395" t="n"/>
      <c r="T121" s="2395" t="n"/>
      <c r="U121" s="2395" t="n"/>
    </row>
    <row r="122" hidden="1" ht="24" customHeight="1" s="1449">
      <c r="A122" s="2395" t="n"/>
      <c r="B122" s="2428" t="n"/>
      <c r="C122" s="2399" t="n"/>
      <c r="D122" s="2427" t="n"/>
      <c r="E122" s="2395" t="n"/>
      <c r="F122" s="2395" t="n"/>
      <c r="G122" s="2395" t="n"/>
      <c r="H122" s="2395" t="n"/>
      <c r="I122" s="2395" t="n"/>
      <c r="J122" s="2395" t="n"/>
      <c r="K122" s="2395" t="n"/>
      <c r="L122" s="2395" t="n"/>
      <c r="M122" s="2395" t="n"/>
      <c r="N122" s="2395" t="n"/>
      <c r="O122" s="2395" t="n"/>
      <c r="P122" s="2395" t="n"/>
      <c r="Q122" s="2395" t="n"/>
      <c r="R122" s="2395" t="n"/>
      <c r="S122" s="2395" t="n"/>
      <c r="T122" s="2395" t="n"/>
      <c r="U122" s="2395" t="n"/>
    </row>
    <row r="123" hidden="1" s="1449">
      <c r="A123" s="2395" t="n"/>
      <c r="B123" s="2396" t="n"/>
      <c r="C123" s="2399" t="n"/>
      <c r="D123" s="2426" t="n"/>
      <c r="E123" s="2395" t="n"/>
      <c r="F123" s="2395" t="n"/>
      <c r="G123" s="2395" t="n"/>
      <c r="H123" s="2395" t="n"/>
      <c r="I123" s="2395" t="n"/>
      <c r="J123" s="2395" t="n"/>
      <c r="K123" s="2395" t="n"/>
      <c r="L123" s="2395" t="n"/>
      <c r="M123" s="2395" t="n"/>
      <c r="N123" s="2395" t="n"/>
      <c r="O123" s="2395" t="n"/>
      <c r="P123" s="2395" t="n"/>
      <c r="Q123" s="2395" t="n"/>
      <c r="R123" s="2395" t="n"/>
      <c r="S123" s="2395" t="n"/>
      <c r="T123" s="2395" t="n"/>
      <c r="U123" s="2395" t="n"/>
    </row>
    <row r="124" hidden="1" s="1449">
      <c r="A124" s="2395" t="n"/>
      <c r="B124" s="2396" t="n"/>
      <c r="C124" s="2399" t="n"/>
      <c r="D124" s="2426" t="n"/>
      <c r="E124" s="2395" t="n"/>
      <c r="F124" s="2395" t="n"/>
      <c r="G124" s="2395" t="n"/>
      <c r="H124" s="2395" t="n"/>
      <c r="I124" s="2395" t="n"/>
      <c r="J124" s="2395" t="n"/>
      <c r="K124" s="2395" t="n"/>
      <c r="L124" s="2395" t="n"/>
      <c r="M124" s="2395" t="n"/>
      <c r="N124" s="2395" t="n"/>
      <c r="O124" s="2395" t="n"/>
      <c r="P124" s="2395" t="n"/>
      <c r="Q124" s="2395" t="n"/>
      <c r="R124" s="2395" t="n"/>
      <c r="S124" s="2395" t="n"/>
      <c r="T124" s="2395" t="n"/>
      <c r="U124" s="2395" t="n"/>
    </row>
    <row r="125" hidden="1" s="1449">
      <c r="A125" s="2395" t="n"/>
      <c r="B125" s="2396" t="n"/>
      <c r="C125" s="2399" t="n"/>
      <c r="D125" s="2426" t="n"/>
      <c r="E125" s="2395" t="n"/>
      <c r="F125" s="2395" t="n"/>
      <c r="G125" s="2395" t="n"/>
      <c r="H125" s="2395" t="n"/>
      <c r="I125" s="2395" t="n"/>
      <c r="J125" s="2395" t="n"/>
      <c r="K125" s="2395" t="n"/>
      <c r="L125" s="2395" t="n"/>
      <c r="M125" s="2395" t="n"/>
      <c r="N125" s="2395" t="n"/>
      <c r="O125" s="2395" t="n"/>
      <c r="P125" s="2395" t="n"/>
      <c r="Q125" s="2395" t="n"/>
      <c r="R125" s="2395" t="n"/>
      <c r="S125" s="2395" t="n"/>
      <c r="T125" s="2395" t="n"/>
      <c r="U125" s="2395" t="n"/>
    </row>
    <row r="126" hidden="1" s="1449">
      <c r="A126" s="2395" t="n"/>
      <c r="B126" s="2396" t="n"/>
      <c r="C126" s="2399" t="n"/>
      <c r="D126" s="2426" t="n"/>
      <c r="E126" s="2395" t="n"/>
      <c r="F126" s="2395" t="n"/>
      <c r="G126" s="2395" t="n"/>
      <c r="H126" s="2395" t="n"/>
      <c r="I126" s="2395" t="n"/>
      <c r="J126" s="2395" t="n"/>
      <c r="K126" s="2395" t="n"/>
      <c r="L126" s="2395" t="n"/>
      <c r="M126" s="2395" t="n"/>
      <c r="N126" s="2395" t="n"/>
      <c r="O126" s="2395" t="n"/>
      <c r="P126" s="2395" t="n"/>
      <c r="Q126" s="2395" t="n"/>
      <c r="R126" s="2395" t="n"/>
      <c r="S126" s="2395" t="n"/>
      <c r="T126" s="2395" t="n"/>
      <c r="U126" s="2395" t="n"/>
    </row>
    <row r="127" hidden="1" s="1449">
      <c r="A127" s="2395" t="n"/>
      <c r="B127" s="2396" t="n"/>
      <c r="C127" s="2399" t="n"/>
      <c r="D127" s="2426" t="n"/>
      <c r="E127" s="2395" t="n"/>
      <c r="F127" s="2395" t="n"/>
      <c r="G127" s="2395" t="n"/>
      <c r="H127" s="2395" t="n"/>
      <c r="I127" s="2395" t="n"/>
      <c r="J127" s="2395" t="n"/>
      <c r="K127" s="2395" t="n"/>
      <c r="L127" s="2395" t="n"/>
      <c r="M127" s="2395" t="n"/>
      <c r="N127" s="2395" t="n"/>
      <c r="O127" s="2395" t="n"/>
      <c r="P127" s="2395" t="n"/>
      <c r="Q127" s="2395" t="n"/>
      <c r="R127" s="2395" t="n"/>
      <c r="S127" s="2395" t="n"/>
      <c r="T127" s="2395" t="n"/>
      <c r="U127" s="2395" t="n"/>
    </row>
    <row r="128" hidden="1" s="1449">
      <c r="A128" s="2395" t="n"/>
      <c r="B128" s="2396" t="n"/>
      <c r="C128" s="2399" t="n"/>
      <c r="D128" s="2426" t="n"/>
      <c r="E128" s="2395" t="n"/>
      <c r="F128" s="2395" t="n"/>
      <c r="G128" s="2395" t="n"/>
      <c r="H128" s="2395" t="n"/>
      <c r="I128" s="2395" t="n"/>
      <c r="J128" s="2395" t="n"/>
      <c r="K128" s="2395" t="n"/>
      <c r="L128" s="2395" t="n"/>
      <c r="M128" s="2395" t="n"/>
      <c r="N128" s="2395" t="n"/>
      <c r="O128" s="2395" t="n"/>
      <c r="P128" s="2395" t="n"/>
      <c r="Q128" s="2395" t="n"/>
      <c r="R128" s="2395" t="n"/>
      <c r="S128" s="2395" t="n"/>
      <c r="T128" s="2395" t="n"/>
      <c r="U128" s="2395" t="n"/>
    </row>
    <row r="129" hidden="1" s="1449">
      <c r="A129" s="2395" t="n"/>
      <c r="B129" s="2396" t="n"/>
      <c r="C129" s="2399" t="n"/>
      <c r="D129" s="2426" t="n"/>
      <c r="E129" s="2395" t="n"/>
      <c r="F129" s="2395" t="n"/>
      <c r="G129" s="2395" t="n"/>
      <c r="H129" s="2395" t="n"/>
      <c r="I129" s="2395" t="n"/>
      <c r="J129" s="2395" t="n"/>
      <c r="K129" s="2395" t="n"/>
      <c r="L129" s="2395" t="n"/>
      <c r="M129" s="2395" t="n"/>
      <c r="N129" s="2395" t="n"/>
      <c r="O129" s="2395" t="n"/>
      <c r="P129" s="2395" t="n"/>
      <c r="Q129" s="2395" t="n"/>
      <c r="R129" s="2395" t="n"/>
      <c r="S129" s="2395" t="n"/>
      <c r="T129" s="2395" t="n"/>
      <c r="U129" s="2395" t="n"/>
    </row>
    <row r="130" hidden="1" s="1449">
      <c r="A130" s="2395" t="n"/>
      <c r="B130" s="2396" t="n"/>
      <c r="C130" s="2399" t="n"/>
      <c r="D130" s="2426" t="n"/>
      <c r="E130" s="2395" t="n"/>
      <c r="F130" s="2395" t="n"/>
      <c r="G130" s="2395" t="n"/>
      <c r="H130" s="2395" t="n"/>
      <c r="I130" s="2395" t="n"/>
      <c r="J130" s="2395" t="n"/>
      <c r="K130" s="2395" t="n"/>
      <c r="L130" s="2395" t="n"/>
      <c r="M130" s="2395" t="n"/>
      <c r="N130" s="2395" t="n"/>
      <c r="O130" s="2395" t="n"/>
      <c r="P130" s="2395" t="n"/>
      <c r="Q130" s="2395" t="n"/>
      <c r="R130" s="2395" t="n"/>
      <c r="S130" s="2395" t="n"/>
      <c r="T130" s="2395" t="n"/>
      <c r="U130" s="2395" t="n"/>
    </row>
    <row r="131" hidden="1" s="1449">
      <c r="A131" s="2395" t="n"/>
      <c r="B131" s="2396" t="n"/>
      <c r="C131" s="2399" t="n"/>
      <c r="D131" s="2427" t="n"/>
      <c r="E131" s="2395" t="n"/>
      <c r="F131" s="2395" t="n"/>
      <c r="G131" s="2395" t="n"/>
      <c r="H131" s="2395" t="n"/>
      <c r="I131" s="2395" t="n"/>
      <c r="J131" s="2395" t="n"/>
      <c r="K131" s="2395" t="n"/>
      <c r="L131" s="2395" t="n"/>
      <c r="M131" s="2395" t="n"/>
      <c r="N131" s="2395" t="n"/>
      <c r="O131" s="2395" t="n"/>
      <c r="P131" s="2395" t="n"/>
      <c r="Q131" s="2395" t="n"/>
      <c r="R131" s="2395" t="n"/>
      <c r="S131" s="2395" t="n"/>
      <c r="T131" s="2395" t="n"/>
      <c r="U131" s="2395" t="n"/>
    </row>
    <row r="132" hidden="1" s="1449">
      <c r="A132" s="2395" t="n"/>
      <c r="B132" s="2399" t="n"/>
      <c r="C132" s="2399" t="n"/>
      <c r="D132" s="2399" t="n"/>
      <c r="E132" s="2395" t="n"/>
      <c r="F132" s="2395" t="n"/>
      <c r="G132" s="2395" t="n"/>
      <c r="H132" s="2395" t="n"/>
      <c r="I132" s="2395" t="n"/>
      <c r="J132" s="2395" t="n"/>
      <c r="K132" s="2395" t="n"/>
      <c r="L132" s="2395" t="n"/>
      <c r="M132" s="2395" t="n"/>
      <c r="N132" s="2395" t="n"/>
      <c r="O132" s="2395" t="n"/>
      <c r="P132" s="2395" t="n"/>
      <c r="Q132" s="2395" t="n"/>
      <c r="R132" s="2395" t="n"/>
      <c r="S132" s="2395" t="n"/>
      <c r="T132" s="2395" t="n"/>
      <c r="U132" s="2395" t="n"/>
    </row>
    <row r="133" hidden="1" s="1449">
      <c r="A133" s="2395" t="n"/>
      <c r="B133" s="2420" t="n"/>
      <c r="C133" s="2399" t="n"/>
      <c r="D133" s="2395" t="n"/>
      <c r="E133" s="2395" t="n"/>
      <c r="F133" s="2395" t="n"/>
      <c r="G133" s="2429" t="n"/>
      <c r="H133" s="2395" t="n"/>
      <c r="I133" s="2395" t="n"/>
      <c r="J133" s="2395" t="n"/>
      <c r="K133" s="2395" t="n"/>
      <c r="L133" s="2395" t="n"/>
      <c r="M133" s="2395" t="n"/>
      <c r="N133" s="2395" t="n"/>
      <c r="O133" s="2395" t="n"/>
      <c r="P133" s="2395" t="n"/>
      <c r="Q133" s="2395" t="n"/>
      <c r="R133" s="2395" t="n"/>
      <c r="S133" s="2395" t="n"/>
      <c r="T133" s="2395" t="n"/>
      <c r="U133" s="2395" t="n"/>
    </row>
    <row r="134" hidden="1" s="1449">
      <c r="A134" s="2395" t="n"/>
      <c r="B134" s="2395" t="n"/>
      <c r="C134" s="2395" t="n"/>
      <c r="D134" s="2395" t="n"/>
      <c r="E134" s="2395" t="n"/>
      <c r="F134" s="2395" t="n"/>
      <c r="G134" s="2395" t="n"/>
      <c r="H134" s="2395" t="n"/>
      <c r="I134" s="2395" t="n"/>
      <c r="J134" s="2395" t="n"/>
      <c r="K134" s="2395" t="n"/>
      <c r="L134" s="2395" t="n"/>
      <c r="M134" s="2395" t="n"/>
      <c r="N134" s="2395" t="n"/>
      <c r="O134" s="2395" t="n"/>
      <c r="P134" s="2395" t="n"/>
      <c r="Q134" s="2395" t="n"/>
      <c r="R134" s="2395" t="n"/>
      <c r="S134" s="2395" t="n"/>
      <c r="T134" s="2395" t="n"/>
      <c r="U134" s="2395" t="n"/>
    </row>
    <row r="135" hidden="1" s="1449">
      <c r="A135" s="2395" t="n"/>
      <c r="B135" s="2396" t="n"/>
      <c r="C135" s="2405" t="n"/>
      <c r="D135" s="2399" t="n"/>
      <c r="E135" s="2395" t="n"/>
      <c r="F135" s="2395" t="n"/>
      <c r="G135" s="2395" t="n"/>
      <c r="H135" s="2395" t="n"/>
      <c r="I135" s="2395" t="n"/>
      <c r="J135" s="2395" t="n"/>
      <c r="K135" s="2395" t="n"/>
      <c r="L135" s="2395" t="n"/>
      <c r="M135" s="2395" t="n"/>
      <c r="N135" s="2395" t="n"/>
      <c r="O135" s="2395" t="n"/>
      <c r="P135" s="2395" t="n"/>
      <c r="Q135" s="2395" t="n"/>
      <c r="R135" s="2395" t="n"/>
      <c r="S135" s="2395" t="n"/>
      <c r="T135" s="2395" t="n"/>
      <c r="U135" s="2395" t="n"/>
    </row>
    <row r="136" hidden="1" s="1449">
      <c r="B136" s="461" t="n"/>
      <c r="C136" s="1976" t="n"/>
      <c r="D136" s="463" t="n"/>
      <c r="E136" s="415" t="n"/>
      <c r="F136" s="1947" t="n"/>
      <c r="G136" s="1947" t="n"/>
      <c r="H136" s="362" t="n"/>
      <c r="I136" s="362" t="n"/>
    </row>
    <row r="137">
      <c r="B137" s="419" t="n"/>
      <c r="C137" s="415" t="n"/>
      <c r="D137" s="415" t="n"/>
      <c r="E137" s="415" t="n"/>
      <c r="F137" s="1947" t="n"/>
      <c r="G137" s="1947" t="n"/>
      <c r="H137" s="362" t="n"/>
      <c r="I137" s="362" t="n"/>
    </row>
    <row r="138">
      <c r="B138" s="419" t="n"/>
      <c r="C138" s="415" t="n"/>
      <c r="D138" s="415" t="n"/>
      <c r="E138" s="415" t="n"/>
      <c r="F138" s="1947" t="n"/>
      <c r="G138" s="1947" t="n"/>
      <c r="H138" s="362" t="n"/>
      <c r="I138" s="362" t="n"/>
    </row>
    <row r="139">
      <c r="B139" s="419" t="n"/>
      <c r="C139" s="415" t="n"/>
      <c r="D139" s="415" t="n"/>
      <c r="E139" s="415" t="n"/>
      <c r="F139" s="1947" t="n"/>
      <c r="G139" s="1947" t="n"/>
      <c r="H139" s="362" t="n"/>
      <c r="I139" s="362" t="n"/>
    </row>
    <row r="140">
      <c r="B140" s="419" t="n"/>
      <c r="C140" s="415" t="n"/>
      <c r="D140" s="415" t="n"/>
      <c r="E140" s="415" t="n"/>
      <c r="F140" s="1947" t="n"/>
      <c r="G140" s="1947" t="n"/>
      <c r="H140" s="362" t="n"/>
      <c r="I140" s="362" t="n"/>
    </row>
    <row r="141">
      <c r="B141" s="419" t="n"/>
      <c r="C141" s="415" t="n"/>
      <c r="D141" s="415" t="n"/>
      <c r="E141" s="415" t="n"/>
      <c r="F141" s="1947" t="n"/>
      <c r="G141" s="1947" t="n"/>
      <c r="H141" s="362" t="n"/>
      <c r="I141" s="362" t="n"/>
    </row>
    <row r="142">
      <c r="B142" s="419" t="n"/>
      <c r="C142" s="415" t="n"/>
      <c r="D142" s="415" t="n"/>
      <c r="E142" s="415" t="n"/>
      <c r="F142" s="1947" t="n"/>
      <c r="G142" s="1947" t="n"/>
      <c r="H142" s="362" t="n"/>
      <c r="I142" s="362" t="n"/>
    </row>
    <row r="143">
      <c r="B143" s="419" t="n"/>
      <c r="C143" s="415" t="n"/>
      <c r="D143" s="415" t="n"/>
      <c r="E143" s="415" t="n"/>
      <c r="F143" s="1947" t="n"/>
      <c r="G143" s="1947" t="n"/>
      <c r="H143" s="362" t="n"/>
      <c r="I143" s="362" t="n"/>
    </row>
    <row r="144">
      <c r="B144" s="419" t="n"/>
      <c r="C144" s="415" t="n"/>
      <c r="D144" s="415" t="n"/>
      <c r="E144" s="415" t="n"/>
      <c r="F144" s="1947" t="n"/>
      <c r="G144" s="1947" t="n"/>
      <c r="H144" s="362" t="n"/>
      <c r="I144" s="362" t="n"/>
    </row>
    <row r="145">
      <c r="B145" s="419" t="n"/>
      <c r="C145" s="415" t="n"/>
      <c r="D145" s="415" t="n"/>
      <c r="E145" s="415" t="n"/>
      <c r="F145" s="1947" t="n"/>
      <c r="G145" s="1947" t="n"/>
      <c r="H145" s="362" t="n"/>
      <c r="I145" s="362" t="n"/>
    </row>
    <row r="146">
      <c r="B146" s="419" t="n"/>
      <c r="C146" s="415" t="n"/>
      <c r="D146" s="415" t="n"/>
      <c r="E146" s="415" t="n"/>
      <c r="F146" s="1947" t="n"/>
      <c r="G146" s="1947" t="n"/>
      <c r="H146" s="362" t="n"/>
      <c r="I146" s="362" t="n"/>
    </row>
    <row r="147">
      <c r="B147" s="419" t="n"/>
      <c r="C147" s="415" t="n"/>
      <c r="D147" s="415" t="n"/>
      <c r="E147" s="415" t="n"/>
      <c r="F147" s="1947" t="n"/>
      <c r="G147" s="1947" t="n"/>
      <c r="H147" s="362" t="n"/>
      <c r="I147" s="362" t="n"/>
    </row>
    <row r="223">
      <c r="Q223" s="373" t="n"/>
      <c r="R223" s="366" t="n"/>
    </row>
    <row r="224">
      <c r="Q224" s="373" t="n"/>
      <c r="R224" s="366" t="n"/>
    </row>
    <row r="225">
      <c r="Q225" s="373" t="n"/>
      <c r="R225" s="366" t="n"/>
    </row>
    <row r="226">
      <c r="Q226" s="373" t="n"/>
      <c r="R226" s="366" t="n"/>
    </row>
    <row r="341">
      <c r="Q341" s="373" t="n"/>
      <c r="R341" s="366" t="n"/>
    </row>
    <row r="540">
      <c r="Q540" s="373" t="n"/>
      <c r="R540" s="366" t="n"/>
    </row>
    <row r="541">
      <c r="Q541" s="373" t="n"/>
      <c r="R541" s="366" t="n"/>
    </row>
    <row r="542">
      <c r="Q542" s="373" t="n"/>
      <c r="R542" s="366" t="n"/>
    </row>
  </sheetData>
  <mergeCells count="1">
    <mergeCell ref="B2:G2"/>
  </mergeCells>
  <dataValidations count="8">
    <dataValidation sqref="D11 D74" showDropDown="0" showInputMessage="1" showErrorMessage="1" allowBlank="1" prompt="Value is for average quality and 1-story flue. Each additional story for flue is $885."/>
    <dataValidation sqref="C4" showDropDown="0" showInputMessage="0" showErrorMessage="0" allowBlank="1" errorTitle="Invalid entry" error="Please choose a value from the dropdown list." type="list">
      <formula1>=OCC_NAME</formula1>
    </dataValidation>
    <dataValidation sqref="C6" showDropDown="0" showInputMessage="0" showErrorMessage="0" allowBlank="1" type="list">
      <formula1>"A,B,A-B,C,CMILL,CDS,D,DPOLE,DMASVEN,S,SSLANT"</formula1>
    </dataValidation>
    <dataValidation sqref="C7" showDropDown="0" showInputMessage="0" showErrorMessage="0" allowBlank="1" type="list">
      <formula1>"Low Cost,Fair,Average,Good,Very Good,Excellent,Cheap"</formula1>
    </dataValidation>
    <dataValidation sqref="C14" showDropDown="0" showInputMessage="0" showErrorMessage="0" allowBlank="1" type="list">
      <formula1>"Low Cost,Fair,Average,Good,Very Good,Excellent,Cheap"</formula1>
    </dataValidation>
    <dataValidation sqref="C8" showDropDown="0" showInputMessage="0" showErrorMessage="0" allowBlank="1" errorTitle="Invalid entry" error="Please choose a value from the dropdown list." type="list">
      <formula1>=LAM_CITY</formula1>
    </dataValidation>
    <dataValidation sqref="C18" showDropDown="0" showInputMessage="0" showErrorMessage="0" allowBlank="1" errorTitle="Invalid entry" error="Please choose a value from the dropdown list." type="list">
      <formula1>=DEN_LABEL</formula1>
    </dataValidation>
    <dataValidation sqref="C19" showDropDown="0" showInputMessage="0" showErrorMessage="0" allowBlank="1" errorTitle="Invalid entry" error="Please choose a value from the dropdown list." type="list">
      <formula1>=DEN_LABEL</formula1>
    </dataValidation>
  </dataValidation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B2:J17"/>
  <sheetViews>
    <sheetView workbookViewId="0">
      <selection activeCell="H23" sqref="H23"/>
    </sheetView>
  </sheetViews>
  <sheetFormatPr baseColWidth="8" defaultRowHeight="15"/>
  <cols>
    <col width="40.140625" customWidth="1" style="1449" min="2" max="2"/>
    <col width="14" bestFit="1" customWidth="1" style="1449" min="6" max="6"/>
    <col width="15.7109375" bestFit="1" customWidth="1" style="1449" min="7" max="10"/>
  </cols>
  <sheetData>
    <row r="2">
      <c r="B2" s="1556" t="inlineStr">
        <is>
          <t>Subject's Budgeted Construction Costs</t>
        </is>
      </c>
    </row>
    <row r="3">
      <c r="B3" s="1382" t="inlineStr">
        <is>
          <t>Item</t>
        </is>
      </c>
      <c r="C3" s="1382" t="inlineStr">
        <is>
          <t>Cost</t>
        </is>
      </c>
      <c r="D3" s="1382" t="inlineStr">
        <is>
          <t>Cost PSF</t>
        </is>
      </c>
    </row>
    <row r="4">
      <c r="B4" s="236" t="inlineStr">
        <is>
          <t>Site Inspection, Architectural &amp; Engineering</t>
        </is>
      </c>
      <c r="C4" s="1977" t="n"/>
      <c r="D4" s="1978">
        <f>C4/'Property Info'!$B$5</f>
        <v/>
      </c>
    </row>
    <row r="5">
      <c r="B5" s="236" t="inlineStr">
        <is>
          <t>Government Fees &amp; Permits</t>
        </is>
      </c>
      <c r="C5" s="1977" t="n"/>
      <c r="D5" s="1978">
        <f>C5/'Property Info'!$B$5</f>
        <v/>
      </c>
    </row>
    <row r="6">
      <c r="B6" s="236" t="inlineStr">
        <is>
          <t>Site Improvements</t>
        </is>
      </c>
      <c r="C6" s="1977" t="n"/>
      <c r="D6" s="1978">
        <f>C6/'Property Info'!$B$5</f>
        <v/>
      </c>
    </row>
    <row r="7">
      <c r="B7" s="236" t="inlineStr">
        <is>
          <t>Off-Site Construction</t>
        </is>
      </c>
      <c r="C7" s="1977" t="n"/>
      <c r="D7" s="1978">
        <f>C7/'Property Info'!$B$5</f>
        <v/>
      </c>
    </row>
    <row r="8">
      <c r="B8" s="236" t="inlineStr">
        <is>
          <t>Vertical Improvements</t>
        </is>
      </c>
      <c r="C8" s="1977" t="n"/>
      <c r="D8" s="1978">
        <f>C8/'Property Info'!$B$5</f>
        <v/>
      </c>
    </row>
    <row r="9">
      <c r="B9" s="236" t="inlineStr">
        <is>
          <t>Contractor Overhead &amp; Profit</t>
        </is>
      </c>
      <c r="C9" s="1977" t="n"/>
      <c r="D9" s="1978">
        <f>C9/'Property Info'!$B$5</f>
        <v/>
      </c>
    </row>
    <row r="10">
      <c r="B10" s="236" t="inlineStr">
        <is>
          <t>Inderect Costs</t>
        </is>
      </c>
      <c r="C10" s="1977" t="n"/>
      <c r="D10" s="1978">
        <f>C10/'Property Info'!$B$5</f>
        <v/>
      </c>
    </row>
    <row r="11">
      <c r="B11" s="426" t="inlineStr">
        <is>
          <t>Total</t>
        </is>
      </c>
      <c r="C11" s="1979">
        <f>SUM(C4:C10)</f>
        <v/>
      </c>
      <c r="D11" s="1980">
        <f>C11/'Property Info'!$B$5</f>
        <v/>
      </c>
    </row>
    <row r="12">
      <c r="F12" s="1556" t="inlineStr">
        <is>
          <t>Comparable Constrution Cots</t>
        </is>
      </c>
    </row>
    <row r="13">
      <c r="F13" s="420" t="inlineStr">
        <is>
          <t>Comparable</t>
        </is>
      </c>
      <c r="G13" s="421" t="n"/>
      <c r="H13" s="421" t="n"/>
      <c r="I13" s="421" t="n"/>
      <c r="J13" s="421" t="n"/>
    </row>
    <row r="14">
      <c r="F14" s="420" t="inlineStr">
        <is>
          <t>Location</t>
        </is>
      </c>
      <c r="G14" s="422" t="n"/>
      <c r="H14" s="421" t="n"/>
      <c r="I14" s="421" t="n"/>
      <c r="J14" s="421" t="n"/>
    </row>
    <row r="15">
      <c r="F15" s="420" t="inlineStr">
        <is>
          <t>YOC</t>
        </is>
      </c>
      <c r="G15" s="422" t="n"/>
      <c r="H15" s="421" t="n"/>
      <c r="I15" s="421" t="n"/>
      <c r="J15" s="421" t="n"/>
    </row>
    <row r="16">
      <c r="F16" s="423" t="inlineStr">
        <is>
          <t>Property Type</t>
        </is>
      </c>
      <c r="G16" s="422" t="n"/>
      <c r="H16" s="422" t="n"/>
      <c r="I16" s="422" t="n"/>
      <c r="J16" s="422" t="n"/>
    </row>
    <row r="17">
      <c r="F17" s="424" t="inlineStr">
        <is>
          <t>Total Direct Cost</t>
        </is>
      </c>
      <c r="G17" s="1981" t="n"/>
      <c r="H17" s="1981" t="n"/>
      <c r="I17" s="1981" t="n"/>
      <c r="J17" s="1981" t="n"/>
    </row>
  </sheetData>
  <mergeCells count="2">
    <mergeCell ref="F12:J12"/>
    <mergeCell ref="B2:D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9"/>
  <sheetViews>
    <sheetView zoomScale="85" zoomScaleNormal="85" workbookViewId="0">
      <pane xSplit="2" topLeftCell="C1" activePane="topRight" state="frozen"/>
      <selection pane="topRight" activeCell="C36" sqref="C36"/>
    </sheetView>
  </sheetViews>
  <sheetFormatPr baseColWidth="8" defaultColWidth="9.140625" defaultRowHeight="15"/>
  <cols>
    <col width="8.140625" customWidth="1" style="677" min="1" max="1"/>
    <col width="22.42578125" bestFit="1" customWidth="1" style="677" min="2" max="2"/>
    <col width="19.7109375" bestFit="1" customWidth="1" style="677" min="3" max="3"/>
    <col width="21.42578125" bestFit="1" customWidth="1" style="677" min="4" max="4"/>
    <col width="11.5703125" customWidth="1" style="677" min="5" max="5"/>
    <col width="13.85546875" bestFit="1" customWidth="1" style="684" min="6" max="6"/>
    <col width="12.85546875" customWidth="1" style="1982" min="7" max="7"/>
    <col width="9.5703125" customWidth="1" style="1983" min="8" max="8"/>
    <col width="11.42578125" bestFit="1" customWidth="1" style="681" min="9" max="9"/>
    <col width="9" customWidth="1" style="682" min="10" max="10"/>
    <col width="9" customWidth="1" style="681" min="11" max="11"/>
    <col width="12.5703125" bestFit="1" customWidth="1" style="680" min="12" max="12"/>
    <col width="12.28515625" customWidth="1" style="679" min="13" max="15"/>
    <col width="13.7109375" customWidth="1" style="679" min="16" max="16"/>
    <col width="12.28515625" customWidth="1" style="679" min="17" max="17"/>
    <col width="10.7109375" bestFit="1" customWidth="1" style="679" min="18" max="18"/>
    <col width="12.28515625" customWidth="1" style="679" min="19" max="19"/>
    <col width="16.140625" customWidth="1" style="679" min="20" max="20"/>
    <col width="12.28515625" customWidth="1" style="679" min="21" max="24"/>
    <col width="9.140625" bestFit="1" customWidth="1" style="679" min="25" max="25"/>
    <col width="9.140625" customWidth="1" style="678" min="26" max="26"/>
    <col width="9.140625" customWidth="1" style="677" min="27" max="28"/>
    <col width="9.140625" customWidth="1" style="677" min="29" max="16384"/>
  </cols>
  <sheetData>
    <row r="1" ht="45" customFormat="1" customHeight="1" s="691">
      <c r="B1" s="721" t="inlineStr">
        <is>
          <t>Property Address</t>
        </is>
      </c>
      <c r="C1" s="721" t="inlineStr">
        <is>
          <t>Property City</t>
        </is>
      </c>
      <c r="D1" s="721" t="inlineStr">
        <is>
          <t>Account/Parcel</t>
        </is>
      </c>
      <c r="E1" s="720" t="inlineStr">
        <is>
          <t>Property Type</t>
        </is>
      </c>
      <c r="F1" s="719" t="inlineStr">
        <is>
          <t>Sale Date</t>
        </is>
      </c>
      <c r="G1" s="1984" t="inlineStr">
        <is>
          <t>Sale Price</t>
        </is>
      </c>
      <c r="H1" s="1984" t="inlineStr">
        <is>
          <t>Price ($/SF)</t>
        </is>
      </c>
      <c r="I1" s="716" t="inlineStr">
        <is>
          <t>Asking Price</t>
        </is>
      </c>
      <c r="J1" s="717" t="inlineStr">
        <is>
          <t>DOM</t>
        </is>
      </c>
      <c r="K1" s="716" t="inlineStr">
        <is>
          <t>Building SF</t>
        </is>
      </c>
      <c r="L1" s="715" t="inlineStr">
        <is>
          <t>Land Area SF</t>
        </is>
      </c>
      <c r="M1" s="713" t="inlineStr">
        <is>
          <t>Property Rights Conveyed</t>
        </is>
      </c>
      <c r="N1" s="713" t="inlineStr">
        <is>
          <t>Financing</t>
        </is>
      </c>
      <c r="O1" s="713" t="inlineStr">
        <is>
          <t>Terms/
Conditions of Sale</t>
        </is>
      </c>
      <c r="P1" s="713" t="inlineStr">
        <is>
          <t>Expenditures After Sale</t>
        </is>
      </c>
      <c r="Q1" s="713" t="inlineStr">
        <is>
          <t>Market Conditions</t>
        </is>
      </c>
      <c r="R1" s="714" t="inlineStr">
        <is>
          <t>Location</t>
        </is>
      </c>
      <c r="S1" s="714" t="inlineStr">
        <is>
          <t>Property Size (SF)</t>
        </is>
      </c>
      <c r="T1" s="714" t="inlineStr">
        <is>
          <t>YOC / Condition</t>
        </is>
      </c>
      <c r="U1" s="714" t="inlineStr">
        <is>
          <t>Quality</t>
        </is>
      </c>
      <c r="V1" s="714" t="inlineStr">
        <is>
          <t>Land-To-Building Ratio</t>
        </is>
      </c>
      <c r="W1" s="714" t="inlineStr">
        <is>
          <t>Tenancy / Occupancy</t>
        </is>
      </c>
      <c r="X1" s="714" t="inlineStr">
        <is>
          <t>Functional Utility</t>
        </is>
      </c>
      <c r="Y1" s="713" t="inlineStr">
        <is>
          <t>Total Net Adj.</t>
        </is>
      </c>
      <c r="Z1" s="713" t="inlineStr">
        <is>
          <t>Adjusted Price ($/SF)</t>
        </is>
      </c>
    </row>
    <row r="2" ht="30" customFormat="1" customHeight="1" s="705">
      <c r="A2" s="794" t="n"/>
      <c r="B2" s="712" t="n"/>
      <c r="C2" s="712" t="n"/>
      <c r="D2" s="712" t="n"/>
      <c r="E2" s="728" t="n"/>
      <c r="F2" s="1318" t="n"/>
      <c r="G2" s="1985" t="n"/>
      <c r="H2" s="1986" t="n"/>
      <c r="I2" s="1321" t="n"/>
      <c r="J2" s="1322" t="n"/>
      <c r="K2" s="711" t="n"/>
      <c r="L2" s="711" t="n"/>
      <c r="M2" s="707" t="n"/>
      <c r="N2" s="707" t="n"/>
      <c r="O2" s="707" t="n"/>
      <c r="P2" s="707" t="n"/>
      <c r="Q2" s="707" t="n"/>
      <c r="R2" s="1323" t="n"/>
      <c r="S2" s="710" t="n"/>
      <c r="T2" s="708" t="n"/>
      <c r="U2" s="708" t="n"/>
      <c r="V2" s="709" t="n"/>
      <c r="W2" s="1323" t="n"/>
      <c r="X2" s="1323" t="n"/>
      <c r="Y2" s="707" t="n"/>
      <c r="Z2" s="706" t="n"/>
    </row>
    <row r="3" customFormat="1" s="702">
      <c r="A3" s="688" t="n"/>
      <c r="B3" s="1064" t="n"/>
      <c r="C3" s="783" t="n"/>
      <c r="D3" s="784" t="n"/>
      <c r="E3" s="1987" t="n"/>
      <c r="F3" s="784" t="n"/>
      <c r="G3" s="1988" t="n"/>
      <c r="H3" s="1989" t="n"/>
      <c r="I3" s="787" t="n"/>
      <c r="J3" s="783" t="n"/>
      <c r="K3" s="787" t="n"/>
      <c r="L3" s="787" t="n"/>
      <c r="M3" s="1324" t="n"/>
      <c r="N3" s="1324" t="n"/>
      <c r="O3" s="1324" t="n"/>
      <c r="P3" s="1324" t="n"/>
      <c r="Q3" s="1324" t="n"/>
      <c r="R3" s="1324" t="n"/>
      <c r="S3" s="1325" t="n"/>
      <c r="T3" s="1324" t="n"/>
      <c r="U3" s="1324" t="n"/>
      <c r="V3" s="1324" t="n"/>
      <c r="W3" s="1324" t="n"/>
      <c r="X3" s="1324" t="n"/>
      <c r="Y3" s="704" t="n"/>
      <c r="Z3" s="1990" t="n"/>
    </row>
    <row r="4" customFormat="1" s="702">
      <c r="A4" s="688" t="n"/>
      <c r="B4" s="1064" t="n"/>
      <c r="C4" s="783" t="n"/>
      <c r="D4" s="784" t="n"/>
      <c r="E4" s="1987" t="n"/>
      <c r="F4" s="784" t="n"/>
      <c r="G4" s="1988" t="n"/>
      <c r="H4" s="1989" t="n"/>
      <c r="I4" s="783" t="n"/>
      <c r="J4" s="783" t="n"/>
      <c r="K4" s="787" t="n"/>
      <c r="L4" s="787" t="n"/>
      <c r="M4" s="1324" t="n"/>
      <c r="N4" s="1324" t="n"/>
      <c r="O4" s="1324" t="n"/>
      <c r="P4" s="1324" t="n"/>
      <c r="Q4" s="1324" t="n"/>
      <c r="R4" s="1324" t="n"/>
      <c r="S4" s="1325" t="n"/>
      <c r="T4" s="1324" t="n"/>
      <c r="U4" s="1324" t="n"/>
      <c r="V4" s="1324" t="n"/>
      <c r="W4" s="1324" t="n"/>
      <c r="X4" s="1324" t="n"/>
      <c r="Y4" s="704" t="n"/>
      <c r="Z4" s="1990" t="n"/>
    </row>
    <row r="5" customFormat="1" s="702">
      <c r="A5" s="688" t="n"/>
      <c r="B5" s="1064" t="n"/>
      <c r="C5" s="783" t="n"/>
      <c r="D5" s="784" t="n"/>
      <c r="E5" s="1987" t="n"/>
      <c r="F5" s="784" t="n"/>
      <c r="G5" s="1988" t="n"/>
      <c r="H5" s="1989" t="n"/>
      <c r="I5" s="787" t="n"/>
      <c r="J5" s="787" t="n"/>
      <c r="K5" s="787" t="n"/>
      <c r="L5" s="787" t="n"/>
      <c r="M5" s="1324" t="n"/>
      <c r="N5" s="1324" t="n"/>
      <c r="O5" s="1324" t="n"/>
      <c r="P5" s="1324" t="n"/>
      <c r="Q5" s="1324" t="n"/>
      <c r="R5" s="1324" t="n"/>
      <c r="S5" s="1325" t="n"/>
      <c r="T5" s="1324" t="n"/>
      <c r="U5" s="1324" t="n"/>
      <c r="V5" s="1324" t="n"/>
      <c r="W5" s="1324" t="n"/>
      <c r="X5" s="1324" t="n"/>
      <c r="Y5" s="704" t="n"/>
      <c r="Z5" s="1990" t="n"/>
    </row>
    <row r="6" customFormat="1" s="702">
      <c r="A6" s="688" t="n"/>
      <c r="B6" s="1064" t="n"/>
      <c r="C6" s="783" t="n"/>
      <c r="D6" s="784" t="n"/>
      <c r="E6" s="1987" t="n"/>
      <c r="F6" s="784" t="n"/>
      <c r="G6" s="1988" t="n"/>
      <c r="H6" s="1989" t="n"/>
      <c r="I6" s="787" t="n"/>
      <c r="J6" s="783" t="n"/>
      <c r="K6" s="787" t="n"/>
      <c r="L6" s="787" t="n"/>
      <c r="M6" s="1324" t="n"/>
      <c r="N6" s="1324" t="n"/>
      <c r="O6" s="1324" t="n"/>
      <c r="P6" s="1324" t="n"/>
      <c r="Q6" s="1324" t="n"/>
      <c r="R6" s="1324" t="n"/>
      <c r="S6" s="1325" t="n"/>
      <c r="T6" s="1324" t="n"/>
      <c r="U6" s="1324" t="n"/>
      <c r="V6" s="1324" t="n"/>
      <c r="W6" s="1324" t="n"/>
      <c r="X6" s="1324" t="n"/>
      <c r="Y6" s="704" t="n"/>
      <c r="Z6" s="1990" t="n"/>
    </row>
    <row r="7" customFormat="1" s="702">
      <c r="A7" s="688" t="n"/>
      <c r="B7" s="1328" t="n"/>
      <c r="C7" s="1328" t="n"/>
      <c r="D7" s="1328" t="n"/>
      <c r="E7" s="1328" t="n"/>
      <c r="F7" s="1329" t="n"/>
      <c r="G7" s="1991" t="n"/>
      <c r="H7" s="1992" t="n"/>
      <c r="I7" s="1332" t="n"/>
      <c r="J7" s="1332" t="n"/>
      <c r="K7" s="1332" t="n"/>
      <c r="L7" s="1332" t="n"/>
      <c r="M7" s="1326" t="n"/>
      <c r="N7" s="1326" t="n"/>
      <c r="O7" s="1326" t="n"/>
      <c r="P7" s="1326" t="n"/>
      <c r="Q7" s="1326" t="n"/>
      <c r="R7" s="1326" t="n"/>
      <c r="S7" s="1327" t="n"/>
      <c r="T7" s="1326" t="n"/>
      <c r="U7" s="1326" t="n"/>
      <c r="V7" s="1326" t="n"/>
      <c r="W7" s="1326" t="n"/>
      <c r="X7" s="1326" t="n"/>
      <c r="Y7" s="701" t="n"/>
      <c r="Z7" s="1990" t="n"/>
    </row>
    <row r="8">
      <c r="B8" s="700" t="n"/>
      <c r="H8" s="1993" t="n"/>
      <c r="Q8" s="699" t="n"/>
      <c r="Z8" s="1994" t="n"/>
    </row>
    <row r="9">
      <c r="B9" s="700" t="n"/>
      <c r="H9" s="1993" t="n"/>
      <c r="Q9" s="699" t="n"/>
      <c r="Z9" s="1994" t="n"/>
    </row>
    <row r="10" customFormat="1" s="689">
      <c r="B10" s="697" t="n"/>
      <c r="F10" s="696" t="n"/>
      <c r="G10" s="1995" t="n"/>
      <c r="H10" s="1996" t="n"/>
      <c r="I10" s="693" t="n"/>
      <c r="J10" s="694" t="n"/>
      <c r="K10" s="693" t="n"/>
      <c r="L10" s="692" t="n"/>
      <c r="M10" s="691" t="n"/>
      <c r="N10" s="691" t="n"/>
      <c r="O10" s="691" t="n"/>
      <c r="P10" s="691" t="n"/>
      <c r="Q10" s="691" t="n"/>
      <c r="R10" s="691" t="n"/>
      <c r="S10" s="691" t="n"/>
      <c r="T10" s="691" t="n"/>
      <c r="U10" s="691" t="n"/>
      <c r="V10" s="691" t="n"/>
      <c r="W10" s="691" t="n"/>
      <c r="X10" s="691" t="n"/>
      <c r="Y10" s="691" t="n"/>
      <c r="Z10" s="1997" t="n"/>
    </row>
    <row r="12">
      <c r="R12" s="1333" t="n"/>
      <c r="S12" s="688" t="n"/>
      <c r="T12" s="688" t="n"/>
      <c r="U12" s="688" t="n"/>
      <c r="V12" s="688" t="n"/>
    </row>
    <row r="13">
      <c r="R13" s="679" t="n"/>
      <c r="S13" s="687" t="n"/>
      <c r="T13" s="686" t="n"/>
      <c r="U13" s="686" t="n"/>
      <c r="V13" s="685" t="n"/>
    </row>
    <row r="14">
      <c r="R14" s="679" t="n"/>
      <c r="S14" s="687" t="n"/>
      <c r="T14" s="686" t="n"/>
      <c r="U14" s="686" t="n"/>
      <c r="V14" s="685" t="n"/>
    </row>
    <row r="15">
      <c r="R15" s="679" t="n"/>
      <c r="S15" s="687" t="n"/>
      <c r="T15" s="686" t="n"/>
      <c r="U15" s="686" t="n"/>
      <c r="V15" s="685" t="n"/>
    </row>
    <row r="16">
      <c r="R16" s="679" t="n"/>
      <c r="S16" s="687" t="n"/>
      <c r="T16" s="686" t="n"/>
      <c r="U16" s="686" t="n"/>
      <c r="V16" s="685" t="n"/>
    </row>
    <row r="17">
      <c r="R17" s="679" t="n"/>
      <c r="S17" s="687" t="n"/>
      <c r="T17" s="686" t="n"/>
      <c r="U17" s="686" t="n"/>
      <c r="V17" s="685" t="n"/>
    </row>
    <row r="18">
      <c r="S18" s="687" t="n"/>
      <c r="T18" s="686" t="n"/>
      <c r="U18" s="686" t="n"/>
      <c r="V18" s="685" t="n"/>
    </row>
    <row r="19">
      <c r="S19" s="687" t="n"/>
      <c r="T19" s="686" t="n"/>
      <c r="U19" s="686" t="n"/>
      <c r="V19" s="685" t="n"/>
    </row>
  </sheetData>
  <autoFilter ref="B1:X5">
    <sortState ref="B2:X11">
      <sortCondition descending="1" ref="F1:F5"/>
    </sortState>
  </autoFilter>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C2:T70"/>
  <sheetViews>
    <sheetView showGridLines="0" zoomScale="85" zoomScaleNormal="85" workbookViewId="0">
      <selection activeCell="H63" sqref="H63"/>
    </sheetView>
  </sheetViews>
  <sheetFormatPr baseColWidth="8" defaultColWidth="9.140625" defaultRowHeight="15"/>
  <cols>
    <col width="2.85546875" customWidth="1" style="1449" min="2" max="2"/>
    <col width="27.28515625" customWidth="1" style="1449" min="3" max="3"/>
    <col width="25.7109375" customWidth="1" style="1449" min="4" max="4"/>
    <col width="21.85546875" customWidth="1" style="1449" min="5" max="8"/>
    <col hidden="1" width="21.85546875" customWidth="1" style="1449" min="9" max="9"/>
    <col hidden="1" width="25.7109375" customWidth="1" style="1449" min="10" max="10"/>
    <col hidden="1" width="10.140625" customWidth="1" style="1449" min="11" max="11"/>
    <col width="29.85546875" customWidth="1" style="1449" min="15" max="15"/>
    <col width="40.7109375" customWidth="1" style="1449" min="16" max="16"/>
    <col width="15.140625" customWidth="1" style="1449" min="17" max="17"/>
    <col width="16.140625" customWidth="1" style="1449" min="18" max="20"/>
  </cols>
  <sheetData>
    <row r="1" ht="11.45" customHeight="1" s="1449"/>
    <row r="2">
      <c r="C2" s="1539" t="inlineStr">
        <is>
          <t>COMPARABLE SALE ADJUSTMENT GRID</t>
        </is>
      </c>
      <c r="J2" s="669" t="n"/>
      <c r="K2" s="669" t="n"/>
    </row>
    <row r="3">
      <c r="C3" s="801" t="n"/>
      <c r="D3" s="801" t="inlineStr">
        <is>
          <t>Subject</t>
        </is>
      </c>
      <c r="E3" s="801" t="inlineStr">
        <is>
          <t>Sale 1</t>
        </is>
      </c>
      <c r="F3" s="1537" t="inlineStr">
        <is>
          <t>Sale 2</t>
        </is>
      </c>
      <c r="G3" s="1537" t="inlineStr">
        <is>
          <t>Sale 3</t>
        </is>
      </c>
      <c r="H3" s="1537" t="inlineStr">
        <is>
          <t>Sale 4</t>
        </is>
      </c>
      <c r="I3" s="1537" t="inlineStr">
        <is>
          <t>Sale 5</t>
        </is>
      </c>
      <c r="J3" s="1548" t="inlineStr">
        <is>
          <t>Listing 1</t>
        </is>
      </c>
    </row>
    <row r="4" customFormat="1" s="1572">
      <c r="C4" s="744" t="inlineStr">
        <is>
          <t>Address</t>
        </is>
      </c>
      <c r="D4" s="747">
        <f>Export030823!B2</f>
        <v/>
      </c>
      <c r="E4" s="1567">
        <f>Export030823!B3</f>
        <v/>
      </c>
      <c r="F4" s="1599">
        <f>Export030823!B4</f>
        <v/>
      </c>
      <c r="G4" s="1599">
        <f>Export030823!B5</f>
        <v/>
      </c>
      <c r="H4" s="1585">
        <f>Export030823!B6</f>
        <v/>
      </c>
      <c r="I4" s="1585">
        <f>Export030823!B7</f>
        <v/>
      </c>
      <c r="J4" s="1567" t="n"/>
    </row>
    <row r="5" ht="30" customHeight="1" s="1449">
      <c r="C5" s="634" t="inlineStr">
        <is>
          <t>City, State</t>
        </is>
      </c>
      <c r="D5" s="747">
        <f>Export030823!C2</f>
        <v/>
      </c>
      <c r="E5" s="1570">
        <f>Export030823!C3</f>
        <v/>
      </c>
      <c r="F5" s="1578">
        <f>Export030823!C4</f>
        <v/>
      </c>
      <c r="G5" s="1578">
        <f>Export030823!C5</f>
        <v/>
      </c>
      <c r="H5" s="1601">
        <f>Export030823!C6</f>
        <v/>
      </c>
      <c r="I5" s="1601">
        <f>Export030823!C7</f>
        <v/>
      </c>
      <c r="J5" s="1570" t="n"/>
    </row>
    <row r="6" hidden="1" ht="30" customHeight="1" s="1449">
      <c r="C6" s="634" t="inlineStr">
        <is>
          <t>Parcel Number</t>
        </is>
      </c>
      <c r="D6" s="748">
        <f>Export030823!D2</f>
        <v/>
      </c>
      <c r="E6" s="1567">
        <f>Export030823!D3</f>
        <v/>
      </c>
      <c r="F6" s="1599">
        <f>Export030823!D4</f>
        <v/>
      </c>
      <c r="G6" s="1599">
        <f>Export030823!D5</f>
        <v/>
      </c>
      <c r="H6" s="1601">
        <f>Export030823!D6</f>
        <v/>
      </c>
      <c r="I6" s="1601">
        <f>Export030823!D7</f>
        <v/>
      </c>
      <c r="J6" s="1567" t="n"/>
    </row>
    <row r="7">
      <c r="C7" s="634" t="inlineStr">
        <is>
          <t>Property Type</t>
        </is>
      </c>
      <c r="D7" s="747">
        <f>Export030823!E2</f>
        <v/>
      </c>
      <c r="E7" s="1570">
        <f>Export030823!E3</f>
        <v/>
      </c>
      <c r="F7" s="1578">
        <f>Export030823!E4</f>
        <v/>
      </c>
      <c r="G7" s="1578">
        <f>Export030823!E5</f>
        <v/>
      </c>
      <c r="H7" s="1601">
        <f>Export030823!E6</f>
        <v/>
      </c>
      <c r="I7" s="1601">
        <f>Export030823!E7</f>
        <v/>
      </c>
      <c r="J7" s="1570" t="n"/>
    </row>
    <row r="8">
      <c r="C8" s="634" t="inlineStr">
        <is>
          <t>Sale Date</t>
        </is>
      </c>
      <c r="D8" s="749" t="inlineStr">
        <is>
          <t>N/A</t>
        </is>
      </c>
      <c r="E8" s="1998">
        <f>Export030823!F3</f>
        <v/>
      </c>
      <c r="F8" s="1999">
        <f>Export030823!F4</f>
        <v/>
      </c>
      <c r="G8" s="1999">
        <f>Export030823!F5</f>
        <v/>
      </c>
      <c r="H8" s="2000">
        <f>Export030823!F6</f>
        <v/>
      </c>
      <c r="I8" s="2000">
        <f>Export030823!F7</f>
        <v/>
      </c>
      <c r="J8" s="1998" t="n"/>
    </row>
    <row r="9">
      <c r="C9" s="634" t="inlineStr">
        <is>
          <t>Sale Price</t>
        </is>
      </c>
      <c r="D9" s="2001" t="inlineStr">
        <is>
          <t>N/A</t>
        </is>
      </c>
      <c r="E9" s="2002">
        <f>Export030823!G3</f>
        <v/>
      </c>
      <c r="F9" s="2003">
        <f>Export030823!G4</f>
        <v/>
      </c>
      <c r="G9" s="2003">
        <f>Export030823!G5</f>
        <v/>
      </c>
      <c r="H9" s="2004">
        <f>Export030823!G6</f>
        <v/>
      </c>
      <c r="I9" s="2004">
        <f>Export030823!G7</f>
        <v/>
      </c>
      <c r="J9" s="2002" t="n"/>
    </row>
    <row r="10" hidden="1" s="1449">
      <c r="C10" s="634" t="inlineStr">
        <is>
          <t>Listing Price</t>
        </is>
      </c>
      <c r="D10" s="2001" t="inlineStr">
        <is>
          <t>N/A</t>
        </is>
      </c>
      <c r="E10" s="2002">
        <f>Export030823!I3</f>
        <v/>
      </c>
      <c r="F10" s="2003">
        <f>Export030823!I4</f>
        <v/>
      </c>
      <c r="G10" s="2003">
        <f>Export030823!I5</f>
        <v/>
      </c>
      <c r="H10" s="2004">
        <f>Export030823!I6</f>
        <v/>
      </c>
      <c r="I10" s="2004">
        <f>Export030823!I7</f>
        <v/>
      </c>
      <c r="J10" s="2002" t="n"/>
      <c r="K10" s="2002" t="n">
        <v>6769231</v>
      </c>
    </row>
    <row r="11" hidden="1" s="1449">
      <c r="C11" s="635" t="inlineStr">
        <is>
          <t>Days On Market</t>
        </is>
      </c>
      <c r="D11" s="749" t="inlineStr">
        <is>
          <t>N/A</t>
        </is>
      </c>
      <c r="E11" s="746">
        <f>Export030823!J3</f>
        <v/>
      </c>
      <c r="F11" s="740">
        <f>Export030823!J4</f>
        <v/>
      </c>
      <c r="G11" s="740">
        <f>Export030823!J5</f>
        <v/>
      </c>
      <c r="H11" s="772">
        <f>Export030823!J6</f>
        <v/>
      </c>
      <c r="I11" s="772">
        <f>Export030823!J7</f>
        <v/>
      </c>
      <c r="J11" s="1570" t="n"/>
    </row>
    <row r="12" hidden="1" ht="28.5" customHeight="1" s="1449">
      <c r="C12" s="634" t="inlineStr">
        <is>
          <t>Data Source</t>
        </is>
      </c>
      <c r="D12" s="751" t="inlineStr">
        <is>
          <t>Inspection, Lease, Site Plans, Assessor</t>
        </is>
      </c>
      <c r="E12" s="1567" t="inlineStr">
        <is>
          <t>CoStar, Assessor, Deed</t>
        </is>
      </c>
      <c r="F12" s="1599" t="inlineStr">
        <is>
          <t>CoStar, Assessor, Deed</t>
        </is>
      </c>
      <c r="G12" s="1599" t="inlineStr">
        <is>
          <t>CoStar, Assessor, Deed</t>
        </is>
      </c>
      <c r="H12" s="1585" t="inlineStr">
        <is>
          <t>CoStar, Assessor, Deed</t>
        </is>
      </c>
      <c r="I12" s="1585" t="inlineStr">
        <is>
          <t>CoStar, Assessor, Offering Memorandum</t>
        </is>
      </c>
      <c r="J12" s="1567" t="n"/>
    </row>
    <row r="13">
      <c r="C13" s="634" t="inlineStr">
        <is>
          <t>Property Size (SF)</t>
        </is>
      </c>
      <c r="D13" s="752">
        <f>Export030823!K2</f>
        <v/>
      </c>
      <c r="E13" s="1565">
        <f>Export030823!K3</f>
        <v/>
      </c>
      <c r="F13" s="1606">
        <f>Export030823!K4</f>
        <v/>
      </c>
      <c r="G13" s="1606">
        <f>Export030823!K5</f>
        <v/>
      </c>
      <c r="H13" s="1597">
        <f>Export030823!K6</f>
        <v/>
      </c>
      <c r="I13" s="1597">
        <f>Export030823!K7</f>
        <v/>
      </c>
      <c r="J13" s="1565" t="n"/>
    </row>
    <row r="14">
      <c r="C14" s="634" t="inlineStr">
        <is>
          <t>Site Size (SF)</t>
        </is>
      </c>
      <c r="D14" s="753">
        <f>Export030823!L2</f>
        <v/>
      </c>
      <c r="E14" s="1565">
        <f>Export030823!L3</f>
        <v/>
      </c>
      <c r="F14" s="1606">
        <f>Export030823!L4</f>
        <v/>
      </c>
      <c r="G14" s="1606">
        <f>Export030823!L5</f>
        <v/>
      </c>
      <c r="H14" s="1597">
        <f>Export030823!L6</f>
        <v/>
      </c>
      <c r="I14" s="1597">
        <f>Export030823!L7</f>
        <v/>
      </c>
      <c r="J14" s="1565" t="n"/>
    </row>
    <row r="15" hidden="1" s="1449">
      <c r="C15" s="634" t="inlineStr">
        <is>
          <t>Parking Spaces</t>
        </is>
      </c>
      <c r="D15" s="754" t="n">
        <v>41</v>
      </c>
      <c r="E15" s="741" t="n"/>
      <c r="F15" s="741" t="n"/>
      <c r="G15" s="741" t="n"/>
      <c r="H15" s="742" t="n"/>
      <c r="I15" s="742" t="n"/>
      <c r="J15" s="1569" t="n"/>
    </row>
    <row r="16" hidden="1" ht="70.5" customHeight="1" s="1449">
      <c r="C16" s="634" t="inlineStr">
        <is>
          <t>Comments</t>
        </is>
      </c>
      <c r="D16" s="2005" t="n"/>
      <c r="E16" s="2006" t="n"/>
      <c r="F16" s="2006" t="n"/>
      <c r="G16" s="2006" t="n"/>
      <c r="H16" s="2006" t="n"/>
      <c r="I16" s="2006" t="n"/>
      <c r="J16" s="2007" t="n"/>
      <c r="K16" s="1545" t="n"/>
    </row>
    <row r="17">
      <c r="C17" s="636" t="inlineStr">
        <is>
          <t>Unadjusted Price Per SF</t>
        </is>
      </c>
      <c r="D17" s="2008" t="n"/>
      <c r="E17" s="2009">
        <f>E9/E13</f>
        <v/>
      </c>
      <c r="F17" s="2009">
        <f>F9/F13</f>
        <v/>
      </c>
      <c r="G17" s="2009">
        <f>G9/G13</f>
        <v/>
      </c>
      <c r="H17" s="2009">
        <f>H9/H13</f>
        <v/>
      </c>
      <c r="I17" s="2009">
        <f>I9/I13</f>
        <v/>
      </c>
      <c r="J17" s="639" t="n"/>
      <c r="K17" s="2010">
        <f>K10/J13</f>
        <v/>
      </c>
    </row>
    <row r="18" ht="12.6" customHeight="1" s="1449">
      <c r="C18" s="802" t="inlineStr">
        <is>
          <t>Quantified Adjustments</t>
        </is>
      </c>
      <c r="D18" s="803" t="n"/>
      <c r="E18" s="804" t="n"/>
      <c r="F18" s="804" t="n"/>
      <c r="G18" s="804" t="n"/>
      <c r="H18" s="804" t="n"/>
      <c r="I18" s="804" t="n"/>
      <c r="J18" s="640" t="n"/>
      <c r="K18" s="640" t="n"/>
    </row>
    <row r="19" hidden="1" s="1449">
      <c r="C19" s="641" t="inlineStr">
        <is>
          <t>Sale Type</t>
        </is>
      </c>
      <c r="D19" s="757">
        <f>Export030823!M2</f>
        <v/>
      </c>
      <c r="E19" s="2011">
        <f>Export030823!M3</f>
        <v/>
      </c>
      <c r="F19" s="2011">
        <f>Export030823!M4</f>
        <v/>
      </c>
      <c r="G19" s="2011">
        <f>Export030823!M5</f>
        <v/>
      </c>
      <c r="H19" s="2011">
        <f>Export030823!M6</f>
        <v/>
      </c>
      <c r="I19" s="2011">
        <f>Export030823!M7</f>
        <v/>
      </c>
      <c r="J19" s="643" t="inlineStr">
        <is>
          <t>Leased Fee</t>
        </is>
      </c>
      <c r="K19" s="2012" t="n"/>
    </row>
    <row r="20">
      <c r="C20" s="634" t="inlineStr">
        <is>
          <t>Financing</t>
        </is>
      </c>
      <c r="D20" s="749" t="inlineStr">
        <is>
          <t>Market Based</t>
        </is>
      </c>
      <c r="E20" s="2013">
        <f>Export030823!N3</f>
        <v/>
      </c>
      <c r="F20" s="2013">
        <f>Export030823!N4</f>
        <v/>
      </c>
      <c r="G20" s="2013">
        <f>Export030823!N5</f>
        <v/>
      </c>
      <c r="H20" s="2013">
        <f>Export030823!N6</f>
        <v/>
      </c>
      <c r="I20" s="2013">
        <f>Export030823!N7</f>
        <v/>
      </c>
      <c r="J20" s="648" t="n"/>
      <c r="K20" s="2014" t="n"/>
    </row>
    <row r="21">
      <c r="C21" s="634" t="inlineStr">
        <is>
          <t>Terms/Conditions of Sale</t>
        </is>
      </c>
      <c r="D21" s="749" t="inlineStr">
        <is>
          <t>None</t>
        </is>
      </c>
      <c r="E21" s="2013">
        <f>Export030823!O3</f>
        <v/>
      </c>
      <c r="F21" s="2013">
        <f>Export030823!O4</f>
        <v/>
      </c>
      <c r="G21" s="2013">
        <f>Export030823!O5</f>
        <v/>
      </c>
      <c r="H21" s="2013">
        <f>Export030823!O6</f>
        <v/>
      </c>
      <c r="I21" s="2013">
        <f>Export030823!O7</f>
        <v/>
      </c>
      <c r="J21" s="646" t="inlineStr">
        <is>
          <t>Active Listing</t>
        </is>
      </c>
      <c r="K21" s="2014" t="n"/>
    </row>
    <row r="22">
      <c r="C22" s="634" t="inlineStr">
        <is>
          <t>Expenditures After Sale</t>
        </is>
      </c>
      <c r="D22" s="749" t="inlineStr">
        <is>
          <t>None</t>
        </is>
      </c>
      <c r="E22" s="2013">
        <f>Export030823!P3</f>
        <v/>
      </c>
      <c r="F22" s="2013">
        <f>Export030823!P4</f>
        <v/>
      </c>
      <c r="G22" s="2013">
        <f>Export030823!P5</f>
        <v/>
      </c>
      <c r="H22" s="2013">
        <f>Export030823!P6</f>
        <v/>
      </c>
      <c r="I22" s="2013">
        <f>Export030823!P7</f>
        <v/>
      </c>
      <c r="J22" s="648" t="n"/>
      <c r="K22" s="2014" t="n"/>
    </row>
    <row r="23">
      <c r="C23" s="634" t="inlineStr">
        <is>
          <t>Market Conditions</t>
        </is>
      </c>
      <c r="D23" s="749" t="inlineStr">
        <is>
          <t>N/A</t>
        </is>
      </c>
      <c r="E23" s="2013">
        <f>Export030823!Q3</f>
        <v/>
      </c>
      <c r="F23" s="2013">
        <f>Export030823!Q4</f>
        <v/>
      </c>
      <c r="G23" s="2013">
        <f>Export030823!Q5</f>
        <v/>
      </c>
      <c r="H23" s="2013">
        <f>Export030823!Q6</f>
        <v/>
      </c>
      <c r="I23" s="2013">
        <f>Export030823!Q7</f>
        <v/>
      </c>
      <c r="J23" s="648" t="n"/>
      <c r="K23" s="2014" t="n"/>
    </row>
    <row r="24" hidden="1" s="1449">
      <c r="C24" s="644" t="inlineStr">
        <is>
          <t>Market Conditions Adjusted</t>
        </is>
      </c>
      <c r="D24" s="749" t="n"/>
      <c r="E24" s="2015">
        <f>IF(LEFT(CELL("format",E23),1)="P",#REF!*(1+E23),IF(LEFT(CELL("format",E23),1)="C",#REF!+E23))</f>
        <v/>
      </c>
      <c r="F24" s="2015">
        <f>IF(LEFT(CELL("format",F23),1)="P",#REF!*(1+F23),IF(LEFT(CELL("format",F23),1)="C",#REF!+F23))</f>
        <v/>
      </c>
      <c r="G24" s="2015">
        <f>IF(LEFT(CELL("format",G23),1)="P",#REF!*(1+G23),IF(LEFT(CELL("format",G23),1)="C",#REF!+G23))</f>
        <v/>
      </c>
      <c r="H24" s="2015">
        <f>IF(LEFT(CELL("format",H23),1)="P",#REF!*(1+H23),IF(LEFT(CELL("format",H23),1)="C",#REF!+H23))</f>
        <v/>
      </c>
      <c r="I24" s="2015">
        <f>IF(LEFT(CELL("format",I23),1)="P",#REF!*(1+I23),IF(LEFT(CELL("format",I23),1)="C",#REF!+I23))</f>
        <v/>
      </c>
      <c r="J24" s="646" t="n"/>
      <c r="K24" s="2016" t="n"/>
    </row>
    <row r="25" ht="18.75" customHeight="1" s="1449">
      <c r="C25" s="649" t="inlineStr">
        <is>
          <t>Total Quantified Adjustment</t>
        </is>
      </c>
      <c r="D25" s="758" t="n"/>
      <c r="E25" s="2017">
        <f>SUM(E19:E23)</f>
        <v/>
      </c>
      <c r="F25" s="2017">
        <f>SUM(F19:F23)</f>
        <v/>
      </c>
      <c r="G25" s="2017">
        <f>SUM(G19:G23)</f>
        <v/>
      </c>
      <c r="H25" s="2017">
        <f>SUM(H19:H23)</f>
        <v/>
      </c>
      <c r="I25" s="2017">
        <f>SUM(I19:I23)</f>
        <v/>
      </c>
      <c r="J25" s="651" t="n"/>
      <c r="K25" s="650" t="n"/>
    </row>
    <row r="26">
      <c r="C26" s="652" t="inlineStr">
        <is>
          <t>Quantitatively Adjusted Price</t>
        </is>
      </c>
      <c r="D26" s="759" t="n"/>
      <c r="E26" s="2018">
        <f>E17+(E17*E25)</f>
        <v/>
      </c>
      <c r="F26" s="2018">
        <f>F17+(F17*F25)</f>
        <v/>
      </c>
      <c r="G26" s="2018">
        <f>G17+(G17*G25)</f>
        <v/>
      </c>
      <c r="H26" s="2018">
        <f>H17+(H17*H25)</f>
        <v/>
      </c>
      <c r="I26" s="2018">
        <f>I17+(I17*I25)</f>
        <v/>
      </c>
      <c r="J26" s="651" t="n"/>
      <c r="K26" s="2019" t="n"/>
    </row>
    <row r="27">
      <c r="C27" s="802" t="inlineStr">
        <is>
          <t>Qualitative Adjustments</t>
        </is>
      </c>
      <c r="D27" s="803" t="n"/>
      <c r="E27" s="2020" t="n"/>
      <c r="F27" s="804" t="n"/>
      <c r="G27" s="804" t="n"/>
      <c r="H27" s="804" t="n"/>
      <c r="I27" s="804" t="n"/>
      <c r="J27" s="656" t="n"/>
      <c r="K27" s="2021" t="n"/>
    </row>
    <row r="28">
      <c r="C28" s="762">
        <f>Export030823!R1</f>
        <v/>
      </c>
      <c r="D28" s="764">
        <f>Export030823!R2</f>
        <v/>
      </c>
      <c r="E28" s="2013">
        <f>Export030823!R3</f>
        <v/>
      </c>
      <c r="F28" s="2013">
        <f>Export030823!R4</f>
        <v/>
      </c>
      <c r="G28" s="2013">
        <f>Export030823!R5</f>
        <v/>
      </c>
      <c r="H28" s="2013">
        <f>Export030823!R6</f>
        <v/>
      </c>
      <c r="I28" s="2013">
        <f>Export030823!R7</f>
        <v/>
      </c>
      <c r="J28" s="658" t="inlineStr">
        <is>
          <t>Good</t>
        </is>
      </c>
      <c r="K28" s="2022" t="n"/>
    </row>
    <row r="29">
      <c r="C29" s="763">
        <f>Export030823!S1</f>
        <v/>
      </c>
      <c r="D29" s="765">
        <f>Export030823!S2</f>
        <v/>
      </c>
      <c r="E29" s="2013">
        <f>Export030823!S3</f>
        <v/>
      </c>
      <c r="F29" s="2013">
        <f>Export030823!S4</f>
        <v/>
      </c>
      <c r="G29" s="2013">
        <f>Export030823!S5</f>
        <v/>
      </c>
      <c r="H29" s="2013">
        <f>Export030823!S6</f>
        <v/>
      </c>
      <c r="I29" s="2013">
        <f>Export030823!S7</f>
        <v/>
      </c>
      <c r="J29" s="659">
        <f>J13</f>
        <v/>
      </c>
      <c r="K29" s="2022" t="n"/>
    </row>
    <row r="30">
      <c r="C30" s="763">
        <f>Export030823!T1</f>
        <v/>
      </c>
      <c r="D30" s="788">
        <f>Export030823!T2</f>
        <v/>
      </c>
      <c r="E30" s="2013">
        <f>Export030823!T3</f>
        <v/>
      </c>
      <c r="F30" s="2013">
        <f>Export030823!T4</f>
        <v/>
      </c>
      <c r="G30" s="2013">
        <f>Export030823!T5</f>
        <v/>
      </c>
      <c r="H30" s="2013">
        <f>Export030823!T6</f>
        <v/>
      </c>
      <c r="I30" s="2013">
        <f>Export030823!T7</f>
        <v/>
      </c>
      <c r="J30" s="658" t="inlineStr">
        <is>
          <t>2019 / Very Good</t>
        </is>
      </c>
      <c r="K30" s="2022" t="n"/>
    </row>
    <row r="31">
      <c r="C31" s="762">
        <f>Export030823!U1</f>
        <v/>
      </c>
      <c r="D31" s="764">
        <f>Export030823!U2</f>
        <v/>
      </c>
      <c r="E31" s="2013">
        <f>Export030823!U3</f>
        <v/>
      </c>
      <c r="F31" s="2013">
        <f>Export030823!U4</f>
        <v/>
      </c>
      <c r="G31" s="2013">
        <f>Export030823!U5</f>
        <v/>
      </c>
      <c r="H31" s="2013">
        <f>Export030823!U6</f>
        <v/>
      </c>
      <c r="I31" s="2013">
        <f>Export030823!U7</f>
        <v/>
      </c>
      <c r="J31" s="658" t="inlineStr">
        <is>
          <t>Good</t>
        </is>
      </c>
      <c r="K31" s="2022" t="n"/>
    </row>
    <row r="32">
      <c r="C32" s="763">
        <f>Export030823!V1</f>
        <v/>
      </c>
      <c r="D32" s="766">
        <f>Export030823!V2</f>
        <v/>
      </c>
      <c r="E32" s="2013">
        <f>Export030823!V3</f>
        <v/>
      </c>
      <c r="F32" s="2013">
        <f>Export030823!V4</f>
        <v/>
      </c>
      <c r="G32" s="2013">
        <f>Export030823!V5</f>
        <v/>
      </c>
      <c r="H32" s="2013">
        <f>Export030823!V6</f>
        <v/>
      </c>
      <c r="I32" s="2013">
        <f>Export030823!V7</f>
        <v/>
      </c>
      <c r="J32" s="660">
        <f>ROUND((J15/J13)*1000,2)&amp; ":1,000 SF"</f>
        <v/>
      </c>
      <c r="K32" s="2022" t="n"/>
    </row>
    <row r="33">
      <c r="C33" s="762">
        <f>Export030823!W1</f>
        <v/>
      </c>
      <c r="D33" s="764">
        <f>Export030823!W2</f>
        <v/>
      </c>
      <c r="E33" s="2013">
        <f>Export030823!W3</f>
        <v/>
      </c>
      <c r="F33" s="2013">
        <f>Export030823!W4</f>
        <v/>
      </c>
      <c r="G33" s="2013">
        <f>Export030823!W5</f>
        <v/>
      </c>
      <c r="H33" s="2013">
        <f>Export030823!W6</f>
        <v/>
      </c>
      <c r="I33" s="2013">
        <f>Export030823!W7</f>
        <v/>
      </c>
      <c r="J33" s="658" t="inlineStr">
        <is>
          <t>Good</t>
        </is>
      </c>
      <c r="K33" s="2022" t="n"/>
    </row>
    <row r="34">
      <c r="C34" s="763">
        <f>Export030823!X1</f>
        <v/>
      </c>
      <c r="D34" s="764">
        <f>Export030823!X2</f>
        <v/>
      </c>
      <c r="E34" s="2023">
        <f>Export030823!X3</f>
        <v/>
      </c>
      <c r="F34" s="2023">
        <f>Export030823!X4</f>
        <v/>
      </c>
      <c r="G34" s="2023">
        <f>Export030823!X5</f>
        <v/>
      </c>
      <c r="H34" s="2023">
        <f>Export030823!X6</f>
        <v/>
      </c>
      <c r="I34" s="2023">
        <f>Export030823!X7</f>
        <v/>
      </c>
      <c r="J34" s="662" t="inlineStr">
        <is>
          <t>Good</t>
        </is>
      </c>
      <c r="K34" s="2024" t="n"/>
    </row>
    <row r="35">
      <c r="C35" s="663" t="inlineStr">
        <is>
          <t>Total Non Quantified Adj.</t>
        </is>
      </c>
      <c r="D35" s="760" t="n"/>
      <c r="E35" s="2025">
        <f>SUM(E28,E29,E30,E31,E32,E33,E34)</f>
        <v/>
      </c>
      <c r="F35" s="2025">
        <f>SUM(F28,F29,F30,F31,F32,F33,F34)</f>
        <v/>
      </c>
      <c r="G35" s="2025">
        <f>SUM(G28,G29,G30,G31,G32,G33,G34)</f>
        <v/>
      </c>
      <c r="H35" s="2025">
        <f>SUM(H28,H29,H30,H31,H32,H33,H34)</f>
        <v/>
      </c>
      <c r="I35" s="2026">
        <f>SUM(I28,I29,I30,I31,I32,I33,I34)</f>
        <v/>
      </c>
      <c r="J35" s="636" t="n"/>
      <c r="K35" s="2027">
        <f>SUM(K28,K29,K30,K31,K32,K33,K34)</f>
        <v/>
      </c>
    </row>
    <row r="36">
      <c r="C36" s="665" t="inlineStr">
        <is>
          <t>Indication for Subject:</t>
        </is>
      </c>
      <c r="D36" s="761" t="n"/>
      <c r="E36" s="2028">
        <f>E26+(E26*E35)</f>
        <v/>
      </c>
      <c r="F36" s="2029">
        <f>F26+(F26*F35)</f>
        <v/>
      </c>
      <c r="G36" s="2030">
        <f>G26+(G26*G35)</f>
        <v/>
      </c>
      <c r="H36" s="2030">
        <f>H26+(H26*H35)</f>
        <v/>
      </c>
      <c r="I36" s="2030">
        <f>I26+(I26*I35)</f>
        <v/>
      </c>
      <c r="J36" s="668" t="n"/>
      <c r="K36" s="2031">
        <f>IF(LEFT(CELL("format",K35),1)="P",K26*(1+K35),IF(LEFT(CELL("format",K35),1)="C",K26+K35))</f>
        <v/>
      </c>
    </row>
    <row r="37" hidden="1" s="1449"/>
    <row r="39">
      <c r="C39" s="1549" t="inlineStr">
        <is>
          <t xml:space="preserve">SALES COMPARISON APPROACH VALUE CONCLUSION </t>
        </is>
      </c>
    </row>
    <row r="40">
      <c r="C40" s="1560" t="inlineStr">
        <is>
          <t>Indicated Value per SF</t>
        </is>
      </c>
      <c r="D40" s="1885" t="n"/>
    </row>
    <row r="41">
      <c r="C41" s="1560" t="inlineStr">
        <is>
          <t>Building Area (SF)</t>
        </is>
      </c>
      <c r="D41" s="2032">
        <f>'Property Info'!B5</f>
        <v/>
      </c>
    </row>
    <row r="42" hidden="1" s="1449">
      <c r="C42" s="899">
        <f>IF(D43=0,"HIDE THIS ROW IF NO DEFERRED MAINTENANCE", "Indicated Value")</f>
        <v/>
      </c>
      <c r="D42" s="2033">
        <f>D40*D41</f>
        <v/>
      </c>
    </row>
    <row r="43" hidden="1" s="1449">
      <c r="C43" s="901" t="inlineStr">
        <is>
          <t xml:space="preserve">Contract Price </t>
        </is>
      </c>
      <c r="D43" s="2034" t="n">
        <v>0</v>
      </c>
    </row>
    <row r="44" hidden="1" s="1449">
      <c r="C44" s="2035">
        <f>D42+D43</f>
        <v/>
      </c>
      <c r="D44" s="1464" t="n"/>
    </row>
    <row r="45">
      <c r="C45" s="903">
        <f>IF(SUM(D43:D43)=0,"Indicated Value","Indicated Value - Adjusted")</f>
        <v/>
      </c>
      <c r="D45" s="2036">
        <f>C44</f>
        <v/>
      </c>
    </row>
    <row r="46">
      <c r="C46" s="1891" t="n">
        <v>5000</v>
      </c>
      <c r="D46" s="1892">
        <f>ROUND((D45/C46),0)*C46</f>
        <v/>
      </c>
    </row>
    <row r="47">
      <c r="C47" s="1666" t="inlineStr">
        <is>
          <t>Per SF</t>
        </is>
      </c>
      <c r="D47" s="1893">
        <f>D46/D41</f>
        <v/>
      </c>
      <c r="F47" s="2037" t="n"/>
      <c r="G47" s="1758" t="n"/>
    </row>
    <row r="48" hidden="1" s="1449">
      <c r="F48" s="909" t="n"/>
      <c r="G48" s="909" t="n"/>
    </row>
    <row r="49" hidden="1" s="1449"/>
    <row r="51">
      <c r="C51" s="722" t="inlineStr">
        <is>
          <t>Assessor's Assigned Value</t>
        </is>
      </c>
      <c r="D51" s="2038">
        <f>'Property Info'!B21</f>
        <v/>
      </c>
      <c r="E51" s="2039">
        <f>D51/D29</f>
        <v/>
      </c>
    </row>
    <row r="52">
      <c r="C52" s="725" t="inlineStr">
        <is>
          <t>Petition Value</t>
        </is>
      </c>
      <c r="D52" s="2040">
        <f>'Property Info'!B22</f>
        <v/>
      </c>
      <c r="E52" s="2041">
        <f>'Basic Sales Grid'!D52/'Basic Sales Grid'!D29</f>
        <v/>
      </c>
      <c r="O52" s="1493" t="inlineStr">
        <is>
          <t>COMPARABLE SALE SEARCH</t>
        </is>
      </c>
    </row>
    <row r="53" ht="16.5" customHeight="1" s="1449">
      <c r="O53" s="910" t="inlineStr">
        <is>
          <t>SEARCH FOR COMPARABLE SALES</t>
        </is>
      </c>
      <c r="P53" s="910" t="n"/>
    </row>
    <row r="54">
      <c r="O54" s="1051" t="inlineStr">
        <is>
          <t>Property Type Searched</t>
        </is>
      </c>
      <c r="P54" s="1212" t="n"/>
    </row>
    <row r="55">
      <c r="O55" s="1051" t="inlineStr">
        <is>
          <t>Search Radius</t>
        </is>
      </c>
      <c r="P55" s="1212" t="n"/>
    </row>
    <row r="56">
      <c r="O56" s="1051" t="inlineStr">
        <is>
          <t>SF Parameters</t>
        </is>
      </c>
      <c r="P56" s="1212" t="n"/>
    </row>
    <row r="57">
      <c r="O57" s="1051" t="inlineStr">
        <is>
          <t>Property Rights Conveyed</t>
        </is>
      </c>
      <c r="P57" s="1212" t="n"/>
    </row>
    <row r="58">
      <c r="O58" s="910" t="inlineStr">
        <is>
          <t>COMPARABLES UTILIZED</t>
        </is>
      </c>
      <c r="P58" s="910" t="n"/>
    </row>
    <row r="59">
      <c r="O59" s="1051" t="inlineStr">
        <is>
          <t>Sales</t>
        </is>
      </c>
      <c r="P59" s="1496" t="n"/>
    </row>
    <row r="60">
      <c r="O60" s="1052" t="inlineStr">
        <is>
          <t>Confirmations</t>
        </is>
      </c>
      <c r="P60" s="1334" t="n"/>
    </row>
    <row r="62" ht="13.5" customHeight="1" s="1449"/>
    <row r="63">
      <c r="R63" s="1493" t="inlineStr">
        <is>
          <t>RANKING OF THE SUBJECT PROPERTY</t>
        </is>
      </c>
    </row>
    <row r="64">
      <c r="R64" s="888" t="inlineStr">
        <is>
          <t>COMPARABLE</t>
        </is>
      </c>
      <c r="S64" s="888" t="inlineStr">
        <is>
          <t>VALUE PSF</t>
        </is>
      </c>
      <c r="T64" s="888" t="inlineStr">
        <is>
          <t>COMPARISON</t>
        </is>
      </c>
    </row>
    <row r="65">
      <c r="R65" s="1335" t="n">
        <v>4</v>
      </c>
      <c r="S65" s="1786">
        <f>H36</f>
        <v/>
      </c>
      <c r="T65" s="1335" t="inlineStr">
        <is>
          <t>Below</t>
        </is>
      </c>
    </row>
    <row r="66">
      <c r="R66" s="1335" t="n">
        <v>2</v>
      </c>
      <c r="S66" s="1786">
        <f>F36</f>
        <v/>
      </c>
      <c r="T66" s="1335" t="inlineStr">
        <is>
          <t>Below</t>
        </is>
      </c>
    </row>
    <row r="67">
      <c r="R67" s="1336" t="inlineStr">
        <is>
          <t>Subject</t>
        </is>
      </c>
      <c r="S67" s="2042" t="n"/>
      <c r="T67" s="1338" t="n"/>
    </row>
    <row r="68">
      <c r="R68" s="1335" t="n">
        <v>3</v>
      </c>
      <c r="S68" s="1786">
        <f>G36</f>
        <v/>
      </c>
      <c r="T68" s="1335" t="inlineStr">
        <is>
          <t>Above</t>
        </is>
      </c>
    </row>
    <row r="69">
      <c r="R69" s="1339" t="n">
        <v>1</v>
      </c>
      <c r="S69" s="1791">
        <f>E36</f>
        <v/>
      </c>
      <c r="T69" s="1339" t="inlineStr">
        <is>
          <t>Above</t>
        </is>
      </c>
    </row>
    <row r="70" hidden="1" s="1449">
      <c r="R70" s="911" t="n">
        <v>1</v>
      </c>
      <c r="S70" s="2043" t="n"/>
      <c r="T70" s="911" t="inlineStr">
        <is>
          <t>Inferior</t>
        </is>
      </c>
    </row>
  </sheetData>
  <mergeCells count="18">
    <mergeCell ref="J3:K3"/>
    <mergeCell ref="J4:K4"/>
    <mergeCell ref="J11:K11"/>
    <mergeCell ref="J12:K12"/>
    <mergeCell ref="J5:K5"/>
    <mergeCell ref="R63:T63"/>
    <mergeCell ref="J6:K6"/>
    <mergeCell ref="J16:K16"/>
    <mergeCell ref="J14:K14"/>
    <mergeCell ref="J15:K15"/>
    <mergeCell ref="J7:K7"/>
    <mergeCell ref="J9:K9"/>
    <mergeCell ref="C44:D44"/>
    <mergeCell ref="C2:I2"/>
    <mergeCell ref="J13:K13"/>
    <mergeCell ref="J8:K8"/>
    <mergeCell ref="C39:D39"/>
    <mergeCell ref="O52:P52"/>
  </mergeCells>
  <conditionalFormatting sqref="C42">
    <cfRule type="expression" priority="5" dxfId="0" stopIfTrue="1">
      <formula>SUM(D43:D43)=0</formula>
    </cfRule>
  </conditionalFormatting>
  <conditionalFormatting sqref="C43">
    <cfRule type="expression" priority="4" dxfId="2">
      <formula>D43=0</formula>
    </cfRule>
  </conditionalFormatting>
  <conditionalFormatting sqref="C44">
    <cfRule type="expression" priority="1" dxfId="0" stopIfTrue="1">
      <formula>SUM(D45:D45)=0</formula>
    </cfRule>
  </conditionalFormatting>
  <dataValidations count="2">
    <dataValidation sqref="J36" showDropDown="0" showInputMessage="1" showErrorMessage="1" allowBlank="1" type="list">
      <formula1>lstCondition</formula1>
    </dataValidation>
    <dataValidation sqref="D43" showDropDown="0" showInputMessage="1" showErrorMessage="1" allowBlank="1" promptTitle="Adjustment #2" prompt="Input adjustment to calculated value—default link to Deferred Maintenance entered in Cost Approach."/>
  </dataValidations>
  <pageMargins left="0.25" right="0.25" top="0.75" bottom="0.75" header="0.3" footer="0.3"/>
  <pageSetup orientation="landscape"/>
</worksheet>
</file>

<file path=xl/worksheets/sheet14.xml><?xml version="1.0" encoding="utf-8"?>
<worksheet xmlns="http://schemas.openxmlformats.org/spreadsheetml/2006/main">
  <sheetPr>
    <outlinePr summaryBelow="1" summaryRight="1"/>
    <pageSetUpPr/>
  </sheetPr>
  <dimension ref="C2:V68"/>
  <sheetViews>
    <sheetView showGridLines="0" zoomScale="120" zoomScaleNormal="120" workbookViewId="0">
      <selection activeCell="D61" sqref="D61"/>
    </sheetView>
  </sheetViews>
  <sheetFormatPr baseColWidth="8" defaultRowHeight="15"/>
  <cols>
    <col width="37.85546875" bestFit="1" customWidth="1" style="1449" min="3" max="3"/>
    <col width="26" bestFit="1" customWidth="1" style="1449" min="4" max="4"/>
    <col width="22.7109375" customWidth="1" style="1449" min="5" max="5"/>
    <col width="10.5703125" bestFit="1" customWidth="1" style="1449" min="6" max="6"/>
    <col width="22.7109375" customWidth="1" style="1449" min="7" max="7"/>
    <col width="9.140625" bestFit="1" customWidth="1" style="1449" min="8" max="8"/>
    <col width="22.7109375" customWidth="1" style="1449" min="9" max="9"/>
    <col width="9.140625" bestFit="1" customWidth="1" style="1449" min="10" max="10"/>
    <col width="23.85546875" customWidth="1" style="1449" min="11" max="11"/>
    <col width="9.140625" bestFit="1" customWidth="1" style="1449" min="12" max="12"/>
    <col width="22.7109375" customWidth="1" style="1449" min="13" max="13"/>
    <col width="9.140625" bestFit="1" customWidth="1" style="1449" min="14" max="14"/>
    <col hidden="1" width="20.7109375" customWidth="1" style="1449" min="15" max="15"/>
    <col hidden="1" width="8.85546875" customWidth="1" style="1449" min="16" max="16"/>
  </cols>
  <sheetData>
    <row r="2">
      <c r="C2" s="1577" t="inlineStr">
        <is>
          <t>COMPARABLE SALE ADJUSTMENT GRID</t>
        </is>
      </c>
    </row>
    <row r="3">
      <c r="C3" s="502" t="n"/>
      <c r="D3" s="502" t="inlineStr">
        <is>
          <t>Subject</t>
        </is>
      </c>
      <c r="E3" s="1598" t="inlineStr">
        <is>
          <t>Sale 1</t>
        </is>
      </c>
      <c r="G3" s="1548" t="inlineStr">
        <is>
          <t>Sale 2</t>
        </is>
      </c>
      <c r="I3" s="1548" t="inlineStr">
        <is>
          <t>Sale 3</t>
        </is>
      </c>
      <c r="K3" s="1598" t="inlineStr">
        <is>
          <t>Sale 4</t>
        </is>
      </c>
      <c r="M3" s="1548" t="inlineStr">
        <is>
          <t>Sale 5</t>
        </is>
      </c>
      <c r="O3" s="1600" t="inlineStr">
        <is>
          <t>Listing 1</t>
        </is>
      </c>
    </row>
    <row r="4">
      <c r="C4" s="503" t="inlineStr">
        <is>
          <t>Address</t>
        </is>
      </c>
      <c r="D4" s="505" t="n"/>
      <c r="E4" s="1601" t="n"/>
      <c r="F4" s="1575" t="n"/>
      <c r="G4" s="1574" t="n"/>
      <c r="H4" s="1575" t="n"/>
      <c r="I4" s="1574" t="n"/>
      <c r="J4" s="1575" t="n"/>
      <c r="K4" s="1574" t="n"/>
      <c r="L4" s="1575" t="n"/>
      <c r="M4" s="1576" t="n"/>
      <c r="O4" s="1584" t="n"/>
    </row>
    <row r="5">
      <c r="C5" s="503" t="inlineStr">
        <is>
          <t>City, State</t>
        </is>
      </c>
      <c r="D5" s="504" t="n"/>
      <c r="E5" s="1601" t="n"/>
      <c r="F5" s="1575" t="n"/>
      <c r="G5" s="1574" t="n"/>
      <c r="H5" s="1575" t="n"/>
      <c r="I5" s="1574" t="n"/>
      <c r="J5" s="1575" t="n"/>
      <c r="K5" s="1574" t="n"/>
      <c r="L5" s="1575" t="n"/>
      <c r="M5" s="1576" t="n"/>
      <c r="O5" s="1584" t="n"/>
    </row>
    <row r="6">
      <c r="C6" s="503" t="inlineStr">
        <is>
          <t>Parcel Number</t>
        </is>
      </c>
      <c r="D6" s="505" t="n"/>
      <c r="E6" s="1585" t="n"/>
      <c r="F6" s="1575" t="n"/>
      <c r="G6" s="1574" t="n"/>
      <c r="H6" s="1575" t="n"/>
      <c r="I6" s="1574" t="n"/>
      <c r="J6" s="1575" t="n"/>
      <c r="K6" s="1574" t="n"/>
      <c r="L6" s="1575" t="n"/>
      <c r="M6" s="1543" t="n"/>
      <c r="O6" s="1584" t="n"/>
    </row>
    <row r="7">
      <c r="C7" s="503" t="inlineStr">
        <is>
          <t>Property Type</t>
        </is>
      </c>
      <c r="D7" s="505" t="n"/>
      <c r="E7" s="1578" t="n"/>
      <c r="G7" s="1574" t="n"/>
      <c r="H7" s="1575" t="n"/>
      <c r="I7" s="1576" t="n"/>
      <c r="K7" s="1574" t="n"/>
      <c r="L7" s="1575" t="n"/>
      <c r="M7" s="1576" t="n"/>
      <c r="O7" s="1584" t="n"/>
    </row>
    <row r="8">
      <c r="C8" s="503" t="inlineStr">
        <is>
          <t>Sale Date</t>
        </is>
      </c>
      <c r="D8" s="506" t="n"/>
      <c r="E8" s="1999" t="n"/>
      <c r="G8" s="2044" t="n"/>
      <c r="H8" s="1575" t="n"/>
      <c r="I8" s="2045" t="n"/>
      <c r="K8" s="2044" t="n"/>
      <c r="L8" s="1575" t="n"/>
      <c r="M8" s="2045" t="n"/>
      <c r="O8" s="2046" t="n"/>
    </row>
    <row r="9">
      <c r="C9" s="503" t="inlineStr">
        <is>
          <t>Sale Price</t>
        </is>
      </c>
      <c r="D9" s="2047" t="n"/>
      <c r="E9" s="2004" t="n"/>
      <c r="F9" s="1575" t="n"/>
      <c r="G9" s="2048" t="n"/>
      <c r="H9" s="1575" t="n"/>
      <c r="I9" s="2048" t="n"/>
      <c r="J9" s="1575" t="n"/>
      <c r="K9" s="2048" t="n"/>
      <c r="L9" s="1575" t="n"/>
      <c r="M9" s="2049" t="n"/>
      <c r="O9" s="2050" t="n"/>
    </row>
    <row r="10">
      <c r="C10" s="503" t="inlineStr">
        <is>
          <t>Listing Price</t>
        </is>
      </c>
      <c r="D10" s="2047" t="n"/>
      <c r="E10" s="2003" t="n"/>
      <c r="F10" s="2002" t="n"/>
      <c r="G10" s="2048" t="n"/>
      <c r="H10" s="1575" t="n"/>
      <c r="I10" s="2048" t="n"/>
      <c r="J10" s="1575" t="n"/>
      <c r="K10" s="2048" t="n"/>
      <c r="L10" s="1575" t="n"/>
      <c r="M10" s="2049" t="n"/>
      <c r="O10" s="2050" t="n"/>
    </row>
    <row r="11">
      <c r="C11" s="503" t="inlineStr">
        <is>
          <t>Days On Market</t>
        </is>
      </c>
      <c r="D11" s="506" t="n"/>
      <c r="E11" s="1578" t="n"/>
      <c r="G11" s="1574" t="n"/>
      <c r="H11" s="1575" t="n"/>
      <c r="I11" s="1574" t="n"/>
      <c r="J11" s="1575" t="n"/>
      <c r="K11" s="2051" t="n"/>
      <c r="L11" s="1575" t="n"/>
      <c r="M11" s="508" t="n"/>
      <c r="N11" s="1584" t="n"/>
      <c r="O11" s="1584" t="n"/>
    </row>
    <row r="12" ht="38.25" customHeight="1" s="1449">
      <c r="C12" s="503" t="inlineStr">
        <is>
          <t>Data Source</t>
        </is>
      </c>
      <c r="D12" s="510" t="n"/>
      <c r="E12" s="1599" t="n"/>
      <c r="G12" s="1589" t="n"/>
      <c r="H12" s="1575" t="n"/>
      <c r="I12" s="1587" t="n"/>
      <c r="K12" s="1589" t="n"/>
      <c r="L12" s="1575" t="n"/>
      <c r="M12" s="1587" t="n"/>
      <c r="O12" s="1590" t="n"/>
    </row>
    <row r="13">
      <c r="C13" s="503" t="inlineStr">
        <is>
          <t>Property Size (SF)</t>
        </is>
      </c>
      <c r="D13" s="511" t="n"/>
      <c r="E13" s="1597" t="n"/>
      <c r="F13" s="1575" t="n"/>
      <c r="G13" s="1583" t="n"/>
      <c r="H13" s="1575" t="n"/>
      <c r="I13" s="1583" t="n"/>
      <c r="J13" s="1575" t="n"/>
      <c r="K13" s="1583" t="n"/>
      <c r="L13" s="1575" t="n"/>
      <c r="M13" s="1586" t="n"/>
      <c r="O13" s="1573" t="n"/>
    </row>
    <row r="14">
      <c r="C14" s="503" t="inlineStr">
        <is>
          <t>Site Size (SF)</t>
        </is>
      </c>
      <c r="D14" s="511" t="n"/>
      <c r="E14" s="1606" t="n"/>
      <c r="G14" s="1583" t="n"/>
      <c r="H14" s="1575" t="n"/>
      <c r="I14" s="1586" t="n"/>
      <c r="K14" s="1583" t="n"/>
      <c r="L14" s="1575" t="n"/>
      <c r="M14" s="1586" t="n"/>
      <c r="O14" s="1573" t="n"/>
      <c r="V14" s="471" t="n"/>
    </row>
    <row r="15">
      <c r="C15" s="503" t="inlineStr">
        <is>
          <t>Parking Spaces</t>
        </is>
      </c>
      <c r="D15" s="511" t="n"/>
      <c r="E15" s="1588" t="n"/>
      <c r="G15" s="1583" t="n"/>
      <c r="H15" s="1575" t="n"/>
      <c r="I15" s="1583" t="n"/>
      <c r="J15" s="1575" t="n"/>
      <c r="K15" s="1583" t="n"/>
      <c r="L15" s="1575" t="n"/>
      <c r="M15" s="1586" t="n"/>
      <c r="O15" s="1573" t="n"/>
    </row>
    <row r="16" ht="72" customHeight="1" s="1449">
      <c r="C16" s="503" t="inlineStr">
        <is>
          <t>Comments</t>
        </is>
      </c>
      <c r="D16" s="2052" t="n"/>
      <c r="E16" s="2053" t="n"/>
      <c r="F16" s="1593" t="n"/>
      <c r="G16" s="2054" t="n"/>
      <c r="H16" s="1593" t="n"/>
      <c r="I16" s="2054" t="n"/>
      <c r="J16" s="1593" t="n"/>
      <c r="K16" s="2054" t="n"/>
      <c r="L16" s="1593" t="n"/>
      <c r="M16" s="2055" t="n"/>
      <c r="N16" s="1545" t="n"/>
      <c r="O16" s="2056" t="n"/>
    </row>
    <row r="17" ht="12.6" customHeight="1" s="1449">
      <c r="C17" s="513" t="inlineStr">
        <is>
          <t>Unadjusted Price Per SF</t>
        </is>
      </c>
      <c r="D17" s="1843" t="n"/>
      <c r="E17" s="515" t="n"/>
      <c r="F17" s="1844" t="n"/>
      <c r="G17" s="515" t="n"/>
      <c r="H17" s="1844" t="n"/>
      <c r="I17" s="517" t="n"/>
      <c r="J17" s="2057" t="n"/>
      <c r="K17" s="515" t="n"/>
      <c r="L17" s="2058" t="n"/>
      <c r="M17" s="517" t="n"/>
      <c r="N17" s="2057" t="n"/>
      <c r="O17" s="609" t="n"/>
      <c r="P17" s="2059" t="n"/>
    </row>
    <row r="18">
      <c r="C18" s="520" t="inlineStr">
        <is>
          <t>Quantified Adjustments</t>
        </is>
      </c>
      <c r="D18" s="521" t="n"/>
      <c r="E18" s="522" t="n"/>
      <c r="F18" s="523" t="n"/>
      <c r="G18" s="522" t="n"/>
      <c r="H18" s="523" t="n"/>
      <c r="I18" s="524" t="n"/>
      <c r="J18" s="525" t="n"/>
      <c r="K18" s="522" t="n"/>
      <c r="L18" s="526" t="n"/>
      <c r="M18" s="524" t="n"/>
      <c r="N18" s="608" t="n"/>
      <c r="O18" s="525" t="n"/>
      <c r="P18" s="525" t="n"/>
    </row>
    <row r="19">
      <c r="C19" s="527" t="inlineStr">
        <is>
          <t>Property Rights Conveyed</t>
        </is>
      </c>
      <c r="D19" s="528" t="n"/>
      <c r="E19" s="529" t="n"/>
      <c r="F19" s="2060" t="n"/>
      <c r="G19" s="529" t="n"/>
      <c r="H19" s="2060" t="n"/>
      <c r="I19" s="531" t="n"/>
      <c r="J19" s="2061" t="n"/>
      <c r="K19" s="529" t="n"/>
      <c r="L19" s="2062" t="n"/>
      <c r="M19" s="529" t="n"/>
      <c r="N19" s="2061" t="n"/>
      <c r="O19" s="611" t="n"/>
      <c r="P19" s="2063" t="n"/>
    </row>
    <row r="20">
      <c r="C20" s="534" t="inlineStr">
        <is>
          <t>Property Rights Conveyed Adjusted</t>
        </is>
      </c>
      <c r="D20" s="506" t="n"/>
      <c r="E20" s="531" t="n"/>
      <c r="F20" s="2064" t="n"/>
      <c r="G20" s="531" t="n"/>
      <c r="H20" s="2065" t="n"/>
      <c r="I20" s="531" t="n"/>
      <c r="J20" s="2065" t="n"/>
      <c r="K20" s="531" t="n"/>
      <c r="L20" s="2066" t="n"/>
      <c r="M20" s="531" t="n"/>
      <c r="N20" s="2065" t="n"/>
      <c r="O20" s="611" t="n"/>
      <c r="P20" s="2065" t="n"/>
    </row>
    <row r="21">
      <c r="C21" s="503" t="inlineStr">
        <is>
          <t>Financing</t>
        </is>
      </c>
      <c r="D21" s="506" t="n"/>
      <c r="E21" s="531" t="n"/>
      <c r="F21" s="2061" t="n"/>
      <c r="G21" s="531" t="n"/>
      <c r="H21" s="2061" t="n"/>
      <c r="I21" s="531" t="n"/>
      <c r="J21" s="2067" t="n"/>
      <c r="K21" s="531" t="n"/>
      <c r="L21" s="2068" t="n"/>
      <c r="M21" s="531" t="n"/>
      <c r="N21" s="2067" t="n"/>
      <c r="O21" s="613" t="n"/>
      <c r="P21" s="2067" t="n"/>
    </row>
    <row r="22">
      <c r="C22" s="534" t="inlineStr">
        <is>
          <t>Financing Adjusted</t>
        </is>
      </c>
      <c r="D22" s="506" t="n"/>
      <c r="E22" s="531" t="n"/>
      <c r="F22" s="2064" t="n"/>
      <c r="G22" s="531" t="n"/>
      <c r="H22" s="2064" t="n"/>
      <c r="I22" s="531" t="n"/>
      <c r="J22" s="2065" t="n"/>
      <c r="K22" s="531" t="n"/>
      <c r="L22" s="2069" t="n"/>
      <c r="M22" s="531" t="n"/>
      <c r="N22" s="2065" t="n"/>
      <c r="O22" s="611" t="n"/>
      <c r="P22" s="2065" t="n"/>
    </row>
    <row r="23">
      <c r="C23" s="503" t="inlineStr">
        <is>
          <t>Terms/Conditions of Sale</t>
        </is>
      </c>
      <c r="D23" s="506" t="n"/>
      <c r="E23" s="531" t="n"/>
      <c r="F23" s="2061" t="n"/>
      <c r="G23" s="531" t="n"/>
      <c r="H23" s="2061" t="n"/>
      <c r="I23" s="531" t="n"/>
      <c r="J23" s="2067" t="n"/>
      <c r="K23" s="531" t="n"/>
      <c r="L23" s="2068" t="n"/>
      <c r="M23" s="531" t="n"/>
      <c r="N23" s="2067" t="n"/>
      <c r="O23" s="613" t="n"/>
      <c r="P23" s="2067" t="n"/>
    </row>
    <row r="24">
      <c r="C24" s="534" t="inlineStr">
        <is>
          <t>Terms/Conditions of Sale Adjusted</t>
        </is>
      </c>
      <c r="D24" s="506" t="n"/>
      <c r="E24" s="531" t="n"/>
      <c r="F24" s="2064" t="n"/>
      <c r="G24" s="531" t="n"/>
      <c r="H24" s="2064" t="n"/>
      <c r="I24" s="531" t="n"/>
      <c r="J24" s="2065" t="n"/>
      <c r="K24" s="531" t="n"/>
      <c r="L24" s="2069" t="n"/>
      <c r="M24" s="531" t="n"/>
      <c r="N24" s="2065" t="n"/>
      <c r="O24" s="611" t="n"/>
      <c r="P24" s="2065" t="n"/>
    </row>
    <row r="25">
      <c r="C25" s="503" t="inlineStr">
        <is>
          <t>Expenditures After Sale</t>
        </is>
      </c>
      <c r="D25" s="506" t="n"/>
      <c r="E25" s="531" t="n"/>
      <c r="F25" s="2061" t="n"/>
      <c r="G25" s="531" t="n"/>
      <c r="H25" s="2061" t="n"/>
      <c r="I25" s="531" t="n"/>
      <c r="J25" s="2067" t="n"/>
      <c r="K25" s="531" t="n"/>
      <c r="L25" s="2068" t="n"/>
      <c r="M25" s="531" t="n"/>
      <c r="N25" s="2067" t="n"/>
      <c r="O25" s="613" t="n"/>
      <c r="P25" s="2067" t="n"/>
    </row>
    <row r="26">
      <c r="C26" s="534" t="inlineStr">
        <is>
          <t>Expenditures After Sale Adjusted</t>
        </is>
      </c>
      <c r="D26" s="506" t="n"/>
      <c r="E26" s="531" t="n"/>
      <c r="F26" s="2064" t="n"/>
      <c r="G26" s="531" t="n"/>
      <c r="H26" s="2064" t="n"/>
      <c r="I26" s="531" t="n"/>
      <c r="J26" s="2065" t="n"/>
      <c r="K26" s="531" t="n"/>
      <c r="L26" s="2069" t="n"/>
      <c r="M26" s="531" t="n"/>
      <c r="N26" s="2065" t="n"/>
      <c r="O26" s="611" t="n"/>
      <c r="P26" s="2065" t="n"/>
    </row>
    <row r="27" ht="15" customHeight="1" s="1449">
      <c r="C27" s="503" t="inlineStr">
        <is>
          <t>Market Conditions</t>
        </is>
      </c>
      <c r="D27" s="506" t="n"/>
      <c r="E27" s="2070" t="n"/>
      <c r="F27" s="2061" t="n"/>
      <c r="G27" s="2070" t="n"/>
      <c r="H27" s="2061" t="n"/>
      <c r="I27" s="2070" t="n"/>
      <c r="J27" s="2067" t="n"/>
      <c r="K27" s="2070" t="n"/>
      <c r="L27" s="2068" t="n"/>
      <c r="M27" s="2070" t="n"/>
      <c r="N27" s="2067" t="n"/>
      <c r="O27" s="2071" t="n"/>
      <c r="P27" s="2067" t="n"/>
    </row>
    <row r="28">
      <c r="C28" s="534" t="inlineStr">
        <is>
          <t>Market Conditions Adjusted</t>
        </is>
      </c>
      <c r="D28" s="506" t="n"/>
      <c r="E28" s="531" t="n"/>
      <c r="F28" s="2064" t="n"/>
      <c r="G28" s="531" t="n"/>
      <c r="H28" s="2064" t="n"/>
      <c r="I28" s="531" t="n"/>
      <c r="J28" s="2065" t="n"/>
      <c r="K28" s="531" t="n"/>
      <c r="L28" s="2069" t="n"/>
      <c r="M28" s="531" t="n"/>
      <c r="N28" s="2065" t="n"/>
      <c r="O28" s="611" t="n"/>
      <c r="P28" s="2065" t="n"/>
    </row>
    <row r="29" ht="12.6" customHeight="1" s="1449">
      <c r="C29" s="542" t="inlineStr">
        <is>
          <t>Total Quantified Adjustment</t>
        </is>
      </c>
      <c r="D29" s="543" t="n"/>
      <c r="E29" s="544" t="n"/>
      <c r="F29" s="545" t="n"/>
      <c r="G29" s="544" t="n"/>
      <c r="H29" s="545" t="n"/>
      <c r="I29" s="517" t="n"/>
      <c r="J29" s="546" t="n"/>
      <c r="K29" s="544" t="n"/>
      <c r="L29" s="547" t="n"/>
      <c r="M29" s="517" t="n"/>
      <c r="N29" s="546" t="n"/>
      <c r="O29" s="609" t="n"/>
      <c r="P29" s="615" t="n"/>
    </row>
    <row r="30" ht="12.6" customHeight="1" s="1449">
      <c r="C30" s="548" t="inlineStr">
        <is>
          <t>Quantitatively Adjusted Price</t>
        </is>
      </c>
      <c r="D30" s="549" t="n"/>
      <c r="E30" s="544" t="n"/>
      <c r="F30" s="1863" t="n"/>
      <c r="G30" s="544" t="n"/>
      <c r="H30" s="1863" t="n"/>
      <c r="I30" s="517" t="n"/>
      <c r="J30" s="1862" t="n"/>
      <c r="K30" s="544" t="n"/>
      <c r="L30" s="1861" t="n"/>
      <c r="M30" s="517" t="n"/>
      <c r="N30" s="1862" t="n"/>
      <c r="O30" s="609" t="n"/>
      <c r="P30" s="2072" t="n"/>
    </row>
    <row r="31">
      <c r="C31" s="553" t="inlineStr">
        <is>
          <t>Qualitative Adjustments</t>
        </is>
      </c>
      <c r="D31" s="554" t="n"/>
      <c r="E31" s="555" t="n"/>
      <c r="F31" s="2073" t="n"/>
      <c r="G31" s="555" t="n"/>
      <c r="H31" s="2073" t="n"/>
      <c r="I31" s="555" t="n"/>
      <c r="J31" s="2073" t="n"/>
      <c r="K31" s="555" t="n"/>
      <c r="L31" s="2074" t="n"/>
      <c r="M31" s="555" t="n"/>
      <c r="N31" s="2073" t="n"/>
      <c r="O31" s="617" t="n"/>
      <c r="P31" s="2073" t="n"/>
    </row>
    <row r="32" ht="15.75" customHeight="1" s="1449">
      <c r="C32" s="558" t="inlineStr">
        <is>
          <t>Location</t>
        </is>
      </c>
      <c r="D32" s="559" t="n"/>
      <c r="E32" s="560" t="n"/>
      <c r="F32" s="1866" t="n"/>
      <c r="G32" s="560" t="n"/>
      <c r="H32" s="1866" t="n"/>
      <c r="I32" s="560" t="n"/>
      <c r="J32" s="1866" t="n"/>
      <c r="K32" s="560" t="n"/>
      <c r="L32" s="2075" t="n"/>
      <c r="M32" s="560" t="n"/>
      <c r="N32" s="1866" t="n"/>
      <c r="O32" s="618" t="n"/>
      <c r="P32" s="1866" t="n"/>
    </row>
    <row r="33" hidden="1" ht="12.6" customHeight="1" s="1449">
      <c r="C33" s="563" t="inlineStr">
        <is>
          <t>Distance from Subject</t>
        </is>
      </c>
      <c r="D33" s="564" t="n"/>
      <c r="E33" s="564" t="n"/>
      <c r="F33" s="2067" t="n"/>
      <c r="G33" s="564" t="n"/>
      <c r="H33" s="2067" t="n"/>
      <c r="I33" s="564" t="n"/>
      <c r="J33" s="2067" t="n"/>
      <c r="K33" s="564" t="n"/>
      <c r="L33" s="2076" t="n"/>
      <c r="M33" s="564" t="n"/>
      <c r="N33" s="2067" t="n"/>
      <c r="O33" s="619" t="n"/>
      <c r="P33" s="2067" t="n"/>
    </row>
    <row r="34">
      <c r="C34" s="563" t="inlineStr">
        <is>
          <t>Surrounding Land Uses</t>
        </is>
      </c>
      <c r="D34" s="564" t="n"/>
      <c r="E34" s="564" t="n"/>
      <c r="F34" s="2067" t="n"/>
      <c r="G34" s="564" t="n"/>
      <c r="H34" s="2067" t="n"/>
      <c r="I34" s="564" t="n"/>
      <c r="J34" s="2067" t="n"/>
      <c r="K34" s="564" t="n"/>
      <c r="L34" s="2076" t="n"/>
      <c r="M34" s="564" t="n"/>
      <c r="N34" s="2067" t="n"/>
      <c r="O34" s="619" t="n"/>
      <c r="P34" s="2067" t="n"/>
    </row>
    <row r="35">
      <c r="C35" s="563" t="inlineStr">
        <is>
          <t>Quality/Condition of Surrounding Area</t>
        </is>
      </c>
      <c r="D35" s="566" t="n"/>
      <c r="E35" s="566" t="n"/>
      <c r="F35" s="2067" t="n"/>
      <c r="G35" s="566" t="n"/>
      <c r="H35" s="2067" t="n"/>
      <c r="I35" s="566" t="n"/>
      <c r="J35" s="2067" t="n"/>
      <c r="K35" s="566" t="n"/>
      <c r="L35" s="2076" t="n"/>
      <c r="M35" s="566" t="n"/>
      <c r="N35" s="2067" t="n"/>
      <c r="O35" s="620" t="n"/>
      <c r="P35" s="2067" t="n"/>
    </row>
    <row r="36" hidden="1" ht="15" customHeight="1" s="1449">
      <c r="C36" s="563" t="inlineStr">
        <is>
          <t>Access to Commercial Services/Amenities</t>
        </is>
      </c>
      <c r="D36" s="566" t="n"/>
      <c r="E36" s="566" t="n"/>
      <c r="F36" s="2067" t="n"/>
      <c r="G36" s="566" t="n"/>
      <c r="H36" s="2067" t="n"/>
      <c r="I36" s="566" t="n"/>
      <c r="J36" s="2067" t="n"/>
      <c r="K36" s="566" t="n"/>
      <c r="L36" s="2076" t="n"/>
      <c r="M36" s="566" t="n"/>
      <c r="N36" s="2067" t="n"/>
      <c r="O36" s="620" t="n"/>
      <c r="P36" s="2067" t="n"/>
    </row>
    <row r="37" ht="45" customHeight="1" s="1449">
      <c r="C37" s="563" t="inlineStr">
        <is>
          <t>Visibility/Access</t>
        </is>
      </c>
      <c r="D37" s="567" t="n"/>
      <c r="E37" s="567" t="n"/>
      <c r="F37" s="2067" t="n"/>
      <c r="G37" s="567" t="n"/>
      <c r="H37" s="2067" t="n"/>
      <c r="I37" s="567" t="n"/>
      <c r="J37" s="2067" t="n"/>
      <c r="K37" s="567" t="n"/>
      <c r="L37" s="2076" t="n"/>
      <c r="M37" s="567" t="n"/>
      <c r="N37" s="2067" t="n"/>
      <c r="O37" s="621" t="n"/>
      <c r="P37" s="2067" t="n"/>
    </row>
    <row r="38" ht="105" customHeight="1" s="1449">
      <c r="C38" s="568" t="inlineStr">
        <is>
          <t>Demographics</t>
        </is>
      </c>
      <c r="D38" s="569" t="n"/>
      <c r="E38" s="569" t="n"/>
      <c r="F38" s="2067" t="n"/>
      <c r="G38" s="569" t="n"/>
      <c r="H38" s="2067" t="n"/>
      <c r="I38" s="569" t="n"/>
      <c r="J38" s="2067" t="n"/>
      <c r="K38" s="569" t="n"/>
      <c r="L38" s="2076" t="n"/>
      <c r="M38" s="569" t="n"/>
      <c r="N38" s="2067" t="n"/>
      <c r="O38" s="622" t="n"/>
      <c r="P38" s="2067" t="n"/>
    </row>
    <row r="39">
      <c r="C39" s="570" t="inlineStr">
        <is>
          <t>Property Size (SF)</t>
        </is>
      </c>
      <c r="D39" s="571" t="n"/>
      <c r="E39" s="571" t="n"/>
      <c r="F39" s="1866" t="n"/>
      <c r="G39" s="571" t="n"/>
      <c r="H39" s="1866" t="n"/>
      <c r="I39" s="571" t="n"/>
      <c r="J39" s="1866" t="n"/>
      <c r="K39" s="571" t="n"/>
      <c r="L39" s="2075" t="n"/>
      <c r="M39" s="571" t="n"/>
      <c r="N39" s="1866" t="n"/>
      <c r="O39" s="623" t="n"/>
      <c r="P39" s="1866" t="n"/>
    </row>
    <row r="40" ht="39" customHeight="1" s="1449">
      <c r="C40" s="572" t="inlineStr">
        <is>
          <t>YOC / Condition</t>
        </is>
      </c>
      <c r="D40" s="559" t="n"/>
      <c r="E40" s="600" t="n"/>
      <c r="F40" s="1866" t="n"/>
      <c r="G40" s="560" t="n"/>
      <c r="H40" s="1866" t="n"/>
      <c r="I40" s="600" t="n"/>
      <c r="J40" s="1866" t="n"/>
      <c r="K40" s="560" t="n"/>
      <c r="L40" s="2075" t="n"/>
      <c r="M40" s="560" t="n"/>
      <c r="N40" s="1866" t="n"/>
      <c r="O40" s="618" t="n"/>
      <c r="P40" s="1866" t="n"/>
    </row>
    <row r="41" ht="16.5" customHeight="1" s="1449">
      <c r="C41" s="558" t="inlineStr">
        <is>
          <t>Quality</t>
        </is>
      </c>
      <c r="D41" s="559" t="n"/>
      <c r="E41" s="560" t="n"/>
      <c r="F41" s="1866" t="n"/>
      <c r="G41" s="560" t="n"/>
      <c r="H41" s="1866" t="n"/>
      <c r="I41" s="560" t="n"/>
      <c r="J41" s="1866" t="n"/>
      <c r="K41" s="560" t="n"/>
      <c r="L41" s="2075" t="n"/>
      <c r="M41" s="560" t="n"/>
      <c r="N41" s="1866" t="n"/>
      <c r="O41" s="618" t="n"/>
      <c r="P41" s="1866" t="n"/>
    </row>
    <row r="42">
      <c r="C42" s="563" t="inlineStr">
        <is>
          <t>Frame</t>
        </is>
      </c>
      <c r="D42" s="564" t="n"/>
      <c r="E42" s="564" t="n"/>
      <c r="F42" s="2077" t="n"/>
      <c r="G42" s="564" t="n"/>
      <c r="H42" s="2077" t="n"/>
      <c r="I42" s="564" t="n"/>
      <c r="J42" s="2077" t="n"/>
      <c r="K42" s="564" t="n"/>
      <c r="L42" s="2078" t="n"/>
      <c r="M42" s="564" t="n"/>
      <c r="N42" s="2077" t="n"/>
      <c r="O42" s="619" t="n"/>
      <c r="P42" s="2077" t="n"/>
    </row>
    <row r="43">
      <c r="C43" s="563" t="inlineStr">
        <is>
          <t>Exterior</t>
        </is>
      </c>
      <c r="D43" s="564" t="n"/>
      <c r="E43" s="564" t="n"/>
      <c r="F43" s="2077" t="n"/>
      <c r="G43" s="564" t="n"/>
      <c r="H43" s="2077" t="n"/>
      <c r="I43" s="564" t="n"/>
      <c r="J43" s="2077" t="n"/>
      <c r="K43" s="564" t="n"/>
      <c r="L43" s="2078" t="n"/>
      <c r="M43" s="564" t="n"/>
      <c r="N43" s="2077" t="n"/>
      <c r="O43" s="619" t="n"/>
      <c r="P43" s="2077" t="n"/>
    </row>
    <row r="44">
      <c r="C44" s="563" t="inlineStr">
        <is>
          <t>Architectural Styling</t>
        </is>
      </c>
      <c r="D44" s="566" t="n"/>
      <c r="E44" s="566" t="n"/>
      <c r="F44" s="2077" t="n"/>
      <c r="G44" s="566" t="n"/>
      <c r="H44" s="2077" t="n"/>
      <c r="I44" s="566" t="n"/>
      <c r="J44" s="2077" t="n"/>
      <c r="K44" s="566" t="n"/>
      <c r="L44" s="2078" t="n"/>
      <c r="M44" s="566" t="n"/>
      <c r="N44" s="2077" t="n"/>
      <c r="O44" s="624" t="n"/>
      <c r="P44" s="2077" t="n"/>
    </row>
    <row r="45" ht="45" customHeight="1" s="1449">
      <c r="C45" s="563" t="inlineStr">
        <is>
          <t>Typical Interior Finishes</t>
        </is>
      </c>
      <c r="D45" s="575" t="n"/>
      <c r="E45" s="575" t="n"/>
      <c r="F45" s="2077" t="n"/>
      <c r="G45" s="575" t="n"/>
      <c r="H45" s="2077" t="n"/>
      <c r="I45" s="575" t="n"/>
      <c r="J45" s="2077" t="n"/>
      <c r="K45" s="575" t="n"/>
      <c r="L45" s="2078" t="n"/>
      <c r="M45" s="575" t="n"/>
      <c r="N45" s="2077" t="n"/>
      <c r="O45" s="624" t="n"/>
      <c r="P45" s="2077" t="n"/>
    </row>
    <row r="46" ht="19.5" customHeight="1" s="1449">
      <c r="C46" s="570" t="inlineStr">
        <is>
          <t>Parking Ratio (Per 1,000 SF)</t>
        </is>
      </c>
      <c r="D46" s="576" t="n"/>
      <c r="E46" s="577" t="n"/>
      <c r="F46" s="1866" t="n"/>
      <c r="G46" s="577" t="n"/>
      <c r="H46" s="1866" t="n"/>
      <c r="I46" s="577" t="n"/>
      <c r="J46" s="1866" t="n"/>
      <c r="K46" s="577" t="n"/>
      <c r="L46" s="2075" t="n"/>
      <c r="M46" s="577" t="n"/>
      <c r="N46" s="1866" t="n"/>
      <c r="O46" s="625" t="n"/>
      <c r="P46" s="1866" t="n"/>
    </row>
    <row r="47">
      <c r="C47" s="558" t="inlineStr">
        <is>
          <t>Tenancy / Occupancy</t>
        </is>
      </c>
      <c r="D47" s="559" t="n"/>
      <c r="E47" s="560" t="n"/>
      <c r="F47" s="1866" t="n"/>
      <c r="G47" s="560" t="n"/>
      <c r="H47" s="1866" t="n"/>
      <c r="I47" s="560" t="n"/>
      <c r="J47" s="1866" t="n"/>
      <c r="K47" s="560" t="n"/>
      <c r="L47" s="2075" t="n"/>
      <c r="M47" s="560" t="n"/>
      <c r="N47" s="1866" t="n"/>
      <c r="O47" s="618" t="n"/>
      <c r="P47" s="1866" t="n"/>
    </row>
    <row r="48">
      <c r="C48" s="563" t="inlineStr">
        <is>
          <t>Occupancy</t>
        </is>
      </c>
      <c r="D48" s="575" t="n"/>
      <c r="E48" s="566" t="n"/>
      <c r="F48" s="2077" t="n"/>
      <c r="G48" s="566" t="n"/>
      <c r="H48" s="2077" t="n"/>
      <c r="I48" s="566" t="n"/>
      <c r="J48" s="2077" t="n"/>
      <c r="K48" s="566" t="n"/>
      <c r="L48" s="2078" t="n"/>
      <c r="M48" s="566" t="n"/>
      <c r="N48" s="2077" t="n"/>
      <c r="O48" s="620" t="n"/>
      <c r="P48" s="2077" t="n"/>
    </row>
    <row r="49" ht="30" customHeight="1" s="1449">
      <c r="C49" s="563" t="inlineStr">
        <is>
          <t>Tenant Risk</t>
        </is>
      </c>
      <c r="D49" s="566" t="n"/>
      <c r="E49" s="566" t="n"/>
      <c r="F49" s="2077" t="n"/>
      <c r="G49" s="566" t="n"/>
      <c r="H49" s="2077" t="n"/>
      <c r="I49" s="566" t="n"/>
      <c r="J49" s="2077" t="n"/>
      <c r="K49" s="575" t="n"/>
      <c r="L49" s="2078" t="n"/>
      <c r="M49" s="575" t="n"/>
      <c r="N49" s="2077" t="n"/>
      <c r="O49" s="620" t="n"/>
      <c r="P49" s="2077" t="n"/>
    </row>
    <row r="50" ht="12.6" customHeight="1" s="1449">
      <c r="C50" s="563" t="inlineStr">
        <is>
          <t>Overall Cap Rate</t>
        </is>
      </c>
      <c r="D50" s="578" t="n"/>
      <c r="E50" s="579" t="n"/>
      <c r="F50" s="2077" t="n"/>
      <c r="G50" s="579" t="n"/>
      <c r="H50" s="2077" t="n"/>
      <c r="I50" s="579" t="n"/>
      <c r="J50" s="2077" t="n"/>
      <c r="K50" s="579" t="n"/>
      <c r="L50" s="2078" t="n"/>
      <c r="M50" s="579" t="n"/>
      <c r="N50" s="2077" t="n"/>
      <c r="O50" s="626" t="n"/>
      <c r="P50" s="2077" t="n"/>
    </row>
    <row r="51" hidden="1" ht="12.6" customHeight="1" s="1449">
      <c r="C51" s="563" t="inlineStr">
        <is>
          <t>Years Remaining</t>
        </is>
      </c>
      <c r="D51" s="578" t="n"/>
      <c r="E51" s="2079" t="n"/>
      <c r="F51" s="2077" t="n"/>
      <c r="G51" s="2079" t="n"/>
      <c r="H51" s="2077" t="n"/>
      <c r="I51" s="2079" t="n"/>
      <c r="J51" s="2077" t="n"/>
      <c r="K51" s="2079" t="n"/>
      <c r="L51" s="2078" t="n"/>
      <c r="M51" s="2079" t="n"/>
      <c r="N51" s="2077" t="n"/>
      <c r="O51" s="2080" t="n"/>
      <c r="P51" s="2077" t="n"/>
    </row>
    <row r="52" hidden="1" ht="12.6" customHeight="1" s="1449">
      <c r="C52" s="563" t="inlineStr">
        <is>
          <t>Renewal Options</t>
        </is>
      </c>
      <c r="D52" s="578" t="n"/>
      <c r="E52" s="2079" t="n"/>
      <c r="F52" s="2077" t="n"/>
      <c r="G52" s="2079" t="n"/>
      <c r="H52" s="2077" t="n"/>
      <c r="I52" s="2079" t="n"/>
      <c r="J52" s="2077" t="n"/>
      <c r="K52" s="2079" t="n"/>
      <c r="L52" s="2078" t="n"/>
      <c r="M52" s="2079" t="n"/>
      <c r="N52" s="2077" t="n"/>
      <c r="O52" s="2080" t="n"/>
      <c r="P52" s="2077" t="n"/>
    </row>
    <row r="53">
      <c r="C53" s="570" t="inlineStr">
        <is>
          <t>Functional Utility</t>
        </is>
      </c>
      <c r="D53" s="559" t="n"/>
      <c r="E53" s="581" t="n"/>
      <c r="F53" s="1873" t="n"/>
      <c r="G53" s="560" t="n"/>
      <c r="H53" s="1873" t="n"/>
      <c r="I53" s="560" t="n"/>
      <c r="J53" s="1873" t="n"/>
      <c r="K53" s="581" t="n"/>
      <c r="L53" s="2081" t="n"/>
      <c r="M53" s="560" t="n"/>
      <c r="N53" s="1873" t="n"/>
      <c r="O53" s="618" t="n"/>
      <c r="P53" s="1873" t="n"/>
    </row>
    <row r="54" ht="30" customHeight="1" s="1449">
      <c r="C54" s="563" t="inlineStr">
        <is>
          <t>Building Layout</t>
        </is>
      </c>
      <c r="D54" s="566" t="n"/>
      <c r="E54" s="566" t="n"/>
      <c r="F54" s="2077" t="n"/>
      <c r="G54" s="566" t="n"/>
      <c r="H54" s="2077" t="n"/>
      <c r="I54" s="575" t="n"/>
      <c r="J54" s="2077" t="n"/>
      <c r="K54" s="575" t="n"/>
      <c r="L54" s="2078" t="n"/>
      <c r="M54" s="575" t="n"/>
      <c r="N54" s="2077" t="n"/>
      <c r="O54" s="620" t="n"/>
      <c r="P54" s="2077" t="n"/>
    </row>
    <row r="55" ht="45" customHeight="1" s="1449">
      <c r="C55" s="563" t="inlineStr">
        <is>
          <t>Building Amenities</t>
        </is>
      </c>
      <c r="D55" s="584" t="n"/>
      <c r="E55" s="584" t="n"/>
      <c r="F55" s="2077" t="n"/>
      <c r="G55" s="584" t="n"/>
      <c r="H55" s="2077" t="n"/>
      <c r="I55" s="584" t="n"/>
      <c r="J55" s="2077" t="n"/>
      <c r="K55" s="584" t="n"/>
      <c r="L55" s="2078" t="n"/>
      <c r="M55" s="584" t="n"/>
      <c r="N55" s="2077" t="n"/>
      <c r="O55" s="624" t="n"/>
      <c r="P55" s="2077" t="n"/>
    </row>
    <row r="56">
      <c r="C56" s="563" t="inlineStr">
        <is>
          <t>Above/Below Grade Space</t>
        </is>
      </c>
      <c r="D56" s="584" t="n"/>
      <c r="E56" s="584" t="n"/>
      <c r="F56" s="2077" t="n"/>
      <c r="G56" s="584" t="n"/>
      <c r="H56" s="2077" t="n"/>
      <c r="I56" s="584" t="n"/>
      <c r="J56" s="2077" t="n"/>
      <c r="K56" s="584" t="n"/>
      <c r="L56" s="2078" t="n"/>
      <c r="M56" s="584" t="n"/>
      <c r="N56" s="2077" t="n"/>
      <c r="O56" s="628" t="n"/>
      <c r="P56" s="2077" t="n"/>
    </row>
    <row r="57" ht="30" customHeight="1" s="1449">
      <c r="C57" s="563" t="inlineStr">
        <is>
          <t>Site Improvements, Other</t>
        </is>
      </c>
      <c r="D57" s="584" t="n"/>
      <c r="E57" s="584" t="n"/>
      <c r="F57" s="2077" t="n"/>
      <c r="G57" s="584" t="n"/>
      <c r="H57" s="2077" t="n"/>
      <c r="I57" s="584" t="n"/>
      <c r="J57" s="2082" t="n"/>
      <c r="K57" s="584" t="n"/>
      <c r="L57" s="2078" t="n"/>
      <c r="M57" s="584" t="n"/>
      <c r="N57" s="2082" t="n"/>
      <c r="O57" s="628" t="n"/>
      <c r="P57" s="2077" t="n"/>
    </row>
    <row r="58" ht="12.6" customHeight="1" s="1449">
      <c r="C58" s="586" t="inlineStr">
        <is>
          <t>Total Non Quantified Adj.</t>
        </is>
      </c>
      <c r="D58" s="587" t="n"/>
      <c r="E58" s="588" t="n"/>
      <c r="F58" s="2083" t="n"/>
      <c r="G58" s="588" t="n"/>
      <c r="H58" s="2083" t="n"/>
      <c r="I58" s="590" t="n"/>
      <c r="J58" s="2084" t="n"/>
      <c r="K58" s="592" t="n"/>
      <c r="L58" s="2085" t="n"/>
      <c r="M58" s="590" t="n"/>
      <c r="N58" s="2084" t="n"/>
      <c r="O58" s="570" t="n"/>
      <c r="P58" s="2086" t="n"/>
    </row>
    <row r="59" ht="12.6" customHeight="1" s="1449">
      <c r="C59" s="594" t="inlineStr">
        <is>
          <t>Indication for Subject:</t>
        </is>
      </c>
      <c r="D59" s="595" t="n"/>
      <c r="E59" s="596" t="n"/>
      <c r="F59" s="1884" t="n"/>
      <c r="G59" s="596" t="n"/>
      <c r="H59" s="1884" t="n"/>
      <c r="I59" s="596" t="n"/>
      <c r="J59" s="2087" t="n"/>
      <c r="K59" s="596" t="n"/>
      <c r="L59" s="2088" t="n"/>
      <c r="M59" s="596" t="n"/>
      <c r="N59" s="2087" t="n"/>
      <c r="O59" s="630" t="n"/>
      <c r="P59" s="2089" t="n"/>
    </row>
    <row r="60">
      <c r="E60" s="358" t="n"/>
      <c r="G60" s="358" t="n"/>
      <c r="I60" s="358" t="n"/>
      <c r="K60" s="358" t="n"/>
      <c r="M60" s="358" t="n"/>
    </row>
    <row r="61">
      <c r="E61" s="2090" t="n"/>
    </row>
    <row r="62">
      <c r="E62" s="2091" t="n"/>
      <c r="F62" s="2037" t="n"/>
    </row>
    <row r="63">
      <c r="E63" s="2090" t="n"/>
    </row>
    <row r="64">
      <c r="E64" s="2092" t="n"/>
    </row>
    <row r="68">
      <c r="F68" s="2093" t="n"/>
    </row>
  </sheetData>
  <mergeCells count="83">
    <mergeCell ref="O7:P7"/>
    <mergeCell ref="O6:P6"/>
    <mergeCell ref="O15:P15"/>
    <mergeCell ref="E8:F8"/>
    <mergeCell ref="I16:J16"/>
    <mergeCell ref="M10:N10"/>
    <mergeCell ref="M16:N16"/>
    <mergeCell ref="O16:P16"/>
    <mergeCell ref="M8:N8"/>
    <mergeCell ref="O8:P8"/>
    <mergeCell ref="O11:P11"/>
    <mergeCell ref="I13:J13"/>
    <mergeCell ref="K13:L13"/>
    <mergeCell ref="E3:F3"/>
    <mergeCell ref="E12:F12"/>
    <mergeCell ref="O3:P3"/>
    <mergeCell ref="G12:H12"/>
    <mergeCell ref="I6:J6"/>
    <mergeCell ref="I15:J15"/>
    <mergeCell ref="K15:L15"/>
    <mergeCell ref="E5:F5"/>
    <mergeCell ref="E14:F14"/>
    <mergeCell ref="E4:F4"/>
    <mergeCell ref="G7:H7"/>
    <mergeCell ref="I7:J7"/>
    <mergeCell ref="M13:N13"/>
    <mergeCell ref="M7:N7"/>
    <mergeCell ref="I8:J8"/>
    <mergeCell ref="E16:F16"/>
    <mergeCell ref="G16:H16"/>
    <mergeCell ref="I10:J10"/>
    <mergeCell ref="K10:L10"/>
    <mergeCell ref="K6:L6"/>
    <mergeCell ref="G9:H9"/>
    <mergeCell ref="I9:J9"/>
    <mergeCell ref="K3:L3"/>
    <mergeCell ref="K16:L16"/>
    <mergeCell ref="G11:H11"/>
    <mergeCell ref="K9:L9"/>
    <mergeCell ref="I11:J11"/>
    <mergeCell ref="K5:L5"/>
    <mergeCell ref="M9:N9"/>
    <mergeCell ref="M5:N5"/>
    <mergeCell ref="O9:P9"/>
    <mergeCell ref="K11:L11"/>
    <mergeCell ref="O5:P5"/>
    <mergeCell ref="E13:F13"/>
    <mergeCell ref="G13:H13"/>
    <mergeCell ref="O4:P4"/>
    <mergeCell ref="E6:F6"/>
    <mergeCell ref="M15:N15"/>
    <mergeCell ref="M12:N12"/>
    <mergeCell ref="K8:L8"/>
    <mergeCell ref="E15:F15"/>
    <mergeCell ref="G15:H15"/>
    <mergeCell ref="C2:P2"/>
    <mergeCell ref="K7:L7"/>
    <mergeCell ref="E7:F7"/>
    <mergeCell ref="O10:P10"/>
    <mergeCell ref="G8:H8"/>
    <mergeCell ref="G10:H10"/>
    <mergeCell ref="G6:H6"/>
    <mergeCell ref="E9:F9"/>
    <mergeCell ref="G3:H3"/>
    <mergeCell ref="I3:J3"/>
    <mergeCell ref="I12:J12"/>
    <mergeCell ref="K12:L12"/>
    <mergeCell ref="M6:N6"/>
    <mergeCell ref="E11:F11"/>
    <mergeCell ref="G5:H5"/>
    <mergeCell ref="I5:J5"/>
    <mergeCell ref="G14:H14"/>
    <mergeCell ref="M3:N3"/>
    <mergeCell ref="I14:J14"/>
    <mergeCell ref="K14:L14"/>
    <mergeCell ref="O12:P12"/>
    <mergeCell ref="G4:H4"/>
    <mergeCell ref="I4:J4"/>
    <mergeCell ref="M14:N14"/>
    <mergeCell ref="O14:P14"/>
    <mergeCell ref="K4:L4"/>
    <mergeCell ref="M4:N4"/>
    <mergeCell ref="O13:P13"/>
  </mergeCells>
  <dataValidations count="1">
    <dataValidation sqref="E59 G59 I59 K59 M59 O59" showDropDown="0" showInputMessage="1" showErrorMessage="1" allowBlank="1" type="list">
      <formula1>lstCondition</formula1>
    </dataValidation>
  </dataValidation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B2:K53"/>
  <sheetViews>
    <sheetView showGridLines="0" workbookViewId="0">
      <selection activeCell="E31" sqref="E31"/>
    </sheetView>
  </sheetViews>
  <sheetFormatPr baseColWidth="8" defaultRowHeight="15"/>
  <cols>
    <col width="3.42578125" customWidth="1" style="1449" min="1" max="1"/>
    <col width="45.42578125" bestFit="1" customWidth="1" style="1449" min="2" max="2"/>
    <col width="53" customWidth="1" style="1449" min="3" max="3"/>
    <col width="14" customWidth="1" style="1449" min="4" max="4"/>
    <col width="11.5703125" bestFit="1" customWidth="1" style="1449" min="6" max="6"/>
    <col width="9.7109375" bestFit="1" customWidth="1" style="1449" min="7" max="7"/>
    <col width="12.5703125" bestFit="1" customWidth="1" style="1449" min="8" max="8"/>
    <col width="11.5703125" bestFit="1" customWidth="1" style="1449" min="9" max="9"/>
  </cols>
  <sheetData>
    <row r="2" ht="15.75" customHeight="1" s="1449">
      <c r="B2" s="1607" t="inlineStr">
        <is>
          <t xml:space="preserve">LEASE ABSTRACT </t>
        </is>
      </c>
    </row>
    <row r="3" ht="12.75" customHeight="1" s="1449">
      <c r="B3" s="1043" t="inlineStr">
        <is>
          <t>Lessor</t>
        </is>
      </c>
      <c r="C3" s="1351" t="n"/>
      <c r="G3" s="1355" t="inlineStr">
        <is>
          <t>Annual Rent Calc. Table</t>
        </is>
      </c>
      <c r="H3" s="1356" t="n"/>
    </row>
    <row r="4" ht="12.75" customHeight="1" s="1449">
      <c r="B4" s="1043" t="inlineStr">
        <is>
          <t>Lessee</t>
        </is>
      </c>
      <c r="C4" s="1352" t="n"/>
      <c r="G4" s="725" t="inlineStr">
        <is>
          <t>Month</t>
        </is>
      </c>
      <c r="H4" s="1357" t="inlineStr">
        <is>
          <t>Monthly Rent</t>
        </is>
      </c>
    </row>
    <row r="5" ht="12.75" customHeight="1" s="1449">
      <c r="B5" s="1043" t="inlineStr">
        <is>
          <t>Building Size (SF)</t>
        </is>
      </c>
      <c r="C5" s="1353" t="n"/>
      <c r="G5" s="1358" t="n"/>
      <c r="H5" s="2094" t="n"/>
    </row>
    <row r="6" ht="12.75" customHeight="1" s="1449">
      <c r="B6" s="1043" t="inlineStr">
        <is>
          <t>Lease Sign Date</t>
        </is>
      </c>
      <c r="C6" s="1354" t="n"/>
      <c r="G6" s="1358" t="n"/>
      <c r="H6" s="2094" t="n"/>
    </row>
    <row r="7" ht="12.75" customHeight="1" s="1449">
      <c r="B7" s="1043" t="inlineStr">
        <is>
          <t>Lease Commencement Date</t>
        </is>
      </c>
      <c r="C7" s="1354" t="n"/>
      <c r="G7" s="1358" t="n"/>
      <c r="H7" s="2094" t="n"/>
      <c r="K7" s="358" t="n"/>
    </row>
    <row r="8" ht="12.75" customHeight="1" s="1449">
      <c r="B8" s="1043" t="inlineStr">
        <is>
          <t>Lease Expiration Date</t>
        </is>
      </c>
      <c r="C8" s="1354" t="n"/>
      <c r="G8" s="1358" t="n"/>
      <c r="H8" s="2094" t="n"/>
    </row>
    <row r="9">
      <c r="B9" s="1043" t="inlineStr">
        <is>
          <t>Base Lease Term (Months)</t>
        </is>
      </c>
      <c r="C9" s="1044">
        <f>+(C8-C7)/365*12</f>
        <v/>
      </c>
      <c r="G9" s="1358" t="n"/>
      <c r="H9" s="2094" t="n"/>
      <c r="K9" s="358" t="n"/>
    </row>
    <row r="10" ht="20.25" customHeight="1" s="1449">
      <c r="B10" s="1043" t="inlineStr">
        <is>
          <t>12 Months Contract Rental Income (Jan-Dec 2020)</t>
        </is>
      </c>
      <c r="C10" s="2095">
        <f>H17</f>
        <v/>
      </c>
      <c r="G10" s="1358" t="n"/>
      <c r="H10" s="2094" t="n"/>
    </row>
    <row r="11" ht="12.75" customHeight="1" s="1449">
      <c r="B11" s="1043" t="inlineStr">
        <is>
          <t>12 Months Contract Rental Income (Jan-Dec 2020)</t>
        </is>
      </c>
      <c r="C11" s="2096">
        <f>C10/C5</f>
        <v/>
      </c>
      <c r="G11" s="1358" t="n"/>
      <c r="H11" s="2094" t="n"/>
    </row>
    <row r="12" ht="12.75" customHeight="1" s="1449">
      <c r="B12" s="1043" t="inlineStr">
        <is>
          <t>Base Rents</t>
        </is>
      </c>
      <c r="C12" s="1043" t="n"/>
      <c r="D12" t="inlineStr">
        <is>
          <t>Annual Rent (Lease)</t>
        </is>
      </c>
      <c r="G12" s="1358" t="n"/>
      <c r="H12" s="2094" t="n"/>
    </row>
    <row r="13">
      <c r="B13" s="1047" t="inlineStr">
        <is>
          <t>Year 1 (11/16-10/17)</t>
        </is>
      </c>
      <c r="C13" s="2096">
        <f>D13/$C$5</f>
        <v/>
      </c>
      <c r="D13" s="1756" t="n"/>
      <c r="G13" s="1358" t="n"/>
      <c r="H13" s="2094" t="n"/>
    </row>
    <row r="14">
      <c r="B14" s="1047" t="inlineStr">
        <is>
          <t>Year 2 (11/17-10/18)</t>
        </is>
      </c>
      <c r="C14" s="2096">
        <f>D14/$C$5</f>
        <v/>
      </c>
      <c r="D14" s="1756" t="n"/>
      <c r="G14" s="1358" t="n"/>
      <c r="H14" s="2094" t="n"/>
    </row>
    <row r="15">
      <c r="B15" s="1047" t="inlineStr">
        <is>
          <t>Year 3 (11/18-10/19)</t>
        </is>
      </c>
      <c r="C15" s="2096">
        <f>D15/$C$5</f>
        <v/>
      </c>
      <c r="D15" s="1756" t="n"/>
      <c r="G15" s="1358" t="n"/>
      <c r="H15" s="2094" t="n"/>
    </row>
    <row r="16">
      <c r="B16" s="1047" t="inlineStr">
        <is>
          <t>Year 4 (11/19-10/20)</t>
        </is>
      </c>
      <c r="C16" s="2096">
        <f>D16/$C$5</f>
        <v/>
      </c>
      <c r="D16" s="1756" t="n"/>
      <c r="G16" s="1360" t="n"/>
      <c r="H16" s="2097" t="n"/>
    </row>
    <row r="17">
      <c r="B17" s="1047" t="inlineStr">
        <is>
          <t>Year 5 (11/20-10/21)</t>
        </is>
      </c>
      <c r="C17" s="2096">
        <f>D17/$C$5</f>
        <v/>
      </c>
      <c r="D17" s="1756" t="n"/>
      <c r="G17" s="1362" t="inlineStr">
        <is>
          <t>Total</t>
        </is>
      </c>
      <c r="H17" s="2098">
        <f>SUM(H5:H16)</f>
        <v/>
      </c>
    </row>
    <row r="18">
      <c r="B18" s="1047" t="inlineStr">
        <is>
          <t>Frist Renewal Period</t>
        </is>
      </c>
      <c r="C18" s="2096" t="n"/>
      <c r="D18" s="1756" t="n"/>
      <c r="G18" s="1364" t="inlineStr">
        <is>
          <t>PSF</t>
        </is>
      </c>
      <c r="H18" s="2099">
        <f>H17/FE!C14</f>
        <v/>
      </c>
      <c r="I18" s="2091" t="n"/>
    </row>
    <row r="19">
      <c r="B19" s="1047" t="inlineStr">
        <is>
          <t>Year 6</t>
        </is>
      </c>
      <c r="C19" s="2096">
        <f>D19/$C$5</f>
        <v/>
      </c>
      <c r="D19" s="1756" t="n"/>
      <c r="H19" s="2091" t="n"/>
      <c r="I19" s="2091" t="n"/>
    </row>
    <row r="20">
      <c r="B20" s="1047" t="inlineStr">
        <is>
          <t>Year 7</t>
        </is>
      </c>
      <c r="C20" s="2096">
        <f>D20/$C$5</f>
        <v/>
      </c>
      <c r="D20" s="1756" t="n"/>
      <c r="H20" s="2091" t="n"/>
      <c r="I20" s="2091" t="n"/>
    </row>
    <row r="21">
      <c r="B21" s="1047" t="inlineStr">
        <is>
          <t>Year 8</t>
        </is>
      </c>
      <c r="C21" s="2096">
        <f>D21/$C$5</f>
        <v/>
      </c>
      <c r="D21" s="1756" t="n"/>
      <c r="H21" s="2091" t="n"/>
      <c r="I21" s="2091" t="n"/>
    </row>
    <row r="22">
      <c r="B22" s="1047" t="inlineStr">
        <is>
          <t>Year 9</t>
        </is>
      </c>
      <c r="C22" s="2096">
        <f>D22/$C$5</f>
        <v/>
      </c>
      <c r="D22" s="1756" t="n"/>
      <c r="H22" s="2091" t="n"/>
      <c r="I22" s="2091" t="n"/>
    </row>
    <row r="23">
      <c r="B23" s="1047" t="inlineStr">
        <is>
          <t>Year 10</t>
        </is>
      </c>
      <c r="C23" s="2096">
        <f>D23/$C$5</f>
        <v/>
      </c>
      <c r="D23" s="1756" t="n"/>
      <c r="H23" s="2091" t="n"/>
      <c r="I23" s="2091" t="n"/>
    </row>
    <row r="24">
      <c r="B24" s="1047" t="inlineStr">
        <is>
          <t>Year 11</t>
        </is>
      </c>
      <c r="C24" s="2096">
        <f>D24/$C$5</f>
        <v/>
      </c>
      <c r="D24" s="1756" t="n"/>
      <c r="H24" s="2091" t="n"/>
      <c r="I24" s="2091" t="n"/>
    </row>
    <row r="25" hidden="1" ht="12" customHeight="1" s="1449">
      <c r="B25" s="1047" t="n"/>
      <c r="C25" s="2096" t="n"/>
      <c r="H25" s="2091" t="n"/>
      <c r="I25" s="2091" t="n"/>
    </row>
    <row r="26" hidden="1" ht="12" customHeight="1" s="1449">
      <c r="B26" s="1047" t="n"/>
      <c r="C26" s="2096" t="n"/>
      <c r="H26" s="2091" t="n"/>
      <c r="I26" s="2091" t="n"/>
    </row>
    <row r="27" hidden="1" ht="12" customHeight="1" s="1449">
      <c r="B27" s="1047" t="n"/>
      <c r="C27" s="2096" t="n"/>
      <c r="H27" s="2091" t="n"/>
      <c r="I27" s="2091" t="n"/>
    </row>
    <row r="28" hidden="1" ht="12" customHeight="1" s="1449">
      <c r="B28" s="1047" t="n"/>
      <c r="C28" s="2096" t="n"/>
      <c r="H28" s="2091" t="n"/>
      <c r="I28" s="2091" t="n"/>
    </row>
    <row r="29" ht="15" customHeight="1" s="1449">
      <c r="B29" s="1048" t="inlineStr">
        <is>
          <t>Expense Structure</t>
        </is>
      </c>
      <c r="C29" s="1366" t="inlineStr">
        <is>
          <t>NNN</t>
        </is>
      </c>
      <c r="H29" s="2091" t="n"/>
      <c r="I29" s="2091" t="n"/>
      <c r="J29" s="2093" t="n"/>
    </row>
    <row r="30" ht="15" customHeight="1" s="1449">
      <c r="B30" s="1043" t="inlineStr">
        <is>
          <t>Landlord Expense Responsibilities</t>
        </is>
      </c>
      <c r="C30" s="1351" t="n"/>
      <c r="H30" s="2091" t="n"/>
      <c r="I30" s="2091" t="n"/>
      <c r="J30" s="2093" t="n"/>
    </row>
    <row r="31" ht="52.5" customHeight="1" s="1449">
      <c r="B31" s="1049" t="inlineStr">
        <is>
          <t>Tenant Expense Responsibilities</t>
        </is>
      </c>
      <c r="C31" s="1367" t="n"/>
      <c r="H31" s="2091" t="n"/>
      <c r="I31" s="2090" t="n"/>
      <c r="J31" s="2037" t="n"/>
    </row>
    <row r="32" ht="37.5" customHeight="1" s="1449">
      <c r="B32" s="1043" t="inlineStr">
        <is>
          <t>Comments</t>
        </is>
      </c>
      <c r="C32" s="1351" t="n"/>
    </row>
    <row r="33">
      <c r="B33" s="1043" t="inlineStr">
        <is>
          <t>Purchase Options</t>
        </is>
      </c>
      <c r="C33" s="1351" t="inlineStr">
        <is>
          <t>None</t>
        </is>
      </c>
    </row>
    <row r="34">
      <c r="B34" s="1043" t="inlineStr">
        <is>
          <t>Termination Clause</t>
        </is>
      </c>
      <c r="C34" s="1351" t="inlineStr">
        <is>
          <t>None</t>
        </is>
      </c>
    </row>
    <row r="35">
      <c r="B35" s="1043" t="inlineStr">
        <is>
          <t>Guarantor</t>
        </is>
      </c>
      <c r="C35" s="1351" t="inlineStr">
        <is>
          <t>None</t>
        </is>
      </c>
    </row>
    <row r="36">
      <c r="B36" s="1043" t="inlineStr">
        <is>
          <t>Other</t>
        </is>
      </c>
      <c r="C36" s="1351" t="n"/>
    </row>
    <row r="37" ht="24" customHeight="1" s="1449">
      <c r="B37" s="1050" t="inlineStr">
        <is>
          <t>Source</t>
        </is>
      </c>
      <c r="C37" s="1368" t="inlineStr">
        <is>
          <t>Lease Agreement, owner, inspection, assessor data</t>
        </is>
      </c>
    </row>
    <row r="41">
      <c r="C41" s="2100" t="n"/>
    </row>
    <row r="42">
      <c r="C42" s="2100" t="n"/>
    </row>
    <row r="43">
      <c r="C43" s="2100" t="n"/>
    </row>
    <row r="44">
      <c r="C44" s="2100" t="n"/>
    </row>
    <row r="45">
      <c r="C45" s="2100" t="n"/>
    </row>
    <row r="46">
      <c r="C46" s="2100" t="n"/>
    </row>
    <row r="47">
      <c r="C47" s="2100" t="n"/>
    </row>
    <row r="48">
      <c r="C48" s="2100" t="n"/>
    </row>
    <row r="49">
      <c r="C49" s="2100" t="n"/>
    </row>
    <row r="50">
      <c r="C50" s="2100" t="n"/>
    </row>
    <row r="51">
      <c r="C51" s="2100" t="n"/>
    </row>
    <row r="52">
      <c r="C52" s="2100" t="n"/>
    </row>
    <row r="53">
      <c r="C53" s="2100" t="n"/>
    </row>
  </sheetData>
  <mergeCells count="1">
    <mergeCell ref="B2:C2"/>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2:DZ41"/>
  <sheetViews>
    <sheetView showGridLines="0" workbookViewId="0">
      <selection activeCell="S29" sqref="S29:T29"/>
    </sheetView>
  </sheetViews>
  <sheetFormatPr baseColWidth="8" defaultRowHeight="15"/>
  <cols>
    <col width="10.7109375" customWidth="1" style="1449" min="1" max="1"/>
    <col width="13.28515625" customWidth="1" style="1449" min="2" max="2"/>
    <col width="12.5703125" customWidth="1" style="1449" min="3" max="3"/>
    <col width="9.85546875" customWidth="1" style="1449" min="4" max="4"/>
    <col width="20.7109375" customWidth="1" style="1449" min="5" max="5"/>
    <col width="7.42578125" customWidth="1" style="1449" min="6" max="6"/>
    <col width="20.7109375" customWidth="1" style="1449" min="7" max="7"/>
    <col width="7.42578125" customWidth="1" style="1449" min="8" max="8"/>
    <col width="20.7109375" customWidth="1" style="1449" min="9" max="9"/>
    <col width="7.5703125" customWidth="1" style="1449" min="10" max="10"/>
    <col width="20.7109375" customWidth="1" style="1449" min="11" max="11"/>
    <col width="8" customWidth="1" style="1449" min="12" max="12"/>
    <col hidden="1" width="21" customWidth="1" style="1449" min="13" max="13"/>
    <col hidden="1" width="10.28515625" customWidth="1" style="1449" min="14" max="14"/>
  </cols>
  <sheetData>
    <row r="2" ht="15.75" customFormat="1" customHeight="1" s="4">
      <c r="A2" s="1621" t="inlineStr">
        <is>
          <t>COMPARABLE LEASE ADJUSTMENT GRID</t>
        </is>
      </c>
      <c r="B2" s="1477" t="n"/>
      <c r="C2" s="1477" t="n"/>
      <c r="D2" s="1477" t="n"/>
      <c r="E2" s="1477" t="n"/>
      <c r="F2" s="1477" t="n"/>
      <c r="G2" s="1477" t="n"/>
      <c r="H2" s="1477" t="n"/>
      <c r="I2" s="1477" t="n"/>
      <c r="J2" s="1477" t="n"/>
      <c r="K2" s="1477" t="n"/>
      <c r="L2" s="1477" t="n"/>
      <c r="M2" s="1477" t="n"/>
      <c r="N2" s="1622" t="n"/>
    </row>
    <row r="3" ht="15" customHeight="1" s="1449">
      <c r="A3" s="1633" t="inlineStr">
        <is>
          <t>Characteristics</t>
        </is>
      </c>
      <c r="C3" s="1628" t="inlineStr">
        <is>
          <t>Subject</t>
        </is>
      </c>
      <c r="E3" s="1628" t="inlineStr">
        <is>
          <t>Lease 1</t>
        </is>
      </c>
      <c r="G3" s="1628" t="inlineStr">
        <is>
          <t>Lease 2</t>
        </is>
      </c>
      <c r="I3" s="1628" t="inlineStr">
        <is>
          <t>Lease 3</t>
        </is>
      </c>
      <c r="K3" s="1628" t="inlineStr">
        <is>
          <t>Lease 4</t>
        </is>
      </c>
      <c r="M3" s="1630" t="inlineStr">
        <is>
          <t>Rent 5</t>
        </is>
      </c>
      <c r="N3" s="1575" t="n"/>
    </row>
    <row r="4" ht="15" customHeight="1" s="1449">
      <c r="A4" s="1615" t="inlineStr">
        <is>
          <t>Address</t>
        </is>
      </c>
      <c r="B4" s="1575" t="n"/>
      <c r="C4" s="1613">
        <f>'Property Info'!B17</f>
        <v/>
      </c>
      <c r="D4" s="1575" t="n"/>
      <c r="E4" s="1613" t="n"/>
      <c r="F4" s="1575" t="n"/>
      <c r="G4" s="1613" t="n"/>
      <c r="H4" s="1575" t="n"/>
      <c r="I4" s="1613" t="n"/>
      <c r="J4" s="1575" t="n"/>
      <c r="K4" s="1613" t="n"/>
      <c r="L4" s="1575" t="n"/>
      <c r="M4" s="1629" t="n"/>
      <c r="N4" s="1575" t="n"/>
    </row>
    <row r="5" ht="12.75" customHeight="1" s="1449">
      <c r="A5" s="1611" t="inlineStr">
        <is>
          <t>City</t>
        </is>
      </c>
      <c r="B5" s="1575" t="n"/>
      <c r="C5" s="1613">
        <f>'Property Info'!B18</f>
        <v/>
      </c>
      <c r="D5" s="1575" t="n"/>
      <c r="E5" s="1613" t="n"/>
      <c r="F5" s="1575" t="n"/>
      <c r="G5" s="1613" t="n"/>
      <c r="H5" s="1575" t="n"/>
      <c r="I5" s="1613" t="n"/>
      <c r="J5" s="1575" t="n"/>
      <c r="K5" s="1613" t="n"/>
      <c r="L5" s="1575" t="n"/>
      <c r="M5" s="1629" t="n"/>
      <c r="N5" s="1575" t="n"/>
    </row>
    <row r="6" hidden="1" ht="12.75" customHeight="1" s="1449">
      <c r="A6" s="1615" t="inlineStr">
        <is>
          <t>Distance from Subject</t>
        </is>
      </c>
      <c r="B6" s="1575" t="n"/>
      <c r="C6" s="1613" t="inlineStr">
        <is>
          <t>N/A</t>
        </is>
      </c>
      <c r="D6" s="1575" t="n"/>
      <c r="E6" s="1613" t="inlineStr">
        <is>
          <t>1 mile</t>
        </is>
      </c>
      <c r="F6" s="1575" t="n"/>
      <c r="G6" s="1613" t="inlineStr">
        <is>
          <t>1 mile</t>
        </is>
      </c>
      <c r="H6" s="1575" t="n"/>
      <c r="I6" s="1613" t="inlineStr">
        <is>
          <t>1 mile</t>
        </is>
      </c>
      <c r="J6" s="1575" t="n"/>
      <c r="K6" s="1613" t="inlineStr">
        <is>
          <t>1/4 mile</t>
        </is>
      </c>
      <c r="L6" s="1575" t="n"/>
      <c r="M6" s="1629" t="inlineStr">
        <is>
          <t>1 mile</t>
        </is>
      </c>
      <c r="N6" s="1575" t="n"/>
    </row>
    <row r="7" hidden="1" ht="40.5" customHeight="1" s="1449">
      <c r="A7" s="797" t="inlineStr">
        <is>
          <t>Data Source</t>
        </is>
      </c>
      <c r="B7" s="790" t="n"/>
      <c r="C7" s="1613">
        <f>'Detailed Sales Grid'!D12</f>
        <v/>
      </c>
      <c r="D7" s="1575" t="n"/>
      <c r="E7" s="1613" t="inlineStr">
        <is>
          <t>CoStar, Assessor, OM</t>
        </is>
      </c>
      <c r="F7" s="1575" t="n"/>
      <c r="G7" s="1613" t="inlineStr">
        <is>
          <t>CoStar, Assessor, OM</t>
        </is>
      </c>
      <c r="H7" s="1575" t="n"/>
      <c r="I7" s="1613" t="inlineStr">
        <is>
          <t>CoStar, Assessor, OM</t>
        </is>
      </c>
      <c r="J7" s="1575" t="n"/>
      <c r="K7" s="1613" t="inlineStr">
        <is>
          <t>CoStar, Broker, Listing</t>
        </is>
      </c>
      <c r="L7" s="1575" t="n"/>
      <c r="M7" s="1629" t="inlineStr">
        <is>
          <t>CoStar, Assessor</t>
        </is>
      </c>
      <c r="N7" s="1575" t="n"/>
    </row>
    <row r="8" hidden="1" ht="12.75" customHeight="1" s="1449">
      <c r="A8" s="1611" t="inlineStr">
        <is>
          <t>Proximity to Subject</t>
        </is>
      </c>
      <c r="B8" s="1575" t="n"/>
      <c r="C8" s="1613" t="inlineStr">
        <is>
          <t>N/A</t>
        </is>
      </c>
      <c r="D8" s="1575" t="n"/>
      <c r="E8" s="1613" t="inlineStr">
        <is>
          <t>1.5 miles</t>
        </is>
      </c>
      <c r="F8" s="1575" t="n"/>
      <c r="G8" s="1613" t="inlineStr">
        <is>
          <t>1.5 miles</t>
        </is>
      </c>
      <c r="H8" s="1575" t="n"/>
      <c r="I8" s="1613" t="inlineStr">
        <is>
          <t>1.5 miles</t>
        </is>
      </c>
      <c r="J8" s="1575" t="n"/>
      <c r="K8" s="1613" t="inlineStr">
        <is>
          <t>5.0 miles</t>
        </is>
      </c>
      <c r="L8" s="1575" t="n"/>
      <c r="M8" s="1613" t="inlineStr">
        <is>
          <t>3.0 miles</t>
        </is>
      </c>
      <c r="N8" s="1575" t="n"/>
    </row>
    <row r="9" ht="12.75" customHeight="1" s="1449">
      <c r="A9" s="1615" t="inlineStr">
        <is>
          <t xml:space="preserve">Building Size </t>
        </is>
      </c>
      <c r="B9" s="1575" t="n"/>
      <c r="C9" s="1612">
        <f>'Property Info'!B5</f>
        <v/>
      </c>
      <c r="D9" s="1575" t="n"/>
      <c r="E9" s="1612" t="n"/>
      <c r="F9" s="1575" t="n"/>
      <c r="G9" s="1612" t="n"/>
      <c r="H9" s="1575" t="n"/>
      <c r="I9" s="1612" t="n"/>
      <c r="J9" s="1575" t="n"/>
      <c r="K9" s="1612" t="n"/>
      <c r="L9" s="1575" t="n"/>
      <c r="M9" s="1636" t="n"/>
      <c r="N9" s="1575" t="n"/>
    </row>
    <row r="10" hidden="1" ht="12.75" customHeight="1" s="1449">
      <c r="A10" s="1615" t="inlineStr">
        <is>
          <t>Vacancy</t>
        </is>
      </c>
      <c r="B10" s="1575" t="n"/>
      <c r="C10" s="789" t="n"/>
      <c r="D10" s="490">
        <f>C10/C9</f>
        <v/>
      </c>
      <c r="E10" s="791" t="n">
        <v>0</v>
      </c>
      <c r="F10" s="491" t="n">
        <v>0</v>
      </c>
      <c r="G10" s="791" t="n">
        <v>0</v>
      </c>
      <c r="H10" s="491" t="n">
        <v>0</v>
      </c>
      <c r="I10" s="791" t="n">
        <v>0</v>
      </c>
      <c r="J10" s="491" t="n">
        <v>0</v>
      </c>
      <c r="K10" s="791" t="n">
        <v>0</v>
      </c>
      <c r="L10" s="491" t="n">
        <v>0</v>
      </c>
      <c r="M10" s="791" t="n">
        <v>0</v>
      </c>
      <c r="N10" s="491" t="n">
        <v>0</v>
      </c>
    </row>
    <row r="11" hidden="1" ht="15" customHeight="1" s="1449">
      <c r="A11" s="1639" t="inlineStr">
        <is>
          <t>Parking Ratio</t>
        </is>
      </c>
      <c r="B11" s="1575" t="n"/>
      <c r="C11" s="791" t="n"/>
      <c r="D11" s="492">
        <f>ROUND((C11/C9)*1000,2)&amp;":1,000SF"</f>
        <v/>
      </c>
      <c r="E11" s="791" t="n">
        <v>19</v>
      </c>
      <c r="F11" s="492">
        <f>ROUND((E11/E9)*1000,2)&amp;":1,000SF"</f>
        <v/>
      </c>
      <c r="G11" s="791" t="n">
        <v>19</v>
      </c>
      <c r="H11" s="492">
        <f>ROUND((G11/G9)*1000,2)&amp;":1,000SF"</f>
        <v/>
      </c>
      <c r="I11" s="791" t="n">
        <v>19</v>
      </c>
      <c r="J11" s="492">
        <f>ROUND((I11/I9)*1000,2)&amp;":1,000SF"</f>
        <v/>
      </c>
      <c r="K11" s="791" t="n">
        <v>19</v>
      </c>
      <c r="L11" s="492">
        <f>ROUND((K11/K9)*1000,2)&amp;":1,000SF"</f>
        <v/>
      </c>
      <c r="M11" s="791" t="n">
        <v>19</v>
      </c>
      <c r="N11" s="491">
        <f>ROUND((M11/M9)*1000,2)&amp;":1,000SF"</f>
        <v/>
      </c>
    </row>
    <row r="12" ht="12.75" customHeight="1" s="1449">
      <c r="A12" s="1623" t="inlineStr">
        <is>
          <t>Representative Lease</t>
        </is>
      </c>
      <c r="C12" s="1634" t="n"/>
      <c r="E12" s="1634" t="n"/>
      <c r="F12" s="1634" t="n"/>
      <c r="G12" s="1634" t="n"/>
      <c r="H12" s="1634" t="n"/>
      <c r="I12" s="1634" t="n"/>
      <c r="J12" s="1634" t="n"/>
      <c r="K12" s="1634" t="n"/>
      <c r="L12" s="1634" t="n"/>
      <c r="M12" s="792" t="n"/>
      <c r="N12" s="798" t="n"/>
    </row>
    <row r="13" ht="12.75" customHeight="1" s="1449">
      <c r="A13" s="2101" t="inlineStr">
        <is>
          <t>Actual or Asking Lease Rate</t>
        </is>
      </c>
      <c r="B13" s="1575" t="n"/>
      <c r="C13" s="2102" t="inlineStr">
        <is>
          <t>N/A</t>
        </is>
      </c>
      <c r="D13" s="1575" t="n"/>
      <c r="E13" s="2103" t="inlineStr">
        <is>
          <t>Actual</t>
        </is>
      </c>
      <c r="F13" s="1575" t="n"/>
      <c r="G13" s="2103" t="inlineStr">
        <is>
          <t>Actual</t>
        </is>
      </c>
      <c r="H13" s="1575" t="n"/>
      <c r="I13" s="2103" t="inlineStr">
        <is>
          <t>Actual</t>
        </is>
      </c>
      <c r="J13" s="1575" t="n"/>
      <c r="K13" s="2103" t="inlineStr">
        <is>
          <t>Actual</t>
        </is>
      </c>
      <c r="L13" s="1575" t="n"/>
      <c r="M13" s="2104" t="inlineStr">
        <is>
          <t>Actual</t>
        </is>
      </c>
      <c r="N13" s="1575" t="n"/>
    </row>
    <row r="14" ht="33.75" customHeight="1" s="1449">
      <c r="A14" s="2101" t="inlineStr">
        <is>
          <t>Tenant</t>
        </is>
      </c>
      <c r="B14" s="1575" t="n"/>
      <c r="C14" s="2102">
        <f>LA!C4</f>
        <v/>
      </c>
      <c r="D14" s="1575" t="n"/>
      <c r="E14" s="2103" t="n"/>
      <c r="F14" s="1575" t="n"/>
      <c r="G14" s="2103" t="n"/>
      <c r="H14" s="1575" t="n"/>
      <c r="I14" s="2103" t="n"/>
      <c r="J14" s="1575" t="n"/>
      <c r="K14" s="2103" t="n"/>
      <c r="L14" s="1575" t="n"/>
      <c r="M14" s="2104" t="n"/>
      <c r="N14" s="1575" t="n"/>
    </row>
    <row r="15">
      <c r="A15" s="2101" t="inlineStr">
        <is>
          <t>SF Area Leased</t>
        </is>
      </c>
      <c r="B15" s="1575" t="n"/>
      <c r="C15" s="1643">
        <f>'Property Info'!B5</f>
        <v/>
      </c>
      <c r="D15" s="1575" t="n"/>
      <c r="E15" s="1612">
        <f>E9</f>
        <v/>
      </c>
      <c r="F15" s="1575" t="n"/>
      <c r="G15" s="1612" t="n">
        <v>22248</v>
      </c>
      <c r="H15" s="1575" t="n"/>
      <c r="I15" s="1612" t="n">
        <v>20000</v>
      </c>
      <c r="J15" s="1575" t="n"/>
      <c r="K15" s="1612" t="n">
        <v>37044</v>
      </c>
      <c r="L15" s="1575" t="n"/>
      <c r="M15" s="1636">
        <f>M9</f>
        <v/>
      </c>
      <c r="N15" s="1575" t="n"/>
    </row>
    <row r="16">
      <c r="A16" s="2101" t="inlineStr">
        <is>
          <t>Commencement</t>
        </is>
      </c>
      <c r="B16" s="1575" t="n"/>
      <c r="C16" s="2105" t="n"/>
      <c r="D16" s="1575" t="n"/>
      <c r="E16" s="2105" t="n"/>
      <c r="F16" s="1575" t="n"/>
      <c r="G16" s="2105" t="n"/>
      <c r="H16" s="1575" t="n"/>
      <c r="I16" s="2105" t="n"/>
      <c r="J16" s="1575" t="n"/>
      <c r="K16" s="2105" t="n"/>
      <c r="L16" s="1575" t="n"/>
      <c r="M16" s="2106" t="n"/>
      <c r="N16" s="1575" t="n"/>
    </row>
    <row r="17">
      <c r="A17" s="2101" t="inlineStr">
        <is>
          <t>Term</t>
        </is>
      </c>
      <c r="B17" s="1575" t="n"/>
      <c r="C17" s="2102" t="n"/>
      <c r="D17" s="1575" t="n"/>
      <c r="E17" s="2103" t="inlineStr">
        <is>
          <t>3 Years</t>
        </is>
      </c>
      <c r="F17" s="1575" t="n"/>
      <c r="G17" s="2103" t="inlineStr">
        <is>
          <t>5 Years</t>
        </is>
      </c>
      <c r="H17" s="1575" t="n"/>
      <c r="I17" s="2103" t="inlineStr">
        <is>
          <t>3 Years</t>
        </is>
      </c>
      <c r="J17" s="1575" t="n"/>
      <c r="K17" s="2103" t="inlineStr">
        <is>
          <t>3 Years</t>
        </is>
      </c>
      <c r="L17" s="1575" t="n"/>
      <c r="M17" s="2104" t="inlineStr">
        <is>
          <t>5 Years</t>
        </is>
      </c>
      <c r="N17" s="1575" t="n"/>
    </row>
    <row r="18">
      <c r="A18" s="2101" t="inlineStr">
        <is>
          <t>TI Allowance</t>
        </is>
      </c>
      <c r="B18" s="1575" t="n"/>
      <c r="C18" s="2102" t="inlineStr">
        <is>
          <t>N/A</t>
        </is>
      </c>
      <c r="D18" s="1575" t="n"/>
      <c r="E18" s="2103" t="inlineStr">
        <is>
          <t>N/R</t>
        </is>
      </c>
      <c r="F18" s="1575" t="n"/>
      <c r="G18" s="2103" t="inlineStr">
        <is>
          <t>N/R</t>
        </is>
      </c>
      <c r="H18" s="1575" t="n"/>
      <c r="I18" s="2103" t="inlineStr">
        <is>
          <t>N/R</t>
        </is>
      </c>
      <c r="J18" s="1575" t="n"/>
      <c r="K18" s="2103" t="inlineStr">
        <is>
          <t>N/R</t>
        </is>
      </c>
      <c r="L18" s="1575" t="n"/>
      <c r="M18" s="2104" t="inlineStr">
        <is>
          <t>N/R</t>
        </is>
      </c>
      <c r="N18" s="1575" t="n"/>
    </row>
    <row r="19">
      <c r="A19" s="2101" t="inlineStr">
        <is>
          <t>Lease Rate Expense Structure</t>
        </is>
      </c>
      <c r="B19" s="1575" t="n"/>
      <c r="C19" s="2102" t="inlineStr">
        <is>
          <t>NNN</t>
        </is>
      </c>
      <c r="D19" s="1575" t="n"/>
      <c r="E19" s="2103" t="inlineStr">
        <is>
          <t>NNN</t>
        </is>
      </c>
      <c r="F19" s="1575" t="n"/>
      <c r="G19" s="2103" t="inlineStr">
        <is>
          <t>NNN</t>
        </is>
      </c>
      <c r="H19" s="1575" t="n"/>
      <c r="I19" s="2103" t="inlineStr">
        <is>
          <t>NNN</t>
        </is>
      </c>
      <c r="J19" s="1575" t="n"/>
      <c r="K19" s="2103" t="inlineStr">
        <is>
          <t>NNN</t>
        </is>
      </c>
      <c r="L19" s="1575" t="n"/>
      <c r="M19" s="2104" t="inlineStr">
        <is>
          <t>NNN</t>
        </is>
      </c>
      <c r="N19" s="1575" t="n"/>
    </row>
    <row r="20">
      <c r="A20" s="2101" t="inlineStr">
        <is>
          <t>Base Annual Rent</t>
        </is>
      </c>
      <c r="B20" s="1575" t="n"/>
      <c r="C20" s="2103">
        <f>LA!C11</f>
        <v/>
      </c>
      <c r="D20" s="1575" t="n"/>
      <c r="E20" s="2103" t="n"/>
      <c r="F20" s="1575" t="n"/>
      <c r="G20" s="2103" t="n"/>
      <c r="H20" s="1575" t="n"/>
      <c r="I20" s="2103" t="n"/>
      <c r="J20" s="1575" t="n"/>
      <c r="K20" s="2103" t="n"/>
      <c r="L20" s="1575" t="n"/>
      <c r="M20" s="2104" t="n"/>
      <c r="N20" s="1575" t="n"/>
    </row>
    <row r="21">
      <c r="A21" s="2107" t="inlineStr">
        <is>
          <t>Expense Adjustments</t>
        </is>
      </c>
      <c r="B21" s="1620" t="n"/>
      <c r="C21" s="2103" t="inlineStr">
        <is>
          <t>N/A</t>
        </is>
      </c>
      <c r="D21" s="1575" t="n"/>
      <c r="E21" s="2103" t="n">
        <v>0</v>
      </c>
      <c r="F21" s="1575" t="n"/>
      <c r="G21" s="2103" t="n">
        <v>0</v>
      </c>
      <c r="H21" s="1575" t="n"/>
      <c r="I21" s="2103" t="n">
        <v>0</v>
      </c>
      <c r="J21" s="1575" t="n"/>
      <c r="K21" s="2108" t="n">
        <v>0</v>
      </c>
      <c r="L21" s="1620" t="n"/>
      <c r="M21" s="2109" t="n">
        <v>0</v>
      </c>
      <c r="N21" s="1620" t="n"/>
    </row>
    <row r="22" ht="15" customFormat="1" customHeight="1" s="5">
      <c r="A22" s="2110" t="inlineStr">
        <is>
          <t>Adjusted Rent (NNN)</t>
        </is>
      </c>
      <c r="B22" s="1610" t="n"/>
      <c r="C22" s="2111">
        <f>C20</f>
        <v/>
      </c>
      <c r="D22" s="1610" t="n"/>
      <c r="E22" s="2111">
        <f>E20+E21</f>
        <v/>
      </c>
      <c r="F22" s="1610" t="n"/>
      <c r="G22" s="2111">
        <f>G20+G21</f>
        <v/>
      </c>
      <c r="H22" s="1610" t="n"/>
      <c r="I22" s="2111">
        <f>I20+I21</f>
        <v/>
      </c>
      <c r="J22" s="1610" t="n"/>
      <c r="K22" s="2111">
        <f>K20+K21</f>
        <v/>
      </c>
      <c r="L22" s="1610" t="n"/>
      <c r="M22" s="2111">
        <f>M20+M21</f>
        <v/>
      </c>
      <c r="N22" s="1610" t="n"/>
    </row>
    <row r="23" customFormat="1" s="1624">
      <c r="A23" s="1623" t="inlineStr">
        <is>
          <t>Adjustments</t>
        </is>
      </c>
      <c r="C23" s="1625" t="inlineStr">
        <is>
          <t>Description</t>
        </is>
      </c>
      <c r="D23" s="1477" t="n"/>
      <c r="E23" s="1625" t="inlineStr">
        <is>
          <t>Description</t>
        </is>
      </c>
      <c r="F23" s="1625" t="inlineStr">
        <is>
          <t>Adj.</t>
        </is>
      </c>
      <c r="G23" s="1625" t="inlineStr">
        <is>
          <t>Description</t>
        </is>
      </c>
      <c r="H23" s="1625" t="inlineStr">
        <is>
          <t>Adj.</t>
        </is>
      </c>
      <c r="I23" s="1625" t="inlineStr">
        <is>
          <t>Description</t>
        </is>
      </c>
      <c r="J23" s="1625" t="inlineStr">
        <is>
          <t>Adj.</t>
        </is>
      </c>
      <c r="K23" s="1625" t="inlineStr">
        <is>
          <t>Description</t>
        </is>
      </c>
      <c r="L23" s="1625" t="inlineStr">
        <is>
          <t>Adj.</t>
        </is>
      </c>
      <c r="M23" s="793" t="inlineStr">
        <is>
          <t>Description</t>
        </is>
      </c>
      <c r="N23" s="799" t="inlineStr">
        <is>
          <t>Adj.</t>
        </is>
      </c>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1" t="n"/>
      <c r="AX23" s="11" t="n"/>
      <c r="AY23" s="11" t="n"/>
      <c r="AZ23" s="11" t="n"/>
      <c r="BA23" s="11" t="n"/>
      <c r="BB23" s="11" t="n"/>
      <c r="BC23" s="11" t="n"/>
      <c r="BD23" s="11" t="n"/>
      <c r="BE23" s="11" t="n"/>
      <c r="BF23" s="11" t="n"/>
      <c r="BG23" s="11" t="n"/>
      <c r="BH23" s="11" t="n"/>
      <c r="BI23" s="11" t="n"/>
      <c r="BJ23" s="11" t="n"/>
      <c r="BK23" s="11" t="n"/>
      <c r="BL23" s="11" t="n"/>
      <c r="BM23" s="11" t="n"/>
      <c r="BN23" s="11" t="n"/>
      <c r="BO23" s="11" t="n"/>
      <c r="BP23" s="11" t="n"/>
      <c r="BQ23" s="11" t="n"/>
      <c r="BR23" s="11" t="n"/>
      <c r="BS23" s="11" t="n"/>
      <c r="BT23" s="11" t="n"/>
      <c r="BU23" s="11" t="n"/>
      <c r="BV23" s="11" t="n"/>
      <c r="BW23" s="11" t="n"/>
      <c r="BX23" s="11" t="n"/>
      <c r="BY23" s="11" t="n"/>
      <c r="BZ23" s="11" t="n"/>
      <c r="CA23" s="11" t="n"/>
      <c r="CB23" s="11" t="n"/>
      <c r="CC23" s="11" t="n"/>
      <c r="CD23" s="11" t="n"/>
      <c r="CE23" s="11" t="n"/>
      <c r="CF23" s="11" t="n"/>
      <c r="CG23" s="11" t="n"/>
      <c r="CH23" s="11" t="n"/>
      <c r="CI23" s="11" t="n"/>
      <c r="CJ23" s="11" t="n"/>
      <c r="CK23" s="11" t="n"/>
      <c r="CL23" s="11" t="n"/>
      <c r="CM23" s="11" t="n"/>
      <c r="CN23" s="11" t="n"/>
      <c r="CO23" s="11" t="n"/>
      <c r="CP23" s="11" t="n"/>
      <c r="CQ23" s="11" t="n"/>
      <c r="CR23" s="11" t="n"/>
      <c r="CS23" s="11" t="n"/>
      <c r="CT23" s="11" t="n"/>
      <c r="CU23" s="11" t="n"/>
      <c r="CV23" s="11" t="n"/>
      <c r="CW23" s="11" t="n"/>
      <c r="CX23" s="11" t="n"/>
      <c r="CY23" s="11" t="n"/>
      <c r="CZ23" s="11" t="n"/>
      <c r="DA23" s="11" t="n"/>
      <c r="DB23" s="11" t="n"/>
      <c r="DC23" s="11" t="n"/>
      <c r="DD23" s="11" t="n"/>
      <c r="DE23" s="11" t="n"/>
      <c r="DF23" s="11" t="n"/>
      <c r="DG23" s="11" t="n"/>
      <c r="DH23" s="11" t="n"/>
      <c r="DI23" s="11" t="n"/>
      <c r="DJ23" s="11" t="n"/>
      <c r="DK23" s="11" t="n"/>
      <c r="DL23" s="11" t="n"/>
      <c r="DM23" s="11" t="n"/>
      <c r="DN23" s="11" t="n"/>
      <c r="DO23" s="11" t="n"/>
      <c r="DP23" s="11" t="n"/>
      <c r="DQ23" s="11" t="n"/>
      <c r="DR23" s="11" t="n"/>
      <c r="DS23" s="11" t="n"/>
      <c r="DT23" s="11" t="n"/>
      <c r="DU23" s="11" t="n"/>
      <c r="DV23" s="11" t="n"/>
      <c r="DW23" s="11" t="n"/>
      <c r="DX23" s="11" t="n"/>
      <c r="DY23" s="11" t="n"/>
      <c r="DZ23" s="11" t="n"/>
    </row>
    <row r="24">
      <c r="A24" s="1611" t="inlineStr">
        <is>
          <t>Market Trends</t>
        </is>
      </c>
      <c r="B24" s="1575" t="n"/>
      <c r="C24" s="1612" t="inlineStr">
        <is>
          <t>N/A</t>
        </is>
      </c>
      <c r="D24" s="1575" t="n"/>
      <c r="E24" s="2112">
        <f>E16</f>
        <v/>
      </c>
      <c r="F24" s="1345" t="n">
        <v>0</v>
      </c>
      <c r="G24" s="2112">
        <f>G16</f>
        <v/>
      </c>
      <c r="H24" s="1345" t="n">
        <v>0</v>
      </c>
      <c r="I24" s="2112">
        <f>I16</f>
        <v/>
      </c>
      <c r="J24" s="1345" t="n">
        <v>0</v>
      </c>
      <c r="K24" s="2112">
        <f>K16</f>
        <v/>
      </c>
      <c r="L24" s="1350" t="n">
        <v>0</v>
      </c>
      <c r="M24" s="2113">
        <f>M16</f>
        <v/>
      </c>
      <c r="N24" s="800" t="n">
        <v>0.1</v>
      </c>
    </row>
    <row r="25" ht="30" customHeight="1" s="1449">
      <c r="A25" s="1615" t="inlineStr">
        <is>
          <t>Economics/Tenancy</t>
        </is>
      </c>
      <c r="B25" s="1575" t="n"/>
      <c r="C25" s="1612" t="inlineStr">
        <is>
          <t>Industrial, Average Credit Risk</t>
        </is>
      </c>
      <c r="D25" s="1575" t="n"/>
      <c r="E25" s="2112" t="inlineStr">
        <is>
          <t>Industrial, Average Credit Risk</t>
        </is>
      </c>
      <c r="F25" s="1345" t="n">
        <v>0</v>
      </c>
      <c r="G25" s="2112" t="inlineStr">
        <is>
          <t>Industrial, Average Credit Risk</t>
        </is>
      </c>
      <c r="H25" s="1345" t="n">
        <v>0</v>
      </c>
      <c r="I25" s="2112" t="inlineStr">
        <is>
          <t>Industrial, Average Credit Risk</t>
        </is>
      </c>
      <c r="J25" s="1345" t="n">
        <v>0</v>
      </c>
      <c r="K25" s="2112" t="inlineStr">
        <is>
          <t>Industrial, Average Credit Risk</t>
        </is>
      </c>
      <c r="L25" s="1350" t="n">
        <v>0</v>
      </c>
      <c r="M25" s="2113" t="inlineStr">
        <is>
          <t>Local Tenant - Good Quality</t>
        </is>
      </c>
      <c r="N25" s="800" t="n">
        <v>0.1</v>
      </c>
    </row>
    <row r="26">
      <c r="A26" s="1611" t="inlineStr">
        <is>
          <t>Location</t>
        </is>
      </c>
      <c r="B26" s="1575" t="n"/>
      <c r="C26" s="1612">
        <f>Export030823!R2</f>
        <v/>
      </c>
      <c r="D26" s="1575" t="n"/>
      <c r="E26" s="1346" t="inlineStr">
        <is>
          <t>Average</t>
        </is>
      </c>
      <c r="F26" s="1345" t="n">
        <v>0</v>
      </c>
      <c r="G26" s="1346" t="inlineStr">
        <is>
          <t>Average</t>
        </is>
      </c>
      <c r="H26" s="1345" t="n">
        <v>0</v>
      </c>
      <c r="I26" s="1346" t="inlineStr">
        <is>
          <t>Average</t>
        </is>
      </c>
      <c r="J26" s="1345" t="n">
        <v>0</v>
      </c>
      <c r="K26" s="1346" t="inlineStr">
        <is>
          <t>Average</t>
        </is>
      </c>
      <c r="L26" s="1350" t="n">
        <v>0</v>
      </c>
      <c r="M26" s="494" t="n"/>
      <c r="N26" s="800" t="n">
        <v>0</v>
      </c>
    </row>
    <row r="27" ht="30" customHeight="1" s="1449">
      <c r="A27" s="1611" t="inlineStr">
        <is>
          <t>Age/Condition</t>
        </is>
      </c>
      <c r="B27" s="1575" t="n"/>
      <c r="C27" s="1631">
        <f>Export030823!T2</f>
        <v/>
      </c>
      <c r="D27" s="1575" t="n"/>
      <c r="E27" s="1346" t="inlineStr">
        <is>
          <t>1972/Average</t>
        </is>
      </c>
      <c r="F27" s="1345" t="n">
        <v>0</v>
      </c>
      <c r="G27" s="1346" t="inlineStr">
        <is>
          <t>1971/Fair</t>
        </is>
      </c>
      <c r="H27" s="1345" t="n">
        <v>0.1</v>
      </c>
      <c r="I27" s="1346" t="inlineStr">
        <is>
          <t>1922 (Ren.)/
Above-Average</t>
        </is>
      </c>
      <c r="J27" s="1345" t="n">
        <v>-0.05</v>
      </c>
      <c r="K27" s="1346" t="inlineStr">
        <is>
          <t>1954/Average</t>
        </is>
      </c>
      <c r="L27" s="1350" t="n">
        <v>0</v>
      </c>
      <c r="M27" s="494" t="inlineStr">
        <is>
          <t>2014 (Ren.)/Above-Average</t>
        </is>
      </c>
      <c r="N27" s="800" t="n">
        <v>0.1</v>
      </c>
    </row>
    <row r="28">
      <c r="A28" s="1611" t="inlineStr">
        <is>
          <t>Size (SF)</t>
        </is>
      </c>
      <c r="B28" s="1575" t="n"/>
      <c r="C28" s="1612">
        <f>C15</f>
        <v/>
      </c>
      <c r="D28" s="1575" t="n"/>
      <c r="E28" s="1346">
        <f>E15</f>
        <v/>
      </c>
      <c r="F28" s="1345" t="n">
        <v>0</v>
      </c>
      <c r="G28" s="1346">
        <f>G15</f>
        <v/>
      </c>
      <c r="H28" s="1345" t="n">
        <v>-0.05</v>
      </c>
      <c r="I28" s="1346">
        <f>I15</f>
        <v/>
      </c>
      <c r="J28" s="1345" t="n">
        <v>-0.05</v>
      </c>
      <c r="K28" s="1346">
        <f>K15</f>
        <v/>
      </c>
      <c r="L28" s="1350" t="n">
        <v>0</v>
      </c>
      <c r="M28" s="494">
        <f>M15</f>
        <v/>
      </c>
      <c r="N28" s="800" t="n">
        <v>-0.05</v>
      </c>
    </row>
    <row r="29" ht="24" customHeight="1" s="1449">
      <c r="A29" s="1611" t="inlineStr">
        <is>
          <t>Quality</t>
        </is>
      </c>
      <c r="B29" s="1575" t="n"/>
      <c r="C29" s="1631">
        <f>Export030823!U2</f>
        <v/>
      </c>
      <c r="D29" s="1575" t="n"/>
      <c r="E29" s="1347" t="inlineStr">
        <is>
          <t>Average</t>
        </is>
      </c>
      <c r="F29" s="1345" t="n">
        <v>0</v>
      </c>
      <c r="G29" s="1347" t="inlineStr">
        <is>
          <t>Average</t>
        </is>
      </c>
      <c r="H29" s="1345" t="n">
        <v>0</v>
      </c>
      <c r="I29" s="1347" t="inlineStr">
        <is>
          <t>Average</t>
        </is>
      </c>
      <c r="J29" s="1345" t="n">
        <v>0</v>
      </c>
      <c r="K29" s="1347" t="inlineStr">
        <is>
          <t>Average</t>
        </is>
      </c>
      <c r="L29" s="1350" t="n">
        <v>0</v>
      </c>
      <c r="M29" s="495" t="inlineStr">
        <is>
          <t>Good</t>
        </is>
      </c>
      <c r="N29" s="800" t="n">
        <v>0</v>
      </c>
    </row>
    <row r="30" customFormat="1" s="12">
      <c r="A30" s="1611" t="inlineStr">
        <is>
          <t>Land-To-Building Ratio</t>
        </is>
      </c>
      <c r="B30" s="1575" t="n"/>
      <c r="C30" s="1638">
        <f>Export030823!V2</f>
        <v/>
      </c>
      <c r="D30" s="1575" t="n"/>
      <c r="E30" s="1348">
        <f>75359/E9</f>
        <v/>
      </c>
      <c r="F30" s="1345" t="n">
        <v>0</v>
      </c>
      <c r="G30" s="1348">
        <f>143748/G9</f>
        <v/>
      </c>
      <c r="H30" s="1345" t="n">
        <v>0</v>
      </c>
      <c r="I30" s="1348">
        <f>87120/I9</f>
        <v/>
      </c>
      <c r="J30" s="1345" t="n">
        <v>0</v>
      </c>
      <c r="K30" s="1348">
        <f>91912/K9</f>
        <v/>
      </c>
      <c r="L30" s="1350" t="n">
        <v>0</v>
      </c>
      <c r="M30" s="496" t="n">
        <v>5.52</v>
      </c>
      <c r="N30" s="800" t="n">
        <v>-0.05</v>
      </c>
    </row>
    <row r="31" ht="35.25" customFormat="1" customHeight="1" s="12">
      <c r="A31" s="1619" t="inlineStr">
        <is>
          <t>Functional Utility</t>
        </is>
      </c>
      <c r="B31" s="1620" t="n"/>
      <c r="C31" s="1632">
        <f>Export030823!X2</f>
        <v/>
      </c>
      <c r="D31" s="1575" t="n"/>
      <c r="E31" s="1349" t="inlineStr">
        <is>
          <t>Good: I-3 Zoning</t>
        </is>
      </c>
      <c r="F31" s="1345" t="n">
        <v>-0.1</v>
      </c>
      <c r="G31" s="1349" t="inlineStr">
        <is>
          <t>Average</t>
        </is>
      </c>
      <c r="H31" s="1345" t="n">
        <v>0</v>
      </c>
      <c r="I31" s="1349" t="inlineStr">
        <is>
          <t>Above-Average: I-B Zoning</t>
        </is>
      </c>
      <c r="J31" s="1345" t="n">
        <v>-0.05</v>
      </c>
      <c r="K31" s="1349" t="inlineStr">
        <is>
          <t>Average</t>
        </is>
      </c>
      <c r="L31" s="1350" t="n">
        <v>0</v>
      </c>
      <c r="M31" s="497" t="inlineStr">
        <is>
          <t>Average</t>
        </is>
      </c>
      <c r="N31" s="800" t="n">
        <v>0</v>
      </c>
    </row>
    <row r="32" ht="12.75" customHeight="1" s="1449">
      <c r="A32" s="1608" t="inlineStr">
        <is>
          <t>Subtotal Net Adjustments</t>
        </is>
      </c>
      <c r="B32" s="1609" t="n"/>
      <c r="C32" s="1609" t="n"/>
      <c r="D32" s="1610" t="n"/>
      <c r="E32" s="2114" t="n"/>
      <c r="F32" s="499">
        <f>SUM(F24:F31)</f>
        <v/>
      </c>
      <c r="G32" s="2114" t="n"/>
      <c r="H32" s="499">
        <f>SUM(H24:H31)</f>
        <v/>
      </c>
      <c r="I32" s="2114" t="n"/>
      <c r="J32" s="499">
        <f>SUM(J24:J31)</f>
        <v/>
      </c>
      <c r="K32" s="2114" t="n"/>
      <c r="L32" s="499">
        <f>SUM(L24:L31)</f>
        <v/>
      </c>
      <c r="M32" s="2114" t="n"/>
      <c r="N32" s="499">
        <f>SUM(N24:N31)</f>
        <v/>
      </c>
    </row>
    <row r="33">
      <c r="A33" s="1608" t="inlineStr">
        <is>
          <t>Adjusted Lease Rate Per Square Foot</t>
        </is>
      </c>
      <c r="B33" s="1609" t="n"/>
      <c r="C33" s="1609" t="n"/>
      <c r="D33" s="1610" t="n"/>
      <c r="E33" s="2114" t="n"/>
      <c r="F33" s="2115">
        <f>+E22*(1+F32)</f>
        <v/>
      </c>
      <c r="G33" s="2114" t="n"/>
      <c r="H33" s="2115">
        <f>+G22*(1+H32)</f>
        <v/>
      </c>
      <c r="I33" s="2114" t="n"/>
      <c r="J33" s="2115">
        <f>+I22*(1+J32)</f>
        <v/>
      </c>
      <c r="K33" s="2114" t="n"/>
      <c r="L33" s="2115">
        <f>+K22*(1+L32)</f>
        <v/>
      </c>
      <c r="M33" s="2114" t="n"/>
      <c r="N33" s="2115">
        <f>+M22*(1+N32)</f>
        <v/>
      </c>
    </row>
    <row r="34">
      <c r="A34" s="6" t="n"/>
      <c r="B34" s="7" t="n"/>
      <c r="C34" s="7" t="n"/>
      <c r="D34" s="7" t="n"/>
      <c r="E34" s="2116" t="n"/>
      <c r="F34" s="2117" t="n"/>
      <c r="G34" s="2117" t="n"/>
      <c r="H34" s="2117" t="n"/>
      <c r="I34" s="2117" t="n"/>
      <c r="J34" s="2117" t="n"/>
      <c r="K34" s="2116" t="n"/>
      <c r="L34" s="2117" t="n"/>
      <c r="M34" s="2116" t="n"/>
      <c r="N34" s="2117" t="n"/>
    </row>
    <row r="35" hidden="1" ht="15" customHeight="1" s="1449">
      <c r="A35" s="6" t="n"/>
      <c r="B35" s="7" t="n"/>
      <c r="C35" s="7" t="n"/>
      <c r="D35" s="7" t="n"/>
      <c r="E35" s="2116" t="n"/>
      <c r="F35" s="2117" t="n"/>
      <c r="G35" s="2117" t="n"/>
      <c r="H35" s="2117" t="n"/>
      <c r="I35" s="2117" t="n"/>
      <c r="J35" s="2117" t="n"/>
      <c r="K35" s="2116" t="n"/>
      <c r="L35" s="2117" t="n"/>
      <c r="M35" s="2116" t="n"/>
      <c r="N35" s="2117" t="n"/>
    </row>
    <row r="36" hidden="1" s="1449">
      <c r="F36" s="2118">
        <f>F33</f>
        <v/>
      </c>
    </row>
    <row r="37" hidden="1" s="1449">
      <c r="F37" s="2118">
        <f>H33</f>
        <v/>
      </c>
    </row>
    <row r="38" hidden="1" s="1449">
      <c r="F38" s="2118">
        <f>J33</f>
        <v/>
      </c>
    </row>
    <row r="39" hidden="1" s="1449">
      <c r="F39" s="2118">
        <f>L33</f>
        <v/>
      </c>
    </row>
    <row r="40" hidden="1" s="1449"/>
    <row r="41">
      <c r="E41" s="358">
        <f>(E28-$C$28)/$C$28</f>
        <v/>
      </c>
      <c r="G41" s="358">
        <f>(G28-$C$28)/$C$28</f>
        <v/>
      </c>
      <c r="I41" s="358">
        <f>(I28-$C$28)/$C$28</f>
        <v/>
      </c>
      <c r="K41" s="358">
        <f>(K28-$C$28)/$C$28</f>
        <v/>
      </c>
    </row>
  </sheetData>
  <mergeCells count="143">
    <mergeCell ref="G21:H21"/>
    <mergeCell ref="C6:D6"/>
    <mergeCell ref="A15:B15"/>
    <mergeCell ref="C15:D15"/>
    <mergeCell ref="E8:F8"/>
    <mergeCell ref="I16:J16"/>
    <mergeCell ref="A27:B27"/>
    <mergeCell ref="G18:H18"/>
    <mergeCell ref="I18:J18"/>
    <mergeCell ref="M16:N16"/>
    <mergeCell ref="C27:D27"/>
    <mergeCell ref="M18:N18"/>
    <mergeCell ref="A17:B17"/>
    <mergeCell ref="C17:D17"/>
    <mergeCell ref="M8:N8"/>
    <mergeCell ref="A22:B22"/>
    <mergeCell ref="M17:N17"/>
    <mergeCell ref="G20:H20"/>
    <mergeCell ref="I20:J20"/>
    <mergeCell ref="A19:B19"/>
    <mergeCell ref="C19:D19"/>
    <mergeCell ref="A28:B28"/>
    <mergeCell ref="C28:D28"/>
    <mergeCell ref="M19:N19"/>
    <mergeCell ref="E22:F22"/>
    <mergeCell ref="A33:D33"/>
    <mergeCell ref="G22:H22"/>
    <mergeCell ref="A9:B9"/>
    <mergeCell ref="K13:L13"/>
    <mergeCell ref="C3:D3"/>
    <mergeCell ref="I13:J13"/>
    <mergeCell ref="E3:F3"/>
    <mergeCell ref="A30:B30"/>
    <mergeCell ref="C30:D30"/>
    <mergeCell ref="I6:J6"/>
    <mergeCell ref="I15:J15"/>
    <mergeCell ref="A11:B11"/>
    <mergeCell ref="K15:L15"/>
    <mergeCell ref="C5:D5"/>
    <mergeCell ref="E5:F5"/>
    <mergeCell ref="C14:D14"/>
    <mergeCell ref="E14:F14"/>
    <mergeCell ref="C4:D4"/>
    <mergeCell ref="K21:L21"/>
    <mergeCell ref="E4:F4"/>
    <mergeCell ref="G7:H7"/>
    <mergeCell ref="I7:J7"/>
    <mergeCell ref="M13:N13"/>
    <mergeCell ref="M7:N7"/>
    <mergeCell ref="A26:B26"/>
    <mergeCell ref="M21:N21"/>
    <mergeCell ref="I8:J8"/>
    <mergeCell ref="A8:B8"/>
    <mergeCell ref="I17:J17"/>
    <mergeCell ref="C8:D8"/>
    <mergeCell ref="K17:L17"/>
    <mergeCell ref="E16:F16"/>
    <mergeCell ref="G16:H16"/>
    <mergeCell ref="A10:B10"/>
    <mergeCell ref="I19:J19"/>
    <mergeCell ref="K19:L19"/>
    <mergeCell ref="C18:D18"/>
    <mergeCell ref="K6:L6"/>
    <mergeCell ref="G9:H9"/>
    <mergeCell ref="E18:F18"/>
    <mergeCell ref="I9:J9"/>
    <mergeCell ref="K3:L3"/>
    <mergeCell ref="K16:L16"/>
    <mergeCell ref="K9:L9"/>
    <mergeCell ref="K5:L5"/>
    <mergeCell ref="M9:N9"/>
    <mergeCell ref="M5:N5"/>
    <mergeCell ref="C20:D20"/>
    <mergeCell ref="E20:F20"/>
    <mergeCell ref="C29:D29"/>
    <mergeCell ref="E13:F13"/>
    <mergeCell ref="C22:D22"/>
    <mergeCell ref="G13:H13"/>
    <mergeCell ref="C31:D31"/>
    <mergeCell ref="A3:B3"/>
    <mergeCell ref="A12:B12"/>
    <mergeCell ref="I21:J21"/>
    <mergeCell ref="C12:D12"/>
    <mergeCell ref="A21:B21"/>
    <mergeCell ref="E6:F6"/>
    <mergeCell ref="M15:N15"/>
    <mergeCell ref="C21:D21"/>
    <mergeCell ref="E15:F15"/>
    <mergeCell ref="K8:L8"/>
    <mergeCell ref="G15:H15"/>
    <mergeCell ref="A2:N2"/>
    <mergeCell ref="A5:B5"/>
    <mergeCell ref="A14:B14"/>
    <mergeCell ref="A23:B23"/>
    <mergeCell ref="C23:D23"/>
    <mergeCell ref="A4:B4"/>
    <mergeCell ref="K7:L7"/>
    <mergeCell ref="C7:D7"/>
    <mergeCell ref="E7:F7"/>
    <mergeCell ref="K18:L18"/>
    <mergeCell ref="A32:D32"/>
    <mergeCell ref="A24:B24"/>
    <mergeCell ref="C24:D24"/>
    <mergeCell ref="G8:H8"/>
    <mergeCell ref="E17:F17"/>
    <mergeCell ref="C26:D26"/>
    <mergeCell ref="A6:B6"/>
    <mergeCell ref="G17:H17"/>
    <mergeCell ref="A16:B16"/>
    <mergeCell ref="K20:L20"/>
    <mergeCell ref="C16:D16"/>
    <mergeCell ref="M20:N20"/>
    <mergeCell ref="A25:B25"/>
    <mergeCell ref="C25:D25"/>
    <mergeCell ref="E19:F19"/>
    <mergeCell ref="G19:H19"/>
    <mergeCell ref="I22:J22"/>
    <mergeCell ref="G6:H6"/>
    <mergeCell ref="C9:D9"/>
    <mergeCell ref="K22:L22"/>
    <mergeCell ref="A18:B18"/>
    <mergeCell ref="E9:F9"/>
    <mergeCell ref="M22:N22"/>
    <mergeCell ref="G3:H3"/>
    <mergeCell ref="I3:J3"/>
    <mergeCell ref="M6:N6"/>
    <mergeCell ref="G5:H5"/>
    <mergeCell ref="I5:J5"/>
    <mergeCell ref="G14:H14"/>
    <mergeCell ref="M3:N3"/>
    <mergeCell ref="I14:J14"/>
    <mergeCell ref="K14:L14"/>
    <mergeCell ref="G4:H4"/>
    <mergeCell ref="A20:B20"/>
    <mergeCell ref="I4:J4"/>
    <mergeCell ref="A29:B29"/>
    <mergeCell ref="M14:N14"/>
    <mergeCell ref="A13:B13"/>
    <mergeCell ref="C13:D13"/>
    <mergeCell ref="K4:L4"/>
    <mergeCell ref="A31:B31"/>
    <mergeCell ref="M4:N4"/>
    <mergeCell ref="E21:F21"/>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C3:R27"/>
  <sheetViews>
    <sheetView showGridLines="0" workbookViewId="0">
      <selection activeCell="J16" sqref="J16"/>
    </sheetView>
  </sheetViews>
  <sheetFormatPr baseColWidth="8" defaultRowHeight="15"/>
  <cols>
    <col width="5.7109375" customWidth="1" style="1449" min="3" max="3"/>
    <col width="8.7109375" customWidth="1" style="1449" min="4" max="4"/>
    <col width="28.7109375" customWidth="1" style="1449" min="5" max="5"/>
    <col width="9.42578125" bestFit="1" customWidth="1" style="1449" min="8" max="8"/>
    <col width="11.5703125" bestFit="1" customWidth="1" style="1449" min="15" max="15"/>
    <col width="11.140625" customWidth="1" style="1449" min="16" max="16"/>
    <col width="11.42578125" customWidth="1" style="1449" min="17" max="17"/>
    <col hidden="1" width="13" customWidth="1" style="1449" min="18" max="18"/>
  </cols>
  <sheetData>
    <row r="3">
      <c r="C3" s="1562" t="inlineStr">
        <is>
          <t xml:space="preserve"> SUMMARY OF IMPROVED SALES</t>
        </is>
      </c>
    </row>
    <row r="4" ht="39" customHeight="1" s="1449">
      <c r="C4" s="1650" t="inlineStr">
        <is>
          <t>No.</t>
        </is>
      </c>
      <c r="D4" s="1650" t="inlineStr">
        <is>
          <t>Type</t>
        </is>
      </c>
      <c r="E4" s="69" t="inlineStr">
        <is>
          <t>Property Type / Location</t>
        </is>
      </c>
      <c r="F4" s="182" t="inlineStr">
        <is>
          <t>Date of
Sale</t>
        </is>
      </c>
      <c r="G4" s="182" t="inlineStr">
        <is>
          <t>Property Rights</t>
        </is>
      </c>
      <c r="H4" s="182" t="inlineStr">
        <is>
          <t>Year
Built</t>
        </is>
      </c>
      <c r="I4" s="182" t="inlineStr">
        <is>
          <t>Bldg. Size 
(SF)</t>
        </is>
      </c>
      <c r="J4" s="182" t="inlineStr">
        <is>
          <t>Site Size
(SF)
(Acres)</t>
        </is>
      </c>
      <c r="K4" s="182" t="inlineStr">
        <is>
          <t>Building Footprint</t>
        </is>
      </c>
      <c r="L4" s="191" t="inlineStr">
        <is>
          <t>Coverage Ratio</t>
        </is>
      </c>
      <c r="M4" s="182" t="inlineStr">
        <is>
          <t>Percent Office</t>
        </is>
      </c>
      <c r="N4" s="182" t="inlineStr">
        <is>
          <t>Clear
Heights (ft.)</t>
        </is>
      </c>
      <c r="O4" s="192" t="inlineStr">
        <is>
          <t>Occupancy</t>
        </is>
      </c>
      <c r="P4" s="182" t="inlineStr">
        <is>
          <t>Sale Price</t>
        </is>
      </c>
      <c r="Q4" s="182" t="inlineStr">
        <is>
          <t>Price PSF</t>
        </is>
      </c>
      <c r="R4" s="193" t="inlineStr">
        <is>
          <t>Overall Rate</t>
        </is>
      </c>
    </row>
    <row r="5" ht="12" customHeight="1" s="1449">
      <c r="C5" s="309">
        <f>ROW()-4</f>
        <v/>
      </c>
      <c r="D5" s="309" t="inlineStr">
        <is>
          <t>Sale</t>
        </is>
      </c>
      <c r="E5" s="310" t="n"/>
      <c r="F5" s="2119" t="n"/>
      <c r="G5" s="2120" t="n"/>
      <c r="H5" s="1644" t="n"/>
      <c r="I5" s="313" t="n"/>
      <c r="J5" s="314" t="n"/>
      <c r="K5" s="1648" t="n"/>
      <c r="L5" s="315" t="n"/>
      <c r="M5" s="316" t="n"/>
      <c r="N5" s="317" t="n"/>
      <c r="O5" s="318" t="inlineStr">
        <is>
          <t>Vacant at TOS</t>
        </is>
      </c>
      <c r="P5" s="2121" t="n">
        <v>1800000</v>
      </c>
      <c r="Q5" s="2122">
        <f>P5/I5</f>
        <v/>
      </c>
      <c r="R5" s="295" t="inlineStr">
        <is>
          <t>N/A</t>
        </is>
      </c>
    </row>
    <row r="6" ht="12" customHeight="1" s="1449">
      <c r="C6" s="309" t="n"/>
      <c r="D6" s="309" t="n"/>
      <c r="E6" s="310" t="n"/>
      <c r="F6" s="2123" t="n"/>
      <c r="G6" s="2120" t="n"/>
      <c r="I6" s="322" t="n"/>
      <c r="J6" s="323" t="n"/>
      <c r="L6" s="315" t="n"/>
      <c r="M6" s="316" t="n"/>
      <c r="N6" s="317" t="n"/>
      <c r="O6" s="318" t="n"/>
      <c r="P6" s="2124" t="n"/>
      <c r="Q6" s="2122" t="n"/>
      <c r="R6" s="295" t="n"/>
    </row>
    <row r="7" ht="12" customHeight="1" s="1449">
      <c r="C7" s="309" t="n"/>
      <c r="D7" s="309" t="n"/>
      <c r="E7" s="310" t="n"/>
      <c r="F7" s="2119" t="n"/>
      <c r="G7" s="2125" t="n"/>
      <c r="H7" s="1644" t="n"/>
      <c r="I7" s="313" t="n"/>
      <c r="J7" s="323" t="n"/>
      <c r="K7" s="1648" t="n"/>
      <c r="L7" s="315" t="n"/>
      <c r="M7" s="316" t="n"/>
      <c r="N7" s="317" t="n"/>
      <c r="O7" s="318" t="n"/>
      <c r="P7" s="2124" t="n"/>
      <c r="Q7" s="2122" t="n"/>
      <c r="R7" s="295" t="n"/>
    </row>
    <row r="8" ht="12" customHeight="1" s="1449">
      <c r="C8" s="309" t="n"/>
      <c r="D8" s="309" t="n"/>
      <c r="E8" s="310" t="n"/>
      <c r="F8" s="2126" t="n"/>
      <c r="G8" s="2127" t="n"/>
      <c r="H8" s="330" t="n"/>
      <c r="I8" s="314" t="n"/>
      <c r="J8" s="331" t="n"/>
      <c r="K8" s="332" t="n"/>
      <c r="L8" s="333" t="n"/>
      <c r="M8" s="334" t="n"/>
      <c r="N8" s="335" t="n"/>
      <c r="O8" s="336" t="inlineStr">
        <is>
          <t> </t>
        </is>
      </c>
      <c r="P8" s="2124" t="n"/>
      <c r="Q8" s="2122" t="n"/>
      <c r="R8" s="295" t="inlineStr">
        <is>
          <t> </t>
        </is>
      </c>
    </row>
    <row r="9" ht="12" customHeight="1" s="1449">
      <c r="C9" s="309" t="n">
        <v>2</v>
      </c>
      <c r="D9" s="309" t="inlineStr">
        <is>
          <t>Sale</t>
        </is>
      </c>
      <c r="E9" s="310" t="n"/>
      <c r="F9" s="2119" t="n"/>
      <c r="G9" s="2125" t="n"/>
      <c r="H9" s="1644" t="n"/>
      <c r="I9" s="313" t="n"/>
      <c r="J9" s="314" t="n"/>
      <c r="K9" s="1648" t="n"/>
      <c r="L9" s="315" t="n"/>
      <c r="M9" s="316" t="n"/>
      <c r="N9" s="317" t="n"/>
      <c r="O9" s="318" t="inlineStr">
        <is>
          <t>Vacant at TOS</t>
        </is>
      </c>
      <c r="P9" s="2121" t="n">
        <v>1350000</v>
      </c>
      <c r="Q9" s="2122">
        <f>P9/I9</f>
        <v/>
      </c>
      <c r="R9" s="295" t="inlineStr">
        <is>
          <t>N/A</t>
        </is>
      </c>
    </row>
    <row r="10" ht="12" customHeight="1" s="1449">
      <c r="C10" s="309" t="n"/>
      <c r="D10" s="309" t="n"/>
      <c r="E10" s="310" t="n"/>
      <c r="F10" s="2119" t="n"/>
      <c r="G10" s="2125" t="n"/>
      <c r="H10" s="1644" t="n"/>
      <c r="I10" s="313" t="n"/>
      <c r="J10" s="323" t="n"/>
      <c r="K10" s="1648" t="n"/>
      <c r="L10" s="315" t="n"/>
      <c r="M10" s="316" t="n"/>
      <c r="N10" s="317" t="n"/>
      <c r="O10" s="318" t="n"/>
      <c r="P10" s="2121" t="n"/>
      <c r="Q10" s="2122" t="n"/>
      <c r="R10" s="295" t="n"/>
    </row>
    <row r="11" ht="12" customHeight="1" s="1449">
      <c r="C11" s="309" t="n"/>
      <c r="D11" s="309" t="n"/>
      <c r="E11" s="310" t="n"/>
      <c r="F11" s="2119" t="n"/>
      <c r="G11" s="2125" t="n"/>
      <c r="H11" s="1644" t="n"/>
      <c r="I11" s="313" t="n"/>
      <c r="J11" s="323" t="n"/>
      <c r="K11" s="1648" t="n"/>
      <c r="L11" s="315" t="n"/>
      <c r="M11" s="316" t="n"/>
      <c r="N11" s="317" t="n"/>
      <c r="O11" s="318" t="n"/>
      <c r="P11" s="2121" t="n"/>
      <c r="Q11" s="2122" t="n"/>
      <c r="R11" s="295" t="n"/>
    </row>
    <row r="12" ht="12" customHeight="1" s="1449">
      <c r="C12" s="309" t="n"/>
      <c r="D12" s="309" t="n"/>
      <c r="E12" s="310" t="n"/>
      <c r="F12" s="2126" t="n"/>
      <c r="G12" s="2126" t="n"/>
      <c r="H12" s="330" t="n"/>
      <c r="I12" s="332" t="n"/>
      <c r="J12" s="314" t="n"/>
      <c r="K12" s="332" t="n"/>
      <c r="L12" s="333" t="n"/>
      <c r="M12" s="337" t="n"/>
      <c r="N12" s="337" t="n"/>
      <c r="O12" s="336" t="inlineStr">
        <is>
          <t> </t>
        </is>
      </c>
      <c r="P12" s="2128" t="n"/>
      <c r="Q12" s="2122" t="n"/>
      <c r="R12" s="295" t="inlineStr">
        <is>
          <t> </t>
        </is>
      </c>
    </row>
    <row r="13" ht="12" customHeight="1" s="1449">
      <c r="C13" s="309" t="n">
        <v>3</v>
      </c>
      <c r="D13" s="309" t="inlineStr">
        <is>
          <t>Sale</t>
        </is>
      </c>
      <c r="E13" s="310" t="n"/>
      <c r="F13" s="2119" t="n"/>
      <c r="G13" s="2125" t="n"/>
      <c r="H13" s="1644" t="n"/>
      <c r="I13" s="313" t="n"/>
      <c r="J13" s="314" t="n"/>
      <c r="K13" s="1648" t="n"/>
      <c r="L13" s="315" t="n"/>
      <c r="M13" s="316" t="n"/>
      <c r="N13" s="317" t="n"/>
      <c r="O13" s="318" t="inlineStr">
        <is>
          <t>Vacant at TOS</t>
        </is>
      </c>
      <c r="P13" s="2121" t="n">
        <v>530000</v>
      </c>
      <c r="Q13" s="2122">
        <f>P13/I13</f>
        <v/>
      </c>
      <c r="R13" s="295" t="n">
        <v>0.074</v>
      </c>
    </row>
    <row r="14" ht="12" customHeight="1" s="1449">
      <c r="C14" s="309" t="n"/>
      <c r="D14" s="309" t="n"/>
      <c r="E14" s="310" t="n"/>
      <c r="F14" s="2119" t="n"/>
      <c r="G14" s="2125" t="n"/>
      <c r="H14" s="1644" t="n"/>
      <c r="I14" s="313" t="n"/>
      <c r="J14" s="323" t="n"/>
      <c r="K14" s="1648" t="n"/>
      <c r="L14" s="315" t="n"/>
      <c r="M14" s="316" t="n"/>
      <c r="N14" s="317" t="n"/>
      <c r="O14" s="318" t="n"/>
      <c r="P14" s="2121" t="n"/>
      <c r="Q14" s="2122" t="n"/>
      <c r="R14" s="295" t="n"/>
    </row>
    <row r="15" ht="12" customHeight="1" s="1449">
      <c r="C15" s="309" t="n"/>
      <c r="D15" s="309" t="n"/>
      <c r="E15" s="310" t="n"/>
      <c r="F15" s="2119" t="n"/>
      <c r="G15" s="2125" t="n"/>
      <c r="H15" s="1644" t="n"/>
      <c r="I15" s="313" t="n"/>
      <c r="J15" s="323" t="n"/>
      <c r="K15" s="1648" t="n"/>
      <c r="L15" s="315" t="n"/>
      <c r="M15" s="316" t="n"/>
      <c r="N15" s="317" t="n"/>
      <c r="O15" s="318" t="n"/>
      <c r="P15" s="2121" t="n"/>
      <c r="Q15" s="2122" t="n"/>
      <c r="R15" s="295" t="n"/>
    </row>
    <row r="16" ht="12" customHeight="1" s="1449">
      <c r="C16" s="309" t="n"/>
      <c r="D16" s="309" t="n"/>
      <c r="E16" s="310" t="n"/>
      <c r="F16" s="2126" t="n"/>
      <c r="G16" s="2126" t="n"/>
      <c r="H16" s="330" t="n"/>
      <c r="I16" s="332" t="n"/>
      <c r="J16" s="314" t="n"/>
      <c r="K16" s="332" t="n"/>
      <c r="L16" s="333" t="n"/>
      <c r="M16" s="337" t="n"/>
      <c r="N16" s="337" t="n"/>
      <c r="O16" s="336" t="inlineStr">
        <is>
          <t> </t>
        </is>
      </c>
      <c r="P16" s="2128" t="n"/>
      <c r="Q16" s="2122" t="n"/>
      <c r="R16" s="295" t="inlineStr">
        <is>
          <t> </t>
        </is>
      </c>
    </row>
    <row r="17" ht="12" customHeight="1" s="1449">
      <c r="C17" s="309" t="n">
        <v>4</v>
      </c>
      <c r="D17" s="309" t="inlineStr">
        <is>
          <t>Sale</t>
        </is>
      </c>
      <c r="E17" s="310" t="n"/>
      <c r="F17" s="2119" t="n"/>
      <c r="G17" s="2125" t="n"/>
      <c r="H17" s="1644" t="n"/>
      <c r="I17" s="313" t="n"/>
      <c r="J17" s="314" t="n"/>
      <c r="K17" s="1648" t="n"/>
      <c r="L17" s="315" t="n"/>
      <c r="M17" s="316" t="n"/>
      <c r="N17" s="317" t="n"/>
      <c r="O17" s="318" t="inlineStr">
        <is>
          <t>Vacant at TOS</t>
        </is>
      </c>
      <c r="P17" s="2121" t="n">
        <v>417000</v>
      </c>
      <c r="Q17" s="2122">
        <f>P17/I17</f>
        <v/>
      </c>
      <c r="R17" s="295" t="n">
        <v>0.065</v>
      </c>
    </row>
    <row r="18" ht="12" customHeight="1" s="1449">
      <c r="C18" s="309" t="n"/>
      <c r="D18" s="309" t="n"/>
      <c r="E18" s="310" t="n"/>
      <c r="F18" s="2119" t="n"/>
      <c r="G18" s="2125" t="n"/>
      <c r="H18" s="1644" t="n"/>
      <c r="I18" s="313" t="n"/>
      <c r="J18" s="323" t="n"/>
      <c r="K18" s="1648" t="n"/>
      <c r="L18" s="315" t="n"/>
      <c r="M18" s="316" t="n"/>
      <c r="N18" s="317" t="n"/>
      <c r="O18" s="318" t="n"/>
      <c r="P18" s="2121" t="n"/>
      <c r="Q18" s="2122" t="n"/>
      <c r="R18" s="295" t="n"/>
    </row>
    <row r="19" ht="12" customHeight="1" s="1449">
      <c r="C19" s="309" t="n"/>
      <c r="D19" s="309" t="n"/>
      <c r="E19" s="310" t="n"/>
      <c r="F19" s="2119" t="n"/>
      <c r="G19" s="2125" t="n"/>
      <c r="H19" s="1644" t="n"/>
      <c r="I19" s="313" t="n"/>
      <c r="J19" s="323" t="n"/>
      <c r="K19" s="1648" t="n"/>
      <c r="L19" s="315" t="n"/>
      <c r="M19" s="316" t="n"/>
      <c r="N19" s="317" t="n"/>
      <c r="O19" s="318" t="n"/>
      <c r="P19" s="2121" t="n"/>
      <c r="Q19" s="2122" t="n"/>
      <c r="R19" s="295" t="n"/>
    </row>
    <row r="20" ht="12" customHeight="1" s="1449">
      <c r="C20" s="309" t="n"/>
      <c r="D20" s="309" t="n"/>
      <c r="E20" s="310" t="n"/>
      <c r="F20" s="2119" t="n"/>
      <c r="G20" s="2125" t="n"/>
      <c r="H20" s="1644" t="n"/>
      <c r="I20" s="313" t="n"/>
      <c r="J20" s="323" t="n"/>
      <c r="K20" s="1648" t="n"/>
      <c r="L20" s="315" t="n"/>
      <c r="M20" s="316" t="n"/>
      <c r="N20" s="317" t="n"/>
      <c r="O20" s="318" t="n"/>
      <c r="P20" s="2121" t="n"/>
      <c r="Q20" s="2122" t="n"/>
      <c r="R20" s="295" t="n"/>
    </row>
    <row r="21" ht="12" customHeight="1" s="1449">
      <c r="C21" s="309" t="n">
        <v>5</v>
      </c>
      <c r="D21" s="309" t="inlineStr">
        <is>
          <t>Sale</t>
        </is>
      </c>
      <c r="E21" s="310" t="n"/>
      <c r="F21" s="2119" t="n"/>
      <c r="G21" s="2125" t="n"/>
      <c r="H21" s="1644" t="n"/>
      <c r="I21" s="313" t="n"/>
      <c r="J21" s="314" t="n"/>
      <c r="K21" s="1648" t="n"/>
      <c r="L21" s="315" t="n"/>
      <c r="M21" s="316" t="n"/>
      <c r="N21" s="317" t="n"/>
      <c r="O21" s="318" t="inlineStr">
        <is>
          <t>Vacant at TOS</t>
        </is>
      </c>
      <c r="P21" s="2121" t="n">
        <v>400000</v>
      </c>
      <c r="Q21" s="2122">
        <f>P21/I21</f>
        <v/>
      </c>
      <c r="R21" s="295" t="n">
        <v>0.055</v>
      </c>
    </row>
    <row r="22" ht="12" customHeight="1" s="1449">
      <c r="C22" s="309" t="n"/>
      <c r="D22" s="309" t="n"/>
      <c r="E22" s="310" t="n"/>
      <c r="F22" s="2119" t="n"/>
      <c r="G22" s="2125" t="n"/>
      <c r="H22" s="1644" t="n"/>
      <c r="I22" s="313" t="n"/>
      <c r="J22" s="323" t="n"/>
      <c r="K22" s="1648" t="n"/>
      <c r="L22" s="315" t="n"/>
      <c r="M22" s="316" t="n"/>
      <c r="N22" s="317" t="n"/>
      <c r="O22" s="318" t="n"/>
      <c r="P22" s="2121" t="n"/>
      <c r="Q22" s="2122" t="n"/>
      <c r="R22" s="295" t="n"/>
    </row>
    <row r="23" ht="12" customHeight="1" s="1449">
      <c r="C23" s="309" t="n"/>
      <c r="D23" s="309" t="n"/>
      <c r="E23" s="310" t="n"/>
      <c r="F23" s="2119" t="n"/>
      <c r="G23" s="2125" t="n"/>
      <c r="H23" s="1644" t="n"/>
      <c r="I23" s="313" t="n"/>
      <c r="J23" s="323" t="n"/>
      <c r="K23" s="1648" t="n"/>
      <c r="L23" s="315" t="n"/>
      <c r="M23" s="316" t="n"/>
      <c r="N23" s="317" t="n"/>
      <c r="O23" s="318" t="n"/>
      <c r="P23" s="2121" t="n"/>
      <c r="Q23" s="2122" t="n"/>
      <c r="R23" s="295" t="n"/>
    </row>
    <row r="24" ht="12" customHeight="1" s="1449">
      <c r="C24" s="309" t="n"/>
      <c r="D24" s="309" t="n"/>
      <c r="E24" s="310" t="n"/>
      <c r="F24" s="2119" t="n"/>
      <c r="G24" s="2125" t="n"/>
      <c r="H24" s="1644" t="n"/>
      <c r="I24" s="313" t="n"/>
      <c r="J24" s="323" t="n"/>
      <c r="K24" s="1648" t="n"/>
      <c r="L24" s="315" t="n"/>
      <c r="M24" s="316" t="n"/>
      <c r="N24" s="317" t="n"/>
      <c r="O24" s="318" t="n"/>
      <c r="P24" s="2121" t="n"/>
      <c r="Q24" s="2122" t="n"/>
      <c r="R24" s="295" t="n"/>
    </row>
    <row r="25" ht="12.75" customHeight="1" s="1449">
      <c r="C25" s="194" t="inlineStr">
        <is>
          <t>Subj.</t>
        </is>
      </c>
      <c r="D25" s="194" t="n"/>
      <c r="E25" s="284">
        <f>'Property Info'!B15</f>
        <v/>
      </c>
      <c r="F25" s="2129" t="n"/>
      <c r="G25" s="194" t="n"/>
      <c r="H25" s="1646">
        <f>'Property Info'!B8</f>
        <v/>
      </c>
      <c r="I25" s="1645">
        <f>'Property Info'!B5</f>
        <v/>
      </c>
      <c r="J25" s="286">
        <f>'Property Info'!B11</f>
        <v/>
      </c>
      <c r="K25" s="1647">
        <f>'Property Info'!B5</f>
        <v/>
      </c>
      <c r="L25" s="287">
        <f>'Property Info'!B13</f>
        <v/>
      </c>
      <c r="M25" s="288">
        <f>'Property Info'!B14</f>
        <v/>
      </c>
      <c r="N25" s="289">
        <f>'Property Info'!#REF!</f>
        <v/>
      </c>
      <c r="O25" s="288">
        <f>'Property Info'!B19</f>
        <v/>
      </c>
      <c r="P25" s="2130" t="n"/>
      <c r="Q25" s="2131" t="n"/>
      <c r="R25" s="197" t="n"/>
    </row>
    <row r="26" ht="12.75" customHeight="1" s="1449">
      <c r="C26" s="198" t="n"/>
      <c r="D26" s="198" t="n"/>
      <c r="E26" s="290">
        <f>'Property Info'!B16</f>
        <v/>
      </c>
      <c r="F26" s="291" t="n"/>
      <c r="G26" s="291" t="n"/>
      <c r="J26" s="292">
        <f>'Property Info'!B12</f>
        <v/>
      </c>
      <c r="L26" s="291" t="n"/>
      <c r="M26" s="291" t="n"/>
      <c r="N26" s="291" t="n"/>
      <c r="O26" s="291" t="n"/>
      <c r="P26" s="198" t="n"/>
      <c r="Q26" s="198" t="n"/>
      <c r="R26" s="198" t="n"/>
    </row>
    <row r="27" ht="12.75" customHeight="1" s="1449">
      <c r="C27" s="199" t="n"/>
      <c r="D27" s="199" t="n"/>
      <c r="E27" s="293">
        <f>'Property Info'!B17</f>
        <v/>
      </c>
      <c r="F27" s="294" t="n"/>
      <c r="G27" s="294" t="n"/>
      <c r="H27" s="1464" t="n"/>
      <c r="I27" s="1464" t="n"/>
      <c r="J27" s="294" t="n"/>
      <c r="K27" s="1464" t="n"/>
      <c r="L27" s="294" t="n"/>
      <c r="M27" s="294" t="n"/>
      <c r="N27" s="294" t="n"/>
      <c r="O27" s="294" t="n"/>
      <c r="P27" s="199" t="n"/>
      <c r="Q27" s="199" t="n"/>
      <c r="R27" s="199" t="n"/>
    </row>
  </sheetData>
  <mergeCells count="6">
    <mergeCell ref="H5:H6"/>
    <mergeCell ref="I25:I27"/>
    <mergeCell ref="H25:H27"/>
    <mergeCell ref="C3:R3"/>
    <mergeCell ref="K25:K27"/>
    <mergeCell ref="K5:K6"/>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C2:AA35"/>
  <sheetViews>
    <sheetView showGridLines="0" workbookViewId="0">
      <selection activeCell="AC33" sqref="AC33"/>
    </sheetView>
  </sheetViews>
  <sheetFormatPr baseColWidth="8" defaultRowHeight="15"/>
  <cols>
    <col width="30" customWidth="1" style="1449" min="3" max="3"/>
    <col hidden="1" width="13" customWidth="1" style="1449" min="4" max="12"/>
    <col hidden="1" width="13" customWidth="1" style="1449" min="19" max="24"/>
    <col hidden="1" width="9.140625" customWidth="1" style="1449" min="27" max="27"/>
  </cols>
  <sheetData>
    <row r="2">
      <c r="C2" s="1649" t="inlineStr">
        <is>
          <t>HISTORICAL OPERATING ANALYSIS</t>
        </is>
      </c>
    </row>
    <row r="3">
      <c r="C3" s="1383" t="n"/>
      <c r="D3" s="1384" t="n"/>
      <c r="E3" s="1384" t="n"/>
      <c r="F3" s="1384" t="n"/>
      <c r="G3" s="1384" t="n"/>
      <c r="H3" s="1384" t="n"/>
      <c r="I3" s="1384" t="n"/>
      <c r="J3" s="1385" t="n"/>
      <c r="K3" s="1385" t="n"/>
      <c r="L3" s="1384" t="n"/>
      <c r="M3" s="1385" t="n"/>
      <c r="N3" s="1385" t="n"/>
      <c r="O3" s="1384" t="n"/>
      <c r="P3" s="2132" t="n"/>
      <c r="Q3" s="1385" t="n"/>
      <c r="R3" s="1387" t="n"/>
      <c r="S3" s="17" t="n"/>
      <c r="T3" s="17" t="n"/>
      <c r="U3" s="16" t="n"/>
      <c r="V3" s="17" t="n"/>
      <c r="W3" s="18" t="n"/>
      <c r="X3" s="19" t="n"/>
      <c r="AA3" s="67">
        <f>LA!C5</f>
        <v/>
      </c>
    </row>
    <row r="4">
      <c r="C4" s="1388" t="n"/>
      <c r="D4" s="1389" t="n"/>
      <c r="E4" s="1389" t="n"/>
      <c r="F4" s="1390" t="n"/>
      <c r="G4" s="1389" t="n"/>
      <c r="H4" s="1389" t="n"/>
      <c r="I4" s="1390" t="n"/>
      <c r="J4" s="1389" t="n"/>
      <c r="K4" s="1389" t="n"/>
      <c r="L4" s="1391" t="n"/>
      <c r="M4" s="1389" t="n"/>
      <c r="N4" s="1389" t="n"/>
      <c r="O4" s="1391" t="n"/>
      <c r="P4" s="1389" t="n"/>
      <c r="Q4" s="1389" t="n"/>
      <c r="R4" s="1391" t="n"/>
      <c r="S4" s="17" t="inlineStr">
        <is>
          <t>Budget</t>
        </is>
      </c>
      <c r="T4" s="17" t="n"/>
      <c r="U4" s="20" t="n"/>
      <c r="V4" s="17" t="inlineStr">
        <is>
          <t>BBG Projection*</t>
        </is>
      </c>
      <c r="W4" s="17" t="n"/>
      <c r="X4" s="21" t="n"/>
    </row>
    <row r="5">
      <c r="C5" s="1388" t="n"/>
      <c r="D5" s="1391" t="inlineStr">
        <is>
          <t>Total</t>
        </is>
      </c>
      <c r="E5" s="1391" t="inlineStr">
        <is>
          <t>per SF</t>
        </is>
      </c>
      <c r="F5" s="1391" t="n"/>
      <c r="G5" s="1391" t="inlineStr">
        <is>
          <t>Total</t>
        </is>
      </c>
      <c r="H5" s="1391" t="inlineStr">
        <is>
          <t>per SF</t>
        </is>
      </c>
      <c r="I5" s="1391" t="n"/>
      <c r="J5" s="1391" t="inlineStr">
        <is>
          <t>Total</t>
        </is>
      </c>
      <c r="K5" s="1391" t="inlineStr">
        <is>
          <t>per SF</t>
        </is>
      </c>
      <c r="L5" s="1391" t="n"/>
      <c r="M5" s="1391" t="inlineStr">
        <is>
          <t>Total</t>
        </is>
      </c>
      <c r="N5" s="1391" t="inlineStr">
        <is>
          <t>per SF</t>
        </is>
      </c>
      <c r="O5" s="1391" t="n"/>
      <c r="P5" s="1391" t="inlineStr">
        <is>
          <t>Total</t>
        </is>
      </c>
      <c r="Q5" s="1391" t="inlineStr">
        <is>
          <t>per SF</t>
        </is>
      </c>
      <c r="R5" s="1391" t="n"/>
      <c r="S5" s="20" t="inlineStr">
        <is>
          <t>Total</t>
        </is>
      </c>
      <c r="T5" s="20" t="inlineStr">
        <is>
          <t>per SF</t>
        </is>
      </c>
      <c r="U5" s="20" t="n"/>
      <c r="V5" s="20" t="inlineStr">
        <is>
          <t>Total</t>
        </is>
      </c>
      <c r="W5" s="20" t="inlineStr">
        <is>
          <t>per SF</t>
        </is>
      </c>
      <c r="X5" s="1650" t="n"/>
    </row>
    <row r="6">
      <c r="C6" s="24" t="inlineStr">
        <is>
          <t>Rental Income</t>
        </is>
      </c>
      <c r="D6" s="2133">
        <f>SUMIF(Category,$B6,AMTY1)</f>
        <v/>
      </c>
      <c r="E6" s="2134">
        <f>D6/NRA</f>
        <v/>
      </c>
      <c r="F6" s="27" t="n"/>
      <c r="G6" s="2133">
        <f>SUMIF(Category,$B6,AMTY2)</f>
        <v/>
      </c>
      <c r="H6" s="1946">
        <f>G6/NRA</f>
        <v/>
      </c>
      <c r="I6" s="27" t="n"/>
      <c r="J6" s="2133">
        <f>SUMIF(Category,$B6,AMTY3)</f>
        <v/>
      </c>
      <c r="K6" s="1946">
        <f>J6/NRA</f>
        <v/>
      </c>
      <c r="L6" s="27" t="n"/>
      <c r="M6" s="2133" t="n"/>
      <c r="N6" s="2135">
        <f>M6/$AA$3</f>
        <v/>
      </c>
      <c r="O6" s="2133" t="n"/>
      <c r="P6" s="2133" t="n"/>
      <c r="Q6" s="2135">
        <f>P6/$AA$3</f>
        <v/>
      </c>
      <c r="R6" s="27" t="n"/>
      <c r="S6" s="2133">
        <f>SUMIF(Category,$B6,AmtBdgt)</f>
        <v/>
      </c>
      <c r="T6" s="1946">
        <f>S6/NRA</f>
        <v/>
      </c>
      <c r="U6" s="27" t="n"/>
      <c r="V6" s="2136">
        <f>[3]ProForma!C3</f>
        <v/>
      </c>
      <c r="W6" s="2137">
        <f>V6/NRA</f>
        <v/>
      </c>
      <c r="X6" s="2138" t="n"/>
    </row>
    <row r="7">
      <c r="C7" s="24" t="inlineStr">
        <is>
          <t>Operating Expense Recoveries</t>
        </is>
      </c>
      <c r="D7" s="32">
        <f>SUMIF(Category,$B7,AMTY1)</f>
        <v/>
      </c>
      <c r="E7" s="2134">
        <f>D7/NRA</f>
        <v/>
      </c>
      <c r="F7" s="27" t="n"/>
      <c r="G7" s="32">
        <f>SUMIF(Category,$B7,AMTY2)</f>
        <v/>
      </c>
      <c r="H7" s="1946">
        <f>G7/NRA</f>
        <v/>
      </c>
      <c r="I7" s="27" t="n"/>
      <c r="J7" s="32">
        <f>SUMIF(Category,$B7,AMTY3)</f>
        <v/>
      </c>
      <c r="K7" s="1946">
        <f>J7/NRA</f>
        <v/>
      </c>
      <c r="L7" s="27" t="n"/>
      <c r="M7" s="2133" t="n"/>
      <c r="N7" s="2135">
        <f>M7/$AA$3</f>
        <v/>
      </c>
      <c r="O7" s="2133" t="n"/>
      <c r="P7" s="2133" t="n"/>
      <c r="Q7" s="2135">
        <f>P7/$AA$3</f>
        <v/>
      </c>
      <c r="R7" s="27" t="n"/>
      <c r="S7" s="32">
        <f>SUMIF(Category,$B7,AmtBdgt)</f>
        <v/>
      </c>
      <c r="T7" s="1946">
        <f>S7/NRA</f>
        <v/>
      </c>
      <c r="U7" s="27" t="n"/>
      <c r="V7" s="33">
        <f>[3]ProForma!C4</f>
        <v/>
      </c>
      <c r="W7" s="2137">
        <f>V7/NRA</f>
        <v/>
      </c>
      <c r="X7" s="34" t="n"/>
    </row>
    <row r="8" hidden="1" s="1449">
      <c r="C8" s="24" t="inlineStr">
        <is>
          <t>Parking</t>
        </is>
      </c>
      <c r="D8" s="32">
        <f>SUMIF(Category,$B8,AMTY1)</f>
        <v/>
      </c>
      <c r="E8" s="2134">
        <f>D8/NRA</f>
        <v/>
      </c>
      <c r="F8" s="27" t="n"/>
      <c r="G8" s="32">
        <f>SUMIF(Category,$B8,AMTY2)</f>
        <v/>
      </c>
      <c r="H8" s="1946">
        <f>G8/NRA</f>
        <v/>
      </c>
      <c r="I8" s="27" t="n"/>
      <c r="J8" s="32">
        <f>SUMIF(Category,$B8,AMTY3)</f>
        <v/>
      </c>
      <c r="K8" s="1946">
        <f>J8/NRA</f>
        <v/>
      </c>
      <c r="L8" s="27" t="n"/>
      <c r="M8" s="32">
        <f>SUMIF(Category,$B8,AMTY4)</f>
        <v/>
      </c>
      <c r="N8" s="1946">
        <f>M8/$AA$3</f>
        <v/>
      </c>
      <c r="O8" s="27" t="n"/>
      <c r="P8" s="32">
        <f>SUMIF(Category,$B8,AMTY5)</f>
        <v/>
      </c>
      <c r="Q8" s="1946">
        <f>P8/$AA$3</f>
        <v/>
      </c>
      <c r="R8" s="27" t="n"/>
      <c r="S8" s="32">
        <f>SUMIF(Category,$B8,AmtBdgt)</f>
        <v/>
      </c>
      <c r="T8" s="1946">
        <f>S8/NRA</f>
        <v/>
      </c>
      <c r="U8" s="27" t="n"/>
      <c r="V8" s="33">
        <f>W8*NRA</f>
        <v/>
      </c>
      <c r="W8" s="2139" t="n">
        <v>0</v>
      </c>
      <c r="X8" s="34" t="n"/>
    </row>
    <row r="9" hidden="1" s="1449">
      <c r="C9" s="24" t="inlineStr">
        <is>
          <t>Late Charges</t>
        </is>
      </c>
      <c r="D9" s="32">
        <f>SUMIF(Category,$B9,AMTY1)</f>
        <v/>
      </c>
      <c r="E9" s="2134">
        <f>D9/NRA</f>
        <v/>
      </c>
      <c r="F9" s="27" t="n"/>
      <c r="G9" s="32">
        <f>SUMIF(Category,$B9,AMTY2)</f>
        <v/>
      </c>
      <c r="H9" s="1946">
        <f>G9/NRA</f>
        <v/>
      </c>
      <c r="I9" s="27" t="n"/>
      <c r="J9" s="32">
        <f>SUMIF(Category,$B9,AMTY3)</f>
        <v/>
      </c>
      <c r="K9" s="1946">
        <f>J9/NRA</f>
        <v/>
      </c>
      <c r="L9" s="27" t="n"/>
      <c r="M9" s="32">
        <f>SUMIF(Category,$B9,AMTY4)</f>
        <v/>
      </c>
      <c r="N9" s="1946">
        <f>M9/$AA$3</f>
        <v/>
      </c>
      <c r="O9" s="27" t="n"/>
      <c r="P9" s="32">
        <f>SUMIF(Category,$B9,AMTY5)</f>
        <v/>
      </c>
      <c r="Q9" s="1946">
        <f>P9/$AA$3</f>
        <v/>
      </c>
      <c r="R9" s="27" t="n"/>
      <c r="S9" s="32">
        <f>SUMIF(Category,$B9,AmtBdgt)</f>
        <v/>
      </c>
      <c r="T9" s="1946">
        <f>S9/NRA</f>
        <v/>
      </c>
      <c r="U9" s="27" t="n"/>
      <c r="V9" s="33">
        <f>W9*NRA</f>
        <v/>
      </c>
      <c r="W9" s="2139" t="n">
        <v>0</v>
      </c>
      <c r="X9" s="34" t="n"/>
    </row>
    <row r="10" hidden="1" s="1449">
      <c r="C10" s="24" t="inlineStr">
        <is>
          <t>NSF Fee Income</t>
        </is>
      </c>
      <c r="D10" s="32">
        <f>SUMIF(Category,$B10,AMTY1)</f>
        <v/>
      </c>
      <c r="E10" s="2134">
        <f>D10/NRA</f>
        <v/>
      </c>
      <c r="F10" s="27" t="n"/>
      <c r="G10" s="32">
        <f>SUMIF(Category,$B10,AMTY2)</f>
        <v/>
      </c>
      <c r="H10" s="1946">
        <f>G10/NRA</f>
        <v/>
      </c>
      <c r="I10" s="27" t="n"/>
      <c r="J10" s="32">
        <f>SUMIF(Category,$B10,AMTY3)</f>
        <v/>
      </c>
      <c r="K10" s="1946">
        <f>J10/NRA</f>
        <v/>
      </c>
      <c r="L10" s="27" t="n"/>
      <c r="M10" s="32">
        <f>SUMIF(Category,$B10,AMTY4)</f>
        <v/>
      </c>
      <c r="N10" s="1946">
        <f>M10/$AA$3</f>
        <v/>
      </c>
      <c r="O10" s="27" t="n"/>
      <c r="P10" s="32">
        <f>SUMIF(Category,$B10,AMTY5)</f>
        <v/>
      </c>
      <c r="Q10" s="1946">
        <f>P10/$AA$3</f>
        <v/>
      </c>
      <c r="R10" s="27" t="n"/>
      <c r="S10" s="32">
        <f>SUMIF(Category,$B10,AmtBdgt)</f>
        <v/>
      </c>
      <c r="T10" s="1946">
        <f>S10/NRA</f>
        <v/>
      </c>
      <c r="U10" s="27" t="n"/>
      <c r="V10" s="33">
        <f>W10*NRA</f>
        <v/>
      </c>
      <c r="W10" s="2139" t="n">
        <v>0</v>
      </c>
      <c r="X10" s="34" t="n"/>
    </row>
    <row r="11" hidden="1" s="1449">
      <c r="C11" s="24" t="inlineStr">
        <is>
          <t>Keys, Lock, Lock Charge</t>
        </is>
      </c>
      <c r="D11" s="32">
        <f>SUMIF(Category,$B11,AMTY1)</f>
        <v/>
      </c>
      <c r="E11" s="2134">
        <f>D11/NRA</f>
        <v/>
      </c>
      <c r="F11" s="27" t="n"/>
      <c r="G11" s="32">
        <f>SUMIF(Category,$B11,AMTY2)</f>
        <v/>
      </c>
      <c r="H11" s="1946">
        <f>G11/NRA</f>
        <v/>
      </c>
      <c r="I11" s="27" t="n"/>
      <c r="J11" s="32">
        <f>SUMIF(Category,$B11,AMTY3)</f>
        <v/>
      </c>
      <c r="K11" s="1946">
        <f>J11/NRA</f>
        <v/>
      </c>
      <c r="L11" s="27" t="n"/>
      <c r="M11" s="32">
        <f>SUMIF(Category,$B11,AMTY4)</f>
        <v/>
      </c>
      <c r="N11" s="1946">
        <f>M11/$AA$3</f>
        <v/>
      </c>
      <c r="O11" s="27" t="n"/>
      <c r="P11" s="32">
        <f>SUMIF(Category,$B11,AMTY5)</f>
        <v/>
      </c>
      <c r="Q11" s="1946">
        <f>P11/$AA$3</f>
        <v/>
      </c>
      <c r="R11" s="27" t="n"/>
      <c r="S11" s="32">
        <f>SUMIF(Category,$B11,AmtBdgt)</f>
        <v/>
      </c>
      <c r="T11" s="1946">
        <f>S11/NRA</f>
        <v/>
      </c>
      <c r="U11" s="27" t="n"/>
      <c r="V11" s="33">
        <f>W11*NRA</f>
        <v/>
      </c>
      <c r="W11" s="2139" t="n">
        <v>0</v>
      </c>
      <c r="X11" s="34" t="n"/>
    </row>
    <row r="12" hidden="1" s="1449">
      <c r="C12" s="24" t="inlineStr">
        <is>
          <t>Lease Termination Fee Income</t>
        </is>
      </c>
      <c r="D12" s="32">
        <f>SUMIF(Category,$B12,AMTY1)</f>
        <v/>
      </c>
      <c r="E12" s="2134">
        <f>D12/NRA</f>
        <v/>
      </c>
      <c r="F12" s="27" t="n"/>
      <c r="G12" s="32">
        <f>SUMIF(Category,$B12,AMTY2)</f>
        <v/>
      </c>
      <c r="H12" s="1946">
        <f>G12/NRA</f>
        <v/>
      </c>
      <c r="I12" s="27" t="n"/>
      <c r="J12" s="32">
        <f>SUMIF(Category,$B12,AMTY3)</f>
        <v/>
      </c>
      <c r="K12" s="1946">
        <f>J12/NRA</f>
        <v/>
      </c>
      <c r="L12" s="27" t="n"/>
      <c r="M12" s="32">
        <f>SUMIF(Category,$B12,AMTY4)</f>
        <v/>
      </c>
      <c r="N12" s="1946">
        <f>M12/$AA$3</f>
        <v/>
      </c>
      <c r="O12" s="27" t="n"/>
      <c r="P12" s="32">
        <f>SUMIF(Category,$B12,AMTY5)</f>
        <v/>
      </c>
      <c r="Q12" s="1946">
        <f>P12/$AA$3</f>
        <v/>
      </c>
      <c r="R12" s="27" t="n"/>
      <c r="S12" s="32">
        <f>SUMIF(Category,$B12,AmtBdgt)</f>
        <v/>
      </c>
      <c r="T12" s="1946">
        <f>S12/NRA</f>
        <v/>
      </c>
      <c r="U12" s="27" t="n"/>
      <c r="V12" s="33">
        <f>W12*NRA</f>
        <v/>
      </c>
      <c r="W12" s="2139" t="n">
        <v>0</v>
      </c>
      <c r="X12" s="34" t="n"/>
    </row>
    <row r="13" hidden="1" s="1449">
      <c r="C13" s="24" t="inlineStr">
        <is>
          <t>Legal and Collection Fee Income</t>
        </is>
      </c>
      <c r="D13" s="32">
        <f>SUMIF(Category,$B13,AMTY1)</f>
        <v/>
      </c>
      <c r="E13" s="2134">
        <f>D13/NRA</f>
        <v/>
      </c>
      <c r="F13" s="27" t="n"/>
      <c r="G13" s="32">
        <f>SUMIF(Category,$B13,AMTY2)</f>
        <v/>
      </c>
      <c r="H13" s="1946">
        <f>G13/NRA</f>
        <v/>
      </c>
      <c r="I13" s="27" t="n"/>
      <c r="J13" s="32">
        <f>SUMIF(Category,$B13,AMTY3)</f>
        <v/>
      </c>
      <c r="K13" s="1946">
        <f>J13/NRA</f>
        <v/>
      </c>
      <c r="L13" s="27" t="n"/>
      <c r="M13" s="32">
        <f>SUMIF(Category,$B13,AMTY4)</f>
        <v/>
      </c>
      <c r="N13" s="1946">
        <f>M13/$AA$3</f>
        <v/>
      </c>
      <c r="O13" s="27" t="n"/>
      <c r="P13" s="32">
        <f>SUMIF(Category,$B13,AMTY5)</f>
        <v/>
      </c>
      <c r="Q13" s="1946">
        <f>P13/$AA$3</f>
        <v/>
      </c>
      <c r="R13" s="27" t="n"/>
      <c r="S13" s="32">
        <f>SUMIF(Category,$B13,AmtBdgt)</f>
        <v/>
      </c>
      <c r="T13" s="1946">
        <f>S13/NRA</f>
        <v/>
      </c>
      <c r="U13" s="27" t="n"/>
      <c r="V13" s="33">
        <f>W13*NRA</f>
        <v/>
      </c>
      <c r="W13" s="2139" t="n">
        <v>0</v>
      </c>
      <c r="X13" s="34" t="n"/>
    </row>
    <row r="14" hidden="1" s="1449">
      <c r="C14" s="24" t="inlineStr">
        <is>
          <t>Storage Space Rental</t>
        </is>
      </c>
      <c r="D14" s="32">
        <f>SUMIF(Category,$B14,AMTY1)</f>
        <v/>
      </c>
      <c r="E14" s="2134">
        <f>D14/NRA</f>
        <v/>
      </c>
      <c r="F14" s="27" t="n"/>
      <c r="G14" s="32">
        <f>SUMIF(Category,$B14,AMTY2)</f>
        <v/>
      </c>
      <c r="H14" s="1946">
        <f>G14/NRA</f>
        <v/>
      </c>
      <c r="I14" s="27" t="n"/>
      <c r="J14" s="32">
        <f>SUMIF(Category,$B14,AMTY3)</f>
        <v/>
      </c>
      <c r="K14" s="1946">
        <f>J14/NRA</f>
        <v/>
      </c>
      <c r="L14" s="27" t="n"/>
      <c r="M14" s="32">
        <f>SUMIF(Category,$B14,AMTY4)</f>
        <v/>
      </c>
      <c r="N14" s="1946">
        <f>M14/$AA$3</f>
        <v/>
      </c>
      <c r="O14" s="27" t="n"/>
      <c r="P14" s="32">
        <f>SUMIF(Category,$B14,AMTY5)</f>
        <v/>
      </c>
      <c r="Q14" s="1946">
        <f>P14/$AA$3</f>
        <v/>
      </c>
      <c r="R14" s="27" t="n"/>
      <c r="S14" s="32">
        <f>SUMIF(Category,$B14,AmtBdgt)</f>
        <v/>
      </c>
      <c r="T14" s="1946">
        <f>S14/NRA</f>
        <v/>
      </c>
      <c r="U14" s="27" t="n"/>
      <c r="V14" s="33">
        <f>W14*NRA</f>
        <v/>
      </c>
      <c r="W14" s="2139" t="n">
        <v>0</v>
      </c>
      <c r="X14" s="34" t="n"/>
    </row>
    <row r="15" hidden="1" s="1449">
      <c r="C15" s="24" t="inlineStr">
        <is>
          <t>Miscellaneous</t>
        </is>
      </c>
      <c r="D15" s="32">
        <f>SUMIF(Category,$B15,AMTY1)</f>
        <v/>
      </c>
      <c r="E15" s="2134">
        <f>D15/NRA</f>
        <v/>
      </c>
      <c r="F15" s="27" t="n"/>
      <c r="G15" s="32">
        <f>SUMIF(Category,$B15,AMTY2)</f>
        <v/>
      </c>
      <c r="H15" s="1946">
        <f>G15/NRA</f>
        <v/>
      </c>
      <c r="I15" s="27" t="n"/>
      <c r="J15" s="32">
        <f>SUMIF(Category,$B15,AMTY3)</f>
        <v/>
      </c>
      <c r="K15" s="1946">
        <f>J15/NRA</f>
        <v/>
      </c>
      <c r="L15" s="27" t="n"/>
      <c r="M15" s="32">
        <f>SUMIF(Category,$B15,AMTY4)</f>
        <v/>
      </c>
      <c r="N15" s="1946">
        <f>M15/$AA$3</f>
        <v/>
      </c>
      <c r="O15" s="27" t="n"/>
      <c r="P15" s="32">
        <f>SUMIF(Category,$B15,AMTY5)</f>
        <v/>
      </c>
      <c r="Q15" s="1946">
        <f>P15/$AA$3</f>
        <v/>
      </c>
      <c r="R15" s="27" t="n"/>
      <c r="S15" s="32">
        <f>SUMIF(Category,$B15,AmtBdgt)</f>
        <v/>
      </c>
      <c r="T15" s="1946">
        <f>S15/NRA</f>
        <v/>
      </c>
      <c r="U15" s="27" t="n"/>
      <c r="V15" s="33">
        <f>[3]ProForma!C7</f>
        <v/>
      </c>
      <c r="W15" s="2137">
        <f>V15/NRA</f>
        <v/>
      </c>
      <c r="X15" s="34" t="n"/>
    </row>
    <row r="16" hidden="1" s="1449">
      <c r="C16" s="3" t="inlineStr">
        <is>
          <t>Total Potential Gross Income</t>
        </is>
      </c>
      <c r="D16" s="2140">
        <f>SUM(D6:D15)</f>
        <v/>
      </c>
      <c r="E16" s="2141">
        <f>D16/NRA</f>
        <v/>
      </c>
      <c r="F16" s="38" t="n"/>
      <c r="G16" s="2140">
        <f>SUM(G6:G15)</f>
        <v/>
      </c>
      <c r="H16" s="1950">
        <f>G16/NRA</f>
        <v/>
      </c>
      <c r="I16" s="38" t="n"/>
      <c r="J16" s="2140">
        <f>SUM(J6:J15)</f>
        <v/>
      </c>
      <c r="K16" s="1950">
        <f>J16/NRA</f>
        <v/>
      </c>
      <c r="L16" s="38" t="n"/>
      <c r="M16" s="2140">
        <f>SUM(M6:M15)</f>
        <v/>
      </c>
      <c r="N16" s="1946">
        <f>M16/$AA$3</f>
        <v/>
      </c>
      <c r="O16" s="38" t="n"/>
      <c r="P16" s="2140">
        <f>SUM(P6:P15)</f>
        <v/>
      </c>
      <c r="Q16" s="1946">
        <f>P16/$AA$3</f>
        <v/>
      </c>
      <c r="R16" s="38" t="n"/>
      <c r="S16" s="2140">
        <f>SUM(S6:S15)</f>
        <v/>
      </c>
      <c r="T16" s="1950">
        <f>S16/NRA</f>
        <v/>
      </c>
      <c r="U16" s="38" t="n"/>
      <c r="V16" s="2140">
        <f>SUM(V6:V15)</f>
        <v/>
      </c>
      <c r="W16" s="1950">
        <f>V16/NRA</f>
        <v/>
      </c>
      <c r="X16" s="2142" t="n"/>
    </row>
    <row r="17" hidden="1" s="1449">
      <c r="C17" s="3" t="n"/>
      <c r="D17" s="2133" t="n"/>
      <c r="E17" s="2134" t="n"/>
      <c r="F17" s="27" t="n"/>
      <c r="G17" s="2133" t="n"/>
      <c r="H17" s="1946" t="n"/>
      <c r="I17" s="27" t="n"/>
      <c r="J17" s="2133" t="n"/>
      <c r="K17" s="1946" t="n"/>
      <c r="L17" s="27" t="n"/>
      <c r="M17" s="2133" t="n"/>
      <c r="N17" s="1946">
        <f>M17/$AA$3</f>
        <v/>
      </c>
      <c r="O17" s="27" t="n"/>
      <c r="P17" s="2133" t="n"/>
      <c r="Q17" s="1946">
        <f>P17/$AA$3</f>
        <v/>
      </c>
      <c r="R17" s="27" t="n"/>
      <c r="S17" s="2133" t="n"/>
      <c r="T17" s="1946" t="n"/>
      <c r="U17" s="27" t="n"/>
      <c r="V17" s="2143" t="n"/>
      <c r="W17" s="1946" t="n"/>
      <c r="X17" s="2138" t="n"/>
    </row>
    <row r="18" hidden="1" s="1449">
      <c r="C18" s="24" t="inlineStr">
        <is>
          <t>Physical Vacancy</t>
        </is>
      </c>
      <c r="D18" s="32">
        <f>SUMIF(Category,$B18,AMTY1)</f>
        <v/>
      </c>
      <c r="E18" s="2134">
        <f>D18/NRA</f>
        <v/>
      </c>
      <c r="F18" s="27" t="n"/>
      <c r="G18" s="32">
        <f>SUMIF(Category,$B18,AMTY2)</f>
        <v/>
      </c>
      <c r="H18" s="1946">
        <f>G18/NRA</f>
        <v/>
      </c>
      <c r="I18" s="27" t="n"/>
      <c r="J18" s="32">
        <f>SUMIF(Category,$B18,AMTY3)</f>
        <v/>
      </c>
      <c r="K18" s="1946">
        <f>J18/NRA</f>
        <v/>
      </c>
      <c r="L18" s="27" t="n"/>
      <c r="M18" s="32">
        <f>SUMIF(Category,$B18,AMTY4)</f>
        <v/>
      </c>
      <c r="N18" s="1946">
        <f>M18/$AA$3</f>
        <v/>
      </c>
      <c r="O18" s="27" t="n"/>
      <c r="P18" s="32">
        <f>SUMIF(Category,$B18,AMTY5)</f>
        <v/>
      </c>
      <c r="Q18" s="1946">
        <f>P18/$AA$3</f>
        <v/>
      </c>
      <c r="R18" s="27" t="n"/>
      <c r="S18" s="32">
        <f>SUMIF(Category,$B18,AmtBdgt)</f>
        <v/>
      </c>
      <c r="T18" s="1946">
        <f>S18/NRA</f>
        <v/>
      </c>
      <c r="U18" s="27" t="n"/>
      <c r="V18" s="33" t="n"/>
      <c r="W18" s="2137" t="n"/>
      <c r="X18" s="2138" t="n"/>
    </row>
    <row r="19" hidden="1" s="1449">
      <c r="C19" s="24" t="inlineStr">
        <is>
          <t>Bad Debt / Collection Loss</t>
        </is>
      </c>
      <c r="D19" s="32">
        <f>SUMIF(Category,$B19,AMTY1)</f>
        <v/>
      </c>
      <c r="E19" s="2134">
        <f>D19/NRA</f>
        <v/>
      </c>
      <c r="F19" s="27" t="n"/>
      <c r="G19" s="32">
        <f>SUMIF(Category,$B19,AMTY2)</f>
        <v/>
      </c>
      <c r="H19" s="1946">
        <f>G19/NRA</f>
        <v/>
      </c>
      <c r="I19" s="27" t="n"/>
      <c r="J19" s="32">
        <f>SUMIF(Category,$B19,AMTY3)</f>
        <v/>
      </c>
      <c r="K19" s="1946">
        <f>J19/NRA</f>
        <v/>
      </c>
      <c r="L19" s="27" t="n"/>
      <c r="M19" s="32">
        <f>SUMIF(Category,$B19,AMTY4)</f>
        <v/>
      </c>
      <c r="N19" s="1946">
        <f>M19/$AA$3</f>
        <v/>
      </c>
      <c r="O19" s="27" t="n"/>
      <c r="P19" s="32">
        <f>SUMIF(Category,$B19,AMTY5)</f>
        <v/>
      </c>
      <c r="Q19" s="1946">
        <f>P19/$AA$3</f>
        <v/>
      </c>
      <c r="R19" s="27" t="n"/>
      <c r="S19" s="32">
        <f>SUMIF(Category,$B19,AmtBdgt)</f>
        <v/>
      </c>
      <c r="T19" s="1946">
        <f>S19/NRA</f>
        <v/>
      </c>
      <c r="U19" s="27" t="n"/>
      <c r="V19" s="33" t="n"/>
      <c r="W19" s="2137" t="n"/>
      <c r="X19" s="2138" t="n"/>
    </row>
    <row r="20" hidden="1" s="1449">
      <c r="C20" s="24" t="inlineStr">
        <is>
          <t>Concessions</t>
        </is>
      </c>
      <c r="D20" s="32">
        <f>SUMIF(Category,$B20,AMTY1)</f>
        <v/>
      </c>
      <c r="E20" s="2134">
        <f>D20/NRA</f>
        <v/>
      </c>
      <c r="F20" s="27" t="n"/>
      <c r="G20" s="32">
        <f>SUMIF(Category,$B20,AMTY2)</f>
        <v/>
      </c>
      <c r="H20" s="1946">
        <f>G20/NRA</f>
        <v/>
      </c>
      <c r="I20" s="27" t="n"/>
      <c r="J20" s="32">
        <f>SUMIF(Category,$B20,AMTY3)</f>
        <v/>
      </c>
      <c r="K20" s="1946">
        <f>J20/NRA</f>
        <v/>
      </c>
      <c r="L20" s="27" t="n"/>
      <c r="M20" s="32">
        <f>SUMIF(Category,$B20,AMTY4)</f>
        <v/>
      </c>
      <c r="N20" s="1946">
        <f>M20/$AA$3</f>
        <v/>
      </c>
      <c r="O20" s="27" t="n"/>
      <c r="P20" s="32">
        <f>SUMIF(Category,$B20,AMTY5)</f>
        <v/>
      </c>
      <c r="Q20" s="1946">
        <f>P20/$AA$3</f>
        <v/>
      </c>
      <c r="R20" s="27" t="n"/>
      <c r="S20" s="32">
        <f>SUMIF(Category,$B20,AmtBdgt)</f>
        <v/>
      </c>
      <c r="T20" s="1946">
        <f>S20/NRA</f>
        <v/>
      </c>
      <c r="U20" s="27" t="n"/>
      <c r="V20" s="32" t="n"/>
      <c r="W20" s="1946" t="n"/>
      <c r="X20" s="2138" t="n"/>
    </row>
    <row r="21" hidden="1" s="1449">
      <c r="C21" s="42" t="inlineStr">
        <is>
          <t>Vacancy &amp; Collection Loss</t>
        </is>
      </c>
      <c r="D21" s="32">
        <f>-[3]OpActuals!B13</f>
        <v/>
      </c>
      <c r="E21" s="2134">
        <f>D21/NRA</f>
        <v/>
      </c>
      <c r="F21" s="27" t="n"/>
      <c r="G21" s="32">
        <f>-[3]OpActuals!C13</f>
        <v/>
      </c>
      <c r="H21" s="1946">
        <f>G21/NRA</f>
        <v/>
      </c>
      <c r="I21" s="27" t="n"/>
      <c r="J21" s="32">
        <f>-[3]OpActuals!D13</f>
        <v/>
      </c>
      <c r="K21" s="1946">
        <f>J21/NRA</f>
        <v/>
      </c>
      <c r="L21" s="27" t="n"/>
      <c r="M21" s="32">
        <f>-[3]OpActuals!E13</f>
        <v/>
      </c>
      <c r="N21" s="1946">
        <f>M21/$AA$3</f>
        <v/>
      </c>
      <c r="O21" s="27" t="n"/>
      <c r="P21" s="32">
        <f>-[3]OpActuals!G13</f>
        <v/>
      </c>
      <c r="Q21" s="1946">
        <f>P21/$AA$3</f>
        <v/>
      </c>
      <c r="R21" s="27" t="n"/>
      <c r="S21" s="32">
        <f>-[3]OpActuals!H13</f>
        <v/>
      </c>
      <c r="T21" s="1946">
        <f>S21/NRA</f>
        <v/>
      </c>
      <c r="U21" s="27" t="n"/>
      <c r="V21" s="32" t="n"/>
      <c r="W21" s="1946" t="n"/>
      <c r="X21" s="43" t="n"/>
    </row>
    <row r="22">
      <c r="C22" s="85" t="inlineStr">
        <is>
          <t>EFFECTIVE GROSS INCOME</t>
        </is>
      </c>
      <c r="D22" s="2144">
        <f>D16+D21</f>
        <v/>
      </c>
      <c r="E22" s="2145">
        <f>D22/NRA</f>
        <v/>
      </c>
      <c r="F22" s="146" t="n"/>
      <c r="G22" s="2144">
        <f>G16+G21</f>
        <v/>
      </c>
      <c r="H22" s="2146">
        <f>G22/NRA</f>
        <v/>
      </c>
      <c r="I22" s="146" t="n"/>
      <c r="J22" s="2144">
        <f>J16+J21</f>
        <v/>
      </c>
      <c r="K22" s="2146">
        <f>J22/NRA</f>
        <v/>
      </c>
      <c r="L22" s="146" t="n"/>
      <c r="M22" s="2144">
        <f>SUM(M6:M7)</f>
        <v/>
      </c>
      <c r="N22" s="2147">
        <f>M22/$AA$3</f>
        <v/>
      </c>
      <c r="O22" s="2144" t="n"/>
      <c r="P22" s="2144">
        <f>SUM(P6:P7)</f>
        <v/>
      </c>
      <c r="Q22" s="2147">
        <f>P22/$AA$3</f>
        <v/>
      </c>
      <c r="R22" s="146" t="n"/>
      <c r="S22" s="2140">
        <f>S16+S21</f>
        <v/>
      </c>
      <c r="T22" s="1950">
        <f>S22/NRA</f>
        <v/>
      </c>
      <c r="U22" s="38" t="n"/>
      <c r="V22" s="2140">
        <f>[3]ProForma!C11</f>
        <v/>
      </c>
      <c r="W22" s="1950">
        <f>V22/NRA</f>
        <v/>
      </c>
      <c r="X22" s="2142" t="n"/>
    </row>
    <row r="23">
      <c r="C23" s="1392" t="inlineStr">
        <is>
          <t>Fixed Expenses</t>
        </is>
      </c>
      <c r="D23" s="2148" t="n"/>
      <c r="E23" s="2149" t="n"/>
      <c r="F23" s="1395" t="n"/>
      <c r="G23" s="2148" t="n"/>
      <c r="H23" s="2150" t="n"/>
      <c r="I23" s="1395" t="n"/>
      <c r="J23" s="2148" t="n"/>
      <c r="K23" s="2150" t="n"/>
      <c r="L23" s="1395" t="n"/>
      <c r="M23" s="2148" t="n"/>
      <c r="N23" s="2150" t="n"/>
      <c r="O23" s="1395" t="n"/>
      <c r="P23" s="2148" t="n"/>
      <c r="Q23" s="2150" t="n"/>
      <c r="R23" s="1395" t="n"/>
      <c r="S23" s="2151" t="n"/>
      <c r="T23" s="2152" t="n"/>
      <c r="U23" s="45" t="n"/>
      <c r="V23" s="2151" t="n"/>
      <c r="W23" s="2152" t="inlineStr">
        <is>
          <t> </t>
        </is>
      </c>
      <c r="X23" s="47" t="n"/>
    </row>
    <row r="24">
      <c r="C24" s="24" t="inlineStr">
        <is>
          <t>Real Estate Taxes</t>
        </is>
      </c>
      <c r="D24" s="32">
        <f>SUMIF(Category,$B24,AMTY1)</f>
        <v/>
      </c>
      <c r="E24" s="2134">
        <f>D24/NRA</f>
        <v/>
      </c>
      <c r="F24" s="23" t="n"/>
      <c r="G24" s="2153">
        <f>SUMIF(Category,$B24,AMTY2)</f>
        <v/>
      </c>
      <c r="H24" s="1946">
        <f>G24/NRA</f>
        <v/>
      </c>
      <c r="I24" s="23" t="n"/>
      <c r="J24" s="2153">
        <f>SUMIF(Category,$B24,AMTY3)</f>
        <v/>
      </c>
      <c r="K24" s="1946">
        <f>J24/NRA</f>
        <v/>
      </c>
      <c r="L24" s="23" t="n"/>
      <c r="M24" s="2133" t="n"/>
      <c r="N24" s="2135">
        <f>M24/$AA$3</f>
        <v/>
      </c>
      <c r="O24" s="2133" t="n"/>
      <c r="P24" s="2133" t="n"/>
      <c r="Q24" s="2135">
        <f>P24/$AA$3</f>
        <v/>
      </c>
      <c r="R24" s="23" t="n"/>
      <c r="S24" s="2153">
        <f>SUMIF(Category,$B24,AmtBdgt)</f>
        <v/>
      </c>
      <c r="T24" s="1946">
        <f>S24/NRA</f>
        <v/>
      </c>
      <c r="U24" s="23" t="n"/>
      <c r="V24" s="33">
        <f>W24*NRA</f>
        <v/>
      </c>
      <c r="W24" s="2139" t="n">
        <v>0</v>
      </c>
      <c r="X24" s="43" t="n"/>
    </row>
    <row r="25">
      <c r="C25" s="24" t="inlineStr">
        <is>
          <t>Property Insurance</t>
        </is>
      </c>
      <c r="D25" s="2153">
        <f>SUMIF(Category,$B25,AMTY1)</f>
        <v/>
      </c>
      <c r="E25" s="2154">
        <f>D25/NRA</f>
        <v/>
      </c>
      <c r="F25" s="23" t="n"/>
      <c r="G25" s="2153">
        <f>SUMIF(Category,$B25,AMTY2)</f>
        <v/>
      </c>
      <c r="H25" s="1946">
        <f>G25/NRA</f>
        <v/>
      </c>
      <c r="I25" s="23" t="n"/>
      <c r="J25" s="2153">
        <f>SUMIF(Category,$B25,AMTY3)</f>
        <v/>
      </c>
      <c r="K25" s="1946">
        <f>J25/NRA</f>
        <v/>
      </c>
      <c r="L25" s="23" t="n"/>
      <c r="M25" s="2133" t="n"/>
      <c r="N25" s="2135">
        <f>M25/$AA$3</f>
        <v/>
      </c>
      <c r="O25" s="2133" t="n"/>
      <c r="P25" s="2133" t="n"/>
      <c r="Q25" s="2135">
        <f>P25/$AA$3</f>
        <v/>
      </c>
      <c r="R25" s="23" t="n"/>
      <c r="S25" s="2153">
        <f>SUMIF(Category,$B25,AmtBdgt)</f>
        <v/>
      </c>
      <c r="T25" s="1946">
        <f>S25/NRA</f>
        <v/>
      </c>
      <c r="U25" s="23" t="n"/>
      <c r="V25" s="33">
        <f>W25*NRA</f>
        <v/>
      </c>
      <c r="W25" s="2139" t="n">
        <v>0</v>
      </c>
      <c r="X25" s="43" t="n"/>
    </row>
    <row r="26">
      <c r="C26" s="1392" t="inlineStr">
        <is>
          <t>Variable Expenses</t>
        </is>
      </c>
      <c r="D26" s="2155" t="n"/>
      <c r="E26" s="2149" t="n"/>
      <c r="F26" s="1395" t="n"/>
      <c r="G26" s="2155" t="n"/>
      <c r="H26" s="2150" t="n"/>
      <c r="I26" s="1395" t="n"/>
      <c r="J26" s="2155" t="n"/>
      <c r="K26" s="2150" t="n"/>
      <c r="L26" s="1395" t="n"/>
      <c r="M26" s="2155" t="n"/>
      <c r="N26" s="2150" t="n"/>
      <c r="O26" s="1395" t="n"/>
      <c r="P26" s="2155" t="n"/>
      <c r="Q26" s="2150" t="n"/>
      <c r="R26" s="1395" t="n"/>
      <c r="S26" s="2156" t="n"/>
      <c r="T26" s="2152" t="n"/>
      <c r="U26" s="45" t="n"/>
      <c r="V26" s="52" t="n"/>
      <c r="W26" s="2157" t="n"/>
      <c r="X26" s="54" t="n"/>
    </row>
    <row r="27">
      <c r="C27" s="24" t="inlineStr">
        <is>
          <t>Utilities</t>
        </is>
      </c>
      <c r="D27" s="2158">
        <f>SUMIF(Category,$B27,AMTY1)</f>
        <v/>
      </c>
      <c r="E27" s="2134">
        <f>D27/NRA</f>
        <v/>
      </c>
      <c r="F27" s="23" t="n"/>
      <c r="G27" s="2133">
        <f>SUMIF(Category,$B27,AMTY2)</f>
        <v/>
      </c>
      <c r="H27" s="1946">
        <f>G27/NRA</f>
        <v/>
      </c>
      <c r="I27" s="23" t="n"/>
      <c r="J27" s="2133">
        <f>SUMIF(Category,$B27,AMTY3)</f>
        <v/>
      </c>
      <c r="K27" s="1946">
        <f>J27/NRA</f>
        <v/>
      </c>
      <c r="L27" s="23" t="n"/>
      <c r="M27" s="2133" t="n"/>
      <c r="N27" s="2135">
        <f>M27/$AA$3</f>
        <v/>
      </c>
      <c r="O27" s="2133" t="n"/>
      <c r="P27" s="2133" t="n"/>
      <c r="Q27" s="2135">
        <f>P27/$AA$3</f>
        <v/>
      </c>
      <c r="R27" s="23" t="n"/>
      <c r="S27" s="2133">
        <f>SUMIF(Category,$B27,AmtBdgt)</f>
        <v/>
      </c>
      <c r="T27" s="1946">
        <f>S27/NRA</f>
        <v/>
      </c>
      <c r="U27" s="23" t="n"/>
      <c r="V27" s="33">
        <f>W27*NRA</f>
        <v/>
      </c>
      <c r="W27" s="2137">
        <f>[3]SummaryExpenseTbl!M32</f>
        <v/>
      </c>
      <c r="X27" s="43" t="n"/>
    </row>
    <row r="28">
      <c r="C28" s="24" t="inlineStr">
        <is>
          <t>CAM Repairs &amp; Maintenance</t>
        </is>
      </c>
      <c r="D28" s="2158">
        <f>SUMIF(Category,$B28,AMTY1)</f>
        <v/>
      </c>
      <c r="E28" s="2134">
        <f>D28/NRA</f>
        <v/>
      </c>
      <c r="F28" s="23" t="n"/>
      <c r="G28" s="2133">
        <f>SUMIF(Category,$B28,AMTY2)</f>
        <v/>
      </c>
      <c r="H28" s="1946">
        <f>G28/NRA</f>
        <v/>
      </c>
      <c r="I28" s="23" t="n"/>
      <c r="J28" s="2133">
        <f>SUMIF(Category,$B28,AMTY3)</f>
        <v/>
      </c>
      <c r="K28" s="1946">
        <f>J28/NRA</f>
        <v/>
      </c>
      <c r="L28" s="23" t="n"/>
      <c r="M28" s="2133" t="n"/>
      <c r="N28" s="2135">
        <f>M28/$AA$3</f>
        <v/>
      </c>
      <c r="O28" s="2133" t="n"/>
      <c r="P28" s="2133" t="n"/>
      <c r="Q28" s="2135">
        <f>P28/$AA$3</f>
        <v/>
      </c>
      <c r="R28" s="23" t="n"/>
      <c r="S28" s="2133">
        <f>SUMIF(Category,$B28,AmtBdgt)</f>
        <v/>
      </c>
      <c r="T28" s="1946">
        <f>S28/NRA</f>
        <v/>
      </c>
      <c r="U28" s="23" t="n"/>
      <c r="V28" s="33">
        <f>W28*NRA</f>
        <v/>
      </c>
      <c r="W28" s="2139" t="n">
        <v>0</v>
      </c>
      <c r="X28" s="34" t="n"/>
    </row>
    <row r="29">
      <c r="C29" s="24" t="inlineStr">
        <is>
          <t>Administrative and General</t>
        </is>
      </c>
      <c r="D29" s="2158">
        <f>SUMIF(Category,$B29,AMTY1)</f>
        <v/>
      </c>
      <c r="E29" s="2134">
        <f>D29/NRA</f>
        <v/>
      </c>
      <c r="F29" s="23" t="n"/>
      <c r="G29" s="2133">
        <f>SUMIF(Category,$B29,AMTY2)</f>
        <v/>
      </c>
      <c r="H29" s="1946">
        <f>G29/NRA</f>
        <v/>
      </c>
      <c r="I29" s="23" t="n"/>
      <c r="J29" s="2133">
        <f>SUMIF(Category,$B29,AMTY3)</f>
        <v/>
      </c>
      <c r="K29" s="1946">
        <f>J29/NRA</f>
        <v/>
      </c>
      <c r="L29" s="23" t="n"/>
      <c r="M29" s="2133" t="n"/>
      <c r="N29" s="2135">
        <f>M29/$AA$3</f>
        <v/>
      </c>
      <c r="O29" s="2133" t="n"/>
      <c r="P29" s="2133" t="n"/>
      <c r="Q29" s="2135">
        <f>P29/$AA$3</f>
        <v/>
      </c>
      <c r="R29" s="23" t="n"/>
      <c r="S29" s="2133">
        <f>SUMIF(Category,$B29,AmtBdgt)</f>
        <v/>
      </c>
      <c r="T29" s="1946">
        <f>S29/NRA</f>
        <v/>
      </c>
      <c r="U29" s="23" t="n"/>
      <c r="V29" s="33">
        <f>W29*NRA</f>
        <v/>
      </c>
      <c r="W29" s="2139" t="n">
        <v>0</v>
      </c>
      <c r="X29" s="2159" t="n"/>
    </row>
    <row r="30">
      <c r="C30" s="24" t="inlineStr">
        <is>
          <t>Management</t>
        </is>
      </c>
      <c r="D30" s="2158">
        <f>SUMIF(Category,$B30,AMTY1)</f>
        <v/>
      </c>
      <c r="E30" s="2134">
        <f>D30/NRA</f>
        <v/>
      </c>
      <c r="F30" s="23" t="n"/>
      <c r="G30" s="2133">
        <f>SUMIF(Category,$B30,AMTY2)</f>
        <v/>
      </c>
      <c r="H30" s="1946">
        <f>G30/NRA</f>
        <v/>
      </c>
      <c r="I30" s="23" t="n"/>
      <c r="J30" s="2133">
        <f>SUMIF(Category,$B30,AMTY3)</f>
        <v/>
      </c>
      <c r="K30" s="1946">
        <f>J30/NRA</f>
        <v/>
      </c>
      <c r="L30" s="23" t="n"/>
      <c r="M30" s="2133" t="n"/>
      <c r="N30" s="2135">
        <f>M30/$AA$3</f>
        <v/>
      </c>
      <c r="O30" s="2133" t="n"/>
      <c r="P30" s="2133" t="n"/>
      <c r="Q30" s="2135">
        <f>P30/$AA$3</f>
        <v/>
      </c>
      <c r="R30" s="23" t="n"/>
      <c r="S30" s="2133">
        <f>SUMIF(Category,$B30,AmtBdgt)</f>
        <v/>
      </c>
      <c r="T30" s="1946">
        <f>S30/NRA</f>
        <v/>
      </c>
      <c r="U30" s="23" t="n"/>
      <c r="V30" s="33">
        <f>W30*NRA</f>
        <v/>
      </c>
      <c r="W30" s="2137">
        <f>[3]SummaryExpenseTbl!M38</f>
        <v/>
      </c>
      <c r="X30" s="43" t="n"/>
    </row>
    <row r="31" hidden="1" s="1449">
      <c r="C31" s="24" t="inlineStr">
        <is>
          <t>Replacement Reserves</t>
        </is>
      </c>
      <c r="D31" s="2160">
        <f>SUMIF(Category,$B31,AMTY1)</f>
        <v/>
      </c>
      <c r="E31" s="2134">
        <f>D31/NRA</f>
        <v/>
      </c>
      <c r="F31" s="23" t="n"/>
      <c r="G31" s="2160">
        <f>SUMIF(Category,$B31,AMTY2)</f>
        <v/>
      </c>
      <c r="H31" s="1946">
        <f>G31/NRA</f>
        <v/>
      </c>
      <c r="I31" s="23" t="n"/>
      <c r="J31" s="2160">
        <f>SUMIF(Category,$B31,AMTY3)</f>
        <v/>
      </c>
      <c r="K31" s="1946">
        <f>J31/NRA</f>
        <v/>
      </c>
      <c r="L31" s="23" t="n"/>
      <c r="M31" s="2133">
        <f>SUMIF(Category,$B31,AMTY4)</f>
        <v/>
      </c>
      <c r="N31" s="2135">
        <f>M31/$AA$3</f>
        <v/>
      </c>
      <c r="O31" s="2133" t="n"/>
      <c r="P31" s="2133">
        <f>SUMIF(Category,$B31,AMTY5)</f>
        <v/>
      </c>
      <c r="Q31" s="2135">
        <f>P31/$AA$3</f>
        <v/>
      </c>
      <c r="R31" s="23" t="n"/>
      <c r="S31" s="2133">
        <f>SUMIF(Category,$B31,AmtBdgt)</f>
        <v/>
      </c>
      <c r="T31" s="1946">
        <f>S31/NRA</f>
        <v/>
      </c>
      <c r="U31" s="23" t="n"/>
      <c r="V31" s="33">
        <f>W31*NRA</f>
        <v/>
      </c>
      <c r="W31" s="2137">
        <f>[3]SummaryExpenseTbl!M41</f>
        <v/>
      </c>
      <c r="X31" s="43" t="n"/>
    </row>
    <row r="32" hidden="1" s="1449">
      <c r="C32" s="24" t="n"/>
      <c r="D32" s="2161" t="n"/>
      <c r="E32" s="2134" t="n"/>
      <c r="F32" s="23" t="n"/>
      <c r="G32" s="2161" t="n"/>
      <c r="H32" s="1946" t="n"/>
      <c r="I32" s="23" t="n"/>
      <c r="J32" s="2161" t="n"/>
      <c r="K32" s="1946" t="n"/>
      <c r="L32" s="23" t="n"/>
      <c r="M32" s="2158" t="n"/>
      <c r="N32" s="1946" t="n"/>
      <c r="O32" s="23" t="n"/>
      <c r="P32" s="2158" t="n"/>
      <c r="Q32" s="1946" t="n"/>
      <c r="R32" s="23" t="n"/>
      <c r="S32" s="2158" t="n"/>
      <c r="T32" s="1946" t="n"/>
      <c r="U32" s="23" t="n"/>
      <c r="V32" s="2161" t="n"/>
      <c r="W32" s="1946" t="n"/>
      <c r="X32" s="2162" t="n"/>
    </row>
    <row r="33">
      <c r="C33" s="85" t="inlineStr">
        <is>
          <t>TOTAL EXPENSES</t>
        </is>
      </c>
      <c r="D33" s="2144">
        <f>SUM(#REF!,#REF!, D27, D28,D29,D30, D31)</f>
        <v/>
      </c>
      <c r="E33" s="2145">
        <f>D33/NRA</f>
        <v/>
      </c>
      <c r="F33" s="2163" t="n"/>
      <c r="G33" s="2144">
        <f>SUM(#REF!,#REF!, G27, G28,G29,G30, G31)</f>
        <v/>
      </c>
      <c r="H33" s="2146">
        <f>G33/NRA</f>
        <v/>
      </c>
      <c r="I33" s="2163" t="n"/>
      <c r="J33" s="2144">
        <f>SUM(#REF!,#REF!, J27, J28,J29,J30, J31)</f>
        <v/>
      </c>
      <c r="K33" s="2146">
        <f>J33/NRA</f>
        <v/>
      </c>
      <c r="L33" s="2163" t="n"/>
      <c r="M33" s="2144">
        <f>SUM(M24:M25,M27:M30)</f>
        <v/>
      </c>
      <c r="N33" s="2147">
        <f>M33/$AA$3</f>
        <v/>
      </c>
      <c r="O33" s="2144" t="n"/>
      <c r="P33" s="2144">
        <f>SUM(P24:P25,P27:P30)</f>
        <v/>
      </c>
      <c r="Q33" s="2147">
        <f>P33/$AA$3</f>
        <v/>
      </c>
      <c r="R33" s="2163" t="n"/>
      <c r="S33" s="2140">
        <f>SUM(#REF!,#REF!, S27, S28,S29,S30, S31)</f>
        <v/>
      </c>
      <c r="T33" s="1950">
        <f>S33/NRA</f>
        <v/>
      </c>
      <c r="U33" s="2164" t="n"/>
      <c r="V33" s="2140">
        <f>SUM(#REF!,#REF!, V27,#REF!, V30, V31)</f>
        <v/>
      </c>
      <c r="W33" s="1950">
        <f>V33/NRA</f>
        <v/>
      </c>
      <c r="X33" s="2142" t="n"/>
    </row>
    <row r="34">
      <c r="C34" s="42" t="n"/>
      <c r="D34" s="2165" t="n"/>
      <c r="E34" s="2141" t="n"/>
      <c r="F34" s="61" t="n"/>
      <c r="G34" s="2165" t="n"/>
      <c r="H34" s="1950" t="n"/>
      <c r="I34" s="61" t="n"/>
      <c r="J34" s="2165" t="n"/>
      <c r="K34" s="1950" t="n"/>
      <c r="L34" s="61" t="n"/>
      <c r="M34" s="2165" t="n"/>
      <c r="N34" s="1950" t="n"/>
      <c r="O34" s="61" t="n"/>
      <c r="P34" s="2165" t="n"/>
      <c r="Q34" s="1950" t="n"/>
      <c r="R34" s="61" t="n"/>
      <c r="S34" s="2165" t="n"/>
      <c r="T34" s="1950" t="n"/>
      <c r="U34" s="61" t="n"/>
      <c r="V34" s="2165" t="n"/>
      <c r="W34" s="1950" t="n"/>
      <c r="X34" s="2166" t="n"/>
    </row>
    <row r="35">
      <c r="C35" s="85" t="inlineStr">
        <is>
          <t>NET OPERATING INCOME (NOI)</t>
        </is>
      </c>
      <c r="D35" s="2144">
        <f>D22-D33</f>
        <v/>
      </c>
      <c r="E35" s="2145">
        <f>D35/NRA</f>
        <v/>
      </c>
      <c r="F35" s="88" t="n"/>
      <c r="G35" s="2144">
        <f>G22-G33</f>
        <v/>
      </c>
      <c r="H35" s="2146">
        <f>G35/NRA</f>
        <v/>
      </c>
      <c r="I35" s="88" t="n"/>
      <c r="J35" s="2144">
        <f>J22-J33</f>
        <v/>
      </c>
      <c r="K35" s="2146">
        <f>J35/NRA</f>
        <v/>
      </c>
      <c r="L35" s="88" t="n"/>
      <c r="M35" s="2144">
        <f>M22-M33</f>
        <v/>
      </c>
      <c r="N35" s="2147">
        <f>M35/$AA$3</f>
        <v/>
      </c>
      <c r="O35" s="2144" t="n"/>
      <c r="P35" s="2144">
        <f>P22-P33</f>
        <v/>
      </c>
      <c r="Q35" s="2147">
        <f>P35/$AA$3</f>
        <v/>
      </c>
      <c r="R35" s="88" t="n"/>
      <c r="S35" s="2167">
        <f>S22-S33</f>
        <v/>
      </c>
      <c r="T35" s="2168">
        <f>S35/NRA</f>
        <v/>
      </c>
      <c r="U35" s="64" t="n"/>
      <c r="V35" s="2167">
        <f>V22-V33</f>
        <v/>
      </c>
      <c r="W35" s="2168">
        <f>V35/NRA</f>
        <v/>
      </c>
      <c r="X35" s="2169" t="n"/>
    </row>
  </sheetData>
  <mergeCells count="1">
    <mergeCell ref="C2:X2"/>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D2:AB45"/>
  <sheetViews>
    <sheetView showGridLines="0" workbookViewId="0">
      <selection activeCell="Q7" sqref="Q7"/>
    </sheetView>
  </sheetViews>
  <sheetFormatPr baseColWidth="8" defaultRowHeight="15"/>
  <cols>
    <col width="25.7109375" customWidth="1" style="1449" min="4" max="4"/>
    <col hidden="1" width="10.7109375" customWidth="1" style="1449" min="5" max="5"/>
    <col width="14.28515625" bestFit="1" customWidth="1" style="1449" min="6" max="6"/>
    <col hidden="1" width="7.7109375" customWidth="1" style="1449" min="7" max="7"/>
    <col hidden="1" width="10.7109375" customWidth="1" style="1449" min="8" max="8"/>
    <col width="15.85546875" customWidth="1" style="1449" min="9" max="9"/>
    <col hidden="1" width="7.7109375" customWidth="1" style="1449" min="10" max="10"/>
    <col hidden="1" width="2.140625" customWidth="1" style="1449" min="11" max="11"/>
    <col width="14.140625" customWidth="1" style="1449" min="12" max="12"/>
    <col hidden="1" width="7.7109375" customWidth="1" style="1449" min="13" max="13"/>
    <col hidden="1" width="10.7109375" customWidth="1" style="1449" min="14" max="14"/>
    <col hidden="1" width="7.7109375" customWidth="1" style="1449" min="15" max="16"/>
    <col width="10.140625" bestFit="1" customWidth="1" style="1449" min="17" max="17"/>
    <col width="7.28515625" customWidth="1" style="112" min="20" max="22"/>
    <col hidden="1" width="8.28515625" customWidth="1" style="112" min="23" max="23"/>
    <col width="7.28515625" customWidth="1" style="112" min="24" max="24"/>
    <col width="8.42578125" customWidth="1" style="112" min="25" max="25"/>
    <col width="1.7109375" customWidth="1" style="112" min="26" max="26"/>
    <col width="15.42578125" customWidth="1" style="112" min="27" max="27"/>
    <col width="8" customWidth="1" style="112" min="28" max="28"/>
  </cols>
  <sheetData>
    <row r="2" ht="15.75" customHeight="1" s="1449">
      <c r="D2" s="1562" t="inlineStr">
        <is>
          <t>COMPARABLE EXPENSES DATA</t>
        </is>
      </c>
    </row>
    <row r="3">
      <c r="D3" s="69" t="inlineStr">
        <is>
          <t>Comparable No.</t>
        </is>
      </c>
      <c r="E3" s="1650" t="n">
        <v>1</v>
      </c>
      <c r="H3" s="1650" t="n">
        <v>2</v>
      </c>
      <c r="K3" s="1650" t="n">
        <v>3</v>
      </c>
      <c r="N3" s="1650" t="n">
        <v>3</v>
      </c>
    </row>
    <row r="4" ht="12.75" customHeight="1" s="1449">
      <c r="D4" s="70" t="inlineStr">
        <is>
          <t>City</t>
        </is>
      </c>
      <c r="E4" s="80" t="n"/>
      <c r="F4" s="255" t="n"/>
      <c r="G4" s="72" t="n"/>
      <c r="H4" s="80" t="n"/>
      <c r="I4" s="255" t="n"/>
      <c r="J4" s="71" t="n"/>
      <c r="K4" s="80" t="n"/>
      <c r="L4" s="255" t="n"/>
      <c r="M4" s="71" t="n"/>
      <c r="N4" s="105" t="n"/>
      <c r="O4" s="71" t="n"/>
      <c r="P4" s="71" t="n"/>
    </row>
    <row r="5" ht="12.75" customHeight="1" s="1449" thickBot="1">
      <c r="D5" s="70" t="inlineStr">
        <is>
          <t>Year Built</t>
        </is>
      </c>
      <c r="E5" s="80" t="n"/>
      <c r="F5" s="255" t="n"/>
      <c r="G5" s="72" t="n"/>
      <c r="H5" s="80" t="n"/>
      <c r="I5" s="255" t="n"/>
      <c r="J5" s="71" t="n"/>
      <c r="K5" s="80" t="n"/>
      <c r="L5" s="255" t="n"/>
      <c r="M5" s="71" t="n"/>
      <c r="N5" s="105" t="n"/>
      <c r="O5" s="71" t="n"/>
      <c r="P5" s="71" t="n"/>
      <c r="X5" s="113" t="n"/>
    </row>
    <row r="6" ht="12.75" customHeight="1" s="1449">
      <c r="D6" s="70" t="inlineStr">
        <is>
          <t>Rentable Area</t>
        </is>
      </c>
      <c r="E6" s="254" t="n"/>
      <c r="F6" s="256" t="n"/>
      <c r="G6" s="74" t="n"/>
      <c r="H6" s="254" t="n"/>
      <c r="I6" s="256" t="n"/>
      <c r="J6" s="73" t="n"/>
      <c r="K6" s="254" t="n"/>
      <c r="L6" s="256" t="n"/>
      <c r="M6" s="73" t="n"/>
      <c r="N6" s="106" t="n"/>
      <c r="O6" s="73" t="n"/>
      <c r="P6" s="73" t="n"/>
      <c r="T6" s="114" t="inlineStr">
        <is>
          <t>Cmp1</t>
        </is>
      </c>
      <c r="U6" s="115" t="inlineStr">
        <is>
          <t>Cmp2</t>
        </is>
      </c>
      <c r="V6" s="115" t="inlineStr">
        <is>
          <t>Cmp3</t>
        </is>
      </c>
      <c r="W6" s="116" t="inlineStr">
        <is>
          <t>Cmp4</t>
        </is>
      </c>
      <c r="X6" s="115" t="inlineStr">
        <is>
          <t>Min</t>
        </is>
      </c>
      <c r="Y6" s="117" t="inlineStr">
        <is>
          <t>Max</t>
        </is>
      </c>
      <c r="AA6" s="118" t="inlineStr">
        <is>
          <t>Range</t>
        </is>
      </c>
      <c r="AB6" s="119" t="inlineStr">
        <is>
          <t>Avg</t>
        </is>
      </c>
    </row>
    <row r="7" ht="12.75" customHeight="1" s="1449">
      <c r="D7" s="70" t="inlineStr">
        <is>
          <t>Year Operations</t>
        </is>
      </c>
      <c r="E7" s="80" t="n">
        <v>2016</v>
      </c>
      <c r="F7" s="255" t="n">
        <v>2019</v>
      </c>
      <c r="G7" s="72" t="n"/>
      <c r="H7" s="80" t="n">
        <v>2016</v>
      </c>
      <c r="I7" s="255" t="n">
        <v>2020</v>
      </c>
      <c r="J7" s="71" t="n"/>
      <c r="K7" s="80" t="n">
        <v>2016</v>
      </c>
      <c r="L7" s="255" t="n">
        <v>2020</v>
      </c>
      <c r="M7" s="71" t="n"/>
      <c r="N7" s="105" t="n">
        <v>2016</v>
      </c>
      <c r="O7" s="71" t="n"/>
      <c r="P7" s="71" t="n"/>
      <c r="T7" s="2170" t="n"/>
      <c r="U7" s="2170" t="n"/>
      <c r="V7" s="2170" t="n"/>
      <c r="W7" s="2171" t="n"/>
      <c r="X7" s="2172" t="n"/>
      <c r="Y7" s="2173" t="n"/>
      <c r="AA7" s="124" t="n"/>
      <c r="AB7" s="2174" t="n"/>
    </row>
    <row r="8" ht="12.75" customHeight="1" s="1449">
      <c r="D8" s="81" t="inlineStr">
        <is>
          <t>Occupancy</t>
        </is>
      </c>
      <c r="E8" s="82" t="n">
        <v>1</v>
      </c>
      <c r="F8" s="257" t="n">
        <v>1</v>
      </c>
      <c r="G8" s="84" t="n"/>
      <c r="H8" s="82" t="n">
        <v>1</v>
      </c>
      <c r="I8" s="257" t="n">
        <v>1</v>
      </c>
      <c r="J8" s="83" t="n"/>
      <c r="K8" s="82" t="n">
        <v>1</v>
      </c>
      <c r="L8" s="257" t="n">
        <v>1</v>
      </c>
      <c r="M8" s="83" t="n"/>
      <c r="N8" s="107" t="n">
        <v>1</v>
      </c>
      <c r="O8" s="83" t="n"/>
      <c r="P8" s="83" t="n"/>
      <c r="T8" s="43" t="n"/>
      <c r="U8" s="43" t="n"/>
      <c r="V8" s="43" t="n"/>
      <c r="W8" s="126" t="n"/>
      <c r="X8" s="43" t="n"/>
      <c r="Y8" s="43" t="n"/>
      <c r="AA8" s="127" t="n"/>
      <c r="AB8" s="128" t="n"/>
    </row>
    <row r="9" ht="12.75" customHeight="1" s="1449">
      <c r="D9" s="261" t="inlineStr">
        <is>
          <t>Expenses</t>
        </is>
      </c>
      <c r="E9" s="251" t="n"/>
      <c r="F9" s="262" t="n"/>
      <c r="G9" s="75" t="n"/>
      <c r="H9" s="76" t="n"/>
      <c r="I9" s="2175" t="n"/>
      <c r="J9" s="250" t="n"/>
      <c r="K9" s="251" t="n"/>
      <c r="L9" s="262" t="n"/>
      <c r="M9" s="250" t="n"/>
      <c r="N9" s="77" t="n"/>
      <c r="O9" s="2134" t="n"/>
      <c r="P9" s="1563" t="n"/>
      <c r="T9" s="43" t="n"/>
      <c r="U9" s="43" t="n"/>
      <c r="V9" s="43" t="n"/>
      <c r="W9" s="126" t="n"/>
      <c r="X9" s="43" t="n"/>
      <c r="Y9" s="43" t="n"/>
      <c r="AA9" s="127" t="n"/>
      <c r="AB9" s="128" t="n"/>
    </row>
    <row r="10" ht="12.75" customHeight="1" s="1449">
      <c r="D10" s="166" t="inlineStr">
        <is>
          <t>Real Estate Taxes</t>
        </is>
      </c>
      <c r="E10" s="2176" t="n"/>
      <c r="F10" s="2177" t="n"/>
      <c r="G10" s="75" t="n"/>
      <c r="H10" s="2178" t="n"/>
      <c r="I10" s="2179" t="n"/>
      <c r="J10" s="253" t="n"/>
      <c r="K10" s="2176" t="n"/>
      <c r="L10" s="2177" t="n"/>
      <c r="M10" s="250" t="n"/>
      <c r="N10" s="2180" t="n"/>
      <c r="O10" s="2181">
        <f>N10/N6</f>
        <v/>
      </c>
      <c r="P10" s="93" t="n"/>
      <c r="Q10" s="1757">
        <f>AVERAGE(F10,I10,L10)</f>
        <v/>
      </c>
      <c r="T10" s="113">
        <f>F10</f>
        <v/>
      </c>
      <c r="U10" s="113">
        <f>I10</f>
        <v/>
      </c>
      <c r="V10" s="113">
        <f>L10</f>
        <v/>
      </c>
      <c r="W10" s="129">
        <f>IF(ISERROR(Q24),"",IF(Q24=0,"",Q24))</f>
        <v/>
      </c>
      <c r="X10" s="113">
        <f>MIN(T10:W10)</f>
        <v/>
      </c>
      <c r="Y10" s="113">
        <f>MAX(T10:W10)</f>
        <v/>
      </c>
      <c r="AA10" s="2182">
        <f>IF(X10=Y10,TEXT(X10,"$0.00;;-"),CONCATENATE(TEXT(X10,"$0.00;;-"),"–",TEXT(Y10,"$0.00;;-")))</f>
        <v/>
      </c>
      <c r="AB10" s="2183">
        <f>AVERAGE(T10:W10)</f>
        <v/>
      </c>
    </row>
    <row r="11" ht="12.75" customHeight="1" s="1449">
      <c r="D11" s="166" t="inlineStr">
        <is>
          <t>Insurance</t>
        </is>
      </c>
      <c r="E11" s="2176" t="n"/>
      <c r="F11" s="2177" t="n"/>
      <c r="G11" s="75" t="n"/>
      <c r="H11" s="2178" t="n"/>
      <c r="I11" s="2179" t="n"/>
      <c r="J11" s="253" t="n"/>
      <c r="K11" s="2176" t="n"/>
      <c r="L11" s="2177" t="n"/>
      <c r="M11" s="250" t="n"/>
      <c r="N11" s="2180" t="n"/>
      <c r="O11" s="2181">
        <f>N11/N6</f>
        <v/>
      </c>
      <c r="P11" s="93" t="n"/>
      <c r="Q11" s="1757">
        <f>AVERAGE(F11,I11,L11)</f>
        <v/>
      </c>
      <c r="T11" s="113">
        <f>F11</f>
        <v/>
      </c>
      <c r="U11" s="113">
        <f>I11</f>
        <v/>
      </c>
      <c r="V11" s="113">
        <f>L11</f>
        <v/>
      </c>
      <c r="W11" s="129">
        <f>IF(ISERROR(Q25),"",IF(Q25=0,"",Q25))</f>
        <v/>
      </c>
      <c r="X11" s="113">
        <f>MIN(T11:W11)</f>
        <v/>
      </c>
      <c r="Y11" s="113">
        <f>MAX(T11:W11)</f>
        <v/>
      </c>
      <c r="AA11" s="127">
        <f>IF(X11=Y11,TEXT(X11,"$0.00;;-"),CONCATENATE(TEXT(X11,"$0.00;;-"),"–",TEXT(Y11,"$0.00;;-")))</f>
        <v/>
      </c>
      <c r="AB11" s="2183">
        <f>AVERAGE(T11:W11)</f>
        <v/>
      </c>
    </row>
    <row r="12" ht="12.75" customHeight="1" s="1449">
      <c r="D12" s="166" t="inlineStr">
        <is>
          <t>Utilities</t>
        </is>
      </c>
      <c r="E12" s="2176" t="n"/>
      <c r="F12" s="2177" t="n"/>
      <c r="G12" s="75" t="n"/>
      <c r="H12" s="2178" t="n"/>
      <c r="I12" s="2179" t="n"/>
      <c r="J12" s="253" t="n"/>
      <c r="K12" s="2176" t="n"/>
      <c r="L12" s="2177" t="n"/>
      <c r="M12" s="250" t="n"/>
      <c r="N12" s="2180" t="n"/>
      <c r="O12" s="2181">
        <f>N12/N6</f>
        <v/>
      </c>
      <c r="P12" s="93" t="n"/>
      <c r="T12" s="113">
        <f>F12</f>
        <v/>
      </c>
      <c r="U12" s="113">
        <f>I12</f>
        <v/>
      </c>
      <c r="V12" s="113">
        <f>L12</f>
        <v/>
      </c>
      <c r="W12" s="129">
        <f>IF(ISERROR(Q26),"",IF(Q26=0,"",Q26))</f>
        <v/>
      </c>
      <c r="X12" s="113">
        <f>MIN(T12:W12)</f>
        <v/>
      </c>
      <c r="Y12" s="113">
        <f>MAX(T12:W12)</f>
        <v/>
      </c>
      <c r="AA12" s="127">
        <f>IF(X12=Y12,TEXT(X12,"$0.00;;-"),CONCATENATE(TEXT(X12,"$0.00;;-"),"–",TEXT(Y12,"$0.00;;-")))</f>
        <v/>
      </c>
      <c r="AB12" s="2183">
        <f>AVERAGE(T12:W12)</f>
        <v/>
      </c>
    </row>
    <row r="13" ht="12.75" customHeight="1" s="1449">
      <c r="D13" s="166" t="inlineStr">
        <is>
          <t>CAM Repairs and Maintenace</t>
        </is>
      </c>
      <c r="E13" s="2176" t="n"/>
      <c r="F13" s="2177" t="n"/>
      <c r="G13" s="75" t="n"/>
      <c r="H13" s="2178" t="n"/>
      <c r="I13" s="2179" t="n"/>
      <c r="J13" s="253" t="n"/>
      <c r="K13" s="2176" t="n"/>
      <c r="L13" s="2177" t="n"/>
      <c r="M13" s="250" t="n"/>
      <c r="N13" s="2180" t="n"/>
      <c r="O13" s="2181">
        <f>N13/N6</f>
        <v/>
      </c>
      <c r="P13" s="93" t="n"/>
      <c r="T13" s="113">
        <f>F13</f>
        <v/>
      </c>
      <c r="U13" s="113">
        <f>I13</f>
        <v/>
      </c>
      <c r="V13" s="113">
        <f>L13</f>
        <v/>
      </c>
      <c r="W13" s="129">
        <f>IF(ISERROR(Q27),"",IF(Q27=0,"",Q27))</f>
        <v/>
      </c>
      <c r="X13" s="113">
        <f>MIN(T13:W13)</f>
        <v/>
      </c>
      <c r="Y13" s="113">
        <f>MAX(T13:W13)</f>
        <v/>
      </c>
      <c r="AA13" s="127">
        <f>IF(X13=Y13,TEXT(X13,"$0.00;;-"),CONCATENATE(TEXT(X13,"$0.00;;-"),"–",TEXT(Y13,"$0.00;;-")))</f>
        <v/>
      </c>
      <c r="AB13" s="2183">
        <f>AVERAGE(T13:W13)</f>
        <v/>
      </c>
    </row>
    <row r="14" hidden="1" ht="12.75" customHeight="1" s="1449">
      <c r="D14" s="166" t="inlineStr">
        <is>
          <t>Administrative and General</t>
        </is>
      </c>
      <c r="E14" s="2176" t="n"/>
      <c r="F14" s="2177" t="n"/>
      <c r="G14" s="75" t="n"/>
      <c r="H14" s="2178" t="n"/>
      <c r="I14" s="2179" t="n"/>
      <c r="J14" s="253" t="n"/>
      <c r="K14" s="2176" t="n"/>
      <c r="L14" s="2177" t="n"/>
      <c r="M14" s="250" t="n"/>
      <c r="N14" s="2180" t="n"/>
      <c r="O14" s="2181">
        <f>N14/N6</f>
        <v/>
      </c>
      <c r="P14" s="93" t="n"/>
      <c r="T14" s="113">
        <f>F14</f>
        <v/>
      </c>
      <c r="U14" s="113">
        <f>I14</f>
        <v/>
      </c>
      <c r="V14" s="113">
        <f>L14</f>
        <v/>
      </c>
      <c r="W14" s="129">
        <f>IF(ISERROR(Q28),"",IF(Q28=0,"",Q28))</f>
        <v/>
      </c>
      <c r="X14" s="113">
        <f>MIN(T14:W14)</f>
        <v/>
      </c>
      <c r="Y14" s="113">
        <f>MAX(T14:W14)</f>
        <v/>
      </c>
      <c r="AA14" s="127">
        <f>IF(X14=Y14,TEXT(X14,"$0.00;;-"),CONCATENATE(TEXT(X14,"$0.00;;-"),"–",TEXT(Y14,"$0.00;;-")))</f>
        <v/>
      </c>
      <c r="AB14" s="2183">
        <f>AVERAGE(T14:W14)</f>
        <v/>
      </c>
    </row>
    <row r="15" ht="12.75" customHeight="1" s="1449">
      <c r="D15" s="166" t="inlineStr">
        <is>
          <t>Management</t>
        </is>
      </c>
      <c r="E15" s="2176" t="n"/>
      <c r="F15" s="2177" t="n"/>
      <c r="G15" s="75" t="n"/>
      <c r="H15" s="2178" t="n"/>
      <c r="I15" s="2179" t="n"/>
      <c r="J15" s="253" t="n"/>
      <c r="K15" s="2176" t="n"/>
      <c r="L15" s="2177" t="n"/>
      <c r="M15" s="250" t="n"/>
      <c r="N15" s="2180" t="n"/>
      <c r="O15" s="2181">
        <f>N15/N6</f>
        <v/>
      </c>
      <c r="P15" s="93" t="n"/>
      <c r="T15" s="113">
        <f>F15</f>
        <v/>
      </c>
      <c r="U15" s="113">
        <f>I15</f>
        <v/>
      </c>
      <c r="V15" s="113">
        <f>L15</f>
        <v/>
      </c>
      <c r="W15" s="129">
        <f>IF(ISERROR(Q29),"",IF(Q29=0,"",Q29))</f>
        <v/>
      </c>
      <c r="X15" s="113">
        <f>MIN(T15:W15)</f>
        <v/>
      </c>
      <c r="Y15" s="113">
        <f>MAX(T15:W15)</f>
        <v/>
      </c>
      <c r="AA15" s="127">
        <f>IF(X15=Y15,TEXT(X15,"$0.00;;-"),CONCATENATE(TEXT(X15,"$0.00;;-"),"–",TEXT(Y15,"$0.00;;-")))</f>
        <v/>
      </c>
      <c r="AB15" s="2183">
        <f>AVERAGE(T15:W15)</f>
        <v/>
      </c>
    </row>
    <row r="16" hidden="1" ht="12.75" customHeight="1" s="1449">
      <c r="D16" s="24" t="inlineStr">
        <is>
          <t>Replacement Reserves</t>
        </is>
      </c>
      <c r="E16" s="2178" t="n"/>
      <c r="F16" s="2134" t="n"/>
      <c r="G16" s="75" t="n"/>
      <c r="H16" s="2178" t="n"/>
      <c r="I16" s="2181" t="n"/>
      <c r="J16" s="93" t="n"/>
      <c r="K16" s="2178" t="n"/>
      <c r="L16" s="2134" t="n"/>
      <c r="M16" s="1563" t="n"/>
      <c r="N16" s="2180" t="n"/>
      <c r="O16" s="2181">
        <f>N16/N6</f>
        <v/>
      </c>
      <c r="P16" s="93" t="n"/>
      <c r="T16" s="113">
        <f>F16</f>
        <v/>
      </c>
      <c r="U16" s="113">
        <f>I16</f>
        <v/>
      </c>
      <c r="V16" s="113">
        <f>I16</f>
        <v/>
      </c>
      <c r="W16" s="129">
        <f>IF(ISERROR(Q30),"",IF(Q30=0,"",Q30))</f>
        <v/>
      </c>
      <c r="X16" s="113">
        <f>MIN(T16:W16)</f>
        <v/>
      </c>
      <c r="Y16" s="113">
        <f>MAX(T16:W16)</f>
        <v/>
      </c>
      <c r="AA16" s="127">
        <f>IF(X16=Y16,TEXT(X16,"$0.00;;-"),CONCATENATE(TEXT(X16,"$0.00;;-"),"–",TEXT(Y16,"$0.00;;-")))</f>
        <v/>
      </c>
      <c r="AB16" s="2183">
        <f>AVERAGE(T16:W16)</f>
        <v/>
      </c>
    </row>
    <row r="17" ht="12.75" customHeight="1" s="1449">
      <c r="D17" s="109" t="inlineStr">
        <is>
          <t>Total Expenses</t>
        </is>
      </c>
      <c r="E17" s="2184">
        <f>SUM(E10:E16)</f>
        <v/>
      </c>
      <c r="F17" s="2185">
        <f>SUM(F10:F15)</f>
        <v/>
      </c>
      <c r="G17" s="259" t="n"/>
      <c r="H17" s="2186">
        <f>SUM(H10:H16)</f>
        <v/>
      </c>
      <c r="I17" s="2185">
        <f>SUM(I10:I15)</f>
        <v/>
      </c>
      <c r="J17" s="111" t="n"/>
      <c r="K17" s="2184">
        <f>SUM(K10:K16)</f>
        <v/>
      </c>
      <c r="L17" s="2185">
        <f>SUM(L9:L15)</f>
        <v/>
      </c>
      <c r="M17" s="111" t="n"/>
      <c r="N17" s="2187">
        <f>SUM(N10:N16)</f>
        <v/>
      </c>
      <c r="O17" s="2168">
        <f>N17/N6</f>
        <v/>
      </c>
      <c r="P17" s="79" t="n"/>
      <c r="T17" s="113">
        <f>F17</f>
        <v/>
      </c>
      <c r="U17" s="113">
        <f>I17</f>
        <v/>
      </c>
      <c r="V17" s="113">
        <f>L17</f>
        <v/>
      </c>
      <c r="W17" s="129">
        <f>IF(ISERROR(Q31),"",IF(Q31=0,"",Q31))</f>
        <v/>
      </c>
      <c r="X17" s="113">
        <f>MIN(T17:W17)</f>
        <v/>
      </c>
      <c r="Y17" s="113">
        <f>MAX(T17:W17)</f>
        <v/>
      </c>
      <c r="AA17" s="127">
        <f>IF(X17=Y17,TEXT(X17,"$0.00;;-"),CONCATENATE(TEXT(X17,"$0.00;;-"),"–",TEXT(Y17,"$0.00;;-")))</f>
        <v/>
      </c>
      <c r="AB17" s="2183">
        <f>AVERAGE(T17:W17)</f>
        <v/>
      </c>
    </row>
    <row r="18">
      <c r="T18" s="113">
        <f>IF(H32=0,"",H32)</f>
        <v/>
      </c>
      <c r="U18" s="113">
        <f>IF(K32=0,"",K32)</f>
        <v/>
      </c>
      <c r="V18" s="113">
        <f>IF(N32=0,"",N32)</f>
        <v/>
      </c>
      <c r="W18" s="129">
        <f>IF(ISERROR(Q32),"",IF(Q32=0,"",Q32))</f>
        <v/>
      </c>
      <c r="X18" s="113">
        <f>MIN(T18:W18)</f>
        <v/>
      </c>
      <c r="Y18" s="113">
        <f>MAX(T18:W18)</f>
        <v/>
      </c>
      <c r="AA18" s="127">
        <f>IF(X18=Y18,TEXT(X18,"$0.00;;-"),CONCATENATE(TEXT(X18,"$0.00;;-"),"–",TEXT(Y18,"$0.00;;-")))</f>
        <v/>
      </c>
      <c r="AB18" s="2183">
        <f>AVERAGE(T18:W18)</f>
        <v/>
      </c>
    </row>
    <row r="19">
      <c r="T19" s="113">
        <f>IF(H33=0,"",H33)</f>
        <v/>
      </c>
      <c r="U19" s="113">
        <f>IF(K33=0,"",K33)</f>
        <v/>
      </c>
      <c r="V19" s="113">
        <f>IF(N33=0,"",N33)</f>
        <v/>
      </c>
      <c r="W19" s="129">
        <f>IF(ISERROR(Q33),"",IF(Q33=0,"",Q33))</f>
        <v/>
      </c>
      <c r="X19" s="113">
        <f>MIN(T19:W19)</f>
        <v/>
      </c>
      <c r="Y19" s="113">
        <f>MAX(T19:W19)</f>
        <v/>
      </c>
      <c r="AA19" s="127">
        <f>IF(X19=Y19,TEXT(X19,"$0.00;;-"),CONCATENATE(TEXT(X19,"$0.00;;-"),"–",TEXT(Y19,"$0.00;;-")))</f>
        <v/>
      </c>
      <c r="AB19" s="2183">
        <f>AVERAGE(T19:W19)</f>
        <v/>
      </c>
    </row>
    <row r="20">
      <c r="T20" s="113">
        <f>IF(H34=0,"",H34)</f>
        <v/>
      </c>
      <c r="U20" s="113">
        <f>IF(K34=0,"",K34)</f>
        <v/>
      </c>
      <c r="V20" s="113">
        <f>IF(N34=0,"",N34)</f>
        <v/>
      </c>
      <c r="W20" s="129">
        <f>IF(ISERROR(Q34),"",IF(Q34=0,"",Q34))</f>
        <v/>
      </c>
      <c r="X20" s="113">
        <f>MIN(T20:W20)</f>
        <v/>
      </c>
      <c r="Y20" s="113">
        <f>MAX(T20:W20)</f>
        <v/>
      </c>
      <c r="AA20" s="127">
        <f>IF(X20=Y20,TEXT(X20,"$0.00;;-"),CONCATENATE(TEXT(X20,"$0.00;;-"),"–",TEXT(Y20,"$0.00;;-")))</f>
        <v/>
      </c>
      <c r="AB20" s="2183">
        <f>AVERAGE(T20:W20)</f>
        <v/>
      </c>
    </row>
    <row r="21">
      <c r="T21" s="113">
        <f>IF(H35=0,"",H35)</f>
        <v/>
      </c>
      <c r="U21" s="113">
        <f>IF(K35=0,"",K35)</f>
        <v/>
      </c>
      <c r="V21" s="113">
        <f>IF(N35=0,"",N35)</f>
        <v/>
      </c>
      <c r="W21" s="129">
        <f>IF(ISERROR(Q35),"",IF(Q35=0,"",Q35))</f>
        <v/>
      </c>
      <c r="X21" s="113">
        <f>MIN(T21:W21)</f>
        <v/>
      </c>
      <c r="Y21" s="113">
        <f>MAX(T21:W21)</f>
        <v/>
      </c>
      <c r="AA21" s="127">
        <f>IF(X21=Y21,TEXT(X21,"$0.00;;-"),CONCATENATE(TEXT(X21,"$0.00;;-"),"–",TEXT(Y21,"$0.00;;-")))</f>
        <v/>
      </c>
      <c r="AB21" s="2183">
        <f>AVERAGE(T21:W21)</f>
        <v/>
      </c>
    </row>
    <row r="22">
      <c r="T22" s="113">
        <f>IF(H36=0,"",H36)</f>
        <v/>
      </c>
      <c r="U22" s="113">
        <f>IF(K36=0,"",K36)</f>
        <v/>
      </c>
      <c r="V22" s="113">
        <f>IF(N36=0,"",N36)</f>
        <v/>
      </c>
      <c r="W22" s="129">
        <f>IF(ISERROR(Q36),"",IF(Q36=0,"",Q36))</f>
        <v/>
      </c>
      <c r="X22" s="113">
        <f>MIN(T22:W22)</f>
        <v/>
      </c>
      <c r="Y22" s="113">
        <f>MAX(T22:W22)</f>
        <v/>
      </c>
      <c r="AA22" s="127">
        <f>IF(X22=Y22,TEXT(X22,"$0.00;;-"),CONCATENATE(TEXT(X22,"$0.00;;-"),"–",TEXT(Y22,"$0.00;;-")))</f>
        <v/>
      </c>
      <c r="AB22" s="2183">
        <f>AVERAGE(T22:W22)</f>
        <v/>
      </c>
    </row>
    <row r="23">
      <c r="T23" s="113">
        <f>IF(H37=0,"",H37)</f>
        <v/>
      </c>
      <c r="U23" s="113">
        <f>IF(K37=0,"",K37)</f>
        <v/>
      </c>
      <c r="V23" s="113">
        <f>IF(N37=0,"",N37)</f>
        <v/>
      </c>
      <c r="W23" s="129">
        <f>IF(ISERROR(Q37),"",IF(Q37=0,"",Q37))</f>
        <v/>
      </c>
      <c r="X23" s="113">
        <f>MIN(T23:W23)</f>
        <v/>
      </c>
      <c r="Y23" s="113">
        <f>MAX(T23:W23)</f>
        <v/>
      </c>
      <c r="AA23" s="127">
        <f>IF(X23=Y23,TEXT(X23,"$0.00;;-"),CONCATENATE(TEXT(X23,"$0.00;;-"),"–",TEXT(Y23,"$0.00;;-")))</f>
        <v/>
      </c>
      <c r="AB23" s="2183">
        <f>AVERAGE(T23:W23)</f>
        <v/>
      </c>
    </row>
    <row r="24">
      <c r="T24" s="113">
        <f>IF(H38=0,"",H38)</f>
        <v/>
      </c>
      <c r="U24" s="113">
        <f>IF(K38=0,"",K38)</f>
        <v/>
      </c>
      <c r="V24" s="113">
        <f>IF(N38=0,"",N38)</f>
        <v/>
      </c>
      <c r="W24" s="129">
        <f>IF(ISERROR(Q38),"",IF(Q38=0,"",Q38))</f>
        <v/>
      </c>
      <c r="X24" s="113">
        <f>MIN(T24:W24)</f>
        <v/>
      </c>
      <c r="Y24" s="113">
        <f>MAX(T24:W24)</f>
        <v/>
      </c>
      <c r="Z24" s="132" t="n"/>
      <c r="AA24" s="127">
        <f>IF(X24=Y24,TEXT(X24,"$0.00;;-"),CONCATENATE(TEXT(X24,"$0.00;;-"),"–",TEXT(Y24,"$0.00;;-")))</f>
        <v/>
      </c>
      <c r="AB24" s="2183">
        <f>AVERAGE(T24:W24)</f>
        <v/>
      </c>
    </row>
    <row r="25" ht="15.75" customHeight="1" s="1449" thickBot="1">
      <c r="T25" s="113">
        <f>IF(H39=0,"",H39)</f>
        <v/>
      </c>
      <c r="U25" s="113">
        <f>IF(K39=0,"",K39)</f>
        <v/>
      </c>
      <c r="V25" s="113">
        <f>IF(N39=0,"",N39)</f>
        <v/>
      </c>
      <c r="W25" s="129">
        <f>IF(Q39=0,"",Q39)</f>
        <v/>
      </c>
      <c r="X25" s="113">
        <f>MIN(T25:W25)</f>
        <v/>
      </c>
      <c r="Y25" s="113">
        <f>MAX(T25:W25)</f>
        <v/>
      </c>
      <c r="AA25" s="133">
        <f>IF(X25=Y25,TEXT(X25,"$0.00;;-"),CONCATENATE(TEXT(X25,"$0.00;;-"),"–",TEXT(Y25,"$0.00;;-")))</f>
        <v/>
      </c>
      <c r="AB25" s="2188">
        <f>AVERAGE(T25:W25)</f>
        <v/>
      </c>
    </row>
    <row r="26">
      <c r="T26" s="135">
        <f>IF(I38=0,"",I38)</f>
        <v/>
      </c>
      <c r="U26" s="135">
        <f>IF(L38=0,"",L38)</f>
        <v/>
      </c>
      <c r="V26" s="135">
        <f>IF(O38=0,"",O38)</f>
        <v/>
      </c>
      <c r="W26" s="135">
        <f>IF(R38=0,"",R38)</f>
        <v/>
      </c>
      <c r="X26" s="135">
        <f>MIN(T26:W26)</f>
        <v/>
      </c>
      <c r="Y26" s="135">
        <f>MAX(T26:W26)</f>
        <v/>
      </c>
      <c r="AA26" s="136">
        <f>IF(X26=Y26,TEXT(X26,"0%;-"),CONCATENATE(TEXT(X26,"0%;-"),"–",TEXT(Y26,"0%;-")))</f>
        <v/>
      </c>
    </row>
    <row r="27" ht="15.75" customHeight="1" s="1449" thickBot="1">
      <c r="AA27" s="137" t="n"/>
      <c r="AB27" s="137" t="n"/>
    </row>
    <row r="28">
      <c r="T28" s="43">
        <f>G42</f>
        <v/>
      </c>
      <c r="U28" s="43">
        <f>J42</f>
        <v/>
      </c>
      <c r="V28" s="43">
        <f>M42</f>
        <v/>
      </c>
      <c r="W28" s="43">
        <f>P42</f>
        <v/>
      </c>
      <c r="X28" s="43">
        <f>MIN(T28:W28)</f>
        <v/>
      </c>
      <c r="Y28" s="43">
        <f>MAX(T28:W28)</f>
        <v/>
      </c>
      <c r="AA28" s="138">
        <f>IF(X28=Y28,TEXT(X28,"$#,##0"),CONCATENATE(TEXT(X28,"$#,##0"),"–",TEXT(Y28,"$#,##0")))</f>
        <v/>
      </c>
      <c r="AB28" s="139">
        <f>IF(SUM(T28:W28)=0,0,ROUND(AVERAGE(T28:W28),0))</f>
        <v/>
      </c>
    </row>
    <row r="29">
      <c r="T29" s="113">
        <f>G43</f>
        <v/>
      </c>
      <c r="U29" s="113">
        <f>J43</f>
        <v/>
      </c>
      <c r="V29" s="113">
        <f>M43</f>
        <v/>
      </c>
      <c r="W29" s="113">
        <f>P43</f>
        <v/>
      </c>
      <c r="X29" s="113">
        <f>MIN(T29:W29)</f>
        <v/>
      </c>
      <c r="Y29" s="113">
        <f>MAX(T29:W29)</f>
        <v/>
      </c>
      <c r="AA29" s="2189">
        <f>IF(X29=Y29,TEXT(X29,"$0.00;;-"),CONCATENATE(TEXT(X29,"$0.00;;-"),"–",TEXT(Y29,"$0.00;;-")))</f>
        <v/>
      </c>
      <c r="AB29" s="141">
        <f>IF(SUM(T29:W29)=0,0,ROUND(AVERAGE(T29:W29),2))</f>
        <v/>
      </c>
    </row>
    <row r="30" ht="15.75" customHeight="1" s="1449" thickBot="1">
      <c r="T30" s="135">
        <f>G44</f>
        <v/>
      </c>
      <c r="U30" s="135">
        <f>J44</f>
        <v/>
      </c>
      <c r="V30" s="135">
        <f>M44</f>
        <v/>
      </c>
      <c r="W30" s="135">
        <f>P44</f>
        <v/>
      </c>
      <c r="X30" s="135">
        <f>MIN(T30:W30)</f>
        <v/>
      </c>
      <c r="Y30" s="135">
        <f>MAX(T30:W30)</f>
        <v/>
      </c>
      <c r="AA30" s="2190">
        <f>IF(X30=Y30,TEXT(X30,"0%;-"),CONCATENATE(TEXT(X30,"0%;-"),"–",TEXT(Y30,"0%;-")))</f>
        <v/>
      </c>
      <c r="AB30" s="143">
        <f>IF(SUM(T30:W30)=0,0,ROUND(AVERAGE(T30:W30),3))</f>
        <v/>
      </c>
    </row>
    <row r="45">
      <c r="T45" s="135" t="n"/>
      <c r="U45" s="135" t="n"/>
      <c r="V45" s="135" t="n"/>
      <c r="W45" s="135" t="n"/>
      <c r="X45" s="135" t="n"/>
      <c r="Y45" s="135" t="n"/>
      <c r="AA45" s="2191" t="n"/>
      <c r="AB45" s="2192" t="n"/>
    </row>
  </sheetData>
  <mergeCells count="5">
    <mergeCell ref="E3:G3"/>
    <mergeCell ref="K3:M3"/>
    <mergeCell ref="H3:J3"/>
    <mergeCell ref="N3:P3"/>
    <mergeCell ref="D2:P2"/>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C2:O34"/>
  <sheetViews>
    <sheetView showGridLines="0" zoomScale="160" zoomScaleNormal="160" workbookViewId="0">
      <selection activeCell="N9" sqref="N9"/>
    </sheetView>
  </sheetViews>
  <sheetFormatPr baseColWidth="8" defaultRowHeight="15"/>
  <cols>
    <col width="28.5703125" customWidth="1" style="1449" min="5" max="5"/>
    <col width="10.7109375" customWidth="1" style="1449" min="6" max="7"/>
    <col hidden="1" width="10.140625" customWidth="1" style="1449" min="8" max="8"/>
    <col hidden="1" width="13" customWidth="1" style="1449" min="9" max="9"/>
    <col width="9.85546875" bestFit="1" customWidth="1" style="1449" min="10" max="10"/>
    <col hidden="1" width="40" customWidth="1" style="1449" min="11" max="11"/>
    <col hidden="1" width="13" customWidth="1" style="1449" min="15" max="15"/>
  </cols>
  <sheetData>
    <row r="2" ht="15.75" customHeight="1" s="1449">
      <c r="E2" s="1653" t="inlineStr">
        <is>
          <t>OPERATING EXPENSE COMPARISON AND CONCLUSION</t>
        </is>
      </c>
      <c r="O2" s="67">
        <f>LA!C5</f>
        <v/>
      </c>
    </row>
    <row r="3">
      <c r="C3" s="67">
        <f>LA!C5</f>
        <v/>
      </c>
      <c r="E3" s="94" t="n"/>
      <c r="F3" s="95" t="inlineStr">
        <is>
          <t>Expense Comps</t>
        </is>
      </c>
      <c r="G3" s="95" t="n"/>
      <c r="H3" s="94" t="n"/>
      <c r="I3" s="94" t="n"/>
      <c r="J3" s="94" t="n"/>
      <c r="K3" s="94" t="n"/>
    </row>
    <row r="4">
      <c r="E4" s="94" t="inlineStr">
        <is>
          <t>Expense Item</t>
        </is>
      </c>
      <c r="F4" s="94" t="inlineStr">
        <is>
          <t>Range</t>
        </is>
      </c>
      <c r="G4" s="94" t="inlineStr">
        <is>
          <t>Average</t>
        </is>
      </c>
      <c r="H4" s="94" t="n">
        <v>2016</v>
      </c>
      <c r="I4" s="94" t="n">
        <v>2017</v>
      </c>
      <c r="J4" s="94" t="inlineStr">
        <is>
          <t>Forecast</t>
        </is>
      </c>
      <c r="K4" s="94" t="inlineStr">
        <is>
          <t>Comments</t>
        </is>
      </c>
    </row>
    <row r="5">
      <c r="E5" s="96" t="inlineStr">
        <is>
          <t>Real Estate Taxes</t>
        </is>
      </c>
      <c r="F5" s="2193">
        <f>CED!AA10</f>
        <v/>
      </c>
      <c r="G5" s="2194">
        <f>CED!AB10</f>
        <v/>
      </c>
      <c r="H5" s="2195">
        <f>HOA!M24</f>
        <v/>
      </c>
      <c r="I5" s="2195">
        <f>HOA!P24</f>
        <v/>
      </c>
      <c r="J5" s="2196" t="n"/>
      <c r="K5" s="2197" t="n"/>
    </row>
    <row r="6">
      <c r="E6" s="96" t="n"/>
      <c r="H6" s="2198">
        <f>H5/$O$2</f>
        <v/>
      </c>
      <c r="I6" s="2198">
        <f>I5/$O$2</f>
        <v/>
      </c>
      <c r="J6" s="2199">
        <f>J5/$O$2</f>
        <v/>
      </c>
    </row>
    <row r="7" ht="8.1" customHeight="1" s="1449">
      <c r="E7" s="96" t="n"/>
      <c r="F7" s="2200" t="n"/>
      <c r="G7" s="2195" t="n"/>
      <c r="H7" s="2195" t="n"/>
      <c r="I7" s="2195" t="n"/>
      <c r="J7" s="2201" t="n"/>
    </row>
    <row r="8">
      <c r="E8" s="96" t="inlineStr">
        <is>
          <t>Insurance</t>
        </is>
      </c>
      <c r="F8" s="2193">
        <f>CED!AA11</f>
        <v/>
      </c>
      <c r="G8" s="2194">
        <f>CED!AB11</f>
        <v/>
      </c>
      <c r="H8" s="2195">
        <f>HOA!M25</f>
        <v/>
      </c>
      <c r="I8" s="2195">
        <f>HOA!P25</f>
        <v/>
      </c>
      <c r="J8" s="2196">
        <f>J9*C3</f>
        <v/>
      </c>
      <c r="K8" s="2197" t="n"/>
    </row>
    <row r="9">
      <c r="E9" s="96" t="n"/>
      <c r="H9" s="2198">
        <f>H8/$O$2</f>
        <v/>
      </c>
      <c r="I9" s="2198">
        <f>I8/$O$2</f>
        <v/>
      </c>
      <c r="J9" s="2199" t="n"/>
    </row>
    <row r="10" ht="13.5" customHeight="1" s="1449">
      <c r="E10" s="96" t="n"/>
      <c r="F10" s="2202" t="n"/>
      <c r="G10" s="2195" t="n"/>
      <c r="H10" s="2195" t="n"/>
      <c r="I10" s="2195" t="n"/>
      <c r="J10" s="2201" t="n"/>
    </row>
    <row r="11">
      <c r="E11" s="103" t="inlineStr">
        <is>
          <t>Utilities</t>
        </is>
      </c>
      <c r="F11" s="2193">
        <f>CED!AA12</f>
        <v/>
      </c>
      <c r="G11" s="2194">
        <f>CED!AB12</f>
        <v/>
      </c>
      <c r="H11" s="2195">
        <f>HOA!M27</f>
        <v/>
      </c>
      <c r="I11" s="2195">
        <f>HOA!P27</f>
        <v/>
      </c>
      <c r="J11" s="2196">
        <f>J12*C3</f>
        <v/>
      </c>
      <c r="K11" s="2203" t="n"/>
    </row>
    <row r="12">
      <c r="E12" s="103" t="n"/>
      <c r="H12" s="2198">
        <f>H11/$O$2</f>
        <v/>
      </c>
      <c r="I12" s="2198">
        <f>I11/$O$2</f>
        <v/>
      </c>
      <c r="J12" s="2199" t="n"/>
    </row>
    <row r="13" ht="11.25" customHeight="1" s="1449">
      <c r="E13" s="103" t="n"/>
      <c r="F13" s="101" t="n"/>
      <c r="G13" s="2204" t="n"/>
      <c r="H13" s="2204" t="n"/>
      <c r="I13" s="2204" t="n"/>
      <c r="J13" s="2201" t="n"/>
    </row>
    <row r="14">
      <c r="E14" s="103" t="inlineStr">
        <is>
          <t>CAM Repairs and Maintenance</t>
        </is>
      </c>
      <c r="F14" s="2193">
        <f>CED!AA13</f>
        <v/>
      </c>
      <c r="G14" s="2194">
        <f>CED!AB13</f>
        <v/>
      </c>
      <c r="H14" s="2205">
        <f>HOA!M28</f>
        <v/>
      </c>
      <c r="I14" s="2205">
        <f>HOA!P28</f>
        <v/>
      </c>
      <c r="J14" s="2196">
        <f>J15*C3</f>
        <v/>
      </c>
      <c r="K14" s="2203" t="n"/>
    </row>
    <row r="15">
      <c r="E15" s="103" t="n"/>
      <c r="H15" s="2206">
        <f>H14/$O$2</f>
        <v/>
      </c>
      <c r="I15" s="2206">
        <f>I14/$O$2</f>
        <v/>
      </c>
      <c r="J15" s="2199" t="n"/>
    </row>
    <row r="16" ht="10.5" customHeight="1" s="1449">
      <c r="E16" s="103" t="n"/>
      <c r="F16" s="101" t="n"/>
      <c r="G16" s="2204" t="n"/>
      <c r="H16" s="2207" t="n"/>
      <c r="I16" s="2207" t="n"/>
      <c r="J16" s="2201" t="n"/>
    </row>
    <row r="17">
      <c r="E17" s="103" t="inlineStr">
        <is>
          <t>Management</t>
        </is>
      </c>
      <c r="F17" s="2204" t="inlineStr">
        <is>
          <t>N/R</t>
        </is>
      </c>
      <c r="G17" s="2200" t="inlineStr">
        <is>
          <t>N/R</t>
        </is>
      </c>
      <c r="H17" s="2205">
        <f>HOA!M30</f>
        <v/>
      </c>
      <c r="I17" s="2205">
        <f>HOA!P30</f>
        <v/>
      </c>
      <c r="J17" s="2196">
        <f>PF!G9*0.03</f>
        <v/>
      </c>
      <c r="K17" s="2203" t="n"/>
    </row>
    <row r="18">
      <c r="E18" s="103" t="n"/>
      <c r="H18" s="2206">
        <f>H17/$O$2</f>
        <v/>
      </c>
      <c r="I18" s="2206">
        <f>I17/$O$2</f>
        <v/>
      </c>
      <c r="J18" s="2199">
        <f>J17/C3</f>
        <v/>
      </c>
    </row>
    <row r="19" ht="10.5" customHeight="1" s="1449">
      <c r="E19" s="103" t="n"/>
      <c r="F19" s="101" t="n"/>
      <c r="G19" s="2204" t="n"/>
      <c r="H19" s="2207" t="n"/>
      <c r="I19" s="2207" t="n"/>
      <c r="J19" s="2201" t="n"/>
    </row>
    <row r="20" hidden="1" s="1449">
      <c r="E20" s="103" t="inlineStr">
        <is>
          <t>Replacement Reserves</t>
        </is>
      </c>
      <c r="H20" s="2204">
        <f>H21/NRA</f>
        <v/>
      </c>
      <c r="I20" s="2204">
        <f>I21/NRA</f>
        <v/>
      </c>
      <c r="J20" s="2208" t="n">
        <v>0</v>
      </c>
      <c r="K20" s="2209" t="n"/>
    </row>
    <row r="21" hidden="1" s="1449">
      <c r="E21" s="103" t="n"/>
      <c r="F21" s="2204" t="n">
        <v>0</v>
      </c>
      <c r="G21" s="2204" t="n">
        <v>0</v>
      </c>
      <c r="H21" s="2204" t="n">
        <v>0</v>
      </c>
      <c r="I21" s="2204" t="n">
        <v>0</v>
      </c>
      <c r="J21" s="2210">
        <f>J20/$O$2</f>
        <v/>
      </c>
    </row>
    <row r="22" hidden="1" s="1449">
      <c r="E22" s="103" t="n"/>
      <c r="F22" s="101" t="n"/>
      <c r="G22" s="2204" t="n"/>
      <c r="H22" s="2204" t="n"/>
      <c r="I22" s="2204" t="n"/>
      <c r="J22" s="2211" t="n"/>
    </row>
    <row r="23" ht="12.75" customHeight="1" s="1449">
      <c r="E23" s="153" t="inlineStr">
        <is>
          <t>Total Operating Expenses</t>
        </is>
      </c>
      <c r="F23" s="163" t="n"/>
      <c r="G23" s="2212" t="n"/>
      <c r="H23" s="2213">
        <f>SUM(H5,H8,H11,H14,#REF!,H17,H20)</f>
        <v/>
      </c>
      <c r="I23" s="2213">
        <f>SUM(I5,I8,I11,I14,#REF!,I17,I20)</f>
        <v/>
      </c>
      <c r="J23" s="2214">
        <f>SUM(J5,J8,J11,J14,J17)</f>
        <v/>
      </c>
      <c r="K23" s="2215" t="n"/>
    </row>
    <row r="24" ht="12.75" customHeight="1" s="1449">
      <c r="E24" s="158" t="inlineStr">
        <is>
          <t>Total Operating Expenses Per SF</t>
        </is>
      </c>
      <c r="F24" s="2216" t="n"/>
      <c r="G24" s="2217" t="n"/>
      <c r="H24" s="2218">
        <f>SUM(H6,H9,H12,H15,#REF!,H18,H21)</f>
        <v/>
      </c>
      <c r="I24" s="2218">
        <f>SUM(I6,I9,I12,I15,#REF!,I18,I21)</f>
        <v/>
      </c>
      <c r="J24" s="2219">
        <f>J23/C3</f>
        <v/>
      </c>
      <c r="K24" s="162" t="n"/>
    </row>
    <row r="28">
      <c r="H28" s="2093">
        <f>H17/HOA!M22</f>
        <v/>
      </c>
      <c r="I28" s="2093">
        <f>I17/HOA!P22</f>
        <v/>
      </c>
    </row>
    <row r="29">
      <c r="H29" s="151">
        <f>J23</f>
        <v/>
      </c>
    </row>
    <row r="30">
      <c r="H30" t="n">
        <v>0</v>
      </c>
    </row>
    <row r="31">
      <c r="H31" s="151">
        <f>SUM(H29:H30)</f>
        <v/>
      </c>
    </row>
    <row r="32">
      <c r="H32">
        <f>#REF!</f>
        <v/>
      </c>
    </row>
    <row r="34">
      <c r="H34" s="151">
        <f>SUM(H31:H32)</f>
        <v/>
      </c>
      <c r="I34">
        <f>J17</f>
        <v/>
      </c>
      <c r="J34" s="152">
        <f>I34/H34</f>
        <v/>
      </c>
    </row>
  </sheetData>
  <mergeCells count="17">
    <mergeCell ref="G5:G6"/>
    <mergeCell ref="G17:G18"/>
    <mergeCell ref="G8:G9"/>
    <mergeCell ref="K17:K19"/>
    <mergeCell ref="F8:F9"/>
    <mergeCell ref="F17:F18"/>
    <mergeCell ref="K11:K13"/>
    <mergeCell ref="K20:K22"/>
    <mergeCell ref="K8:K10"/>
    <mergeCell ref="K5:K7"/>
    <mergeCell ref="F5:F6"/>
    <mergeCell ref="K14:K16"/>
    <mergeCell ref="E2:K2"/>
    <mergeCell ref="F11:F12"/>
    <mergeCell ref="G11:G12"/>
    <mergeCell ref="G14:G15"/>
    <mergeCell ref="F14:F15"/>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E2:H18"/>
  <sheetViews>
    <sheetView showGridLines="0" workbookViewId="0">
      <selection activeCell="G16" sqref="G16"/>
    </sheetView>
  </sheetViews>
  <sheetFormatPr baseColWidth="8" defaultRowHeight="15"/>
  <cols>
    <col width="33.85546875" customWidth="1" style="1449" min="5" max="5"/>
    <col width="6.5703125" customWidth="1" style="1449" min="6" max="6"/>
    <col width="9.5703125" bestFit="1" customWidth="1" style="1449" min="7" max="7"/>
  </cols>
  <sheetData>
    <row r="2" ht="15.75" customHeight="1" s="1449">
      <c r="E2" s="1659" t="inlineStr">
        <is>
          <t>PRO FORMA OPERATIONS</t>
        </is>
      </c>
      <c r="F2" s="1660" t="n"/>
      <c r="G2" s="1660" t="n"/>
      <c r="H2" s="1660" t="n"/>
    </row>
    <row r="3" ht="15" customHeight="1" s="1449">
      <c r="E3" s="1" t="inlineStr">
        <is>
          <t>Income</t>
        </is>
      </c>
      <c r="F3" s="1" t="n"/>
      <c r="G3" s="167" t="inlineStr">
        <is>
          <t>$</t>
        </is>
      </c>
      <c r="H3" s="167" t="inlineStr">
        <is>
          <t>Per SF</t>
        </is>
      </c>
    </row>
    <row r="4" ht="12.75" customHeight="1" s="1449">
      <c r="E4" s="168" t="inlineStr">
        <is>
          <t>Gross Potential Rent</t>
        </is>
      </c>
      <c r="F4" s="169" t="n"/>
      <c r="G4" s="2220">
        <f>#REF!</f>
        <v/>
      </c>
      <c r="H4" s="2221">
        <f>G4/LA!C5</f>
        <v/>
      </c>
    </row>
    <row r="5" ht="12.75" customHeight="1" s="1449">
      <c r="E5" s="168" t="inlineStr">
        <is>
          <t>Expense Recoveries</t>
        </is>
      </c>
      <c r="F5" s="169" t="n"/>
      <c r="G5" s="2222" t="n">
        <v>0</v>
      </c>
      <c r="H5" s="2221">
        <f>G5/LA!C5</f>
        <v/>
      </c>
    </row>
    <row r="6" ht="12.75" customHeight="1" s="1449">
      <c r="E6" s="188" t="inlineStr">
        <is>
          <t>Total Potential Gross Income</t>
        </is>
      </c>
      <c r="F6" s="207" t="n"/>
      <c r="G6" s="2223">
        <f>SUM(G4:G5)</f>
        <v/>
      </c>
      <c r="H6" s="2224">
        <f>G6/LA!C5</f>
        <v/>
      </c>
    </row>
    <row r="7" ht="12.75" customHeight="1" s="1449">
      <c r="E7" s="168" t="inlineStr">
        <is>
          <t>Less Vacancy/Collection Loss</t>
        </is>
      </c>
      <c r="F7" s="171">
        <f>#REF!</f>
        <v/>
      </c>
      <c r="G7" s="2225">
        <f>-(F7*G6)</f>
        <v/>
      </c>
      <c r="H7" s="2221">
        <f>G7/LA!C5</f>
        <v/>
      </c>
    </row>
    <row r="8" hidden="1" ht="12.75" customHeight="1" s="1449">
      <c r="E8" s="168" t="inlineStr">
        <is>
          <t>Less Collection Loss</t>
        </is>
      </c>
      <c r="F8" s="171" t="n">
        <v>0</v>
      </c>
      <c r="G8" s="2225">
        <f>-(F8*G6)</f>
        <v/>
      </c>
      <c r="H8" s="2221">
        <f>G8/LA!C5</f>
        <v/>
      </c>
    </row>
    <row r="9" ht="12.75" customHeight="1" s="1449">
      <c r="E9" s="188" t="inlineStr">
        <is>
          <t>Effective Gross Income (EGI)</t>
        </is>
      </c>
      <c r="F9" s="207" t="n"/>
      <c r="G9" s="2223">
        <f>SUM(G6:G8)</f>
        <v/>
      </c>
      <c r="H9" s="2226">
        <f>G9/LA!C5</f>
        <v/>
      </c>
    </row>
    <row r="10" ht="15" customHeight="1" s="1449">
      <c r="E10" s="173" t="inlineStr">
        <is>
          <t xml:space="preserve">Expenses  </t>
        </is>
      </c>
      <c r="F10" s="174" t="n"/>
      <c r="G10" s="2227" t="n"/>
      <c r="H10" s="2228" t="n"/>
    </row>
    <row r="11" ht="12.75" customHeight="1" s="1449">
      <c r="E11" s="168" t="inlineStr">
        <is>
          <t>Real Estate Taxes</t>
        </is>
      </c>
      <c r="F11" s="177" t="n"/>
      <c r="G11" s="2225" t="n">
        <v>0</v>
      </c>
      <c r="H11" s="2229">
        <f>G11/LA!$C$5</f>
        <v/>
      </c>
    </row>
    <row r="12" ht="12.75" customHeight="1" s="1449">
      <c r="E12" s="168" t="inlineStr">
        <is>
          <t>Insurance</t>
        </is>
      </c>
      <c r="F12" s="177" t="n"/>
      <c r="G12" s="2225" t="n">
        <v>0</v>
      </c>
      <c r="H12" s="2229">
        <f>G12/LA!$C$5</f>
        <v/>
      </c>
    </row>
    <row r="13" ht="12.75" customHeight="1" s="1449">
      <c r="E13" s="168" t="inlineStr">
        <is>
          <t>Utilities</t>
        </is>
      </c>
      <c r="F13" s="177" t="n"/>
      <c r="G13" s="2225" t="n">
        <v>0</v>
      </c>
      <c r="H13" s="2229">
        <f>G13/LA!$C$5</f>
        <v/>
      </c>
    </row>
    <row r="14" ht="12.75" customHeight="1" s="1449">
      <c r="E14" s="168" t="inlineStr">
        <is>
          <t>CAM Repairs and Maintenance</t>
        </is>
      </c>
      <c r="F14" s="169" t="n"/>
      <c r="G14" s="2225" t="n">
        <v>0</v>
      </c>
      <c r="H14" s="2229">
        <f>G14/LA!$C$5</f>
        <v/>
      </c>
    </row>
    <row r="15" ht="12.75" customHeight="1" s="1449">
      <c r="E15" s="168" t="inlineStr">
        <is>
          <t>Management</t>
        </is>
      </c>
      <c r="F15" s="169" t="n"/>
      <c r="G15" s="2225" t="n">
        <v>0</v>
      </c>
      <c r="H15" s="2229">
        <f>G15/LA!$C$5</f>
        <v/>
      </c>
    </row>
    <row r="16" ht="12.75" customHeight="1" s="1449">
      <c r="E16" s="168" t="inlineStr">
        <is>
          <t>Replacement Reserves</t>
        </is>
      </c>
      <c r="F16" s="169" t="n"/>
      <c r="G16" s="2225">
        <f>H16*#REF!</f>
        <v/>
      </c>
      <c r="H16" s="2229" t="n">
        <v>0.25</v>
      </c>
    </row>
    <row r="17" ht="12.75" customHeight="1" s="1449">
      <c r="E17" s="170" t="inlineStr">
        <is>
          <t>Total Expenses</t>
        </is>
      </c>
      <c r="F17" s="2230">
        <f>G17/G9</f>
        <v/>
      </c>
      <c r="G17" s="2231">
        <f>SUM(G11:G16)</f>
        <v/>
      </c>
      <c r="H17" s="2232">
        <f>G17/LA!C5</f>
        <v/>
      </c>
    </row>
    <row r="18" ht="12.75" customHeight="1" s="1449">
      <c r="E18" s="188" t="inlineStr">
        <is>
          <t>Net Operating Income (NOI)</t>
        </is>
      </c>
      <c r="F18" s="207" t="n"/>
      <c r="G18" s="2223">
        <f>G9-G17</f>
        <v/>
      </c>
      <c r="H18" s="2226">
        <f>G18/LA!C5</f>
        <v/>
      </c>
    </row>
  </sheetData>
  <mergeCells count="1">
    <mergeCell ref="E2:H2"/>
  </mergeCells>
  <dataValidations count="4">
    <dataValidation sqref="F8" showDropDown="0" showInputMessage="1" showErrorMessage="1" allowBlank="1" prompt="Autopopulates from Collection Loss entered in Cell D5._x000a_"/>
    <dataValidation sqref="F7" showDropDown="0" showInputMessage="1" showErrorMessage="1" allowBlank="1" prompt="Autopopulates from Physical Vacancy entered in Cell D4._x000a_"/>
    <dataValidation sqref="G5" showDropDown="0" showInputMessage="1" showErrorMessage="1" allowBlank="1" prompt="Enter recoverable expenses amount from the relevant Expense Recoveries table on the Recoveries tab (e.g. Multi-tenant or Single-tenant)._x000a_"/>
    <dataValidation sqref="G4" showDropDown="0" showInputMessage="1" showErrorMessage="1" allowBlank="1" prompt="Gross Potential Rent default autopopulates for Multi-Tenant Properties from the RentRoll tab (Cell C13).  If you have a Single-Tenant Property, change this to pull from the STMarketRentConclusions, Gross Potential Rent (Cell C20)."/>
  </dataValidation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B2:U63"/>
  <sheetViews>
    <sheetView showGridLines="0" workbookViewId="0">
      <selection activeCell="T49" sqref="T49"/>
    </sheetView>
  </sheetViews>
  <sheetFormatPr baseColWidth="8" defaultRowHeight="15"/>
  <cols>
    <col width="6.28515625" customWidth="1" style="1449" min="2" max="2"/>
    <col width="23" bestFit="1" customWidth="1" style="1449" min="3" max="3"/>
    <col hidden="1" width="9.7109375" customWidth="1" style="1449" min="4" max="4"/>
    <col hidden="1" width="38.140625" customWidth="1" style="1449" min="5" max="5"/>
    <col hidden="1" width="9.7109375" customWidth="1" style="1449" min="6" max="6"/>
    <col hidden="1" width="13.85546875" customWidth="1" style="1449" min="7" max="7"/>
    <col hidden="1" width="7.140625" customWidth="1" style="1449" min="8" max="8"/>
    <col hidden="1" width="9" customWidth="1" style="1449" min="9" max="9"/>
    <col hidden="1" width="8.42578125" customWidth="1" style="1449" min="10" max="10"/>
    <col hidden="1" width="7.140625" customWidth="1" style="1449" min="11" max="11"/>
    <col hidden="1" width="9.140625" customWidth="1" style="1449" min="12" max="12"/>
    <col hidden="1" width="11.42578125" customWidth="1" style="1449" min="13" max="13"/>
    <col width="12" bestFit="1" customWidth="1" style="1449" min="15" max="15"/>
    <col width="25.5703125" customWidth="1" style="1449" min="16" max="18"/>
    <col width="32.85546875" bestFit="1" customWidth="1" style="1449" min="20" max="20"/>
    <col width="20.7109375" bestFit="1" customWidth="1" style="1449" min="21" max="21"/>
  </cols>
  <sheetData>
    <row r="2" ht="15.75" customHeight="1" s="1449">
      <c r="B2" s="1562" t="inlineStr">
        <is>
          <t xml:space="preserve"> MARKET DERIVED CAPITALIZATION RATE SUMMARY</t>
        </is>
      </c>
    </row>
    <row r="3" ht="26.25" customHeight="1" s="1449">
      <c r="B3" s="1650" t="inlineStr">
        <is>
          <t>No.</t>
        </is>
      </c>
      <c r="C3" s="1650" t="inlineStr">
        <is>
          <t>Name</t>
        </is>
      </c>
      <c r="D3" s="1650" t="inlineStr">
        <is>
          <t>Type</t>
        </is>
      </c>
      <c r="E3" s="181" t="inlineStr">
        <is>
          <t>Location</t>
        </is>
      </c>
      <c r="F3" s="182" t="inlineStr">
        <is>
          <t>Date of
Sale</t>
        </is>
      </c>
      <c r="G3" s="182" t="inlineStr">
        <is>
          <t>Year
Built</t>
        </is>
      </c>
      <c r="H3" s="182" t="inlineStr">
        <is>
          <t>Size</t>
        </is>
      </c>
      <c r="I3" s="182" t="inlineStr">
        <is>
          <t>Occupancy</t>
        </is>
      </c>
      <c r="J3" s="182" t="inlineStr">
        <is>
          <t>Sale Price
PSF</t>
        </is>
      </c>
      <c r="K3" s="182" t="inlineStr">
        <is>
          <t>NOI 
PSF</t>
        </is>
      </c>
      <c r="L3" s="182" t="inlineStr">
        <is>
          <t>Lease Remaining</t>
        </is>
      </c>
      <c r="M3" s="182" t="inlineStr">
        <is>
          <t>Capitalization
Rate</t>
        </is>
      </c>
      <c r="Q3" s="1757" t="n"/>
    </row>
    <row r="4" ht="12.75" customHeight="1" s="1449">
      <c r="B4" s="169" t="n">
        <v>1</v>
      </c>
      <c r="C4" s="169" t="n"/>
      <c r="D4" s="169" t="n"/>
      <c r="E4" s="13" t="n"/>
      <c r="F4" s="2233" t="n"/>
      <c r="G4" s="347" t="n"/>
      <c r="H4" s="348" t="n"/>
      <c r="I4" s="349" t="n"/>
      <c r="J4" s="2234" t="n"/>
      <c r="K4" s="2235" t="n"/>
      <c r="L4" s="349" t="n"/>
      <c r="M4" s="351" t="n"/>
      <c r="N4" s="1757" t="n"/>
      <c r="O4" s="2236" t="n"/>
      <c r="P4" s="676" t="n"/>
      <c r="Q4" s="2236" t="n"/>
      <c r="R4" s="1757" t="n"/>
      <c r="S4" s="152" t="n"/>
    </row>
    <row r="5" ht="12.75" customHeight="1" s="1449">
      <c r="B5" s="169" t="n">
        <v>2</v>
      </c>
      <c r="C5" s="169" t="n"/>
      <c r="D5" s="169" t="n"/>
      <c r="E5" s="13" t="n"/>
      <c r="F5" s="2233" t="n"/>
      <c r="G5" s="347" t="n"/>
      <c r="H5" s="348" t="n"/>
      <c r="I5" s="349" t="n"/>
      <c r="J5" s="2234" t="n"/>
      <c r="K5" s="2235" t="n"/>
      <c r="L5" s="349" t="n"/>
      <c r="M5" s="351" t="n"/>
      <c r="O5" s="2236" t="n"/>
      <c r="P5" s="676" t="n"/>
      <c r="Q5" s="2236" t="n"/>
      <c r="R5" s="1757" t="n"/>
      <c r="S5" s="152" t="n"/>
    </row>
    <row r="6" ht="12.75" customHeight="1" s="1449">
      <c r="B6" s="169" t="n">
        <v>3</v>
      </c>
      <c r="C6" s="169" t="n"/>
      <c r="D6" s="169" t="n"/>
      <c r="E6" s="345" t="n"/>
      <c r="F6" s="2233" t="n"/>
      <c r="G6" s="352" t="n"/>
      <c r="H6" s="348" t="n"/>
      <c r="I6" s="349" t="n"/>
      <c r="J6" s="2234" t="n"/>
      <c r="K6" s="2235" t="n"/>
      <c r="L6" s="349" t="n"/>
      <c r="M6" s="351" t="n"/>
      <c r="O6" s="2236" t="n"/>
      <c r="P6" s="676" t="n"/>
      <c r="Q6" s="2236" t="n"/>
      <c r="R6" s="1757" t="n"/>
      <c r="S6" s="152" t="n"/>
    </row>
    <row r="7" ht="12.75" customHeight="1" s="1449">
      <c r="B7" s="169" t="n">
        <v>4</v>
      </c>
      <c r="C7" s="169" t="n"/>
      <c r="D7" s="169" t="n"/>
      <c r="E7" s="13" t="n"/>
      <c r="F7" s="2233" t="n"/>
      <c r="G7" s="347" t="n"/>
      <c r="H7" s="348" t="n"/>
      <c r="I7" s="349" t="n"/>
      <c r="J7" s="2234" t="n"/>
      <c r="K7" s="2235" t="n"/>
      <c r="L7" s="349" t="n"/>
      <c r="M7" s="351" t="n"/>
      <c r="O7" s="2236" t="n"/>
      <c r="P7" s="676" t="n"/>
      <c r="Q7" s="2236" t="n"/>
      <c r="R7" s="1757" t="n"/>
      <c r="S7" s="152" t="n"/>
    </row>
    <row r="8" ht="12.75" customHeight="1" s="1449">
      <c r="B8" s="169" t="n">
        <v>5</v>
      </c>
      <c r="C8" s="169" t="n"/>
      <c r="D8" s="169" t="n"/>
      <c r="E8" s="345" t="n"/>
      <c r="F8" s="2233" t="n"/>
      <c r="G8" s="347" t="n"/>
      <c r="H8" s="348" t="n"/>
      <c r="I8" s="349" t="n"/>
      <c r="J8" s="2234" t="n"/>
      <c r="K8" s="2235" t="n"/>
      <c r="L8" s="349" t="n"/>
      <c r="M8" s="351" t="n"/>
      <c r="O8" s="2236" t="n"/>
      <c r="P8" s="676" t="n"/>
      <c r="Q8" s="2236" t="n"/>
      <c r="R8" s="1757" t="n"/>
      <c r="S8" s="152" t="n"/>
    </row>
    <row r="9" ht="12.75" customHeight="1" s="1449">
      <c r="B9" s="169" t="n">
        <v>6</v>
      </c>
      <c r="C9" s="169" t="n"/>
      <c r="D9" s="169" t="n"/>
      <c r="E9" s="13" t="n"/>
      <c r="F9" s="2233" t="n"/>
      <c r="G9" s="347" t="n"/>
      <c r="H9" s="348" t="n"/>
      <c r="I9" s="349" t="n"/>
      <c r="J9" s="2234" t="n"/>
      <c r="K9" s="2235" t="n"/>
      <c r="L9" s="349" t="n"/>
      <c r="M9" s="351" t="n"/>
      <c r="O9" s="2236" t="n"/>
      <c r="P9" s="676" t="n"/>
      <c r="Q9" s="2236" t="n"/>
      <c r="R9" s="1757" t="n"/>
      <c r="S9" s="152" t="n"/>
    </row>
    <row r="10" ht="12.75" customHeight="1" s="1449">
      <c r="B10" s="169" t="n">
        <v>7</v>
      </c>
      <c r="C10" s="169" t="n"/>
      <c r="D10" s="169" t="n"/>
      <c r="E10" s="345" t="n"/>
      <c r="F10" s="2233" t="n"/>
      <c r="G10" s="347" t="n"/>
      <c r="H10" s="348" t="n"/>
      <c r="I10" s="349" t="n"/>
      <c r="J10" s="2234" t="n"/>
      <c r="K10" s="2235" t="n"/>
      <c r="L10" s="349" t="n"/>
      <c r="M10" s="351" t="n"/>
      <c r="O10" s="2236" t="n"/>
      <c r="P10" s="676" t="n"/>
      <c r="Q10" s="2236" t="n"/>
      <c r="R10" s="1757" t="n"/>
      <c r="S10" s="152" t="n"/>
    </row>
    <row r="11" ht="12.75" customHeight="1" s="1449">
      <c r="B11" s="169" t="n">
        <v>8</v>
      </c>
      <c r="C11" s="169" t="n"/>
      <c r="D11" s="169" t="n"/>
      <c r="E11" s="345" t="n"/>
      <c r="F11" s="2233" t="n"/>
      <c r="G11" s="347" t="n"/>
      <c r="H11" s="348" t="n"/>
      <c r="I11" s="349" t="n"/>
      <c r="J11" s="2234" t="n"/>
      <c r="K11" s="2235" t="n"/>
      <c r="L11" s="349" t="n"/>
      <c r="M11" s="351" t="n"/>
      <c r="O11" s="2236" t="n"/>
      <c r="P11" s="676" t="n"/>
      <c r="Q11" s="2236" t="n"/>
      <c r="R11" s="1757" t="n"/>
      <c r="S11" s="152" t="n"/>
    </row>
    <row r="12" hidden="1" ht="12.75" customHeight="1" s="1449">
      <c r="B12" s="169" t="n">
        <v>9</v>
      </c>
      <c r="C12" s="169" t="n"/>
      <c r="D12" s="169" t="n"/>
      <c r="E12" s="13" t="n"/>
      <c r="F12" s="2237" t="n"/>
      <c r="G12" s="271" t="n"/>
      <c r="H12" s="272" t="n"/>
      <c r="I12" s="273" t="n"/>
      <c r="J12" s="2238" t="n"/>
      <c r="K12" s="2239" t="n"/>
      <c r="L12" s="273" t="n"/>
      <c r="M12" s="171" t="n"/>
    </row>
    <row r="13" hidden="1" ht="12.75" customHeight="1" s="1449">
      <c r="B13" s="169" t="n"/>
      <c r="C13" s="169" t="n"/>
      <c r="D13" s="169" t="n"/>
      <c r="E13" s="13" t="n"/>
      <c r="F13" s="2237" t="n"/>
      <c r="G13" s="271" t="n"/>
      <c r="H13" s="271" t="n"/>
      <c r="I13" s="271" t="n"/>
      <c r="J13" s="271" t="n"/>
      <c r="K13" s="271" t="n"/>
      <c r="L13" s="271" t="n"/>
      <c r="M13" s="171" t="n"/>
    </row>
    <row r="14" ht="12.75" customHeight="1" s="1449">
      <c r="B14" s="183" t="inlineStr">
        <is>
          <t xml:space="preserve"> Low</t>
        </is>
      </c>
      <c r="C14" s="183" t="n"/>
      <c r="D14" s="183" t="n"/>
      <c r="E14" s="184" t="n"/>
      <c r="F14" s="184" t="n"/>
      <c r="G14" s="184" t="n"/>
      <c r="H14" s="184" t="n"/>
      <c r="I14" s="184" t="n"/>
      <c r="J14" s="184" t="n"/>
      <c r="K14" s="184" t="n"/>
      <c r="L14" s="184" t="n"/>
      <c r="M14" s="185">
        <f>ROUND(MIN(M4:M13),4)</f>
        <v/>
      </c>
    </row>
    <row r="15" ht="12.75" customHeight="1" s="1449">
      <c r="B15" s="13" t="inlineStr">
        <is>
          <t xml:space="preserve"> High</t>
        </is>
      </c>
      <c r="C15" s="13" t="n"/>
      <c r="D15" s="13" t="n"/>
      <c r="E15" s="186" t="n"/>
      <c r="F15" s="186" t="n"/>
      <c r="G15" s="186" t="n"/>
      <c r="H15" s="186" t="n"/>
      <c r="I15" s="186" t="n"/>
      <c r="J15" s="186" t="n"/>
      <c r="K15" s="186" t="n"/>
      <c r="L15" s="186" t="n"/>
      <c r="M15" s="187">
        <f>ROUND(MAX(M4:M13),4)</f>
        <v/>
      </c>
    </row>
    <row r="16" ht="12.75" customHeight="1" s="1449">
      <c r="B16" s="13" t="inlineStr">
        <is>
          <t xml:space="preserve"> Median</t>
        </is>
      </c>
      <c r="C16" s="13" t="n"/>
      <c r="D16" s="13" t="n"/>
      <c r="E16" s="186" t="n"/>
      <c r="F16" s="186" t="n"/>
      <c r="G16" s="186" t="n"/>
      <c r="H16" s="186" t="n"/>
      <c r="I16" s="186" t="n"/>
      <c r="J16" s="186" t="n"/>
      <c r="K16" s="186" t="n"/>
      <c r="L16" s="186" t="n"/>
      <c r="M16" s="187">
        <f>ROUND(MEDIAN(M4:M13),4)</f>
        <v/>
      </c>
    </row>
    <row r="17" ht="12.75" customHeight="1" s="1449">
      <c r="B17" s="13" t="inlineStr">
        <is>
          <t xml:space="preserve"> Average</t>
        </is>
      </c>
      <c r="C17" s="13" t="n"/>
      <c r="D17" s="13" t="n"/>
      <c r="E17" s="186" t="n"/>
      <c r="F17" s="186" t="n"/>
      <c r="G17" s="186" t="n"/>
      <c r="H17" s="186" t="n"/>
      <c r="I17" s="186" t="n"/>
      <c r="J17" s="186" t="n"/>
      <c r="K17" s="186" t="n"/>
      <c r="L17" s="186" t="n"/>
      <c r="M17" s="187">
        <f>ROUND(AVERAGE(M4:M12),4)</f>
        <v/>
      </c>
    </row>
    <row r="18" ht="12.75" customHeight="1" s="1449">
      <c r="B18" s="188" t="inlineStr">
        <is>
          <t>Appraiser's Concluded Range</t>
        </is>
      </c>
      <c r="C18" s="188" t="n"/>
      <c r="D18" s="188" t="n"/>
      <c r="E18" s="188" t="n"/>
      <c r="F18" s="188" t="n"/>
      <c r="G18" s="188" t="n"/>
      <c r="H18" s="188" t="n"/>
      <c r="I18" s="188" t="n"/>
      <c r="J18" s="188" t="n"/>
      <c r="K18" s="188" t="n"/>
      <c r="L18" s="188" t="n"/>
      <c r="M18" s="189" t="n"/>
    </row>
    <row r="20">
      <c r="O20" s="1562" t="inlineStr">
        <is>
          <t>Third Party Surveys - Capitalization Rates</t>
        </is>
      </c>
    </row>
    <row r="21">
      <c r="O21" s="69" t="inlineStr">
        <is>
          <t>Category</t>
        </is>
      </c>
      <c r="P21" s="1650" t="n"/>
      <c r="Q21" s="1650" t="n"/>
      <c r="R21" s="1650" t="n"/>
    </row>
    <row r="22" ht="12.75" customHeight="1" s="1449">
      <c r="O22" s="672" t="inlineStr">
        <is>
          <t>Date of Survey</t>
        </is>
      </c>
      <c r="P22" s="734" t="n"/>
      <c r="Q22" s="734" t="n"/>
      <c r="R22" s="734" t="n"/>
    </row>
    <row r="23" ht="12.75" customHeight="1" s="1449">
      <c r="O23" s="672" t="inlineStr">
        <is>
          <t>Market</t>
        </is>
      </c>
      <c r="P23" s="735" t="n"/>
      <c r="Q23" s="735" t="n"/>
      <c r="R23" s="734" t="n"/>
    </row>
    <row r="24" ht="12.75" customHeight="1" s="1449">
      <c r="O24" s="672" t="inlineStr">
        <is>
          <t>Property Type</t>
        </is>
      </c>
      <c r="P24" s="734" t="n"/>
      <c r="Q24" s="734" t="n"/>
      <c r="R24" s="734" t="n"/>
    </row>
    <row r="25" ht="12.75" customHeight="1" s="1449">
      <c r="O25" s="673" t="inlineStr">
        <is>
          <t>Range Average</t>
        </is>
      </c>
      <c r="P25" s="736" t="n"/>
      <c r="Q25" s="737" t="n"/>
      <c r="R25" s="736" t="n"/>
    </row>
    <row r="26" ht="12.75" customHeight="1" s="1449">
      <c r="O26" s="674" t="inlineStr">
        <is>
          <t>Average</t>
        </is>
      </c>
      <c r="P26" s="738" t="n"/>
      <c r="Q26" s="739" t="n"/>
      <c r="R26" s="738" t="n"/>
    </row>
    <row r="27" hidden="1" ht="12.75" customHeight="1" s="1449">
      <c r="O27" s="232" t="n"/>
      <c r="P27" s="230" t="n"/>
      <c r="Q27" s="231" t="n"/>
    </row>
    <row r="28" hidden="1" ht="12.75" customHeight="1" s="1449">
      <c r="O28" s="232" t="n"/>
      <c r="P28" s="230" t="n"/>
      <c r="Q28" s="231" t="n"/>
    </row>
    <row r="29" hidden="1" ht="12.75" customHeight="1" s="1449">
      <c r="O29" s="232" t="n"/>
      <c r="P29" s="230" t="n"/>
      <c r="Q29" s="231" t="n"/>
    </row>
    <row r="30" ht="12.75" customHeight="1" s="1449">
      <c r="O30" s="229" t="n"/>
      <c r="P30" s="230" t="n"/>
      <c r="Q30" s="231" t="n"/>
    </row>
    <row r="31" ht="12.75" customHeight="1" s="1449">
      <c r="O31" s="232" t="n"/>
      <c r="P31" s="230" t="n"/>
      <c r="Q31" s="231" t="n"/>
    </row>
    <row r="32" hidden="1" ht="12.75" customHeight="1" s="1449">
      <c r="O32" s="232" t="n"/>
      <c r="P32" s="230" t="n"/>
      <c r="Q32" s="231" t="n"/>
    </row>
    <row r="33" hidden="1" ht="12.75" customHeight="1" s="1449">
      <c r="O33" s="232" t="n"/>
      <c r="P33" s="230" t="n"/>
      <c r="Q33" s="231" t="n"/>
    </row>
    <row r="34" hidden="1" ht="12.75" customHeight="1" s="1449">
      <c r="O34" s="229" t="n"/>
      <c r="P34" s="353" t="n"/>
      <c r="Q34" s="354" t="n"/>
    </row>
    <row r="35" hidden="1" ht="12.75" customHeight="1" s="1449">
      <c r="O35" s="232" t="n"/>
      <c r="P35" s="230" t="n"/>
      <c r="Q35" s="231" t="n"/>
    </row>
    <row r="36" hidden="1" ht="12.75" customHeight="1" s="1449">
      <c r="O36" s="232" t="n"/>
      <c r="P36" s="230" t="n"/>
      <c r="Q36" s="231" t="n"/>
    </row>
    <row r="37" ht="12.75" customHeight="1" s="1449">
      <c r="O37" s="233" t="n"/>
      <c r="P37" s="234" t="n"/>
      <c r="Q37" s="189" t="n"/>
    </row>
    <row r="40" ht="15" customHeight="1" s="1449">
      <c r="T40" s="1661" t="inlineStr">
        <is>
          <t>SUMMARY CAPITALIZATION RATE AND CONCLUSION</t>
        </is>
      </c>
    </row>
    <row r="41">
      <c r="T41" s="1" t="inlineStr">
        <is>
          <t>Method</t>
        </is>
      </c>
      <c r="U41" s="235" t="inlineStr">
        <is>
          <t>Capitalization Rate</t>
        </is>
      </c>
    </row>
    <row r="42" hidden="1" s="1449">
      <c r="T42" s="1563" t="inlineStr">
        <is>
          <t>Market Extraction</t>
        </is>
      </c>
      <c r="U42" s="355">
        <f>M18</f>
        <v/>
      </c>
    </row>
    <row r="43" hidden="1" s="1449">
      <c r="T43" s="1563" t="inlineStr">
        <is>
          <t>Investor Surveys</t>
        </is>
      </c>
      <c r="U43" s="355" t="inlineStr">
        <is>
          <t>6.00% - 6.50%</t>
        </is>
      </c>
    </row>
    <row r="44" hidden="1" s="1449">
      <c r="T44" s="1563" t="inlineStr">
        <is>
          <t>Market Participants</t>
        </is>
      </c>
      <c r="U44" s="355">
        <f>iaOARBrokers</f>
        <v/>
      </c>
    </row>
    <row r="45" hidden="1" s="1449">
      <c r="T45" s="1563" t="inlineStr">
        <is>
          <t>Band of Investment</t>
        </is>
      </c>
      <c r="U45" s="355" t="n">
        <v>0.075</v>
      </c>
    </row>
    <row r="46" hidden="1" s="1449">
      <c r="T46" s="1563" t="inlineStr">
        <is>
          <t>DCR</t>
        </is>
      </c>
      <c r="U46" s="355">
        <f>iaOARDCR</f>
        <v/>
      </c>
    </row>
    <row r="47" hidden="1" s="1449">
      <c r="T47" s="3" t="inlineStr">
        <is>
          <t>Primary Weight</t>
        </is>
      </c>
      <c r="U47" s="237" t="inlineStr">
        <is>
          <t>Market Extraction</t>
        </is>
      </c>
    </row>
    <row r="48" hidden="1" s="1449">
      <c r="T48" s="3" t="inlineStr">
        <is>
          <t>Secondary Weight</t>
        </is>
      </c>
      <c r="U48" s="238" t="inlineStr">
        <is>
          <t>Investor Surveys</t>
        </is>
      </c>
    </row>
    <row r="49">
      <c r="T49" s="85" t="inlineStr">
        <is>
          <t>Capitalization Rate Conclusion</t>
        </is>
      </c>
      <c r="U49" s="239" t="n"/>
    </row>
    <row r="52" hidden="1" s="1449"/>
    <row r="53" hidden="1" s="1449">
      <c r="T53" s="1661" t="inlineStr">
        <is>
          <t>LEASE-UP COSTS</t>
        </is>
      </c>
    </row>
    <row r="54" hidden="1" s="1449">
      <c r="T54" s="1" t="inlineStr">
        <is>
          <t>Method</t>
        </is>
      </c>
      <c r="U54" s="235" t="inlineStr">
        <is>
          <t>Capitalization Rate</t>
        </is>
      </c>
    </row>
    <row r="55" hidden="1" ht="12.75" customHeight="1" s="1449">
      <c r="T55" s="298" t="inlineStr">
        <is>
          <t>Preliminary Value</t>
        </is>
      </c>
      <c r="U55" s="2240">
        <f>'IA Values'!G13</f>
        <v/>
      </c>
    </row>
    <row r="56" hidden="1" ht="12.75" customHeight="1" s="1449">
      <c r="T56" s="301" t="inlineStr">
        <is>
          <t>Less: Lost Income</t>
        </is>
      </c>
      <c r="U56" s="2241" t="n"/>
    </row>
    <row r="57" hidden="1" ht="12.75" customHeight="1" s="1449">
      <c r="T57" s="301" t="inlineStr">
        <is>
          <t>Less: Tenant Finish</t>
        </is>
      </c>
      <c r="U57" s="2241">
        <f>iaOARBrokers</f>
        <v/>
      </c>
    </row>
    <row r="58" hidden="1" ht="12.75" customHeight="1" s="1449">
      <c r="T58" s="301" t="inlineStr">
        <is>
          <t>Less: Leasing Commissions</t>
        </is>
      </c>
      <c r="U58" s="2241" t="n"/>
    </row>
    <row r="59" hidden="1" ht="12.75" customHeight="1" s="1449">
      <c r="T59" s="298" t="inlineStr">
        <is>
          <t>Total</t>
        </is>
      </c>
      <c r="U59" s="2242">
        <f>SUM(U56:U58)</f>
        <v/>
      </c>
    </row>
    <row r="60" hidden="1" ht="12.75" customHeight="1" s="1449">
      <c r="T60" s="301" t="inlineStr">
        <is>
          <t>Entrepreneurial Profit</t>
        </is>
      </c>
      <c r="U60" s="2241">
        <f>U59*0.1</f>
        <v/>
      </c>
    </row>
    <row r="61" hidden="1" ht="12.75" customHeight="1" s="1449">
      <c r="T61" s="298" t="inlineStr">
        <is>
          <t>Total Deductions</t>
        </is>
      </c>
      <c r="U61" s="2243">
        <f>SUM(U59,U60)</f>
        <v/>
      </c>
    </row>
    <row r="62" hidden="1" ht="12.75" customHeight="1" s="1449">
      <c r="T62" s="304" t="inlineStr">
        <is>
          <t>"As Is" Value</t>
        </is>
      </c>
      <c r="U62" s="2244">
        <f>U55-U61</f>
        <v/>
      </c>
    </row>
    <row r="63" hidden="1" s="1449">
      <c r="T63" s="85" t="inlineStr">
        <is>
          <t>Rounded Value</t>
        </is>
      </c>
      <c r="U63" s="2245" t="n"/>
    </row>
    <row r="64" hidden="1" s="1449"/>
  </sheetData>
  <mergeCells count="4">
    <mergeCell ref="B2:M2"/>
    <mergeCell ref="T53:U53"/>
    <mergeCell ref="O20:R20"/>
    <mergeCell ref="T40:U40"/>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2:K24"/>
  <sheetViews>
    <sheetView showGridLines="0" workbookViewId="0">
      <selection activeCell="E12" sqref="E12:E13"/>
    </sheetView>
  </sheetViews>
  <sheetFormatPr baseColWidth="8" defaultRowHeight="15"/>
  <cols>
    <col width="45.85546875" customWidth="1" style="1449" min="1" max="1"/>
    <col width="22.85546875" customWidth="1" style="1449" min="2" max="2"/>
    <col width="40.7109375" customWidth="1" style="1449" min="5" max="5"/>
    <col width="13.5703125" bestFit="1" customWidth="1" style="1449" min="10" max="10"/>
  </cols>
  <sheetData>
    <row r="2">
      <c r="K2" s="356">
        <f>#REF!</f>
        <v/>
      </c>
    </row>
    <row r="3" ht="15.75" customHeight="1" s="1449">
      <c r="E3" s="1562" t="inlineStr">
        <is>
          <t>DIRECT CAPITALIZATION METHOD VALUE CONCLUSION - AS IS</t>
        </is>
      </c>
    </row>
    <row r="4" ht="12.75" customHeight="1" s="1449">
      <c r="E4" s="221" t="inlineStr">
        <is>
          <t>Net Operating Income (NOI)</t>
        </is>
      </c>
      <c r="F4" s="221" t="n"/>
      <c r="G4" s="2246">
        <f>#REF!</f>
        <v/>
      </c>
      <c r="H4" s="2247">
        <f>G4/K2</f>
        <v/>
      </c>
    </row>
    <row r="5" ht="12.75" customHeight="1" s="1449">
      <c r="E5" s="2248" t="n">
        <v>0.0025</v>
      </c>
      <c r="F5" s="2248" t="n"/>
      <c r="G5" s="224" t="inlineStr">
        <is>
          <t>Value</t>
        </is>
      </c>
      <c r="H5" s="224" t="inlineStr">
        <is>
          <t>$/SF</t>
        </is>
      </c>
    </row>
    <row r="6" ht="12.75" customHeight="1" s="1449">
      <c r="E6" s="2249" t="n"/>
      <c r="F6" s="2249" t="n"/>
      <c r="G6" s="2250">
        <f>G4/('Cap Rate Lease-Up'!U49-0.0025)</f>
        <v/>
      </c>
      <c r="H6" s="2251">
        <f>G6/K2</f>
        <v/>
      </c>
      <c r="J6" s="1758" t="n"/>
    </row>
    <row r="7" ht="12.75" customHeight="1" s="1449">
      <c r="E7" s="2252" t="n"/>
      <c r="F7" s="2253" t="n"/>
      <c r="G7" s="2250">
        <f>G4/'Cap Rate Lease-Up'!U49</f>
        <v/>
      </c>
      <c r="H7" s="2251">
        <f>G7/K2</f>
        <v/>
      </c>
      <c r="J7" s="1758" t="n"/>
    </row>
    <row r="8" ht="12.75" customHeight="1" s="1449">
      <c r="E8" s="2254" t="n"/>
      <c r="F8" s="2254" t="n"/>
      <c r="G8" s="2250">
        <f>G4/('Cap Rate Lease-Up'!U49+0.0025)</f>
        <v/>
      </c>
      <c r="H8" s="2251">
        <f>G8/K2</f>
        <v/>
      </c>
      <c r="J8" s="1758" t="n"/>
    </row>
    <row r="9" hidden="1" ht="12.75" customHeight="1" s="1449">
      <c r="E9" s="215" t="n"/>
      <c r="F9" s="215" t="n"/>
      <c r="G9" s="2255" t="n"/>
      <c r="H9" s="215" t="n"/>
    </row>
    <row r="10" hidden="1" ht="12.75" customHeight="1" s="1449">
      <c r="E10" s="170">
        <f>IF(SUM(G11:G11)=0,"HIDE THIS ROW IF NO DEFERRED MAINTENANCE", "Indicated Value")</f>
        <v/>
      </c>
      <c r="F10" s="170" t="n"/>
      <c r="G10" s="2250">
        <f>G7</f>
        <v/>
      </c>
      <c r="H10" s="217" t="n"/>
    </row>
    <row r="11" hidden="1" ht="12.75" customHeight="1" s="1449">
      <c r="E11" s="218">
        <f>IF(G11=0,"HIDE THIS ROW IF NO DEFERRED MAINTENANCE","Less: Deferred Maintenance")</f>
        <v/>
      </c>
      <c r="F11" s="218" t="n"/>
      <c r="G11" s="2256">
        <f>-caDeferredMaint</f>
        <v/>
      </c>
      <c r="H11" s="217" t="n"/>
    </row>
    <row r="12" ht="12.75" customHeight="1" s="1449">
      <c r="E12" s="190">
        <f>IF(G11=0,"Reconciled Value","Reconciled Value - Adjusted")</f>
        <v/>
      </c>
      <c r="F12" s="190" t="n"/>
      <c r="G12" s="2257">
        <f>SUM(G10:G11)</f>
        <v/>
      </c>
      <c r="H12" s="2258">
        <f>G12/K2</f>
        <v/>
      </c>
    </row>
    <row r="13" ht="12.75" customHeight="1" s="1449">
      <c r="E13" s="2259" t="n">
        <v>5000</v>
      </c>
      <c r="F13" s="2260" t="n"/>
      <c r="G13" s="2261">
        <f>ROUND((G12/E13),0)*E13</f>
        <v/>
      </c>
      <c r="H13" s="2262">
        <f>G13/K2</f>
        <v/>
      </c>
    </row>
    <row r="15">
      <c r="H15" s="1758" t="n"/>
    </row>
    <row r="16">
      <c r="A16" s="1562" t="inlineStr">
        <is>
          <t>DEDUCTIONS TO REACH AN AS IS VALUE</t>
        </is>
      </c>
    </row>
    <row r="17">
      <c r="A17" s="1563" t="inlineStr">
        <is>
          <t>Indicated Value UPON COMPLETION</t>
        </is>
      </c>
      <c r="B17" s="2263">
        <f>G13</f>
        <v/>
      </c>
      <c r="H17" s="358" t="n"/>
    </row>
    <row r="18">
      <c r="A18" s="1563" t="inlineStr">
        <is>
          <t>Remaining Capital Improvements</t>
        </is>
      </c>
      <c r="B18" s="2263" t="n"/>
    </row>
    <row r="19">
      <c r="A19" s="1563" t="inlineStr">
        <is>
          <t>Entrepreneurial Incentive (15% of Total Construction Costs)</t>
        </is>
      </c>
      <c r="B19" s="2263" t="n"/>
    </row>
    <row r="20" hidden="1" s="1449">
      <c r="A20" s="190">
        <f>IF(B21=0,"HIDE THIS ROW IF NO DEFERRED MAINTENANCE", "Indicated Value")</f>
        <v/>
      </c>
      <c r="B20" s="2255" t="n">
        <v>0</v>
      </c>
    </row>
    <row r="21" hidden="1" s="1449">
      <c r="A21" s="14">
        <f>IF(B21=0,"HIDE THIS ROW IF NO DEFERRED MAINTENANCE","Less: Deferred Maintenance")</f>
        <v/>
      </c>
      <c r="B21" s="200" t="n">
        <v>0</v>
      </c>
    </row>
    <row r="22">
      <c r="A22" s="202" t="inlineStr">
        <is>
          <t>Indicated Value AS IS</t>
        </is>
      </c>
      <c r="B22" s="2257">
        <f>SUM(B17:B19)</f>
        <v/>
      </c>
    </row>
    <row r="23">
      <c r="A23" s="2264" t="inlineStr">
        <is>
          <t>Indicated Value AS IS</t>
        </is>
      </c>
      <c r="B23" s="2265">
        <f>MROUND(B22,5000)</f>
        <v/>
      </c>
    </row>
    <row r="24">
      <c r="A24" s="205" t="inlineStr">
        <is>
          <t>Per SF</t>
        </is>
      </c>
      <c r="B24" s="2266">
        <f>B23/3112</f>
        <v/>
      </c>
    </row>
  </sheetData>
  <mergeCells count="2">
    <mergeCell ref="E3:H3"/>
    <mergeCell ref="A16:B16"/>
  </mergeCells>
  <conditionalFormatting sqref="A20">
    <cfRule type="expression" priority="2" dxfId="0" stopIfTrue="1">
      <formula>SUM(B21:B21)=0</formula>
    </cfRule>
  </conditionalFormatting>
  <conditionalFormatting sqref="A21">
    <cfRule type="expression" priority="1" dxfId="2">
      <formula>B21=0</formula>
    </cfRule>
  </conditionalFormatting>
  <conditionalFormatting sqref="E10:F10">
    <cfRule type="expression" priority="4" dxfId="0" stopIfTrue="1">
      <formula>SUM(G11:G11)=0</formula>
    </cfRule>
  </conditionalFormatting>
  <conditionalFormatting sqref="E11:F11">
    <cfRule type="expression" priority="3" dxfId="0" stopIfTrue="1">
      <formula>$D$48=0</formula>
    </cfRule>
  </conditionalFormatting>
  <dataValidations count="5">
    <dataValidation sqref="B21" showDropDown="0" showInputMessage="1" showErrorMessage="1" allowBlank="1" promptTitle="Adjustment #2" prompt="Input adjustment to calculated value—default link to Deferred Maintenance entered in Cost Approach."/>
    <dataValidation sqref="G11" showDropDown="0" showInputMessage="1" showErrorMessage="1" allowBlank="1" promptTitle="Adjustment #2" prompt="Input adjustment to calculated value—default link to Deferred Maintenance entered in Cost Approach (Cell F44)."/>
    <dataValidation sqref="E5" showDropDown="0" showInputMessage="1" showErrorMessage="1" allowBlank="1" prompt="Enter capitalization rate spread.  Example 0.25.  Only value is needed.  Text will autopopulate.  Will also autopopulate cell B44 and B46."/>
    <dataValidation sqref="E7" showDropDown="0" showInputMessage="1" showErrorMessage="1" allowBlank="1" prompt="Autopopulates with the concluded capitalization rate from the CapRates tab Cell C13."/>
    <dataValidation sqref="E13" showDropDown="0" showInputMessage="1" showErrorMessage="1" allowBlank="1" prompt="Enter how you want value to round.  Example:  100,000, or 50,000.  Only number is needed.  Text will autopopulate."/>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2:V80"/>
  <sheetViews>
    <sheetView showGridLines="0" zoomScale="136" zoomScaleNormal="136" workbookViewId="0">
      <selection activeCell="H14" sqref="H14"/>
    </sheetView>
  </sheetViews>
  <sheetFormatPr baseColWidth="8" defaultColWidth="9.140625" defaultRowHeight="15"/>
  <cols>
    <col width="37.140625" bestFit="1" customWidth="1" style="1560" min="1" max="1"/>
    <col width="7.7109375" bestFit="1" customWidth="1" style="2267" min="2" max="2"/>
    <col width="14.42578125" customWidth="1" style="2267" min="3" max="3"/>
    <col width="14.140625" customWidth="1" style="2267" min="4" max="4"/>
    <col width="9.42578125" bestFit="1" customWidth="1" style="2267" min="5" max="5"/>
    <col width="4.7109375" bestFit="1" customWidth="1" style="2267" min="6" max="6"/>
    <col width="28" bestFit="1" customWidth="1" style="2267" min="7" max="7"/>
    <col width="9.28515625" bestFit="1" customWidth="1" style="2267" min="8" max="8"/>
    <col width="2.5703125" customWidth="1" style="2267" min="9" max="9"/>
    <col width="7" customWidth="1" style="2267" min="10" max="10"/>
    <col width="10.28515625" bestFit="1" customWidth="1" style="2267" min="11" max="11"/>
    <col width="2.42578125" customWidth="1" style="2267" min="12" max="12"/>
    <col width="6.28515625" bestFit="1" customWidth="1" style="2267" min="13" max="13"/>
    <col width="10.28515625" bestFit="1" customWidth="1" style="2267" min="14" max="14"/>
    <col width="1.140625" customWidth="1" style="2267" min="15" max="15"/>
    <col width="15.5703125" customWidth="1" style="1560" min="16" max="16"/>
    <col width="9.140625" customWidth="1" style="1560" min="17" max="17"/>
    <col width="8.85546875" customWidth="1" style="1560" min="18" max="18"/>
    <col hidden="1" width="25.5703125" customWidth="1" style="1560" min="19" max="19"/>
    <col hidden="1" width="18.42578125" customWidth="1" style="1560" min="20" max="20"/>
    <col hidden="1" width="19.140625" customWidth="1" style="1560" min="21" max="21"/>
    <col hidden="1" width="16.28515625" customWidth="1" style="1560" min="22" max="22"/>
    <col width="9.140625" customWidth="1" style="1560" min="23" max="23"/>
    <col width="25.5703125" customWidth="1" style="1560" min="24" max="24"/>
    <col width="5.42578125" customWidth="1" style="1560" min="25" max="25"/>
    <col width="11.28515625" customWidth="1" style="1560" min="26" max="26"/>
    <col width="9.7109375" customWidth="1" style="1560" min="27" max="27"/>
    <col width="9.140625" customWidth="1" style="1560" min="28" max="29"/>
    <col width="9.140625" customWidth="1" style="1560" min="30" max="16384"/>
  </cols>
  <sheetData>
    <row r="1" ht="7.5" customHeight="1" s="1449"/>
    <row r="2">
      <c r="A2" s="1560" t="inlineStr">
        <is>
          <t>Subject's Total SF Area</t>
        </is>
      </c>
      <c r="B2" s="913">
        <f>FE!C14</f>
        <v/>
      </c>
      <c r="C2" s="914" t="inlineStr">
        <is>
          <t>←</t>
        </is>
      </c>
    </row>
    <row r="3">
      <c r="G3" s="1677" t="inlineStr">
        <is>
          <t>POTENTIAL GROSS RENTAL INCOME</t>
        </is>
      </c>
    </row>
    <row r="4">
      <c r="A4" s="1145" t="inlineStr">
        <is>
          <t>Use only if comparing contract to market rent. Hide for owner-user buildings→</t>
        </is>
      </c>
      <c r="B4" s="1140" t="n"/>
      <c r="C4" s="1140" t="n"/>
      <c r="D4" s="1140" t="n"/>
      <c r="E4" s="1140" t="n"/>
      <c r="F4" s="1140" t="n"/>
      <c r="G4" s="1038" t="n"/>
      <c r="H4" s="829" t="inlineStr">
        <is>
          <t>Area</t>
        </is>
      </c>
      <c r="I4" s="829" t="n"/>
      <c r="J4" s="1689" t="inlineStr">
        <is>
          <t>Contract Rent</t>
        </is>
      </c>
      <c r="K4" s="1464" t="n"/>
      <c r="L4" s="829" t="n"/>
      <c r="M4" s="1689" t="inlineStr">
        <is>
          <t>Market Rent</t>
        </is>
      </c>
      <c r="N4" s="1464" t="n"/>
      <c r="O4" s="829" t="n"/>
    </row>
    <row r="5">
      <c r="G5" s="1370" t="inlineStr">
        <is>
          <t>Tenant</t>
        </is>
      </c>
      <c r="H5" s="1369" t="inlineStr">
        <is>
          <t>Total (SF)</t>
        </is>
      </c>
      <c r="I5" s="1369" t="n"/>
      <c r="J5" s="1369" t="inlineStr">
        <is>
          <t>$/SF</t>
        </is>
      </c>
      <c r="K5" s="1369" t="inlineStr">
        <is>
          <t>Annl. Rent</t>
        </is>
      </c>
      <c r="L5" s="1369" t="n"/>
      <c r="M5" s="1369" t="inlineStr">
        <is>
          <t>$/SF</t>
        </is>
      </c>
      <c r="N5" s="1369" t="inlineStr">
        <is>
          <t>Annl. Rent</t>
        </is>
      </c>
      <c r="O5" s="1369" t="n"/>
    </row>
    <row r="6" ht="15" customHeight="1" s="1449">
      <c r="G6" s="2268">
        <f>LA!C3</f>
        <v/>
      </c>
      <c r="H6" s="1040">
        <f>FE!C14</f>
        <v/>
      </c>
      <c r="I6" s="1040" t="n"/>
      <c r="J6" s="2269">
        <f>LA!C11</f>
        <v/>
      </c>
      <c r="K6" s="2270">
        <f>LA!C10</f>
        <v/>
      </c>
      <c r="L6" s="2271" t="n"/>
      <c r="M6" s="2269">
        <f>C11</f>
        <v/>
      </c>
      <c r="N6" s="2270">
        <f>H6*M6</f>
        <v/>
      </c>
      <c r="O6" s="2269" t="n"/>
    </row>
    <row r="7">
      <c r="B7" s="913" t="n"/>
      <c r="G7" s="1560" t="n"/>
      <c r="H7" s="1560" t="n"/>
      <c r="I7" s="1560" t="n"/>
      <c r="J7" s="1560" t="n"/>
      <c r="K7" s="1560" t="n"/>
      <c r="L7" s="1560" t="n"/>
      <c r="M7" s="1560" t="n"/>
      <c r="N7" s="1560" t="n"/>
      <c r="O7" s="1560" t="n"/>
    </row>
    <row r="8">
      <c r="A8" s="1691" t="inlineStr">
        <is>
          <t>PGRI – MARKET RENTS</t>
        </is>
      </c>
      <c r="E8" s="1692" t="n"/>
      <c r="F8" s="916" t="n"/>
      <c r="G8" s="1560" t="n"/>
      <c r="H8" s="1560" t="n"/>
      <c r="I8" s="1560" t="n"/>
      <c r="J8" s="1560" t="n"/>
      <c r="K8" s="1560" t="n"/>
      <c r="L8" s="1560" t="n"/>
      <c r="M8" s="1560" t="n"/>
      <c r="N8" s="1560" t="n"/>
      <c r="O8" s="1560" t="n"/>
    </row>
    <row r="9">
      <c r="A9" s="917" t="inlineStr">
        <is>
          <t>Space Type</t>
        </is>
      </c>
      <c r="B9" s="1628" t="inlineStr">
        <is>
          <t>SF</t>
        </is>
      </c>
      <c r="C9" s="1628" t="inlineStr">
        <is>
          <t>Rent PSF</t>
        </is>
      </c>
      <c r="D9" s="1628" t="inlineStr">
        <is>
          <t>PGRI</t>
        </is>
      </c>
      <c r="F9" s="916" t="n"/>
      <c r="G9" s="916" t="n"/>
      <c r="H9" s="916" t="n"/>
      <c r="I9" s="916" t="n"/>
      <c r="J9" s="916" t="n"/>
      <c r="K9" s="916" t="n"/>
      <c r="L9" s="916" t="n"/>
      <c r="M9" s="916" t="n"/>
    </row>
    <row r="10">
      <c r="A10" s="918" t="n"/>
      <c r="B10" s="916" t="n"/>
      <c r="C10" s="916" t="n"/>
      <c r="D10" s="916" t="n"/>
      <c r="E10" s="916" t="n"/>
      <c r="F10" s="916" t="n"/>
      <c r="G10" s="916" t="n"/>
      <c r="H10" s="916" t="n"/>
      <c r="I10" s="916" t="n"/>
      <c r="J10" s="916" t="n"/>
      <c r="K10" s="916" t="n"/>
      <c r="L10" s="916" t="n"/>
      <c r="M10" s="916" t="n"/>
    </row>
    <row r="11">
      <c r="A11" s="919">
        <f>'Property Info'!B16</f>
        <v/>
      </c>
      <c r="B11" s="920" t="n"/>
      <c r="C11" s="2272" t="n"/>
      <c r="D11" s="2273">
        <f>C11*B11</f>
        <v/>
      </c>
      <c r="E11" s="1609" t="n"/>
      <c r="F11" s="2274" t="n"/>
      <c r="G11" s="2274" t="n"/>
      <c r="H11" s="2274" t="n"/>
      <c r="I11" s="2274" t="n"/>
      <c r="J11" s="2274" t="n"/>
      <c r="K11" s="2274" t="n"/>
      <c r="L11" s="2274" t="n"/>
      <c r="M11" s="2274" t="n"/>
    </row>
    <row r="12" ht="6.75" customHeight="1" s="1449">
      <c r="A12" s="922" t="n"/>
      <c r="B12" s="923" t="n"/>
      <c r="C12" s="2275" t="n"/>
      <c r="D12" s="2274" t="n"/>
      <c r="E12" s="2274" t="n"/>
      <c r="F12" s="2274" t="n"/>
      <c r="G12" s="2274" t="n"/>
      <c r="H12" s="2274" t="n"/>
      <c r="I12" s="2274" t="n"/>
      <c r="J12" s="2274" t="n"/>
      <c r="K12" s="2274" t="n"/>
      <c r="L12" s="2274" t="n"/>
      <c r="M12" s="2274" t="n"/>
    </row>
    <row r="13">
      <c r="A13" s="1694" t="inlineStr">
        <is>
          <t>VACANCY AND COLLECTION LOSS</t>
        </is>
      </c>
      <c r="G13" s="1560" t="n"/>
      <c r="H13" s="1560" t="n"/>
      <c r="I13" s="1560" t="n"/>
      <c r="J13" s="1560" t="n"/>
      <c r="K13" s="1560" t="n"/>
      <c r="L13" s="1560" t="n"/>
      <c r="M13" s="1560" t="n"/>
      <c r="N13" s="1560" t="n"/>
      <c r="O13" s="1560" t="n"/>
    </row>
    <row r="14">
      <c r="A14" s="1664" t="inlineStr">
        <is>
          <t>Source</t>
        </is>
      </c>
      <c r="D14" s="1675" t="inlineStr">
        <is>
          <t>Rate</t>
        </is>
      </c>
      <c r="G14" s="1560" t="n"/>
      <c r="H14" s="1560" t="n"/>
      <c r="I14" s="1560" t="n"/>
      <c r="J14" s="1560" t="n"/>
      <c r="K14" s="1560" t="n"/>
      <c r="L14" s="1560" t="n"/>
      <c r="M14" s="1560" t="n"/>
      <c r="N14" s="1560" t="n"/>
      <c r="O14" s="1560" t="n"/>
    </row>
    <row r="15" ht="15" customHeight="1" s="1449">
      <c r="A15" s="1662" t="inlineStr">
        <is>
          <t>CoStar - Denver CBSA - Industrial 20,000 SF - 50,000 SF- Q1 2019-Q2 2020</t>
        </is>
      </c>
      <c r="D15" s="1673" t="n"/>
      <c r="G15" s="914" t="n"/>
      <c r="H15" s="1560" t="n"/>
      <c r="I15" s="1560" t="n"/>
      <c r="J15" s="1560" t="n"/>
      <c r="K15" s="1560" t="n"/>
      <c r="L15" s="1560" t="n"/>
      <c r="M15" s="1560" t="n"/>
    </row>
    <row r="16" ht="15" customHeight="1" s="1449">
      <c r="A16" s="1662" t="inlineStr">
        <is>
          <t>CoStar - Adams County - Industrial - Q1 2019-Q2 2020</t>
        </is>
      </c>
      <c r="D16" s="1669" t="n"/>
      <c r="E16" s="1464" t="n"/>
      <c r="G16" s="914" t="n"/>
      <c r="H16" s="1560" t="n"/>
      <c r="I16" s="1560" t="n"/>
      <c r="J16" s="1560" t="n"/>
      <c r="K16" s="1560" t="n"/>
      <c r="L16" s="1560" t="n"/>
      <c r="M16" s="1560" t="n"/>
    </row>
    <row r="17" hidden="1" ht="15" customHeight="1" s="1449">
      <c r="A17" s="925" t="n"/>
      <c r="B17" s="2276" t="n"/>
      <c r="C17" s="927" t="n"/>
      <c r="D17" s="928" t="n"/>
      <c r="E17" s="611" t="n"/>
      <c r="G17" s="914" t="n"/>
      <c r="H17" s="1560" t="n"/>
      <c r="I17" s="1560" t="n"/>
      <c r="J17" s="1560" t="n"/>
      <c r="K17" s="1560" t="n"/>
      <c r="L17" s="1560" t="n"/>
      <c r="M17" s="1560" t="n"/>
    </row>
    <row r="18" hidden="1" ht="15" customHeight="1" s="1449">
      <c r="A18" s="925" t="n"/>
      <c r="B18" s="2276" t="n"/>
      <c r="C18" s="927" t="n"/>
      <c r="D18" s="929" t="n"/>
      <c r="E18" s="611" t="n"/>
      <c r="G18" s="914" t="n"/>
      <c r="H18" s="1560" t="n"/>
      <c r="I18" s="1560" t="n"/>
      <c r="J18" s="1560" t="n"/>
      <c r="K18" s="1560" t="n"/>
      <c r="L18" s="1560" t="n"/>
      <c r="M18" s="1560" t="n"/>
    </row>
    <row r="19" hidden="1" ht="15" customHeight="1" s="1449">
      <c r="A19" s="925" t="n"/>
      <c r="B19" s="2276" t="n"/>
      <c r="C19" s="927" t="n"/>
      <c r="D19" s="929" t="n"/>
      <c r="E19" s="611" t="n"/>
      <c r="G19" s="914" t="n"/>
      <c r="H19" s="1560" t="n"/>
      <c r="I19" s="1560" t="n"/>
      <c r="J19" s="1560" t="n"/>
      <c r="K19" s="1560" t="n"/>
      <c r="L19" s="1560" t="n"/>
      <c r="M19" s="1560" t="n"/>
    </row>
    <row r="20" hidden="1" ht="15" customHeight="1" s="1449">
      <c r="A20" s="930" t="n"/>
      <c r="B20" s="2276" t="n"/>
      <c r="C20" s="927" t="n"/>
      <c r="D20" s="931" t="n"/>
      <c r="E20" s="611" t="n"/>
      <c r="G20" s="914" t="n"/>
      <c r="H20" s="1560" t="n"/>
      <c r="I20" s="1560" t="n"/>
      <c r="J20" s="1560" t="n"/>
      <c r="K20" s="1560" t="n"/>
      <c r="L20" s="1560" t="n"/>
      <c r="M20" s="1560" t="n"/>
    </row>
    <row r="21">
      <c r="A21" s="1698" t="inlineStr">
        <is>
          <t>Range</t>
        </is>
      </c>
      <c r="B21" s="1477" t="n"/>
      <c r="C21" s="1477" t="n"/>
      <c r="D21" s="1684">
        <f>TEXT(MIN(D15:D20),"0.00%")&amp;" to "&amp;TEXT(MAX(D15:D20),"0.00%")</f>
        <v/>
      </c>
      <c r="F21" s="2277" t="n"/>
      <c r="G21" s="362" t="n"/>
      <c r="H21" s="1560" t="n"/>
      <c r="I21" s="1560" t="n"/>
      <c r="J21" s="1560" t="n"/>
      <c r="K21" s="1560" t="n"/>
      <c r="L21" s="1560" t="n"/>
      <c r="M21" s="1560" t="n"/>
    </row>
    <row r="22">
      <c r="A22" s="1666" t="inlineStr">
        <is>
          <t>Concluded Overall Vacancy Rate</t>
        </is>
      </c>
      <c r="B22" s="1464" t="n"/>
      <c r="C22" s="1464" t="n"/>
      <c r="D22" s="1678" t="n"/>
      <c r="E22" s="1464" t="n"/>
      <c r="F22" s="2278" t="inlineStr">
        <is>
          <t>←Change</t>
        </is>
      </c>
      <c r="G22" s="1373" t="n"/>
      <c r="H22" s="1560" t="n"/>
      <c r="I22" s="1560" t="n"/>
      <c r="J22" s="1560" t="n"/>
      <c r="K22" s="1560" t="n"/>
      <c r="L22" s="1560" t="n"/>
      <c r="M22" s="1560" t="n"/>
    </row>
    <row r="23" ht="5.25" customHeight="1" s="1449">
      <c r="B23" s="1560" t="n"/>
      <c r="C23" s="1560" t="n"/>
      <c r="D23" s="1560" t="n"/>
      <c r="E23" s="1560" t="n"/>
      <c r="F23" s="1560" t="n"/>
      <c r="G23" s="1560" t="n"/>
      <c r="H23" s="1560" t="n"/>
      <c r="I23" s="1560" t="n"/>
      <c r="J23" s="1560" t="n"/>
      <c r="K23" s="1560" t="n"/>
      <c r="L23" s="1560" t="n"/>
      <c r="M23" s="1560" t="n"/>
    </row>
    <row r="24">
      <c r="A24" s="1549" t="inlineStr">
        <is>
          <t>EXPENSES IN TIME OF VACANCY</t>
        </is>
      </c>
      <c r="F24" s="1560" t="n"/>
      <c r="G24" s="1560" t="n"/>
      <c r="H24" s="1560" t="n"/>
      <c r="I24" s="1560" t="n"/>
      <c r="J24" s="1560" t="n"/>
      <c r="K24" s="1560" t="n"/>
      <c r="L24" s="1560" t="n"/>
      <c r="M24" s="1560" t="n"/>
    </row>
    <row r="25">
      <c r="A25" s="932" t="inlineStr">
        <is>
          <t>Expense</t>
        </is>
      </c>
      <c r="B25" s="932" t="n"/>
      <c r="C25" s="933" t="inlineStr">
        <is>
          <t>PSF</t>
        </is>
      </c>
      <c r="D25" s="1670" t="inlineStr">
        <is>
          <t>Total</t>
        </is>
      </c>
      <c r="E25" s="1464" t="n"/>
      <c r="F25" s="1560" t="n"/>
      <c r="G25" s="1560" t="n"/>
      <c r="M25" s="1560" t="n"/>
    </row>
    <row r="26">
      <c r="A26" s="1560" t="inlineStr">
        <is>
          <t>Real Estate Taxes</t>
        </is>
      </c>
      <c r="B26" s="1560" t="n"/>
      <c r="C26" s="2279">
        <f>D26/$B$11</f>
        <v/>
      </c>
      <c r="D26" s="2280" t="n"/>
      <c r="E26" s="1477" t="n"/>
      <c r="F26" s="2281" t="inlineStr">
        <is>
          <t>←</t>
        </is>
      </c>
      <c r="G26" s="1560" t="inlineStr">
        <is>
          <t xml:space="preserve">Actual </t>
        </is>
      </c>
      <c r="M26" s="1560" t="n"/>
      <c r="N26" s="1560" t="n"/>
      <c r="O26" s="1560" t="n"/>
    </row>
    <row r="27">
      <c r="A27" s="1560" t="inlineStr">
        <is>
          <t>Insurance</t>
        </is>
      </c>
      <c r="B27" s="1560" t="n"/>
      <c r="C27" s="2282" t="n"/>
      <c r="D27" s="2283">
        <f>C27*$B$2</f>
        <v/>
      </c>
      <c r="F27" s="936" t="inlineStr">
        <is>
          <t>←</t>
        </is>
      </c>
      <c r="G27" s="1560" t="inlineStr">
        <is>
          <t>Estimated</t>
        </is>
      </c>
      <c r="H27" s="1560" t="n"/>
      <c r="I27" s="1560" t="n"/>
      <c r="J27" s="1560" t="n"/>
      <c r="K27" s="1560" t="n"/>
      <c r="L27" s="1560" t="n"/>
      <c r="M27" s="1560" t="n"/>
      <c r="N27" s="1560" t="n"/>
      <c r="O27" s="1560" t="n"/>
    </row>
    <row r="28">
      <c r="A28" s="937" t="inlineStr">
        <is>
          <t>Utilities</t>
        </is>
      </c>
      <c r="B28" s="1560" t="n"/>
      <c r="C28" s="2282" t="n"/>
      <c r="D28" s="2283">
        <f>C28*$B$2</f>
        <v/>
      </c>
      <c r="F28" s="936" t="inlineStr">
        <is>
          <t>←</t>
        </is>
      </c>
      <c r="G28" s="1560" t="inlineStr">
        <is>
          <t>Estimated</t>
        </is>
      </c>
      <c r="H28" s="1560" t="n"/>
      <c r="I28" s="1560" t="n"/>
      <c r="J28" s="1560" t="n"/>
      <c r="K28" s="1560" t="n"/>
      <c r="L28" s="1560" t="n"/>
      <c r="M28" s="1560" t="n"/>
      <c r="N28" s="1560" t="n"/>
      <c r="O28" s="1560" t="n"/>
    </row>
    <row r="29">
      <c r="A29" s="937" t="inlineStr">
        <is>
          <t>CAM Repairs and Maintenance</t>
        </is>
      </c>
      <c r="B29" s="1560" t="n"/>
      <c r="C29" s="2282" t="n"/>
      <c r="D29" s="2283">
        <f>C29*$B$2</f>
        <v/>
      </c>
      <c r="F29" s="936" t="inlineStr">
        <is>
          <t>←</t>
        </is>
      </c>
      <c r="G29" s="1560" t="inlineStr">
        <is>
          <t>Estimated</t>
        </is>
      </c>
      <c r="H29" s="1560" t="n"/>
      <c r="I29" s="1560" t="n"/>
      <c r="J29" s="1560" t="n"/>
      <c r="K29" s="1560" t="n"/>
      <c r="L29" s="1560" t="n"/>
      <c r="M29" s="1560" t="n"/>
      <c r="N29" s="1560" t="n"/>
      <c r="O29" s="1560" t="n"/>
    </row>
    <row r="30">
      <c r="A30" s="937" t="inlineStr">
        <is>
          <t>Management</t>
        </is>
      </c>
      <c r="B30" s="1560" t="n"/>
      <c r="C30" s="2279">
        <f>D30/$B$11</f>
        <v/>
      </c>
      <c r="D30" s="2284">
        <f>D42*0.03</f>
        <v/>
      </c>
      <c r="E30" s="1464" t="n"/>
      <c r="F30" s="936" t="inlineStr">
        <is>
          <t>←</t>
        </is>
      </c>
      <c r="G30" s="1560" t="inlineStr">
        <is>
          <t>3% EGI</t>
        </is>
      </c>
      <c r="H30" s="1560" t="n"/>
      <c r="I30" s="1560" t="n"/>
      <c r="J30" s="1560" t="n"/>
      <c r="K30" s="1560" t="n"/>
      <c r="L30" s="1560" t="n"/>
      <c r="M30" s="1560" t="n"/>
      <c r="N30" s="1560" t="n"/>
      <c r="O30" s="1560" t="n"/>
    </row>
    <row r="31">
      <c r="A31" s="938" t="inlineStr">
        <is>
          <t>Total</t>
        </is>
      </c>
      <c r="B31" s="938" t="n"/>
      <c r="C31" s="2285">
        <f>D31/B2</f>
        <v/>
      </c>
      <c r="D31" s="2286">
        <f>SUM(D26:E30)</f>
        <v/>
      </c>
      <c r="E31" s="1609" t="n"/>
      <c r="F31" s="1560" t="n"/>
      <c r="G31" s="1560" t="n"/>
      <c r="H31" s="2287" t="n"/>
      <c r="I31" s="1560" t="n"/>
      <c r="J31" s="1560" t="n"/>
      <c r="K31" s="1560" t="n"/>
      <c r="L31" s="1560" t="n"/>
      <c r="M31" s="1560" t="n"/>
      <c r="N31" s="1560" t="n"/>
      <c r="O31" s="1560" t="n"/>
    </row>
    <row r="32">
      <c r="A32" s="1560" t="inlineStr">
        <is>
          <t>Multiplied by Vacancy Factor of</t>
        </is>
      </c>
      <c r="B32" s="941">
        <f>D22</f>
        <v/>
      </c>
      <c r="C32" s="2288">
        <f>$B$41*C31</f>
        <v/>
      </c>
      <c r="D32" s="2289">
        <f>$B$41*D31</f>
        <v/>
      </c>
      <c r="E32" s="1609" t="n"/>
      <c r="F32" s="1560" t="n"/>
      <c r="G32" s="1560" t="n"/>
      <c r="H32" s="1560" t="n"/>
      <c r="I32" s="1560" t="n"/>
      <c r="J32" s="1560" t="n"/>
      <c r="K32" s="1560" t="n"/>
      <c r="L32" s="1560" t="n"/>
      <c r="M32" s="1560" t="n"/>
      <c r="N32" s="1560" t="n"/>
      <c r="O32" s="1560" t="n"/>
    </row>
    <row r="33">
      <c r="A33" s="943" t="inlineStr">
        <is>
          <t>Divided by EGI</t>
        </is>
      </c>
      <c r="B33" s="943" t="n"/>
      <c r="C33" s="944" t="n"/>
      <c r="D33" s="1674">
        <f>D32/D42</f>
        <v/>
      </c>
      <c r="E33" s="1609" t="n"/>
      <c r="F33" s="1560" t="n"/>
      <c r="G33" s="1560" t="n"/>
      <c r="H33" s="1560" t="n"/>
      <c r="I33" s="1560" t="n"/>
      <c r="J33" s="1560" t="n"/>
      <c r="K33" s="1560" t="n"/>
      <c r="L33" s="1560" t="n"/>
      <c r="M33" s="1560" t="n"/>
      <c r="N33" s="1560" t="n"/>
      <c r="O33" s="1560" t="n"/>
    </row>
    <row r="34" ht="7.5" customHeight="1" s="1449">
      <c r="B34" s="1560" t="n"/>
      <c r="C34" s="1560" t="n"/>
      <c r="D34" s="1560" t="n"/>
      <c r="E34" s="1560" t="n"/>
      <c r="F34" s="1560" t="n"/>
      <c r="G34" s="1560" t="n"/>
      <c r="H34" s="1560" t="n"/>
      <c r="I34" s="1560" t="n"/>
      <c r="J34" s="1560" t="n"/>
      <c r="K34" s="1560" t="n"/>
      <c r="L34" s="1560" t="n"/>
      <c r="M34" s="1560" t="n"/>
      <c r="N34" s="1560" t="n"/>
      <c r="O34" s="1560" t="n"/>
    </row>
    <row r="35">
      <c r="A35" s="1671" t="inlineStr">
        <is>
          <t>PRO FORMA OPERATING STATEMENT</t>
        </is>
      </c>
      <c r="F35" s="1560" t="n"/>
      <c r="G35" s="1560" t="n"/>
      <c r="H35" s="1560" t="n"/>
      <c r="I35" s="1560" t="n"/>
      <c r="J35" s="1560" t="n"/>
      <c r="K35" s="1560" t="n"/>
      <c r="L35" s="1560" t="n"/>
      <c r="M35" s="1560" t="n"/>
      <c r="N35" s="1560" t="n"/>
      <c r="O35" s="1560" t="n"/>
    </row>
    <row r="36" ht="30" customHeight="1" s="1449">
      <c r="A36" s="917" t="inlineStr">
        <is>
          <t>Category</t>
        </is>
      </c>
      <c r="B36" s="917" t="n"/>
      <c r="C36" s="1628" t="inlineStr">
        <is>
          <t>Projected Expenses</t>
        </is>
      </c>
      <c r="D36" s="945" t="inlineStr">
        <is>
          <t>Projected Income</t>
        </is>
      </c>
      <c r="E36" s="1628" t="inlineStr">
        <is>
          <t>PSF</t>
        </is>
      </c>
      <c r="F36" s="1560" t="n"/>
      <c r="G36" s="1560" t="n"/>
      <c r="H36" s="1560" t="n"/>
      <c r="I36" s="1560" t="n"/>
      <c r="J36" s="1560" t="n"/>
      <c r="K36" s="1560" t="n"/>
      <c r="L36" s="1560" t="n"/>
      <c r="M36" s="1560" t="n"/>
      <c r="N36" s="1560" t="n"/>
      <c r="O36" s="1560" t="n"/>
    </row>
    <row r="37">
      <c r="A37" s="946" t="inlineStr">
        <is>
          <t>Potential Gross Rental Income (PGRI)</t>
        </is>
      </c>
      <c r="B37" s="947" t="n"/>
      <c r="C37" s="948" t="n"/>
      <c r="D37" s="2290">
        <f>+D11</f>
        <v/>
      </c>
      <c r="E37" s="2291">
        <f>+D37/$B$2</f>
        <v/>
      </c>
      <c r="F37" s="1560" t="n"/>
      <c r="G37" s="1560" t="n"/>
      <c r="H37" s="1560" t="n"/>
      <c r="I37" s="1560" t="n"/>
      <c r="J37" s="2292" t="n"/>
      <c r="K37" s="1560" t="n"/>
      <c r="L37" s="1560" t="n"/>
      <c r="M37" s="1560" t="n"/>
      <c r="N37" s="1560" t="n"/>
      <c r="O37" s="1560" t="n"/>
    </row>
    <row r="38">
      <c r="A38" s="946" t="inlineStr">
        <is>
          <t>Plus:  Other Income</t>
        </is>
      </c>
      <c r="B38" s="952" t="n"/>
      <c r="C38" s="953" t="n"/>
      <c r="D38" s="2293" t="n">
        <v>0</v>
      </c>
      <c r="E38" s="2294">
        <f>+D38/$B$2</f>
        <v/>
      </c>
      <c r="F38" s="1560" t="n"/>
      <c r="G38" s="1560" t="n"/>
      <c r="H38" s="1560" t="n"/>
      <c r="I38" s="1560" t="n"/>
      <c r="J38" s="1560" t="n"/>
      <c r="K38" s="1560" t="n"/>
      <c r="L38" s="1560" t="n"/>
      <c r="M38" s="1560" t="n"/>
      <c r="N38" s="1560" t="n"/>
      <c r="O38" s="1560" t="n"/>
    </row>
    <row r="39">
      <c r="A39" s="956" t="inlineStr">
        <is>
          <t>Plus:  Pass-Through Income</t>
        </is>
      </c>
      <c r="B39" s="957" t="n"/>
      <c r="C39" s="958" t="n"/>
      <c r="D39" s="2295" t="n">
        <v>0</v>
      </c>
      <c r="E39" s="2296">
        <f>+D39/$B$2</f>
        <v/>
      </c>
      <c r="F39" s="1560" t="n"/>
      <c r="G39" s="1560" t="n"/>
      <c r="H39" s="1560" t="n"/>
      <c r="I39" s="1560" t="n"/>
      <c r="J39" s="1560" t="n"/>
      <c r="K39" s="1560" t="n"/>
      <c r="L39" s="1560" t="n"/>
      <c r="M39" s="1560" t="n"/>
      <c r="N39" s="1560" t="n"/>
      <c r="O39" s="1560" t="n"/>
    </row>
    <row r="40">
      <c r="A40" s="961" t="inlineStr">
        <is>
          <t>Total Potential Gross Rental Income</t>
        </is>
      </c>
      <c r="B40" s="962" t="n"/>
      <c r="C40" s="963" t="n"/>
      <c r="D40" s="2297">
        <f>SUM(D37:D39)</f>
        <v/>
      </c>
      <c r="E40" s="2298">
        <f>+D40/$B$2</f>
        <v/>
      </c>
      <c r="F40" s="1560" t="n"/>
      <c r="G40" s="1560" t="n"/>
      <c r="H40" s="1560" t="n"/>
      <c r="I40" s="1560" t="n"/>
      <c r="J40" s="1560" t="n"/>
      <c r="K40" s="1560" t="n"/>
      <c r="L40" s="1560" t="n"/>
      <c r="M40" s="1560" t="n"/>
      <c r="N40" s="1560" t="n"/>
      <c r="O40" s="1560" t="n"/>
    </row>
    <row r="41">
      <c r="A41" s="946" t="inlineStr">
        <is>
          <t>Less: Market Vacancy</t>
        </is>
      </c>
      <c r="B41" s="966">
        <f>D22</f>
        <v/>
      </c>
      <c r="C41" s="2299">
        <f>+B41*D40*-1</f>
        <v/>
      </c>
      <c r="D41" s="968" t="n"/>
      <c r="E41" s="2300">
        <f>+C41/$B$2</f>
        <v/>
      </c>
      <c r="F41" s="1560" t="n"/>
      <c r="G41" s="1560" t="n"/>
      <c r="H41" s="1560" t="n"/>
      <c r="I41" s="1560" t="n"/>
      <c r="J41" s="1560" t="n"/>
      <c r="K41" s="1560" t="n"/>
      <c r="L41" s="1560" t="n"/>
      <c r="M41" s="1560" t="n"/>
      <c r="N41" s="1560" t="n"/>
      <c r="O41" s="1560" t="n"/>
    </row>
    <row r="42">
      <c r="A42" s="961" t="inlineStr">
        <is>
          <t>Effective Gross Income (EGI)</t>
        </is>
      </c>
      <c r="B42" s="962" t="n"/>
      <c r="C42" s="963" t="n"/>
      <c r="D42" s="2297">
        <f>+D40+C41</f>
        <v/>
      </c>
      <c r="E42" s="2298">
        <f>+D42/$B$2</f>
        <v/>
      </c>
      <c r="F42" s="1560" t="n"/>
      <c r="G42" s="1560" t="n"/>
      <c r="H42" s="1560" t="n"/>
      <c r="I42" s="1560" t="n"/>
      <c r="J42" s="1560" t="n"/>
      <c r="K42" s="1560" t="n"/>
      <c r="L42" s="1560" t="n"/>
      <c r="M42" s="1560" t="n"/>
      <c r="N42" s="1560" t="n"/>
      <c r="O42" s="1560" t="n"/>
    </row>
    <row r="43">
      <c r="A43" s="970" t="inlineStr">
        <is>
          <t>Fixed Expenses</t>
        </is>
      </c>
      <c r="B43" s="971" t="n"/>
      <c r="C43" s="972" t="n"/>
      <c r="D43" s="972" t="n"/>
      <c r="E43" s="972" t="n"/>
      <c r="F43" s="1560" t="n"/>
      <c r="G43" s="1560" t="n"/>
      <c r="H43" s="1560" t="n"/>
      <c r="I43" s="1560" t="n"/>
      <c r="J43" s="1560" t="n"/>
      <c r="K43" s="1560" t="n"/>
      <c r="L43" s="1560" t="n"/>
      <c r="M43" s="1560" t="n"/>
      <c r="N43" s="1560" t="n"/>
      <c r="O43" s="1560" t="n"/>
    </row>
    <row r="44">
      <c r="A44" s="973" t="inlineStr">
        <is>
          <t>Owner's Expenses</t>
        </is>
      </c>
      <c r="B44" s="974" t="n"/>
      <c r="C44" s="2301">
        <f>+B44*D42*-1</f>
        <v/>
      </c>
      <c r="D44" s="976" t="inlineStr">
        <is>
          <t> </t>
        </is>
      </c>
      <c r="E44" s="2301">
        <f>+C44/$B$2</f>
        <v/>
      </c>
      <c r="F44" s="1560" t="n"/>
      <c r="G44" s="1560" t="n"/>
      <c r="H44" s="1560" t="n"/>
      <c r="I44" s="1560" t="n"/>
      <c r="J44" s="1560" t="n"/>
      <c r="K44" s="1560" t="n"/>
      <c r="L44" s="1560" t="n"/>
      <c r="M44" s="1560" t="n"/>
      <c r="N44" s="1560" t="n"/>
      <c r="O44" s="1560" t="n"/>
    </row>
    <row r="45" ht="30" customHeight="1" s="1449">
      <c r="A45" s="956" t="inlineStr">
        <is>
          <t xml:space="preserve">Operating Expense Recovery Loss During Vacancy </t>
        </is>
      </c>
      <c r="B45" s="977">
        <f>D33</f>
        <v/>
      </c>
      <c r="C45" s="2295">
        <f>-D32</f>
        <v/>
      </c>
      <c r="D45" s="978" t="n"/>
      <c r="E45" s="2302">
        <f>+C45/$B$2</f>
        <v/>
      </c>
      <c r="F45" s="1560" t="n"/>
      <c r="G45" s="1560" t="n"/>
      <c r="H45" s="1560" t="n"/>
      <c r="I45" s="1560" t="n"/>
      <c r="J45" s="1560" t="n"/>
      <c r="K45" s="1560" t="n"/>
      <c r="L45" s="1560" t="n"/>
      <c r="M45" s="1560" t="n"/>
      <c r="N45" s="1560" t="n"/>
      <c r="O45" s="1560" t="n"/>
    </row>
    <row r="46">
      <c r="A46" s="980" t="inlineStr">
        <is>
          <t xml:space="preserve">Total Expenses </t>
        </is>
      </c>
      <c r="B46" s="980" t="n"/>
      <c r="C46" s="2303">
        <f>SUM(C44:C45)</f>
        <v/>
      </c>
      <c r="D46" s="982" t="n"/>
      <c r="E46" s="2304">
        <f>+C46/$B$2</f>
        <v/>
      </c>
      <c r="F46" s="1560" t="n"/>
      <c r="G46" s="1560" t="n"/>
      <c r="H46" s="1560" t="n"/>
      <c r="I46" s="1560" t="n"/>
      <c r="J46" s="1560" t="n"/>
      <c r="K46" s="1560" t="n"/>
      <c r="L46" s="1560" t="n"/>
      <c r="M46" s="1560" t="n"/>
      <c r="N46" s="1560" t="n"/>
      <c r="O46" s="1560" t="n"/>
    </row>
    <row r="47">
      <c r="A47" s="984" t="inlineStr">
        <is>
          <t>Net Operating Income</t>
        </is>
      </c>
      <c r="B47" s="984" t="n"/>
      <c r="C47" s="2305" t="n"/>
      <c r="D47" s="2306">
        <f>+D42+C46</f>
        <v/>
      </c>
      <c r="E47" s="2307">
        <f>+D47/$B$2</f>
        <v/>
      </c>
      <c r="F47" s="1560" t="n"/>
      <c r="G47" s="1560" t="n"/>
      <c r="H47" s="1560" t="n"/>
      <c r="I47" s="1560" t="n"/>
      <c r="J47" s="1560" t="n"/>
      <c r="K47" s="1560" t="n"/>
      <c r="L47" s="1560" t="n"/>
      <c r="M47" s="1560" t="n"/>
      <c r="N47" s="1560" t="n"/>
      <c r="O47" s="1560" t="n"/>
      <c r="S47" s="1560" t="inlineStr">
        <is>
          <t>Reconciled OAR</t>
        </is>
      </c>
      <c r="T47" s="988" t="n"/>
      <c r="U47" s="914" t="inlineStr">
        <is>
          <t>←</t>
        </is>
      </c>
    </row>
    <row r="48" ht="8.25" customHeight="1" s="1449">
      <c r="B48" s="1560" t="n"/>
      <c r="C48" s="1560" t="n"/>
      <c r="D48" s="1560" t="n"/>
      <c r="E48" s="1560" t="n"/>
      <c r="F48" s="1560" t="n"/>
      <c r="G48" s="1560" t="n"/>
      <c r="H48" s="1560" t="n"/>
      <c r="I48" s="1560" t="n"/>
      <c r="J48" s="1560" t="n"/>
      <c r="K48" s="1560" t="n"/>
      <c r="L48" s="1560" t="n"/>
      <c r="M48" s="1560" t="n"/>
      <c r="N48" s="1560" t="n"/>
      <c r="O48" s="1560" t="n"/>
      <c r="S48" s="1560" t="inlineStr">
        <is>
          <t>Sensitivity</t>
        </is>
      </c>
      <c r="T48" s="988" t="n">
        <v>0.0025</v>
      </c>
      <c r="U48" s="914" t="inlineStr">
        <is>
          <t>←</t>
        </is>
      </c>
    </row>
    <row r="49">
      <c r="A49" s="1549" t="inlineStr">
        <is>
          <t>Third Party Surveys - Capitalization Rates</t>
        </is>
      </c>
      <c r="F49" s="1560" t="n"/>
      <c r="G49" s="1560" t="n"/>
      <c r="H49" s="1560" t="n"/>
      <c r="I49" s="1560" t="n"/>
      <c r="J49" s="1560" t="n"/>
      <c r="K49" s="1560" t="n"/>
      <c r="L49" s="1560" t="n"/>
      <c r="M49" s="1560" t="n"/>
      <c r="N49" s="1560" t="n"/>
      <c r="O49" s="1560" t="n"/>
    </row>
    <row r="50">
      <c r="A50" s="989" t="inlineStr">
        <is>
          <t>Category</t>
        </is>
      </c>
      <c r="B50" s="1664" t="n"/>
      <c r="C50" s="1664" t="inlineStr">
        <is>
          <t>CoStar</t>
        </is>
      </c>
      <c r="D50" s="1664" t="inlineStr">
        <is>
          <t>CoStar</t>
        </is>
      </c>
      <c r="E50" s="1664" t="n"/>
      <c r="F50" s="1560" t="n"/>
      <c r="G50" s="1560" t="n"/>
      <c r="H50" s="1560" t="n"/>
      <c r="I50" s="1560" t="n"/>
      <c r="J50" s="1560" t="n"/>
      <c r="K50" s="1560" t="n"/>
      <c r="L50" s="1560" t="n"/>
      <c r="M50" s="1560" t="n"/>
      <c r="N50" s="1560" t="n"/>
      <c r="O50" s="1560" t="n"/>
      <c r="S50" s="1685" t="inlineStr">
        <is>
          <t>Value Indications</t>
        </is>
      </c>
      <c r="T50" s="1686" t="n"/>
      <c r="U50" s="1686" t="n"/>
      <c r="V50" s="1687" t="n"/>
    </row>
    <row r="51" ht="30" customHeight="1" s="1449">
      <c r="A51" s="991" t="inlineStr">
        <is>
          <t>Date of Survey</t>
        </is>
      </c>
      <c r="B51" s="992" t="n"/>
      <c r="C51" s="1374" t="inlineStr">
        <is>
          <t>01/01/2019-06/30/2020</t>
        </is>
      </c>
      <c r="D51" s="1374" t="inlineStr">
        <is>
          <t>01/01/2019-06/30/2020</t>
        </is>
      </c>
      <c r="E51" s="993" t="n"/>
      <c r="F51" s="1560" t="n"/>
      <c r="G51" s="1560" t="n"/>
      <c r="H51" s="1560" t="n"/>
      <c r="I51" s="1560" t="n"/>
      <c r="J51" s="1560" t="n"/>
      <c r="K51" s="1560" t="n"/>
      <c r="L51" s="1560" t="n"/>
      <c r="M51" s="1560" t="n"/>
      <c r="N51" s="1560" t="n"/>
      <c r="O51" s="1560" t="n"/>
      <c r="S51" s="994" t="inlineStr">
        <is>
          <t>Category</t>
        </is>
      </c>
      <c r="T51" s="1681" t="inlineStr">
        <is>
          <t>Value Range</t>
        </is>
      </c>
      <c r="U51" s="1682" t="n"/>
      <c r="V51" s="1683" t="n"/>
    </row>
    <row r="52" ht="30" customHeight="1" s="1449">
      <c r="A52" s="991" t="inlineStr">
        <is>
          <t>Market</t>
        </is>
      </c>
      <c r="B52" s="995" t="n"/>
      <c r="C52" s="1375" t="inlineStr">
        <is>
          <t>Denver CBSA</t>
        </is>
      </c>
      <c r="D52" s="1375" t="inlineStr">
        <is>
          <t>Adams County</t>
        </is>
      </c>
      <c r="E52" s="993" t="n"/>
      <c r="F52" s="1560" t="n"/>
      <c r="G52" s="1560" t="n"/>
      <c r="H52" s="1560" t="n"/>
      <c r="I52" s="1560" t="n"/>
      <c r="J52" s="1560" t="n"/>
      <c r="K52" s="1560" t="n"/>
      <c r="L52" s="1560" t="n"/>
      <c r="M52" s="1560" t="n"/>
      <c r="N52" s="1560" t="n"/>
      <c r="O52" s="1560" t="n"/>
      <c r="S52" s="996" t="inlineStr">
        <is>
          <t>Net Operating Income</t>
        </is>
      </c>
      <c r="T52" s="2308">
        <f>+$D$47</f>
        <v/>
      </c>
      <c r="U52" s="2308">
        <f>+$D$47</f>
        <v/>
      </c>
      <c r="V52" s="2309">
        <f>+$D$47</f>
        <v/>
      </c>
    </row>
    <row r="53" ht="30" customHeight="1" s="1449">
      <c r="A53" s="991" t="inlineStr">
        <is>
          <t>Property Type</t>
        </is>
      </c>
      <c r="B53" s="999" t="n"/>
      <c r="C53" s="1374" t="inlineStr">
        <is>
          <t>Industrial/Flex</t>
        </is>
      </c>
      <c r="D53" s="1376" t="inlineStr">
        <is>
          <t>Industrial/Flex</t>
        </is>
      </c>
      <c r="E53" s="993" t="n"/>
      <c r="F53" s="1560" t="n"/>
      <c r="G53" s="1560" t="n"/>
      <c r="H53" s="1560" t="n"/>
      <c r="I53" s="1560" t="n"/>
      <c r="J53" s="1560" t="n"/>
      <c r="K53" s="1560" t="n"/>
      <c r="L53" s="1560" t="n"/>
      <c r="M53" s="1560" t="n"/>
      <c r="N53" s="1560" t="n"/>
      <c r="O53" s="1560" t="n"/>
      <c r="S53" s="1000" t="inlineStr">
        <is>
          <t>Capitalization Rate</t>
        </is>
      </c>
      <c r="T53" s="1001">
        <f>U53-T48</f>
        <v/>
      </c>
      <c r="U53" s="1001">
        <f>T47</f>
        <v/>
      </c>
      <c r="V53" s="1002">
        <f>U53+T48</f>
        <v/>
      </c>
    </row>
    <row r="54">
      <c r="A54" s="1003" t="inlineStr">
        <is>
          <t>Range Average</t>
        </is>
      </c>
      <c r="B54" s="1004" t="n"/>
      <c r="C54" s="1005" t="n"/>
      <c r="D54" s="1004" t="n"/>
      <c r="E54" s="1003" t="n"/>
      <c r="F54" s="2278" t="inlineStr">
        <is>
          <t>←Change</t>
        </is>
      </c>
      <c r="G54" s="1296" t="n"/>
      <c r="H54" s="1560" t="n"/>
      <c r="I54" s="1560" t="n"/>
      <c r="J54" s="1560" t="n"/>
      <c r="K54" s="1560" t="n"/>
      <c r="L54" s="1560" t="n"/>
      <c r="M54" s="1560" t="n"/>
      <c r="N54" s="1560" t="n"/>
      <c r="O54" s="1560" t="n"/>
      <c r="S54" s="1006" t="inlineStr">
        <is>
          <t>Value Indication</t>
        </is>
      </c>
      <c r="T54" s="2310">
        <f>+T52/T53</f>
        <v/>
      </c>
      <c r="U54" s="2310">
        <f>+U52/U53</f>
        <v/>
      </c>
      <c r="V54" s="2311">
        <f>+V52/V53</f>
        <v/>
      </c>
    </row>
    <row r="55">
      <c r="A55" s="1009" t="inlineStr">
        <is>
          <t>Average</t>
        </is>
      </c>
      <c r="B55" s="1010" t="n"/>
      <c r="C55" s="1011" t="n"/>
      <c r="D55" s="1010" t="n"/>
      <c r="E55" s="1012" t="n"/>
      <c r="F55" s="2278" t="inlineStr">
        <is>
          <t>←Change</t>
        </is>
      </c>
      <c r="G55" s="1296" t="n"/>
      <c r="H55" s="1560" t="n"/>
      <c r="I55" s="1560" t="n"/>
      <c r="J55" s="1560" t="n"/>
      <c r="K55" s="1560" t="n"/>
      <c r="L55" s="1560" t="n"/>
      <c r="M55" s="1560" t="n"/>
      <c r="N55" s="1560" t="n"/>
      <c r="O55" s="1560" t="n"/>
      <c r="S55" s="1013" t="inlineStr">
        <is>
          <t>Rounded</t>
        </is>
      </c>
      <c r="T55" s="2312">
        <f>MROUND(T54,5000)</f>
        <v/>
      </c>
      <c r="U55" s="2312">
        <f>MROUND(U54,5000)</f>
        <v/>
      </c>
      <c r="V55" s="2313">
        <f>MROUND(V54,5000)</f>
        <v/>
      </c>
    </row>
    <row r="56">
      <c r="A56" s="1016" t="inlineStr">
        <is>
          <t>Capitalization Rate Conclusion</t>
        </is>
      </c>
      <c r="B56" s="1017" t="n"/>
      <c r="C56" s="1018" t="n"/>
      <c r="D56" s="1377" t="n"/>
      <c r="E56" s="1019" t="n"/>
      <c r="F56" s="1020">
        <f>D56*100</f>
        <v/>
      </c>
      <c r="G56" s="1560" t="n"/>
      <c r="H56" s="1560" t="n"/>
      <c r="I56" s="1560" t="n"/>
      <c r="J56" s="1560" t="n"/>
      <c r="K56" s="1560" t="n"/>
      <c r="L56" s="1560" t="n"/>
      <c r="M56" s="1560" t="n"/>
      <c r="N56" s="1560" t="n"/>
      <c r="O56" s="1560" t="n"/>
      <c r="S56" s="1021" t="n"/>
      <c r="T56" s="2314" t="n"/>
      <c r="U56" s="2314" t="n"/>
      <c r="V56" s="2314" t="n"/>
    </row>
    <row r="57" ht="6.75" customHeight="1" s="1449">
      <c r="A57" s="1023" t="n"/>
      <c r="B57" s="1024" t="n"/>
      <c r="C57" s="1025" t="n"/>
      <c r="D57" s="1024" t="n"/>
      <c r="E57" s="1026" t="n"/>
      <c r="F57" s="362" t="n"/>
      <c r="G57" s="1560" t="n"/>
      <c r="H57" s="1560" t="n"/>
      <c r="I57" s="1560" t="n"/>
      <c r="J57" s="1560" t="n"/>
      <c r="K57" s="1560" t="n"/>
      <c r="L57" s="1560" t="n"/>
      <c r="M57" s="1560" t="n"/>
      <c r="N57" s="1560" t="n"/>
      <c r="O57" s="1560" t="n"/>
      <c r="S57" s="1021" t="n"/>
      <c r="T57" s="2314" t="n"/>
      <c r="U57" s="2314" t="n"/>
      <c r="V57" s="2314" t="n"/>
    </row>
    <row r="58">
      <c r="A58" s="1676" t="inlineStr">
        <is>
          <t>DIRECT CAPITALIZATION METHOD VALUE CONCLUSION</t>
        </is>
      </c>
      <c r="B58" s="1464" t="n"/>
      <c r="C58" s="1464" t="n"/>
      <c r="D58" s="1464" t="n"/>
      <c r="E58" s="1464" t="n"/>
      <c r="F58" s="1560" t="n"/>
      <c r="G58" s="1560" t="n"/>
      <c r="H58" s="1560" t="n"/>
      <c r="I58" s="1560" t="n"/>
      <c r="J58" s="1560" t="n"/>
      <c r="K58" s="1560" t="n"/>
      <c r="L58" s="1560" t="n"/>
      <c r="M58" s="1560" t="n"/>
      <c r="N58" s="1560" t="n"/>
      <c r="O58" s="1560" t="n"/>
      <c r="T58" s="1560" t="inlineStr">
        <is>
          <t>psf</t>
        </is>
      </c>
      <c r="U58" s="2287">
        <f>U55/B2</f>
        <v/>
      </c>
    </row>
    <row r="59">
      <c r="A59" s="1027" t="inlineStr">
        <is>
          <t>Net Operating Income (NOI)</t>
        </is>
      </c>
      <c r="B59" s="1027" t="n"/>
      <c r="C59" s="2315">
        <f>D47</f>
        <v/>
      </c>
      <c r="D59" s="2316">
        <f>C59/B2</f>
        <v/>
      </c>
      <c r="E59" s="1609" t="n"/>
      <c r="F59" s="1560" t="n"/>
      <c r="G59" s="1560" t="n"/>
      <c r="H59" s="1560" t="n"/>
      <c r="I59" s="1560" t="n"/>
      <c r="J59" s="1560" t="n"/>
      <c r="K59" s="1560" t="n"/>
      <c r="L59" s="1560" t="n"/>
      <c r="M59" s="1560" t="n"/>
      <c r="N59" s="1560" t="n"/>
      <c r="O59" s="1560" t="n"/>
    </row>
    <row r="60">
      <c r="A60" s="2317" t="n">
        <v>0.0025</v>
      </c>
      <c r="B60" s="2317" t="n"/>
      <c r="C60" s="1696" t="inlineStr">
        <is>
          <t>Value</t>
        </is>
      </c>
      <c r="D60" s="1696" t="inlineStr">
        <is>
          <t>$/SF</t>
        </is>
      </c>
      <c r="E60" s="1609" t="n"/>
      <c r="F60" s="1560" t="n"/>
      <c r="G60" s="1560" t="n"/>
      <c r="H60" s="1560" t="n"/>
      <c r="I60" s="1560" t="n"/>
      <c r="J60" s="1560" t="n"/>
      <c r="K60" s="1560" t="n"/>
      <c r="L60" s="1560" t="n"/>
      <c r="M60" s="1560" t="n"/>
      <c r="N60" s="1560" t="n"/>
      <c r="O60" s="1560" t="n"/>
    </row>
    <row r="61">
      <c r="A61" s="2318">
        <f>A72</f>
        <v/>
      </c>
      <c r="B61" s="2318" t="n"/>
      <c r="C61" s="2033">
        <f>C59/(D56-0.0025)</f>
        <v/>
      </c>
      <c r="D61" s="2319">
        <f>C61/B2</f>
        <v/>
      </c>
      <c r="E61" s="1477" t="n"/>
      <c r="F61" s="1560" t="n"/>
      <c r="G61" s="1560" t="n"/>
      <c r="H61" s="1560" t="n"/>
      <c r="I61" s="1560" t="n"/>
      <c r="J61" s="1560" t="n"/>
      <c r="K61" s="1560" t="n"/>
      <c r="L61" s="1560" t="n"/>
      <c r="M61" s="1560" t="n"/>
      <c r="N61" s="1560" t="n"/>
      <c r="O61" s="1560" t="n"/>
    </row>
    <row r="62">
      <c r="A62" s="2320">
        <f>A70</f>
        <v/>
      </c>
      <c r="B62" s="2321" t="n"/>
      <c r="C62" s="2033">
        <f>C59/D56</f>
        <v/>
      </c>
      <c r="D62" s="2322">
        <f>C62/B2</f>
        <v/>
      </c>
      <c r="F62" s="1560" t="n"/>
      <c r="G62" s="1560" t="n"/>
      <c r="H62" s="1560" t="n"/>
      <c r="I62" s="1560" t="n"/>
      <c r="J62" s="1560" t="n"/>
      <c r="K62" s="1560" t="n"/>
      <c r="L62" s="1560" t="n"/>
      <c r="M62" s="1560" t="n"/>
      <c r="N62" s="1560" t="n"/>
      <c r="O62" s="1560" t="n"/>
    </row>
    <row r="63">
      <c r="A63" s="2323">
        <f>A71</f>
        <v/>
      </c>
      <c r="B63" s="2323" t="n"/>
      <c r="C63" s="2033">
        <f>C59/(D56+0.0025)</f>
        <v/>
      </c>
      <c r="D63" s="2324">
        <f>C63/B2</f>
        <v/>
      </c>
      <c r="E63" s="1464" t="n"/>
      <c r="F63" s="1560" t="n"/>
      <c r="G63" s="1560" t="n"/>
      <c r="H63" s="1560" t="n"/>
      <c r="I63" s="1560" t="n"/>
      <c r="J63" s="1560" t="n"/>
      <c r="K63" s="1560" t="n"/>
      <c r="L63" s="1560" t="n"/>
      <c r="M63" s="1560" t="n"/>
      <c r="N63" s="1560" t="n"/>
      <c r="O63" s="1560" t="n"/>
    </row>
    <row r="64">
      <c r="A64" s="899" t="inlineStr">
        <is>
          <t>Reconciled Value</t>
        </is>
      </c>
      <c r="B64" s="899" t="n"/>
      <c r="C64" s="2036">
        <f>C62</f>
        <v/>
      </c>
      <c r="D64" s="2325">
        <f>C64/B2</f>
        <v/>
      </c>
      <c r="E64" s="1609" t="n"/>
      <c r="F64" s="1560" t="n"/>
      <c r="G64" s="1560" t="n"/>
      <c r="H64" s="1560" t="n"/>
      <c r="I64" s="1560" t="n"/>
      <c r="J64" s="1560" t="n"/>
      <c r="K64" s="1560" t="n"/>
      <c r="L64" s="1560" t="n"/>
      <c r="M64" s="1560" t="n"/>
      <c r="N64" s="1560" t="n"/>
      <c r="O64" s="1560" t="n"/>
    </row>
    <row r="65">
      <c r="A65" s="2326" t="n">
        <v>5000</v>
      </c>
      <c r="B65" s="2327" t="n"/>
      <c r="C65" s="2328">
        <f>ROUND((C64/A65),0)*A65</f>
        <v/>
      </c>
      <c r="D65" s="2329">
        <f>C65/B2</f>
        <v/>
      </c>
      <c r="E65" s="1609" t="n"/>
      <c r="F65" s="1560" t="n"/>
      <c r="G65" s="1560" t="n"/>
      <c r="H65" s="1560" t="n"/>
      <c r="I65" s="1560" t="n"/>
      <c r="J65" s="1560" t="n"/>
      <c r="K65" s="1560" t="n"/>
      <c r="L65" s="1560" t="n"/>
      <c r="M65" s="1560" t="n"/>
      <c r="N65" s="1560" t="n"/>
      <c r="O65" s="1560" t="n"/>
    </row>
    <row r="66">
      <c r="B66" s="1560" t="n"/>
      <c r="C66" s="1560" t="n"/>
      <c r="D66" s="1560" t="n"/>
      <c r="E66" s="1560" t="n"/>
      <c r="F66" s="1560" t="n"/>
      <c r="G66" s="1560" t="n"/>
      <c r="H66" s="1560" t="n"/>
      <c r="I66" s="1560" t="n"/>
      <c r="J66" s="1560" t="n"/>
      <c r="K66" s="1560" t="n"/>
      <c r="L66" s="1560" t="n"/>
      <c r="M66" s="1560" t="n"/>
      <c r="N66" s="1560" t="n"/>
      <c r="O66" s="1560" t="n"/>
    </row>
    <row r="67">
      <c r="B67" s="1560" t="n"/>
      <c r="C67" s="1560" t="n"/>
      <c r="D67" s="1560" t="n"/>
      <c r="E67" s="1560" t="n"/>
      <c r="F67" s="1560" t="n"/>
      <c r="G67" s="1560" t="n"/>
      <c r="H67" s="1560" t="n"/>
      <c r="I67" s="1560" t="n"/>
      <c r="J67" s="1560" t="n"/>
      <c r="K67" s="1560" t="n"/>
      <c r="L67" s="1560" t="n"/>
      <c r="M67" s="1560" t="n"/>
      <c r="N67" s="1560" t="n"/>
      <c r="O67" s="1560" t="n"/>
    </row>
    <row r="68">
      <c r="B68" s="1560" t="n"/>
      <c r="C68" s="1560" t="n"/>
      <c r="D68" s="1560" t="n"/>
      <c r="E68" s="1560" t="n"/>
      <c r="F68" s="1560" t="n"/>
      <c r="G68" s="1560" t="n"/>
      <c r="H68" s="1560" t="n"/>
      <c r="I68" s="1560" t="n"/>
      <c r="J68" s="1560" t="n"/>
      <c r="K68" s="1560" t="n"/>
      <c r="L68" s="1560" t="n"/>
      <c r="M68" s="1560" t="n"/>
      <c r="N68" s="1560" t="n"/>
      <c r="O68" s="1560" t="n"/>
    </row>
    <row r="69" ht="15.75" customHeight="1" s="1449" thickBot="1">
      <c r="A69" s="1560" t="inlineStr">
        <is>
          <t>Do not overwright</t>
        </is>
      </c>
      <c r="B69" s="1560" t="n"/>
      <c r="C69" s="1560" t="n"/>
      <c r="D69" s="1560" t="n"/>
      <c r="E69" s="1560" t="n"/>
      <c r="F69" s="1560" t="n"/>
      <c r="G69" s="1560" t="n"/>
      <c r="H69" s="1560" t="n"/>
      <c r="I69" s="1560" t="n"/>
      <c r="J69" s="1560" t="n"/>
      <c r="K69" s="1560" t="n"/>
      <c r="L69" s="1560" t="n"/>
      <c r="M69" s="1560" t="n"/>
      <c r="N69" s="1560" t="n"/>
      <c r="O69" s="1560" t="n"/>
    </row>
    <row r="70">
      <c r="A70" s="1378">
        <f>CONCATENATE("Based on Most Probable Range of ", FIXED(F56, 2), "%")</f>
        <v/>
      </c>
      <c r="B70" s="1560" t="n"/>
      <c r="C70" s="1560" t="n"/>
      <c r="D70" s="1560" t="n"/>
      <c r="E70" s="1560" t="n"/>
      <c r="F70" s="1560" t="n"/>
      <c r="G70" s="1560" t="n"/>
      <c r="H70" s="1560" t="n"/>
      <c r="I70" s="1560" t="n"/>
      <c r="J70" s="1560" t="n"/>
      <c r="K70" s="1560" t="n"/>
      <c r="L70" s="1560" t="n"/>
      <c r="M70" s="1560" t="n"/>
      <c r="N70" s="1560" t="n"/>
      <c r="O70" s="1560" t="n"/>
    </row>
    <row r="71">
      <c r="A71" s="1379">
        <f>CONCATENATE("Based on High-Range of ", FIXED(F56+0.25, 2), "%")</f>
        <v/>
      </c>
      <c r="B71" s="1560" t="n"/>
      <c r="C71" s="1560" t="n"/>
      <c r="D71" s="1560" t="n"/>
      <c r="E71" s="1560" t="n"/>
      <c r="F71" s="1560" t="n"/>
      <c r="G71" s="1560" t="n"/>
      <c r="H71" s="1560" t="n"/>
      <c r="I71" s="1560" t="n"/>
      <c r="J71" s="1560" t="n"/>
      <c r="K71" s="1560" t="n"/>
      <c r="L71" s="1560" t="n"/>
      <c r="M71" s="1560" t="n"/>
      <c r="N71" s="1560" t="n"/>
      <c r="O71" s="1560" t="n"/>
    </row>
    <row r="72" ht="15.75" customHeight="1" s="1449" thickBot="1">
      <c r="A72" s="1380">
        <f>CONCATENATE("Based on Low-Range of ", FIXED(F56-0.25, 2), "%")</f>
        <v/>
      </c>
      <c r="B72" s="1560" t="n"/>
      <c r="C72" s="1560" t="n"/>
      <c r="D72" s="1560" t="n"/>
      <c r="E72" s="1560" t="n"/>
      <c r="F72" s="1560" t="n"/>
      <c r="G72" s="1560" t="n"/>
      <c r="H72" s="1560" t="n"/>
      <c r="I72" s="1560" t="n"/>
      <c r="J72" s="1560" t="n"/>
      <c r="K72" s="1560" t="n"/>
      <c r="L72" s="1560" t="n"/>
      <c r="M72" s="1560" t="n"/>
      <c r="N72" s="1560" t="n"/>
      <c r="O72" s="1560" t="n"/>
    </row>
    <row r="73">
      <c r="B73" s="1560" t="n"/>
      <c r="C73" s="1560" t="n"/>
      <c r="D73" s="1560" t="n"/>
      <c r="E73" s="1560" t="n"/>
      <c r="F73" s="1560" t="n"/>
      <c r="G73" s="1560" t="n"/>
      <c r="H73" s="1560" t="n"/>
      <c r="I73" s="1560" t="n"/>
      <c r="J73" s="1560" t="n"/>
      <c r="K73" s="1560" t="n"/>
      <c r="L73" s="1560" t="n"/>
      <c r="M73" s="1560" t="n"/>
      <c r="N73" s="1560" t="n"/>
      <c r="O73" s="1560" t="n"/>
    </row>
    <row r="74">
      <c r="B74" s="1560" t="n"/>
      <c r="C74" s="1560" t="n"/>
      <c r="D74" s="1560" t="n"/>
      <c r="E74" s="1560" t="n"/>
      <c r="F74" s="1560" t="n"/>
      <c r="G74" s="1560" t="n"/>
      <c r="H74" s="1560" t="n"/>
      <c r="I74" s="1560" t="n"/>
      <c r="J74" s="1560" t="n"/>
      <c r="K74" s="1560" t="n"/>
      <c r="L74" s="1560" t="n"/>
      <c r="M74" s="1560" t="n"/>
      <c r="N74" s="1560" t="n"/>
      <c r="O74" s="1560" t="n"/>
    </row>
    <row r="75">
      <c r="B75" s="1560" t="n"/>
      <c r="C75" s="1560" t="n"/>
      <c r="D75" s="1560" t="n"/>
      <c r="E75" s="1560" t="n"/>
      <c r="F75" s="1560" t="n"/>
      <c r="G75" s="1560" t="n"/>
      <c r="H75" s="1560" t="n"/>
      <c r="I75" s="1560" t="n"/>
      <c r="J75" s="1560" t="n"/>
      <c r="K75" s="1560" t="n"/>
      <c r="L75" s="1560" t="n"/>
      <c r="M75" s="1560" t="n"/>
      <c r="N75" s="1560" t="n"/>
      <c r="O75" s="1560" t="n"/>
    </row>
    <row r="76">
      <c r="B76" s="1560" t="n"/>
      <c r="C76" s="1560" t="n"/>
      <c r="D76" s="1560" t="n"/>
      <c r="E76" s="1560" t="n"/>
      <c r="F76" s="1560" t="n"/>
      <c r="G76" s="1560" t="n"/>
      <c r="H76" s="1560" t="n"/>
      <c r="I76" s="1560" t="n"/>
      <c r="J76" s="1560" t="n"/>
      <c r="K76" s="1560" t="n"/>
      <c r="L76" s="1560" t="n"/>
      <c r="M76" s="1560" t="n"/>
      <c r="N76" s="1560" t="n"/>
      <c r="O76" s="1560" t="n"/>
    </row>
    <row r="77">
      <c r="B77" s="1560" t="n"/>
      <c r="C77" s="1560" t="n"/>
      <c r="D77" s="1560" t="n"/>
      <c r="E77" s="1560" t="n"/>
      <c r="F77" s="1560" t="n"/>
      <c r="G77" s="1560" t="n"/>
      <c r="H77" s="1560" t="n"/>
      <c r="I77" s="1560" t="n"/>
      <c r="J77" s="1560" t="n"/>
      <c r="K77" s="1560" t="n"/>
      <c r="L77" s="1560" t="n"/>
      <c r="M77" s="1560" t="n"/>
      <c r="N77" s="1560" t="n"/>
      <c r="O77" s="1560" t="n"/>
    </row>
    <row r="78">
      <c r="B78" s="1560" t="n"/>
      <c r="C78" s="1560" t="n"/>
      <c r="D78" s="1560" t="n"/>
      <c r="E78" s="1560" t="n"/>
      <c r="F78" s="1560" t="n"/>
      <c r="G78" s="1560" t="n"/>
      <c r="H78" s="1560" t="n"/>
      <c r="I78" s="1560" t="n"/>
      <c r="J78" s="1560" t="n"/>
      <c r="K78" s="1560" t="n"/>
      <c r="L78" s="1560" t="n"/>
      <c r="M78" s="1560" t="n"/>
      <c r="N78" s="1560" t="n"/>
      <c r="O78" s="1560" t="n"/>
    </row>
    <row r="79">
      <c r="B79" s="1560" t="n"/>
      <c r="C79" s="1560" t="n"/>
      <c r="D79" s="1560" t="n"/>
      <c r="E79" s="1560" t="n"/>
      <c r="F79" s="1560" t="n"/>
      <c r="G79" s="1560" t="n"/>
      <c r="H79" s="1560" t="n"/>
      <c r="I79" s="1560" t="n"/>
      <c r="J79" s="1560" t="n"/>
      <c r="K79" s="1560" t="n"/>
      <c r="L79" s="1560" t="n"/>
      <c r="M79" s="1560" t="n"/>
      <c r="N79" s="1560" t="n"/>
      <c r="O79" s="1560" t="n"/>
    </row>
    <row r="80">
      <c r="B80" s="1560" t="n"/>
      <c r="C80" s="1560" t="n"/>
      <c r="D80" s="1560" t="n"/>
      <c r="E80" s="1560" t="n"/>
      <c r="F80" s="1560" t="n"/>
      <c r="G80" s="1560" t="n"/>
      <c r="H80" s="1560" t="n"/>
      <c r="I80" s="1560" t="n"/>
      <c r="J80" s="1560" t="n"/>
      <c r="K80" s="1560" t="n"/>
      <c r="L80" s="1560" t="n"/>
      <c r="M80" s="1560" t="n"/>
      <c r="N80" s="1560" t="n"/>
      <c r="O80" s="1560" t="n"/>
    </row>
    <row r="81" customFormat="1" s="1560"/>
    <row r="82" customFormat="1" s="1560"/>
    <row r="83" customFormat="1" s="1560"/>
    <row r="84" customFormat="1" s="1560"/>
    <row r="85" customFormat="1" s="1560"/>
    <row r="86" customFormat="1" s="1560"/>
    <row r="87" customFormat="1" s="1560"/>
    <row r="88" customFormat="1" s="1560"/>
    <row r="89" customFormat="1" s="1560"/>
    <row r="90" customFormat="1" s="1560"/>
    <row r="91" customFormat="1" s="1560"/>
    <row r="92" customFormat="1" s="1560"/>
    <row r="93" customFormat="1" s="1560"/>
    <row r="94" customFormat="1" s="1560"/>
    <row r="95" customFormat="1" s="1560"/>
    <row r="96" customFormat="1" s="1560"/>
    <row r="97" customFormat="1" s="1560"/>
    <row r="98" customFormat="1" s="1560"/>
    <row r="99" customFormat="1" s="1560"/>
    <row r="100" customFormat="1" s="1560"/>
    <row r="101" customFormat="1" s="1560"/>
    <row r="102" customFormat="1" s="1560"/>
  </sheetData>
  <mergeCells count="39">
    <mergeCell ref="D60:E60"/>
    <mergeCell ref="A24:E24"/>
    <mergeCell ref="D63:E63"/>
    <mergeCell ref="A49:E49"/>
    <mergeCell ref="A21:C21"/>
    <mergeCell ref="G3:O3"/>
    <mergeCell ref="D22:E22"/>
    <mergeCell ref="D31:E31"/>
    <mergeCell ref="D65:E65"/>
    <mergeCell ref="T51:V51"/>
    <mergeCell ref="D21:E21"/>
    <mergeCell ref="S50:V50"/>
    <mergeCell ref="D11:E11"/>
    <mergeCell ref="A14:C14"/>
    <mergeCell ref="D27:E27"/>
    <mergeCell ref="A22:C22"/>
    <mergeCell ref="D61:E61"/>
    <mergeCell ref="D32:E32"/>
    <mergeCell ref="J4:K4"/>
    <mergeCell ref="D16:E16"/>
    <mergeCell ref="D28:E28"/>
    <mergeCell ref="D62:E62"/>
    <mergeCell ref="A8:E8"/>
    <mergeCell ref="A15:C15"/>
    <mergeCell ref="D9:E9"/>
    <mergeCell ref="D25:E25"/>
    <mergeCell ref="A35:E35"/>
    <mergeCell ref="D30:E30"/>
    <mergeCell ref="D64:E64"/>
    <mergeCell ref="D15:E15"/>
    <mergeCell ref="D33:E33"/>
    <mergeCell ref="D29:E29"/>
    <mergeCell ref="D14:E14"/>
    <mergeCell ref="A13:E13"/>
    <mergeCell ref="A58:E58"/>
    <mergeCell ref="D26:E26"/>
    <mergeCell ref="M4:N4"/>
    <mergeCell ref="D59:E59"/>
    <mergeCell ref="A16:C16"/>
  </mergeCells>
  <dataValidations disablePrompts="1" count="3">
    <dataValidation sqref="A65" showDropDown="0" showInputMessage="1" showErrorMessage="1" allowBlank="1" prompt="Enter how you want value to round.  Example:  100,000, or 50,000.  Only number is needed.  Text will autopopulate."/>
    <dataValidation sqref="A62" showDropDown="0" showInputMessage="1" showErrorMessage="1" allowBlank="1" prompt="Autopopulates with the concluded capitalization rate from the CapRates tab Cell C13."/>
    <dataValidation sqref="A60" showDropDown="0" showInputMessage="1" showErrorMessage="1" allowBlank="1" prompt="Enter capitalization rate spread.  Example 0.25.  Only value is needed.  Text will autopopulate.  Will also autopopulate cell B44 and B46."/>
  </dataValidations>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P107"/>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11.85546875" customWidth="1" style="1449" min="5" max="5"/>
    <col width="20" customWidth="1" style="1449" min="6" max="6"/>
    <col width="22" customWidth="1" style="1449" min="7" max="7"/>
    <col width="8" customWidth="1" style="1449" min="8" max="10"/>
    <col width="20" customWidth="1" style="1449" min="11" max="11"/>
    <col width="30" customWidth="1" style="1449" min="12" max="12"/>
    <col width="35" customWidth="1" style="1449" min="13" max="13"/>
    <col width="12" customWidth="1" style="1449" min="14" max="14"/>
    <col width="50" customWidth="1" style="1449" min="15" max="15"/>
  </cols>
  <sheetData>
    <row r="1" ht="24" customHeight="1" s="1449">
      <c r="A1" s="1700" t="inlineStr">
        <is>
          <t>COMMERCIAL PROPERTY EXPENSE DATABASE ? PROPERTY REGISTRY</t>
        </is>
      </c>
    </row>
    <row r="2" ht="15.95" customHeight="1" s="1449">
      <c r="A2" s="1702" t="inlineStr">
        <is>
          <t>Adams County Assessor | Add one row per property | Used to track all expense comp submissions</t>
        </is>
      </c>
    </row>
    <row r="3" ht="30" customHeight="1" s="1449">
      <c r="A3" s="2335" t="inlineStr">
        <is>
          <t>Prop ID</t>
        </is>
      </c>
      <c r="B3" s="2336" t="inlineStr">
        <is>
          <t>Occ Code</t>
        </is>
      </c>
      <c r="C3" s="2336" t="inlineStr">
        <is>
          <t>Account #</t>
        </is>
      </c>
      <c r="D3" s="2335" t="inlineStr">
        <is>
          <t>Address</t>
        </is>
      </c>
      <c r="E3" s="2335" t="inlineStr">
        <is>
          <t>City</t>
        </is>
      </c>
      <c r="F3" s="2335" t="inlineStr">
        <is>
          <t>State</t>
        </is>
      </c>
      <c r="G3" s="2335" t="inlineStr">
        <is>
          <t>Property Type</t>
        </is>
      </c>
      <c r="H3" s="2335" t="inlineStr">
        <is>
          <t>Subtype</t>
        </is>
      </c>
      <c r="I3" s="2335" t="inlineStr">
        <is>
          <t>Year Built</t>
        </is>
      </c>
      <c r="J3" s="2335" t="inlineStr">
        <is>
          <t>Bldg SF</t>
        </is>
      </c>
      <c r="K3" s="2335" t="inlineStr">
        <is>
          <t>Land SF</t>
        </is>
      </c>
      <c r="L3" s="2335" t="inlineStr">
        <is>
          <t>Parcel / Schedule #</t>
        </is>
      </c>
      <c r="M3" s="2335" t="inlineStr">
        <is>
          <t>Owner</t>
        </is>
      </c>
      <c r="N3" s="2335" t="inlineStr">
        <is>
          <t>Data Source</t>
        </is>
      </c>
      <c r="O3" s="2335" t="inlineStr">
        <is>
          <t>Date Added</t>
        </is>
      </c>
      <c r="P3" s="2335" t="inlineStr">
        <is>
          <t>Notes</t>
        </is>
      </c>
    </row>
    <row r="4" ht="42" customHeight="1" s="1449">
      <c r="A4" s="2337" t="inlineStr">
        <is>
          <t>P001</t>
        </is>
      </c>
      <c r="B4" s="2338" t="n">
        <v>407</v>
      </c>
      <c r="C4" s="2339" t="inlineStr">
        <is>
          <t>R0157664</t>
        </is>
      </c>
      <c r="D4" s="2337" t="inlineStr">
        <is>
          <t>6045 E. 76th Avenue</t>
        </is>
      </c>
      <c r="E4" s="2337" t="inlineStr">
        <is>
          <t>Commerce City</t>
        </is>
      </c>
      <c r="F4" s="2337" t="inlineStr">
        <is>
          <t>CO</t>
        </is>
      </c>
      <c r="G4" s="2337" t="inlineStr">
        <is>
          <t>Light Industrial</t>
        </is>
      </c>
      <c r="H4" s="2337" t="inlineStr">
        <is>
          <t>Distribution Warehouse</t>
        </is>
      </c>
      <c r="I4" s="2340" t="n">
        <v>1988</v>
      </c>
      <c r="J4" s="2340" t="n">
        <v>21000</v>
      </c>
      <c r="K4" s="2340" t="n">
        <v>66700</v>
      </c>
      <c r="L4" s="2337" t="inlineStr">
        <is>
          <t>R0157664 / 0172132216014</t>
        </is>
      </c>
      <c r="M4" s="2337" t="inlineStr">
        <is>
          <t>4711 West Tennessee Avenue LLC</t>
        </is>
      </c>
      <c r="N4" s="2337" t="inlineStr">
        <is>
          <t>Owner P&amp;L + RH Jacobson Analysis</t>
        </is>
      </c>
      <c r="O4" s="2337" t="inlineStr">
        <is>
          <t>2026-06-01</t>
        </is>
      </c>
      <c r="P4" s="2337" t="inlineStr">
        <is>
          <t>28.5% vacancy; inferior access through 2 adjoining parcels; appeal tax year 2025-26</t>
        </is>
      </c>
    </row>
    <row r="5" ht="39.95" customHeight="1" s="1449">
      <c r="A5" s="2337" t="inlineStr">
        <is>
          <t>P002</t>
        </is>
      </c>
      <c r="B5" s="2338" t="n">
        <v>344</v>
      </c>
      <c r="C5" s="2339" t="inlineStr">
        <is>
          <t>Unknown</t>
        </is>
      </c>
      <c r="D5" s="2337" t="inlineStr">
        <is>
          <t>13659 E. 104th Ave</t>
        </is>
      </c>
      <c r="E5" s="2337" t="inlineStr">
        <is>
          <t>Adams County</t>
        </is>
      </c>
      <c r="F5" s="2337" t="inlineStr">
        <is>
          <t>CO</t>
        </is>
      </c>
      <c r="G5" s="2337" t="inlineStr">
        <is>
          <t>Office/Commercial</t>
        </is>
      </c>
      <c r="H5" s="2337" t="inlineStr">
        <is>
          <t>Multi-tenant</t>
        </is>
      </c>
      <c r="I5" s="2337" t="n"/>
      <c r="J5" s="2337" t="n"/>
      <c r="K5" s="2337" t="n"/>
      <c r="L5" s="2337" t="inlineStr">
        <is>
          <t>Unknown</t>
        </is>
      </c>
      <c r="M5" s="2337" t="inlineStr">
        <is>
          <t>PMC-managed HOA structure</t>
        </is>
      </c>
      <c r="N5" s="2337" t="inlineStr">
        <is>
          <t>Owner Operating Statements (BAA CASES root)</t>
        </is>
      </c>
      <c r="O5" s="2337" t="inlineStr">
        <is>
          <t>2026-06-01</t>
        </is>
      </c>
      <c r="P5" s="2337" t="inlineStr">
        <is>
          <t>SF unknown; 2023-2024 actuals from operating statement submitted in BAA appeal</t>
        </is>
      </c>
    </row>
    <row r="6" ht="39.95" customHeight="1" s="1449">
      <c r="A6" s="2337" t="inlineStr">
        <is>
          <t>P003</t>
        </is>
      </c>
      <c r="B6" s="2338" t="n">
        <v>344</v>
      </c>
      <c r="C6" s="2339" t="inlineStr">
        <is>
          <t>R0024063</t>
        </is>
      </c>
      <c r="D6" s="2337" t="inlineStr">
        <is>
          <t>Park Centre - Wells Fargo Bldg (12000 N Pecos area)</t>
        </is>
      </c>
      <c r="E6" s="2337" t="inlineStr">
        <is>
          <t>Westminster</t>
        </is>
      </c>
      <c r="F6" s="2337" t="inlineStr">
        <is>
          <t>CO</t>
        </is>
      </c>
      <c r="G6" s="2337" t="inlineStr">
        <is>
          <t>Office</t>
        </is>
      </c>
      <c r="H6" s="2337" t="inlineStr">
        <is>
          <t>Class B Multi-tenant</t>
        </is>
      </c>
      <c r="I6" s="2337" t="n"/>
      <c r="J6" s="2340" t="n">
        <v>49479</v>
      </c>
      <c r="K6" s="2337" t="n"/>
      <c r="L6" s="2337" t="inlineStr">
        <is>
          <t>R0024063</t>
        </is>
      </c>
      <c r="M6" s="2337" t="inlineStr">
        <is>
          <t>Westfield Managed</t>
        </is>
      </c>
      <c r="N6" s="2337" t="inlineStr">
        <is>
          <t>FINANCIALS.pdf + PROFORMA REVISED.xlsx</t>
        </is>
      </c>
      <c r="O6" s="2337" t="inlineStr">
        <is>
          <t>2026-06-01</t>
        </is>
      </c>
      <c r="P6" s="2337" t="inlineStr">
        <is>
          <t>49,479 SF leasable; complex multi-tenant office; Westfield managed; BAA appeal case</t>
        </is>
      </c>
    </row>
    <row r="7" ht="39.95" customHeight="1" s="1449">
      <c r="A7" s="2337" t="inlineStr">
        <is>
          <t>P004</t>
        </is>
      </c>
      <c r="B7" s="2338" t="n">
        <v>412</v>
      </c>
      <c r="C7" s="2339" t="inlineStr">
        <is>
          <t>R0050221</t>
        </is>
      </c>
      <c r="D7" s="2337" t="inlineStr">
        <is>
          <t>8860 Federal Blvd</t>
        </is>
      </c>
      <c r="E7" s="2337" t="inlineStr">
        <is>
          <t>Adams County</t>
        </is>
      </c>
      <c r="F7" s="2337" t="inlineStr">
        <is>
          <t>CO</t>
        </is>
      </c>
      <c r="G7" s="2337" t="inlineStr">
        <is>
          <t>Retail</t>
        </is>
      </c>
      <c r="H7" s="2337" t="inlineStr">
        <is>
          <t>Strip/Multi-tenant</t>
        </is>
      </c>
      <c r="I7" s="2337" t="n"/>
      <c r="J7" s="2340" t="n">
        <v>65850</v>
      </c>
      <c r="K7" s="2337" t="n"/>
      <c r="L7" s="2337" t="inlineStr">
        <is>
          <t>R0050221</t>
        </is>
      </c>
      <c r="M7" s="2337" t="inlineStr">
        <is>
          <t>Enger Family Partnership LLLP</t>
        </is>
      </c>
      <c r="N7" s="2337" t="inlineStr">
        <is>
          <t>ACTUALS.pdf (BAA CASES)</t>
        </is>
      </c>
      <c r="O7" s="2337" t="inlineStr">
        <is>
          <t>2026-06-01</t>
        </is>
      </c>
      <c r="P7" s="2337" t="inlineStr">
        <is>
          <t>65,850 SF retail strip; triple-net structure with CAM recoveries; 2023-2024 actuals</t>
        </is>
      </c>
    </row>
    <row r="8" ht="39.95" customHeight="1" s="1449">
      <c r="A8" s="2337" t="inlineStr">
        <is>
          <t>P005</t>
        </is>
      </c>
      <c r="B8" s="2338" t="n">
        <v>344</v>
      </c>
      <c r="C8" s="2339" t="inlineStr">
        <is>
          <t>R0050977</t>
        </is>
      </c>
      <c r="D8" s="2337" t="inlineStr">
        <is>
          <t>9351 Grant St (Horizon Terrace)</t>
        </is>
      </c>
      <c r="E8" s="2337" t="inlineStr">
        <is>
          <t>Thornton</t>
        </is>
      </c>
      <c r="F8" s="2337" t="inlineStr">
        <is>
          <t>CO</t>
        </is>
      </c>
      <c r="G8" s="2337" t="inlineStr">
        <is>
          <t>Office</t>
        </is>
      </c>
      <c r="H8" s="2337" t="inlineStr">
        <is>
          <t>Class B Multi-story Multi-tenant</t>
        </is>
      </c>
      <c r="I8" s="2337" t="n"/>
      <c r="J8" s="2340" t="n">
        <v>91646</v>
      </c>
      <c r="K8" s="2337" t="n"/>
      <c r="L8" s="2337" t="inlineStr">
        <is>
          <t>R0050977</t>
        </is>
      </c>
      <c r="M8" s="2337" t="inlineStr">
        <is>
          <t>Horizon Terrace</t>
        </is>
      </c>
      <c r="N8" s="2337" t="inlineStr">
        <is>
          <t>Income Statements 2023 &amp; 2024 PDFs</t>
        </is>
      </c>
      <c r="O8" s="2337" t="inlineStr">
        <is>
          <t>2026-06-01</t>
        </is>
      </c>
      <c r="P8" s="2337" t="inlineStr">
        <is>
          <t>91,646 SF; full-service multi-tenant office with janitorial, security, elevator; Westfield managed</t>
        </is>
      </c>
    </row>
    <row r="9" ht="39.95" customHeight="1" s="1449">
      <c r="A9" s="2337" t="inlineStr">
        <is>
          <t>P006</t>
        </is>
      </c>
      <c r="B9" s="2338" t="n">
        <v>210</v>
      </c>
      <c r="C9" s="2339" t="inlineStr">
        <is>
          <t>R0062937</t>
        </is>
      </c>
      <c r="D9" s="2337" t="inlineStr">
        <is>
          <t>8670 Wolff Ct (Sheridan Park 8)</t>
        </is>
      </c>
      <c r="E9" s="2337" t="inlineStr">
        <is>
          <t>Westminster</t>
        </is>
      </c>
      <c r="F9" s="2337" t="inlineStr">
        <is>
          <t>CO</t>
        </is>
      </c>
      <c r="G9" s="2337" t="inlineStr">
        <is>
          <t>Office/Flex</t>
        </is>
      </c>
      <c r="H9" s="2337" t="inlineStr">
        <is>
          <t>Multi-tenant</t>
        </is>
      </c>
      <c r="I9" s="2337" t="n"/>
      <c r="J9" s="2340" t="n">
        <v>37078</v>
      </c>
      <c r="K9" s="2337" t="n"/>
      <c r="L9" s="2337" t="inlineStr">
        <is>
          <t>R0062937</t>
        </is>
      </c>
      <c r="M9" s="2337" t="inlineStr">
        <is>
          <t>Unknown</t>
        </is>
      </c>
      <c r="N9" s="2337" t="inlineStr">
        <is>
          <t>Operating Expense History DYCO.pdf</t>
        </is>
      </c>
      <c r="O9" s="2337" t="inlineStr">
        <is>
          <t>2026-06-01</t>
        </is>
      </c>
      <c r="P9" s="2337" t="inlineStr">
        <is>
          <t>~37,078 SF (derived from PSF); CAM reimbursable expense structure; 2020-2024 expense history</t>
        </is>
      </c>
    </row>
    <row r="10" ht="39.95" customHeight="1" s="1449">
      <c r="A10" s="2337" t="inlineStr">
        <is>
          <t>P007</t>
        </is>
      </c>
      <c r="B10" s="2338" t="n">
        <v>341</v>
      </c>
      <c r="C10" s="2339" t="inlineStr">
        <is>
          <t>R0062944</t>
        </is>
      </c>
      <c r="D10" s="2337" t="inlineStr">
        <is>
          <t>8787 (medical office complex)</t>
        </is>
      </c>
      <c r="E10" s="2337" t="inlineStr">
        <is>
          <t>Adams County</t>
        </is>
      </c>
      <c r="F10" s="2337" t="inlineStr">
        <is>
          <t>CO</t>
        </is>
      </c>
      <c r="G10" s="2337" t="inlineStr">
        <is>
          <t>Medical Office</t>
        </is>
      </c>
      <c r="H10" s="2337" t="inlineStr">
        <is>
          <t>Multi-tenant</t>
        </is>
      </c>
      <c r="I10" s="2337" t="n"/>
      <c r="J10" s="2340" t="n">
        <v>19430</v>
      </c>
      <c r="K10" s="2337" t="n"/>
      <c r="L10" s="2337" t="inlineStr">
        <is>
          <t>R0062944</t>
        </is>
      </c>
      <c r="M10" s="2337" t="inlineStr">
        <is>
          <t>MENDI-CO II LLC</t>
        </is>
      </c>
      <c r="N10" s="2337" t="inlineStr">
        <is>
          <t>2023 OPS.xlsx + 2024 OPS.xlsx</t>
        </is>
      </c>
      <c r="O10" s="2337" t="inlineStr">
        <is>
          <t>2026-06-01</t>
        </is>
      </c>
      <c r="P10" s="2337" t="inlineStr">
        <is>
          <t>~19,430 SF (derived); tenants: Denver Springs, Access VP, Colorado Net, Westminster Eye; 2023-2024 actuals</t>
        </is>
      </c>
    </row>
    <row r="11" ht="39.95" customHeight="1" s="1449">
      <c r="A11" s="2337" t="inlineStr">
        <is>
          <t>P008</t>
        </is>
      </c>
      <c r="B11" s="2338" t="n">
        <v>210</v>
      </c>
      <c r="C11" s="2339" t="inlineStr">
        <is>
          <t>R0070622</t>
        </is>
      </c>
      <c r="D11" s="2337" t="inlineStr">
        <is>
          <t>460-550 E. 76th Ave (WPC Corporate)</t>
        </is>
      </c>
      <c r="E11" s="2337" t="inlineStr">
        <is>
          <t>Adams County</t>
        </is>
      </c>
      <c r="F11" s="2337" t="inlineStr">
        <is>
          <t>CO</t>
        </is>
      </c>
      <c r="G11" s="2337" t="inlineStr">
        <is>
          <t>Industrial</t>
        </is>
      </c>
      <c r="H11" s="2337" t="inlineStr">
        <is>
          <t>Distribution/Flex Multi-tenant</t>
        </is>
      </c>
      <c r="I11" s="2337" t="n"/>
      <c r="J11" s="2340" t="n">
        <v>330935</v>
      </c>
      <c r="K11" s="2337" t="n"/>
      <c r="L11" s="2337" t="inlineStr">
        <is>
          <t>R0070622</t>
        </is>
      </c>
      <c r="M11" s="2337" t="inlineStr">
        <is>
          <t>WPC Corporate LLC</t>
        </is>
      </c>
      <c r="N11" s="2337" t="inlineStr">
        <is>
          <t>ACTUALS.pdf (BAA CASES)</t>
        </is>
      </c>
      <c r="O11" s="2337" t="inlineStr">
        <is>
          <t>2026-06-01</t>
        </is>
      </c>
      <c r="P11" s="2337" t="inlineStr">
        <is>
          <t>330,935 SF industrial; 2024 actuals only; large multi-tenant distribution complex</t>
        </is>
      </c>
    </row>
    <row r="12" ht="39.95" customHeight="1" s="1449">
      <c r="A12" s="2337" t="inlineStr">
        <is>
          <t>P009</t>
        </is>
      </c>
      <c r="B12" s="2338" t="n">
        <v>407</v>
      </c>
      <c r="C12" s="2339" t="inlineStr">
        <is>
          <t>R0075212</t>
        </is>
      </c>
      <c r="D12" s="2337" t="inlineStr">
        <is>
          <t>10500 Havana Court</t>
        </is>
      </c>
      <c r="E12" s="2337" t="inlineStr">
        <is>
          <t>Adams County</t>
        </is>
      </c>
      <c r="F12" s="2337" t="inlineStr">
        <is>
          <t>CO</t>
        </is>
      </c>
      <c r="G12" s="2337" t="inlineStr">
        <is>
          <t>Industrial</t>
        </is>
      </c>
      <c r="H12" s="2337" t="inlineStr">
        <is>
          <t>NNN Single-tenant</t>
        </is>
      </c>
      <c r="I12" s="2337" t="n"/>
      <c r="J12" s="2337" t="n"/>
      <c r="K12" s="2337" t="n"/>
      <c r="L12" s="2337" t="inlineStr">
        <is>
          <t>R0075212</t>
        </is>
      </c>
      <c r="M12" s="2337" t="inlineStr">
        <is>
          <t>Jellison Street LLP</t>
        </is>
      </c>
      <c r="N12" s="2337" t="inlineStr">
        <is>
          <t>PLEA USING ACTUALS AND TAX LOAD.pdf</t>
        </is>
      </c>
      <c r="O12" s="2337" t="inlineStr">
        <is>
          <t>2026-06-01</t>
        </is>
      </c>
      <c r="P12" s="2337" t="inlineStr">
        <is>
          <t>SF unknown; NNN lease structure; P&amp;L includes depreciation/mortgage (excluded from NOI calc); 2023-2024</t>
        </is>
      </c>
    </row>
    <row r="13" ht="39.95" customHeight="1" s="1449">
      <c r="A13" s="2337" t="inlineStr">
        <is>
          <t>P010</t>
        </is>
      </c>
      <c r="B13" s="2338" t="n">
        <v>210</v>
      </c>
      <c r="C13" s="2339" t="inlineStr">
        <is>
          <t>R0098225</t>
        </is>
      </c>
      <c r="D13" s="2337" t="inlineStr">
        <is>
          <t>Broadway Business Center (7040B Broadway)</t>
        </is>
      </c>
      <c r="E13" s="2337" t="inlineStr">
        <is>
          <t>Denver</t>
        </is>
      </c>
      <c r="F13" s="2337" t="inlineStr">
        <is>
          <t>CO</t>
        </is>
      </c>
      <c r="G13" s="2337" t="inlineStr">
        <is>
          <t>Flex/Industrial</t>
        </is>
      </c>
      <c r="H13" s="2337" t="inlineStr">
        <is>
          <t>Multi-tenant CAM</t>
        </is>
      </c>
      <c r="I13" s="2337" t="n"/>
      <c r="J13" s="2340" t="n">
        <v>105000</v>
      </c>
      <c r="K13" s="2337" t="n"/>
      <c r="L13" s="2337" t="inlineStr">
        <is>
          <t>R0098225</t>
        </is>
      </c>
      <c r="M13" s="2337" t="inlineStr">
        <is>
          <t>Broadway Business Center</t>
        </is>
      </c>
      <c r="N13" s="2337" t="inlineStr">
        <is>
          <t>2023 OPS.xlsx + 2024 OPS.xlsx</t>
        </is>
      </c>
      <c r="O13" s="2337" t="inlineStr">
        <is>
          <t>2026-06-01</t>
        </is>
      </c>
      <c r="P13" s="2337" t="inlineStr">
        <is>
          <t>~105,000 SF estimated; CAM-recoverable structure; 2024 RE Tax inflated by $111,314 prior-yr catchup; 2023-2024 actuals</t>
        </is>
      </c>
    </row>
    <row r="14" ht="39.95" customHeight="1" s="1449">
      <c r="A14" s="2337" t="inlineStr">
        <is>
          <t>P011</t>
        </is>
      </c>
      <c r="B14" s="2338" t="n">
        <v>210</v>
      </c>
      <c r="C14" s="2339" t="inlineStr">
        <is>
          <t>R0103767</t>
        </is>
      </c>
      <c r="D14" s="2337" t="inlineStr">
        <is>
          <t>5650 Washington St (Washington Business Park)</t>
        </is>
      </c>
      <c r="E14" s="2337" t="inlineStr">
        <is>
          <t>Adams County</t>
        </is>
      </c>
      <c r="F14" s="2337" t="inlineStr">
        <is>
          <t>CO</t>
        </is>
      </c>
      <c r="G14" s="2337" t="inlineStr">
        <is>
          <t>Industrial/Flex</t>
        </is>
      </c>
      <c r="H14" s="2337" t="inlineStr">
        <is>
          <t>Multi-tenant</t>
        </is>
      </c>
      <c r="I14" s="2337" t="n"/>
      <c r="J14" s="2337" t="n"/>
      <c r="K14" s="2337" t="n"/>
      <c r="L14" s="2337" t="inlineStr">
        <is>
          <t>R0103767</t>
        </is>
      </c>
      <c r="M14" s="2337" t="inlineStr">
        <is>
          <t>Unknown</t>
        </is>
      </c>
      <c r="N14" s="2337" t="inlineStr">
        <is>
          <t>Operating Statement (sans rent roll).pdf</t>
        </is>
      </c>
      <c r="O14" s="2337" t="inlineStr">
        <is>
          <t>2026-06-01</t>
        </is>
      </c>
      <c r="P14" s="2337" t="inlineStr">
        <is>
          <t>SF unknown; 2022-2024 actuals; management fee $54,025 in 2022 not shown in later years</t>
        </is>
      </c>
    </row>
    <row r="15" ht="39.95" customHeight="1" s="1449">
      <c r="A15" s="2337" t="inlineStr">
        <is>
          <t>P012</t>
        </is>
      </c>
      <c r="B15" s="2338" t="n">
        <v>344</v>
      </c>
      <c r="C15" s="2339" t="inlineStr">
        <is>
          <t>R0124385</t>
        </is>
      </c>
      <c r="D15" s="2337" t="inlineStr">
        <is>
          <t>Unknown (Tax District 555)</t>
        </is>
      </c>
      <c r="E15" s="2337" t="inlineStr">
        <is>
          <t>Adams County</t>
        </is>
      </c>
      <c r="F15" s="2337" t="inlineStr">
        <is>
          <t>CO</t>
        </is>
      </c>
      <c r="G15" s="2337" t="inlineStr">
        <is>
          <t>Office</t>
        </is>
      </c>
      <c r="H15" s="2337" t="inlineStr">
        <is>
          <t>Multi-tenant</t>
        </is>
      </c>
      <c r="I15" s="2337" t="n"/>
      <c r="J15" s="2340" t="n">
        <v>20170</v>
      </c>
      <c r="K15" s="2337" t="n"/>
      <c r="L15" s="2337" t="inlineStr">
        <is>
          <t>R0124385</t>
        </is>
      </c>
      <c r="M15" s="2337" t="inlineStr">
        <is>
          <t>Unknown</t>
        </is>
      </c>
      <c r="N15" s="2337" t="inlineStr">
        <is>
          <t>PROFORMA BASIS FOR OFFER.xlsx (actuals section)</t>
        </is>
      </c>
      <c r="O15" s="2337" t="inlineStr">
        <is>
          <t>2026-06-01</t>
        </is>
      </c>
      <c r="P15" s="2337" t="inlineStr">
        <is>
          <t>20,170 SF; 2023-2024 actuals extracted from proforma submission; limited line-item detail</t>
        </is>
      </c>
    </row>
    <row r="16" ht="39.95" customHeight="1" s="1449">
      <c r="A16" s="2337" t="inlineStr">
        <is>
          <t>P013</t>
        </is>
      </c>
      <c r="B16" s="2338" t="n">
        <v>353</v>
      </c>
      <c r="C16" s="2339" t="inlineStr">
        <is>
          <t>R0169176</t>
        </is>
      </c>
      <c r="D16" s="2337" t="inlineStr">
        <is>
          <t>Unknown (new construction, opened Oct 2023)</t>
        </is>
      </c>
      <c r="E16" s="2337" t="inlineStr">
        <is>
          <t>Adams County</t>
        </is>
      </c>
      <c r="F16" s="2337" t="inlineStr">
        <is>
          <t>CO</t>
        </is>
      </c>
      <c r="G16" s="2337" t="inlineStr">
        <is>
          <t>Retail/Office</t>
        </is>
      </c>
      <c r="H16" s="2337" t="inlineStr">
        <is>
          <t>Multi-tenant</t>
        </is>
      </c>
      <c r="I16" s="2340" t="n">
        <v>2023</v>
      </c>
      <c r="J16" s="2337" t="n"/>
      <c r="K16" s="2337" t="n"/>
      <c r="L16" s="2337" t="inlineStr">
        <is>
          <t>R0169176</t>
        </is>
      </c>
      <c r="M16" s="2337" t="inlineStr">
        <is>
          <t>Unknown</t>
        </is>
      </c>
      <c r="N16" s="2337" t="inlineStr">
        <is>
          <t>Income Statement 2023.xlsx + 2024.xlsx</t>
        </is>
      </c>
      <c r="O16" s="2337" t="inlineStr">
        <is>
          <t>2026-06-01</t>
        </is>
      </c>
      <c r="P16" s="2337" t="inlineStr">
        <is>
          <t>SF unknown; 2023 partial year (opened Oct 2023); 2024 full year; large RE tax load typical of new construction</t>
        </is>
      </c>
    </row>
    <row r="17" ht="39.95" customHeight="1" s="1449">
      <c r="A17" s="2337" t="inlineStr">
        <is>
          <t>P014</t>
        </is>
      </c>
      <c r="B17" s="2338" t="n">
        <v>407</v>
      </c>
      <c r="C17" s="2339" t="inlineStr">
        <is>
          <t>R0198530</t>
        </is>
      </c>
      <c r="D17" s="2337" t="inlineStr">
        <is>
          <t>Amazon DEN7 Distribution Center</t>
        </is>
      </c>
      <c r="E17" s="2337" t="inlineStr">
        <is>
          <t>Aurora</t>
        </is>
      </c>
      <c r="F17" s="2337" t="inlineStr">
        <is>
          <t>CO</t>
        </is>
      </c>
      <c r="G17" s="2337" t="inlineStr">
        <is>
          <t>Industrial/Distribution</t>
        </is>
      </c>
      <c r="H17" s="2337" t="inlineStr">
        <is>
          <t>Single-tenant NNN</t>
        </is>
      </c>
      <c r="I17" s="2337" t="n"/>
      <c r="J17" s="2340" t="n">
        <v>555840</v>
      </c>
      <c r="K17" s="2337" t="n"/>
      <c r="L17" s="2337" t="inlineStr">
        <is>
          <t>R0198530</t>
        </is>
      </c>
      <c r="M17" s="2337" t="inlineStr">
        <is>
          <t>Amazon (tenant)</t>
        </is>
      </c>
      <c r="N17" s="2337" t="inlineStr">
        <is>
          <t>CAM Reconciliation 2023 &amp; 2024 OPS.pdf</t>
        </is>
      </c>
      <c r="O17" s="2337" t="inlineStr">
        <is>
          <t>2026-06-01</t>
        </is>
      </c>
      <c r="P17" s="2337" t="inlineStr">
        <is>
          <t>555,840 SF Amazon fulfillment center; NNN ? expenses = LL CAM billed to tenant; RE Tax dominant expense; 2023-2024</t>
        </is>
      </c>
    </row>
    <row r="18">
      <c r="A18" s="2341" t="inlineStr">
        <is>
          <t>P015</t>
        </is>
      </c>
      <c r="B18" s="2338" t="n">
        <v>407</v>
      </c>
      <c r="C18" s="2339" t="inlineStr">
        <is>
          <t>R0180894</t>
        </is>
      </c>
      <c r="D18" s="2341" t="inlineStr">
        <is>
          <t>1910 N Gun Club Rd</t>
        </is>
      </c>
      <c r="E18" s="2341" t="inlineStr">
        <is>
          <t>Aurora</t>
        </is>
      </c>
      <c r="F18" s="2341" t="inlineStr">
        <is>
          <t>CO</t>
        </is>
      </c>
      <c r="G18" s="2341" t="inlineStr">
        <is>
          <t>Industrial</t>
        </is>
      </c>
      <c r="H18" s="2341" t="inlineStr">
        <is>
          <t>Distribution Warehouse Multi-Tenant NNN</t>
        </is>
      </c>
      <c r="I18" s="2341" t="n">
        <v>2019</v>
      </c>
      <c r="J18" s="2341" t="n">
        <v>163386</v>
      </c>
      <c r="K18" s="2341" t="n"/>
      <c r="L18" s="2341" t="inlineStr">
        <is>
          <t>R0180894</t>
        </is>
      </c>
      <c r="M18" s="2341" t="n"/>
      <c r="N18" s="2341" t="inlineStr">
        <is>
          <t>MHE 2025 BAA – Owner submitted P&amp;L</t>
        </is>
      </c>
      <c r="O18" s="2341" t="inlineStr">
        <is>
          <t>2026-06-01</t>
        </is>
      </c>
      <c r="P18" s="2341" t="inlineStr">
        <is>
          <t>Actual accrual income; 2023–2024</t>
        </is>
      </c>
    </row>
    <row r="19">
      <c r="A19" s="2342" t="inlineStr">
        <is>
          <t>P016</t>
        </is>
      </c>
      <c r="B19" s="2338" t="n">
        <v>584</v>
      </c>
      <c r="C19" s="2339" t="inlineStr">
        <is>
          <t>R0212546/R0212547</t>
        </is>
      </c>
      <c r="D19" s="2342" t="inlineStr">
        <is>
          <t>2780 N Tower Rd</t>
        </is>
      </c>
      <c r="E19" s="2342" t="inlineStr">
        <is>
          <t>Aurora</t>
        </is>
      </c>
      <c r="F19" s="2342" t="inlineStr">
        <is>
          <t>CO</t>
        </is>
      </c>
      <c r="G19" s="2342" t="inlineStr">
        <is>
          <t>Industrial</t>
        </is>
      </c>
      <c r="H19" s="2342" t="inlineStr">
        <is>
          <t>Mega Warehouse NNN</t>
        </is>
      </c>
      <c r="I19" s="2342" t="n">
        <v>1983</v>
      </c>
      <c r="J19" s="2342" t="n">
        <v>384953</v>
      </c>
      <c r="K19" s="2342" t="n"/>
      <c r="L19" s="2342" t="inlineStr">
        <is>
          <t>R0212546/R0212547</t>
        </is>
      </c>
      <c r="M19" s="2342" t="n"/>
      <c r="N19" s="2342" t="inlineStr">
        <is>
          <t>MHE 2025 BAA – County proforma</t>
        </is>
      </c>
      <c r="O19" s="2342" t="inlineStr">
        <is>
          <t>2026-06-01</t>
        </is>
      </c>
      <c r="P19" s="2342" t="inlineStr">
        <is>
          <t>County proforma; 2024 only</t>
        </is>
      </c>
    </row>
    <row r="20">
      <c r="A20" s="2341" t="inlineStr">
        <is>
          <t>P017</t>
        </is>
      </c>
      <c r="B20" s="2338" t="n">
        <v>210</v>
      </c>
      <c r="C20" s="2339" t="inlineStr">
        <is>
          <t>R0098098</t>
        </is>
      </c>
      <c r="D20" s="2341" t="inlineStr">
        <is>
          <t>1445 E 68th Ave</t>
        </is>
      </c>
      <c r="E20" s="2341" t="inlineStr">
        <is>
          <t>Denver</t>
        </is>
      </c>
      <c r="F20" s="2341" t="inlineStr">
        <is>
          <t>CO</t>
        </is>
      </c>
      <c r="G20" s="2341" t="inlineStr">
        <is>
          <t>Industrial</t>
        </is>
      </c>
      <c r="H20" s="2341" t="inlineStr">
        <is>
          <t>Industrial Office Mix</t>
        </is>
      </c>
      <c r="I20" s="2341" t="n">
        <v>1972</v>
      </c>
      <c r="J20" s="2341" t="n">
        <v>63348</v>
      </c>
      <c r="K20" s="2341" t="n"/>
      <c r="L20" s="2341" t="inlineStr">
        <is>
          <t>R0098098</t>
        </is>
      </c>
      <c r="M20" s="2341" t="n"/>
      <c r="N20" s="2341" t="inlineStr">
        <is>
          <t>MHE 2025 BAA – County proforma</t>
        </is>
      </c>
      <c r="O20" s="2341" t="inlineStr">
        <is>
          <t>2026-06-01</t>
        </is>
      </c>
      <c r="P20" s="2341" t="inlineStr">
        <is>
          <t>YOC 1972/2006/2023; county proforma 2024</t>
        </is>
      </c>
    </row>
    <row r="21">
      <c r="A21" s="2342" t="inlineStr">
        <is>
          <t>P018</t>
        </is>
      </c>
      <c r="B21" s="2338" t="n">
        <v>406</v>
      </c>
      <c r="C21" s="2339" t="inlineStr">
        <is>
          <t>R0103783</t>
        </is>
      </c>
      <c r="D21" s="2342" t="inlineStr">
        <is>
          <t>2031 E 58th Ave</t>
        </is>
      </c>
      <c r="E21" s="2342" t="inlineStr">
        <is>
          <t>Denver</t>
        </is>
      </c>
      <c r="F21" s="2342" t="inlineStr">
        <is>
          <t>CO</t>
        </is>
      </c>
      <c r="G21" s="2342" t="inlineStr">
        <is>
          <t>Industrial</t>
        </is>
      </c>
      <c r="H21" s="2342" t="inlineStr">
        <is>
          <t>Storage Warehouse / Mod Office NNN</t>
        </is>
      </c>
      <c r="I21" s="2342" t="n">
        <v>2004</v>
      </c>
      <c r="J21" s="2342" t="n">
        <v>18720</v>
      </c>
      <c r="K21" s="2342" t="n"/>
      <c r="L21" s="2342" t="inlineStr">
        <is>
          <t>R0103783</t>
        </is>
      </c>
      <c r="M21" s="2342" t="n"/>
      <c r="N21" s="2342" t="inlineStr">
        <is>
          <t>MHE 2025 BAA – NNN billed charges</t>
        </is>
      </c>
      <c r="O21" s="2342" t="inlineStr">
        <is>
          <t>2026-06-01</t>
        </is>
      </c>
      <c r="P21" s="2342" t="inlineStr">
        <is>
          <t>NNN actual billed charges 2019–2024</t>
        </is>
      </c>
    </row>
    <row r="22">
      <c r="A22" s="2341" t="inlineStr">
        <is>
          <t>P019</t>
        </is>
      </c>
      <c r="B22" s="2338" t="n">
        <v>407</v>
      </c>
      <c r="C22" s="2339" t="inlineStr">
        <is>
          <t>R0210402/R0210403</t>
        </is>
      </c>
      <c r="D22" s="2341" t="inlineStr">
        <is>
          <t>17190 E 85th Ave</t>
        </is>
      </c>
      <c r="E22" s="2341" t="inlineStr">
        <is>
          <t>Commerce City</t>
        </is>
      </c>
      <c r="F22" s="2341" t="inlineStr">
        <is>
          <t>CO</t>
        </is>
      </c>
      <c r="G22" s="2341" t="inlineStr">
        <is>
          <t>Industrial</t>
        </is>
      </c>
      <c r="H22" s="2341" t="inlineStr">
        <is>
          <t>Industrial Warehouse NNN</t>
        </is>
      </c>
      <c r="I22" s="2341" t="n">
        <v>2021</v>
      </c>
      <c r="J22" s="2341" t="n">
        <v>329940</v>
      </c>
      <c r="K22" s="2341" t="n"/>
      <c r="L22" s="2341" t="inlineStr">
        <is>
          <t>R0210402/R0210403</t>
        </is>
      </c>
      <c r="M22" s="2341" t="n"/>
      <c r="N22" s="2341" t="inlineStr">
        <is>
          <t>MHE 2025 BAA – Petitioner proforma</t>
        </is>
      </c>
      <c r="O22" s="2341" t="inlineStr">
        <is>
          <t>2026-06-01</t>
        </is>
      </c>
      <c r="P22" s="2341" t="inlineStr">
        <is>
          <t>Petitioner proforma 2024/25</t>
        </is>
      </c>
    </row>
    <row r="23">
      <c r="A23" s="2342" t="inlineStr">
        <is>
          <t>P020</t>
        </is>
      </c>
      <c r="B23" s="2338" t="n">
        <v>584</v>
      </c>
      <c r="C23" s="2339" t="inlineStr">
        <is>
          <t>R0209679</t>
        </is>
      </c>
      <c r="D23" s="2342" t="inlineStr">
        <is>
          <t>17501 E 84th Ave</t>
        </is>
      </c>
      <c r="E23" s="2342" t="inlineStr">
        <is>
          <t>Commerce City</t>
        </is>
      </c>
      <c r="F23" s="2342" t="inlineStr">
        <is>
          <t>CO</t>
        </is>
      </c>
      <c r="G23" s="2342" t="inlineStr">
        <is>
          <t>Industrial</t>
        </is>
      </c>
      <c r="H23" s="2342" t="inlineStr">
        <is>
          <t>Mega Warehouse / Distribution Center NNN (Lowe's)</t>
        </is>
      </c>
      <c r="I23" s="2342" t="n">
        <v>2021</v>
      </c>
      <c r="J23" s="2342" t="n">
        <v>999780</v>
      </c>
      <c r="K23" s="2342" t="n"/>
      <c r="L23" s="2342" t="inlineStr">
        <is>
          <t>R0209679</t>
        </is>
      </c>
      <c r="M23" s="2342" t="n"/>
      <c r="N23" s="2342" t="inlineStr">
        <is>
          <t>MHE 2025 BAA – Owner submitted P&amp;L</t>
        </is>
      </c>
      <c r="O23" s="2342" t="inlineStr">
        <is>
          <t>2026-06-01</t>
        </is>
      </c>
      <c r="P23" s="2342" t="inlineStr">
        <is>
          <t>Actual accrual; 2023 NOI inflated by ~$2.8M prior-yr tax adj</t>
        </is>
      </c>
    </row>
    <row r="24">
      <c r="A24" s="2341" t="inlineStr">
        <is>
          <t>P021</t>
        </is>
      </c>
      <c r="B24" s="2338" t="n">
        <v>210</v>
      </c>
      <c r="C24" s="2339" t="inlineStr">
        <is>
          <t>R0091931</t>
        </is>
      </c>
      <c r="D24" s="2341" t="inlineStr">
        <is>
          <t>6300 E. 58th Ave</t>
        </is>
      </c>
      <c r="E24" s="2341" t="inlineStr">
        <is>
          <t>Commerce City</t>
        </is>
      </c>
      <c r="F24" s="2341" t="inlineStr">
        <is>
          <t>CO</t>
        </is>
      </c>
      <c r="G24" s="2341" t="inlineStr">
        <is>
          <t>Industrial</t>
        </is>
      </c>
      <c r="H24" s="2341" t="inlineStr">
        <is>
          <t>Multi-Tenant Industrial/Flex</t>
        </is>
      </c>
      <c r="I24" s="2341" t="n">
        <v>1999</v>
      </c>
      <c r="J24" s="2341" t="n">
        <v>90000</v>
      </c>
      <c r="K24" s="2341" t="n"/>
      <c r="L24" s="2341" t="inlineStr">
        <is>
          <t>R0091931</t>
        </is>
      </c>
      <c r="M24" s="2341" t="n"/>
      <c r="N24" s="2341" t="inlineStr">
        <is>
          <t>MHE 2025 BOE – Owner actual P&amp;L</t>
        </is>
      </c>
      <c r="O24" s="2341" t="inlineStr">
        <is>
          <t>2026-06-02</t>
        </is>
      </c>
      <c r="P24" s="2341" t="inlineStr">
        <is>
          <t>Actual accrual 2023+2024; YOC 1999–2001</t>
        </is>
      </c>
    </row>
    <row r="25">
      <c r="A25" s="2342" t="inlineStr">
        <is>
          <t>P022</t>
        </is>
      </c>
      <c r="B25" s="2338" t="n">
        <v>210</v>
      </c>
      <c r="C25" s="2339" t="inlineStr">
        <is>
          <t>R0111559</t>
        </is>
      </c>
      <c r="D25" s="2342" t="inlineStr">
        <is>
          <t>3590 N. Himalaya Rd (Bldg 6)</t>
        </is>
      </c>
      <c r="E25" s="2342" t="inlineStr">
        <is>
          <t>Aurora</t>
        </is>
      </c>
      <c r="F25" s="2342" t="inlineStr">
        <is>
          <t>CO</t>
        </is>
      </c>
      <c r="G25" s="2342" t="inlineStr">
        <is>
          <t>Industrial</t>
        </is>
      </c>
      <c r="H25" s="2342" t="inlineStr">
        <is>
          <t>Multi-Tenant Industrial/Flex NNN</t>
        </is>
      </c>
      <c r="I25" s="2342" t="n"/>
      <c r="J25" s="2342" t="n"/>
      <c r="K25" s="2342" t="n"/>
      <c r="L25" s="2342" t="inlineStr">
        <is>
          <t>R0111559</t>
        </is>
      </c>
      <c r="M25" s="2342" t="n"/>
      <c r="N25" s="2342" t="inlineStr">
        <is>
          <t>MHE 2025 BOE – Sterling actual P&amp;L</t>
        </is>
      </c>
      <c r="O25" s="2342" t="inlineStr">
        <is>
          <t>2026-06-02</t>
        </is>
      </c>
      <c r="P25" s="2342" t="inlineStr">
        <is>
          <t>2023 transitional (vacancy); 2024 new tenant in place; SF not confirmed</t>
        </is>
      </c>
    </row>
    <row r="26">
      <c r="A26" s="2341" t="inlineStr">
        <is>
          <t>P023</t>
        </is>
      </c>
      <c r="B26" s="2338" t="n">
        <v>407</v>
      </c>
      <c r="C26" s="2339" t="inlineStr">
        <is>
          <t>R0191098</t>
        </is>
      </c>
      <c r="D26" s="2341" t="inlineStr">
        <is>
          <t>19754 E. 35th Dr (Bldg 4)</t>
        </is>
      </c>
      <c r="E26" s="2341" t="inlineStr">
        <is>
          <t>Aurora</t>
        </is>
      </c>
      <c r="F26" s="2341" t="inlineStr">
        <is>
          <t>CO</t>
        </is>
      </c>
      <c r="G26" s="2341" t="inlineStr">
        <is>
          <t>Industrial</t>
        </is>
      </c>
      <c r="H26" s="2341" t="inlineStr">
        <is>
          <t>Single-Tenant Industrial NNN</t>
        </is>
      </c>
      <c r="I26" s="2341" t="n"/>
      <c r="J26" s="2341" t="n">
        <v>155033</v>
      </c>
      <c r="K26" s="2341" t="n"/>
      <c r="L26" s="2341" t="inlineStr">
        <is>
          <t>R0191098</t>
        </is>
      </c>
      <c r="M26" s="2341" t="n"/>
      <c r="N26" s="2341" t="inlineStr">
        <is>
          <t>MHE 2025 BOE – Sterling actual P&amp;L</t>
        </is>
      </c>
      <c r="O26" s="2341" t="inlineStr">
        <is>
          <t>2026-06-02</t>
        </is>
      </c>
      <c r="P26" s="2341" t="inlineStr">
        <is>
          <t>Single-tenant NNN (Quality Custom Distribution); lease thru 12/31/2029</t>
        </is>
      </c>
    </row>
    <row r="27">
      <c r="A27" s="2342" t="inlineStr">
        <is>
          <t>P024</t>
        </is>
      </c>
      <c r="B27" s="2338" t="n">
        <v>407</v>
      </c>
      <c r="C27" s="2339" t="inlineStr">
        <is>
          <t>R0111560</t>
        </is>
      </c>
      <c r="D27" s="2342" t="inlineStr">
        <is>
          <t>20320 E. 36th Dr (Bldg 7)</t>
        </is>
      </c>
      <c r="E27" s="2342" t="inlineStr">
        <is>
          <t>Aurora</t>
        </is>
      </c>
      <c r="F27" s="2342" t="inlineStr">
        <is>
          <t>CO</t>
        </is>
      </c>
      <c r="G27" s="2342" t="inlineStr">
        <is>
          <t>Industrial</t>
        </is>
      </c>
      <c r="H27" s="2342" t="inlineStr">
        <is>
          <t>Single-Tenant Industrial NNN</t>
        </is>
      </c>
      <c r="I27" s="2342" t="n"/>
      <c r="J27" s="2342" t="n">
        <v>200000</v>
      </c>
      <c r="K27" s="2342" t="n"/>
      <c r="L27" s="2342" t="inlineStr">
        <is>
          <t>R0111560</t>
        </is>
      </c>
      <c r="M27" s="2342" t="n"/>
      <c r="N27" s="2342" t="inlineStr">
        <is>
          <t>MHE 2025 BOE – Sterling actual P&amp;L</t>
        </is>
      </c>
      <c r="O27" s="2342" t="inlineStr">
        <is>
          <t>2026-06-02</t>
        </is>
      </c>
      <c r="P27" s="2342" t="inlineStr">
        <is>
          <t>FedEx NNN; lease expired 4/30/2024 – 2023 only usable</t>
        </is>
      </c>
    </row>
    <row r="28">
      <c r="A28" s="2341" t="inlineStr">
        <is>
          <t>P025</t>
        </is>
      </c>
      <c r="B28" s="2338" t="n">
        <v>210</v>
      </c>
      <c r="C28" s="2339" t="inlineStr">
        <is>
          <t>R0191099</t>
        </is>
      </c>
      <c r="D28" s="2341" t="inlineStr">
        <is>
          <t>3559 N. Himalaya Rd (Bldg 5)</t>
        </is>
      </c>
      <c r="E28" s="2341" t="inlineStr">
        <is>
          <t>Aurora</t>
        </is>
      </c>
      <c r="F28" s="2341" t="inlineStr">
        <is>
          <t>CO</t>
        </is>
      </c>
      <c r="G28" s="2341" t="inlineStr">
        <is>
          <t>Industrial</t>
        </is>
      </c>
      <c r="H28" s="2341" t="inlineStr">
        <is>
          <t>Multi-Tenant Industrial NNN</t>
        </is>
      </c>
      <c r="I28" s="2341" t="n"/>
      <c r="J28" s="2341" t="n">
        <v>159047</v>
      </c>
      <c r="K28" s="2341" t="n"/>
      <c r="L28" s="2341" t="inlineStr">
        <is>
          <t>R0191099</t>
        </is>
      </c>
      <c r="M28" s="2341" t="n"/>
      <c r="N28" s="2341" t="inlineStr">
        <is>
          <t>MHE 2025 BOE – Sterling actual P&amp;L</t>
        </is>
      </c>
      <c r="O28" s="2341" t="inlineStr">
        <is>
          <t>2026-06-02</t>
        </is>
      </c>
      <c r="P28" s="2341" t="inlineStr">
        <is>
          <t>Multi-tenant NNN; 3 tenants; 2023+2024</t>
        </is>
      </c>
    </row>
    <row r="29">
      <c r="A29" s="2342" t="inlineStr">
        <is>
          <t>P026</t>
        </is>
      </c>
      <c r="B29" s="2338" t="n">
        <v>406</v>
      </c>
      <c r="C29" s="2339" t="inlineStr">
        <is>
          <t>R0092667</t>
        </is>
      </c>
      <c r="D29" s="2342" t="inlineStr">
        <is>
          <t>4901 Locust St</t>
        </is>
      </c>
      <c r="E29" s="2342" t="inlineStr">
        <is>
          <t>Commerce City</t>
        </is>
      </c>
      <c r="F29" s="2342" t="inlineStr">
        <is>
          <t>CO</t>
        </is>
      </c>
      <c r="G29" s="2342" t="inlineStr">
        <is>
          <t>Industrial</t>
        </is>
      </c>
      <c r="H29" s="2342" t="inlineStr">
        <is>
          <t>Industrial Warehouse</t>
        </is>
      </c>
      <c r="I29" s="2342" t="n"/>
      <c r="J29" s="2342" t="n">
        <v>29512</v>
      </c>
      <c r="K29" s="2342" t="n"/>
      <c r="L29" s="2342" t="inlineStr">
        <is>
          <t>R0092667</t>
        </is>
      </c>
      <c r="M29" s="2342" t="n"/>
      <c r="N29" s="2342" t="inlineStr">
        <is>
          <t>MHE 2025 BOE – Newmark appraisal proforma</t>
        </is>
      </c>
      <c r="O29" s="2342" t="inlineStr">
        <is>
          <t>2026-06-02</t>
        </is>
      </c>
      <c r="P29" s="2342" t="inlineStr">
        <is>
          <t>Stabilized proforma; Newmark V&amp;A appraisal 6/30/2024</t>
        </is>
      </c>
    </row>
    <row r="30">
      <c r="A30" s="2341" t="inlineStr">
        <is>
          <t>P027</t>
        </is>
      </c>
      <c r="B30" s="2338" t="n">
        <v>407</v>
      </c>
      <c r="C30" s="2339" t="inlineStr">
        <is>
          <t>R0132030</t>
        </is>
      </c>
      <c r="D30" s="2341" t="inlineStr">
        <is>
          <t>Majestic Commercenter (R0132030)</t>
        </is>
      </c>
      <c r="E30" s="2341" t="inlineStr">
        <is>
          <t>Commerce City</t>
        </is>
      </c>
      <c r="F30" s="2341" t="inlineStr">
        <is>
          <t>CO</t>
        </is>
      </c>
      <c r="G30" s="2341" t="inlineStr">
        <is>
          <t>Industrial</t>
        </is>
      </c>
      <c r="H30" s="2341" t="inlineStr">
        <is>
          <t>Warehouse NNN</t>
        </is>
      </c>
      <c r="I30" s="2341" t="n">
        <v>2001</v>
      </c>
      <c r="J30" s="2341" t="n">
        <v>200094</v>
      </c>
      <c r="K30" s="2341" t="n"/>
      <c r="L30" s="2341" t="inlineStr">
        <is>
          <t>R0132030</t>
        </is>
      </c>
      <c r="M30" s="2341" t="n"/>
      <c r="N30" s="2341" t="inlineStr">
        <is>
          <t>AXG – Whse Expenses PSF.xlsx</t>
        </is>
      </c>
      <c r="O30" s="2341" t="inlineStr">
        <is>
          <t>2026-06-02</t>
        </is>
      </c>
      <c r="P30" s="2341" t="inlineStr">
        <is>
          <t>NNN landlord expenses only; 2021–2022</t>
        </is>
      </c>
    </row>
    <row r="31">
      <c r="A31" s="2342" t="inlineStr">
        <is>
          <t>P028</t>
        </is>
      </c>
      <c r="B31" s="2338" t="n">
        <v>407</v>
      </c>
      <c r="C31" s="2339" t="inlineStr">
        <is>
          <t>R0084040</t>
        </is>
      </c>
      <c r="D31" s="2342" t="inlineStr">
        <is>
          <t>Majestic Commercenter (R0084040)</t>
        </is>
      </c>
      <c r="E31" s="2342" t="inlineStr">
        <is>
          <t>Commerce City</t>
        </is>
      </c>
      <c r="F31" s="2342" t="inlineStr">
        <is>
          <t>CO</t>
        </is>
      </c>
      <c r="G31" s="2342" t="inlineStr">
        <is>
          <t>Industrial</t>
        </is>
      </c>
      <c r="H31" s="2342" t="inlineStr">
        <is>
          <t>Warehouse NNN</t>
        </is>
      </c>
      <c r="I31" s="2342" t="n">
        <v>1997</v>
      </c>
      <c r="J31" s="2342" t="n">
        <v>177736</v>
      </c>
      <c r="K31" s="2342" t="n"/>
      <c r="L31" s="2342" t="inlineStr">
        <is>
          <t>R0084040</t>
        </is>
      </c>
      <c r="M31" s="2342" t="n"/>
      <c r="N31" s="2342" t="inlineStr">
        <is>
          <t>AXG – Whse Expenses PSF.xlsx</t>
        </is>
      </c>
      <c r="O31" s="2342" t="inlineStr">
        <is>
          <t>2026-06-02</t>
        </is>
      </c>
      <c r="P31" s="2342" t="inlineStr">
        <is>
          <t>NNN landlord expenses only; 2021–2022</t>
        </is>
      </c>
    </row>
    <row r="32">
      <c r="A32" s="2341" t="inlineStr">
        <is>
          <t>P029</t>
        </is>
      </c>
      <c r="B32" s="2338" t="n">
        <v>407</v>
      </c>
      <c r="C32" s="2339" t="inlineStr">
        <is>
          <t>R0084041</t>
        </is>
      </c>
      <c r="D32" s="2341" t="inlineStr">
        <is>
          <t>Majestic Commercenter (R0084041)</t>
        </is>
      </c>
      <c r="E32" s="2341" t="inlineStr">
        <is>
          <t>Commerce City</t>
        </is>
      </c>
      <c r="F32" s="2341" t="inlineStr">
        <is>
          <t>CO</t>
        </is>
      </c>
      <c r="G32" s="2341" t="inlineStr">
        <is>
          <t>Industrial</t>
        </is>
      </c>
      <c r="H32" s="2341" t="inlineStr">
        <is>
          <t>Warehouse NNN</t>
        </is>
      </c>
      <c r="I32" s="2341" t="n">
        <v>1997</v>
      </c>
      <c r="J32" s="2341" t="n">
        <v>200371</v>
      </c>
      <c r="K32" s="2341" t="n"/>
      <c r="L32" s="2341" t="inlineStr">
        <is>
          <t>R0084041</t>
        </is>
      </c>
      <c r="M32" s="2341" t="n"/>
      <c r="N32" s="2341" t="inlineStr">
        <is>
          <t>AXG – Whse Expenses PSF.xlsx</t>
        </is>
      </c>
      <c r="O32" s="2341" t="inlineStr">
        <is>
          <t>2026-06-02</t>
        </is>
      </c>
      <c r="P32" s="2341" t="inlineStr">
        <is>
          <t>NNN landlord expenses only; 2021–2022</t>
        </is>
      </c>
    </row>
    <row r="33">
      <c r="A33" s="2342" t="inlineStr">
        <is>
          <t>P030</t>
        </is>
      </c>
      <c r="B33" s="2338" t="n">
        <v>584</v>
      </c>
      <c r="C33" s="2339" t="inlineStr">
        <is>
          <t>R0217015</t>
        </is>
      </c>
      <c r="D33" s="2342" t="inlineStr">
        <is>
          <t>Majestic Commercenter (R0217015)</t>
        </is>
      </c>
      <c r="E33" s="2342" t="inlineStr">
        <is>
          <t>Commerce City</t>
        </is>
      </c>
      <c r="F33" s="2342" t="inlineStr">
        <is>
          <t>CO</t>
        </is>
      </c>
      <c r="G33" s="2342" t="inlineStr">
        <is>
          <t>Industrial</t>
        </is>
      </c>
      <c r="H33" s="2342" t="inlineStr">
        <is>
          <t>Mega Warehouse NNN</t>
        </is>
      </c>
      <c r="I33" s="2342" t="n">
        <v>2021</v>
      </c>
      <c r="J33" s="2342" t="n">
        <v>548510</v>
      </c>
      <c r="K33" s="2342" t="n"/>
      <c r="L33" s="2342" t="inlineStr">
        <is>
          <t>R0217015</t>
        </is>
      </c>
      <c r="M33" s="2342" t="n"/>
      <c r="N33" s="2342" t="inlineStr">
        <is>
          <t>AXG – Whse Expenses PSF.xlsx</t>
        </is>
      </c>
      <c r="O33" s="2342" t="inlineStr">
        <is>
          <t>2026-06-02</t>
        </is>
      </c>
      <c r="P33" s="2342" t="inlineStr">
        <is>
          <t>NNN landlord expenses only; 2022 only</t>
        </is>
      </c>
    </row>
    <row r="34">
      <c r="A34" s="2341" t="inlineStr">
        <is>
          <t>P031</t>
        </is>
      </c>
      <c r="B34" s="2338" t="n">
        <v>407</v>
      </c>
      <c r="C34" s="2339" t="inlineStr">
        <is>
          <t>R0111562</t>
        </is>
      </c>
      <c r="D34" s="2341" t="inlineStr">
        <is>
          <t>Majestic Commercenter (R0111562)</t>
        </is>
      </c>
      <c r="E34" s="2341" t="inlineStr">
        <is>
          <t>Commerce City</t>
        </is>
      </c>
      <c r="F34" s="2341" t="inlineStr">
        <is>
          <t>CO</t>
        </is>
      </c>
      <c r="G34" s="2341" t="inlineStr">
        <is>
          <t>Industrial</t>
        </is>
      </c>
      <c r="H34" s="2341" t="inlineStr">
        <is>
          <t>Warehouse NNN</t>
        </is>
      </c>
      <c r="I34" s="2341" t="n">
        <v>2000</v>
      </c>
      <c r="J34" s="2341" t="n">
        <v>149175</v>
      </c>
      <c r="K34" s="2341" t="n"/>
      <c r="L34" s="2341" t="inlineStr">
        <is>
          <t>R0111562</t>
        </is>
      </c>
      <c r="M34" s="2341" t="n"/>
      <c r="N34" s="2341" t="inlineStr">
        <is>
          <t>AXG – Whse Expenses PSF.xlsx</t>
        </is>
      </c>
      <c r="O34" s="2341" t="inlineStr">
        <is>
          <t>2026-06-02</t>
        </is>
      </c>
      <c r="P34" s="2341" t="inlineStr">
        <is>
          <t>NNN landlord expenses only; 2019–2020</t>
        </is>
      </c>
    </row>
    <row r="35">
      <c r="A35" s="2342" t="inlineStr">
        <is>
          <t>P032</t>
        </is>
      </c>
      <c r="B35" s="2338" t="n">
        <v>407</v>
      </c>
      <c r="C35" s="2339" t="inlineStr">
        <is>
          <t>R0118875</t>
        </is>
      </c>
      <c r="D35" s="2342" t="inlineStr">
        <is>
          <t>Majestic Commercenter (R0118875)</t>
        </is>
      </c>
      <c r="E35" s="2342" t="inlineStr">
        <is>
          <t>Commerce City</t>
        </is>
      </c>
      <c r="F35" s="2342" t="inlineStr">
        <is>
          <t>CO</t>
        </is>
      </c>
      <c r="G35" s="2342" t="inlineStr">
        <is>
          <t>Industrial</t>
        </is>
      </c>
      <c r="H35" s="2342" t="inlineStr">
        <is>
          <t>Warehouse NNN</t>
        </is>
      </c>
      <c r="I35" s="2342" t="n">
        <v>1999</v>
      </c>
      <c r="J35" s="2342" t="n">
        <v>279640</v>
      </c>
      <c r="K35" s="2342" t="n"/>
      <c r="L35" s="2342" t="inlineStr">
        <is>
          <t>R0118875</t>
        </is>
      </c>
      <c r="M35" s="2342" t="n"/>
      <c r="N35" s="2342" t="inlineStr">
        <is>
          <t>AXG – Whse Expenses PSF.xlsx</t>
        </is>
      </c>
      <c r="O35" s="2342" t="inlineStr">
        <is>
          <t>2026-06-02</t>
        </is>
      </c>
      <c r="P35" s="2342" t="inlineStr">
        <is>
          <t>NNN landlord expenses only; 2021–2022</t>
        </is>
      </c>
    </row>
    <row r="36">
      <c r="A36" s="2341" t="inlineStr">
        <is>
          <t>P033</t>
        </is>
      </c>
      <c r="B36" s="2338" t="n">
        <v>407</v>
      </c>
      <c r="C36" s="2339" t="inlineStr">
        <is>
          <t>R0132031</t>
        </is>
      </c>
      <c r="D36" s="2341" t="inlineStr">
        <is>
          <t>Majestic Commercenter (R0132031)</t>
        </is>
      </c>
      <c r="E36" s="2341" t="inlineStr">
        <is>
          <t>Commerce City</t>
        </is>
      </c>
      <c r="F36" s="2341" t="inlineStr">
        <is>
          <t>CO</t>
        </is>
      </c>
      <c r="G36" s="2341" t="inlineStr">
        <is>
          <t>Industrial</t>
        </is>
      </c>
      <c r="H36" s="2341" t="inlineStr">
        <is>
          <t>Warehouse NNN</t>
        </is>
      </c>
      <c r="I36" s="2341" t="n">
        <v>2002</v>
      </c>
      <c r="J36" s="2341" t="n">
        <v>280098</v>
      </c>
      <c r="K36" s="2341" t="n"/>
      <c r="L36" s="2341" t="inlineStr">
        <is>
          <t>R0132031</t>
        </is>
      </c>
      <c r="M36" s="2341" t="n"/>
      <c r="N36" s="2341" t="inlineStr">
        <is>
          <t>AXG – Whse Expenses PSF.xlsx</t>
        </is>
      </c>
      <c r="O36" s="2341" t="inlineStr">
        <is>
          <t>2026-06-02</t>
        </is>
      </c>
      <c r="P36" s="2341" t="inlineStr">
        <is>
          <t>NNN landlord expenses only; 2021–2022</t>
        </is>
      </c>
    </row>
    <row r="37">
      <c r="A37" s="2342" t="inlineStr">
        <is>
          <t>P034</t>
        </is>
      </c>
      <c r="B37" s="2338" t="n">
        <v>407</v>
      </c>
      <c r="C37" s="2339" t="inlineStr">
        <is>
          <t>R0172865</t>
        </is>
      </c>
      <c r="D37" s="2342" t="inlineStr">
        <is>
          <t>Majestic Commercenter (R0172865)</t>
        </is>
      </c>
      <c r="E37" s="2342" t="inlineStr">
        <is>
          <t>Commerce City</t>
        </is>
      </c>
      <c r="F37" s="2342" t="inlineStr">
        <is>
          <t>CO</t>
        </is>
      </c>
      <c r="G37" s="2342" t="inlineStr">
        <is>
          <t>Industrial</t>
        </is>
      </c>
      <c r="H37" s="2342" t="inlineStr">
        <is>
          <t>Warehouse NNN</t>
        </is>
      </c>
      <c r="I37" s="2342" t="n">
        <v>2008</v>
      </c>
      <c r="J37" s="2342" t="n">
        <v>215461</v>
      </c>
      <c r="K37" s="2342" t="n"/>
      <c r="L37" s="2342" t="inlineStr">
        <is>
          <t>R0172865</t>
        </is>
      </c>
      <c r="M37" s="2342" t="n"/>
      <c r="N37" s="2342" t="inlineStr">
        <is>
          <t>AXG – Whse Expenses PSF.xlsx</t>
        </is>
      </c>
      <c r="O37" s="2342" t="inlineStr">
        <is>
          <t>2026-06-02</t>
        </is>
      </c>
      <c r="P37" s="2342" t="inlineStr">
        <is>
          <t>NNN landlord expenses only; 2021–2022</t>
        </is>
      </c>
    </row>
    <row r="38">
      <c r="A38" s="2341" t="inlineStr">
        <is>
          <t>P035</t>
        </is>
      </c>
      <c r="B38" s="2338" t="n">
        <v>407</v>
      </c>
      <c r="C38" s="2339" t="inlineStr">
        <is>
          <t>R0172867</t>
        </is>
      </c>
      <c r="D38" s="2341" t="inlineStr">
        <is>
          <t>Majestic Commercenter (R0172867)</t>
        </is>
      </c>
      <c r="E38" s="2341" t="inlineStr">
        <is>
          <t>Commerce City</t>
        </is>
      </c>
      <c r="F38" s="2341" t="inlineStr">
        <is>
          <t>CO</t>
        </is>
      </c>
      <c r="G38" s="2341" t="inlineStr">
        <is>
          <t>Industrial</t>
        </is>
      </c>
      <c r="H38" s="2341" t="inlineStr">
        <is>
          <t>Warehouse NNN</t>
        </is>
      </c>
      <c r="I38" s="2341" t="n">
        <v>2007</v>
      </c>
      <c r="J38" s="2341" t="n">
        <v>215560</v>
      </c>
      <c r="K38" s="2341" t="n"/>
      <c r="L38" s="2341" t="inlineStr">
        <is>
          <t>R0172867</t>
        </is>
      </c>
      <c r="M38" s="2341" t="n"/>
      <c r="N38" s="2341" t="inlineStr">
        <is>
          <t>AXG – Whse Expenses PSF.xlsx</t>
        </is>
      </c>
      <c r="O38" s="2341" t="inlineStr">
        <is>
          <t>2026-06-02</t>
        </is>
      </c>
      <c r="P38" s="2341" t="inlineStr">
        <is>
          <t>NNN landlord expenses only; 2021–2022</t>
        </is>
      </c>
    </row>
    <row r="39">
      <c r="A39" s="2342" t="inlineStr">
        <is>
          <t>P036</t>
        </is>
      </c>
      <c r="B39" s="2338" t="n">
        <v>407</v>
      </c>
      <c r="C39" s="2339" t="inlineStr">
        <is>
          <t>R0172868</t>
        </is>
      </c>
      <c r="D39" s="2342" t="inlineStr">
        <is>
          <t>Majestic Commercenter (R0172868)</t>
        </is>
      </c>
      <c r="E39" s="2342" t="inlineStr">
        <is>
          <t>Commerce City</t>
        </is>
      </c>
      <c r="F39" s="2342" t="inlineStr">
        <is>
          <t>CO</t>
        </is>
      </c>
      <c r="G39" s="2342" t="inlineStr">
        <is>
          <t>Industrial</t>
        </is>
      </c>
      <c r="H39" s="2342" t="inlineStr">
        <is>
          <t>Warehouse NNN</t>
        </is>
      </c>
      <c r="I39" s="2342" t="n">
        <v>2007</v>
      </c>
      <c r="J39" s="2342" t="n">
        <v>202091</v>
      </c>
      <c r="K39" s="2342" t="n"/>
      <c r="L39" s="2342" t="inlineStr">
        <is>
          <t>R0172868</t>
        </is>
      </c>
      <c r="M39" s="2342" t="n"/>
      <c r="N39" s="2342" t="inlineStr">
        <is>
          <t>AXG – Whse Expenses PSF.xlsx</t>
        </is>
      </c>
      <c r="O39" s="2342" t="inlineStr">
        <is>
          <t>2026-06-02</t>
        </is>
      </c>
      <c r="P39" s="2342" t="inlineStr">
        <is>
          <t>NNN landlord expenses only; 2021–2022</t>
        </is>
      </c>
    </row>
    <row r="40">
      <c r="A40" s="2341" t="inlineStr">
        <is>
          <t>P037</t>
        </is>
      </c>
      <c r="B40" s="2338" t="n">
        <v>407</v>
      </c>
      <c r="C40" s="2339" t="inlineStr">
        <is>
          <t>R0145680</t>
        </is>
      </c>
      <c r="D40" s="2341" t="inlineStr">
        <is>
          <t>Majestic Commercenter (R0145680)</t>
        </is>
      </c>
      <c r="E40" s="2341" t="inlineStr">
        <is>
          <t>Commerce City</t>
        </is>
      </c>
      <c r="F40" s="2341" t="inlineStr">
        <is>
          <t>CO</t>
        </is>
      </c>
      <c r="G40" s="2341" t="inlineStr">
        <is>
          <t>Industrial</t>
        </is>
      </c>
      <c r="H40" s="2341" t="inlineStr">
        <is>
          <t>Warehouse NNN</t>
        </is>
      </c>
      <c r="I40" s="2341" t="n">
        <v>2001</v>
      </c>
      <c r="J40" s="2341" t="n">
        <v>150027</v>
      </c>
      <c r="K40" s="2341" t="n"/>
      <c r="L40" s="2341" t="inlineStr">
        <is>
          <t>R0145680</t>
        </is>
      </c>
      <c r="M40" s="2341" t="n"/>
      <c r="N40" s="2341" t="inlineStr">
        <is>
          <t>AXG – Whse Expenses PSF.xlsx</t>
        </is>
      </c>
      <c r="O40" s="2341" t="inlineStr">
        <is>
          <t>2026-06-02</t>
        </is>
      </c>
      <c r="P40" s="2341" t="inlineStr">
        <is>
          <t>NNN landlord expenses only; 2021–2022</t>
        </is>
      </c>
    </row>
    <row r="41">
      <c r="A41" s="2342" t="inlineStr">
        <is>
          <t>P038</t>
        </is>
      </c>
      <c r="B41" s="2338" t="n">
        <v>584</v>
      </c>
      <c r="C41" s="2339" t="inlineStr">
        <is>
          <t>R0181787</t>
        </is>
      </c>
      <c r="D41" s="2342" t="inlineStr">
        <is>
          <t>Majestic Commercenter (R0181787)</t>
        </is>
      </c>
      <c r="E41" s="2342" t="inlineStr">
        <is>
          <t>Commerce City</t>
        </is>
      </c>
      <c r="F41" s="2342" t="inlineStr">
        <is>
          <t>CO</t>
        </is>
      </c>
      <c r="G41" s="2342" t="inlineStr">
        <is>
          <t>Industrial</t>
        </is>
      </c>
      <c r="H41" s="2342" t="inlineStr">
        <is>
          <t>Mega Warehouse NNN</t>
        </is>
      </c>
      <c r="I41" s="2342" t="n">
        <v>2013</v>
      </c>
      <c r="J41" s="2342" t="n">
        <v>500358</v>
      </c>
      <c r="K41" s="2342" t="n"/>
      <c r="L41" s="2342" t="inlineStr">
        <is>
          <t>R0181787</t>
        </is>
      </c>
      <c r="M41" s="2342" t="n"/>
      <c r="N41" s="2342" t="inlineStr">
        <is>
          <t>AXG – Whse Expenses PSF.xlsx</t>
        </is>
      </c>
      <c r="O41" s="2342" t="inlineStr">
        <is>
          <t>2026-06-02</t>
        </is>
      </c>
      <c r="P41" s="2342" t="inlineStr">
        <is>
          <t>NNN landlord expenses only; 2021–2022</t>
        </is>
      </c>
    </row>
    <row r="42">
      <c r="A42" s="2341" t="inlineStr">
        <is>
          <t>P039</t>
        </is>
      </c>
      <c r="B42" s="2338" t="n">
        <v>584</v>
      </c>
      <c r="C42" s="2339" t="inlineStr">
        <is>
          <t>R0191101</t>
        </is>
      </c>
      <c r="D42" s="2341" t="inlineStr">
        <is>
          <t>Majestic Commercenter (R0191101)</t>
        </is>
      </c>
      <c r="E42" s="2341" t="inlineStr">
        <is>
          <t>Commerce City</t>
        </is>
      </c>
      <c r="F42" s="2341" t="inlineStr">
        <is>
          <t>CO</t>
        </is>
      </c>
      <c r="G42" s="2341" t="inlineStr">
        <is>
          <t>Industrial</t>
        </is>
      </c>
      <c r="H42" s="2341" t="inlineStr">
        <is>
          <t>Mega Warehouse NNN</t>
        </is>
      </c>
      <c r="I42" s="2341" t="n">
        <v>2017</v>
      </c>
      <c r="J42" s="2341" t="n">
        <v>522120</v>
      </c>
      <c r="K42" s="2341" t="n"/>
      <c r="L42" s="2341" t="inlineStr">
        <is>
          <t>R0191101</t>
        </is>
      </c>
      <c r="M42" s="2341" t="n"/>
      <c r="N42" s="2341" t="inlineStr">
        <is>
          <t>AXG – Whse Expenses PSF.xlsx</t>
        </is>
      </c>
      <c r="O42" s="2341" t="inlineStr">
        <is>
          <t>2026-06-02</t>
        </is>
      </c>
      <c r="P42" s="2341" t="inlineStr">
        <is>
          <t>NNN landlord expenses only; 2021–2022</t>
        </is>
      </c>
    </row>
    <row r="43">
      <c r="A43" s="2342" t="inlineStr">
        <is>
          <t>P040</t>
        </is>
      </c>
      <c r="B43" s="2338" t="n">
        <v>407</v>
      </c>
      <c r="C43" s="2339" t="inlineStr">
        <is>
          <t>R0202874</t>
        </is>
      </c>
      <c r="D43" s="2342" t="inlineStr">
        <is>
          <t>900 E 128th Ave</t>
        </is>
      </c>
      <c r="E43" s="2342" t="inlineStr">
        <is>
          <t>Henderson</t>
        </is>
      </c>
      <c r="F43" s="2342" t="inlineStr">
        <is>
          <t>CO</t>
        </is>
      </c>
      <c r="G43" s="2342" t="inlineStr">
        <is>
          <t>Industrial</t>
        </is>
      </c>
      <c r="H43" s="2342" t="inlineStr">
        <is>
          <t>Last-Mile Distribution NNN</t>
        </is>
      </c>
      <c r="I43" s="2342" t="n"/>
      <c r="J43" s="2342" t="n"/>
      <c r="K43" s="2342" t="n"/>
      <c r="L43" s="2342" t="inlineStr">
        <is>
          <t>R0202874</t>
        </is>
      </c>
      <c r="M43" s="2342" t="inlineStr">
        <is>
          <t>Amazon</t>
        </is>
      </c>
      <c r="N43" s="2342" t="inlineStr">
        <is>
          <t>AXG – Owner Income Statement 2021–2022</t>
        </is>
      </c>
      <c r="O43" s="2342" t="inlineStr">
        <is>
          <t>2026-06-02</t>
        </is>
      </c>
      <c r="P43" s="2342" t="inlineStr">
        <is>
          <t>Amazon AMZL Last Mile Site 51812; SF not extracted</t>
        </is>
      </c>
    </row>
    <row r="44">
      <c r="A44" s="2341" t="inlineStr">
        <is>
          <t>P041</t>
        </is>
      </c>
      <c r="B44" s="2338" t="n">
        <v>386</v>
      </c>
      <c r="C44" s="2339" t="inlineStr">
        <is>
          <t>R0189384</t>
        </is>
      </c>
      <c r="D44" s="2341" t="inlineStr">
        <is>
          <t>1101 Colorado Blvd</t>
        </is>
      </c>
      <c r="E44" s="2341" t="inlineStr">
        <is>
          <t>Thornton</t>
        </is>
      </c>
      <c r="F44" s="2341" t="inlineStr">
        <is>
          <t>CO</t>
        </is>
      </c>
      <c r="G44" s="2341" t="inlineStr">
        <is>
          <t>Self-Storage</t>
        </is>
      </c>
      <c r="H44" s="2341" t="inlineStr">
        <is>
          <t>Climate-Controlled</t>
        </is>
      </c>
      <c r="I44" s="2341" t="n"/>
      <c r="J44" s="2341" t="n">
        <v>65766</v>
      </c>
      <c r="K44" s="2341" t="n"/>
      <c r="L44" s="2341" t="inlineStr">
        <is>
          <t>R0189384</t>
        </is>
      </c>
      <c r="M44" s="2341" t="n"/>
      <c r="N44" s="2341" t="inlineStr">
        <is>
          <t>AXG – Carlson SS Portfolio P&amp;L</t>
        </is>
      </c>
      <c r="O44" s="2341" t="inlineStr">
        <is>
          <t>2026-06-02</t>
        </is>
      </c>
      <c r="P44" s="2341" t="inlineStr">
        <is>
          <t>Actual FY2021–2023; 101.5% occ Q4 2023</t>
        </is>
      </c>
    </row>
    <row r="45">
      <c r="A45" s="2342" t="inlineStr">
        <is>
          <t>P042</t>
        </is>
      </c>
      <c r="B45" s="2338" t="n">
        <v>386</v>
      </c>
      <c r="C45" s="2339" t="inlineStr">
        <is>
          <t>R0126235</t>
        </is>
      </c>
      <c r="D45" s="2342" t="inlineStr">
        <is>
          <t>15024 Laroy Drive</t>
        </is>
      </c>
      <c r="E45" s="2342" t="inlineStr">
        <is>
          <t>Northglenn</t>
        </is>
      </c>
      <c r="F45" s="2342" t="inlineStr">
        <is>
          <t>CO</t>
        </is>
      </c>
      <c r="G45" s="2342" t="inlineStr">
        <is>
          <t>Self-Storage</t>
        </is>
      </c>
      <c r="H45" s="2342" t="inlineStr">
        <is>
          <t>Climate-Controlled</t>
        </is>
      </c>
      <c r="I45" s="2342" t="n"/>
      <c r="J45" s="2342" t="n">
        <v>79950</v>
      </c>
      <c r="K45" s="2342" t="n"/>
      <c r="L45" s="2342" t="inlineStr">
        <is>
          <t>R0126235</t>
        </is>
      </c>
      <c r="M45" s="2342" t="n"/>
      <c r="N45" s="2342" t="inlineStr">
        <is>
          <t>AXG – Carlson SS Portfolio P&amp;L</t>
        </is>
      </c>
      <c r="O45" s="2342" t="inlineStr">
        <is>
          <t>2026-06-02</t>
        </is>
      </c>
      <c r="P45" s="2342" t="inlineStr">
        <is>
          <t>Actual FY2021–2023; 91.4% occ Dec 2023</t>
        </is>
      </c>
    </row>
    <row r="46">
      <c r="A46" s="2341" t="inlineStr">
        <is>
          <t>P043</t>
        </is>
      </c>
      <c r="B46" s="2338" t="n">
        <v>386</v>
      </c>
      <c r="C46" s="2339" t="inlineStr">
        <is>
          <t>R0126234</t>
        </is>
      </c>
      <c r="D46" s="2341" t="inlineStr">
        <is>
          <t>715 W 112th Ave</t>
        </is>
      </c>
      <c r="E46" s="2341" t="inlineStr">
        <is>
          <t>Northglenn</t>
        </is>
      </c>
      <c r="F46" s="2341" t="inlineStr">
        <is>
          <t>CO</t>
        </is>
      </c>
      <c r="G46" s="2341" t="inlineStr">
        <is>
          <t>Self-Storage</t>
        </is>
      </c>
      <c r="H46" s="2341" t="inlineStr">
        <is>
          <t>Drive-Up/Drop-Off</t>
        </is>
      </c>
      <c r="I46" s="2341" t="n"/>
      <c r="J46" s="2341" t="n">
        <v>83756</v>
      </c>
      <c r="K46" s="2341" t="n"/>
      <c r="L46" s="2341" t="inlineStr">
        <is>
          <t>R0126234</t>
        </is>
      </c>
      <c r="M46" s="2341" t="n"/>
      <c r="N46" s="2341" t="inlineStr">
        <is>
          <t>AXG – Carlson SS Portfolio P&amp;L</t>
        </is>
      </c>
      <c r="O46" s="2341" t="inlineStr">
        <is>
          <t>2026-06-02</t>
        </is>
      </c>
      <c r="P46" s="2341" t="inlineStr">
        <is>
          <t>Actual FY2021–2023</t>
        </is>
      </c>
    </row>
    <row r="47">
      <c r="A47" s="2342" t="inlineStr">
        <is>
          <t>P044</t>
        </is>
      </c>
      <c r="B47" s="2338" t="n">
        <v>386</v>
      </c>
      <c r="C47" s="2339" t="inlineStr">
        <is>
          <t>R0027089/R0178319</t>
        </is>
      </c>
      <c r="D47" s="2342" t="inlineStr">
        <is>
          <t>2290 E 120th Ave</t>
        </is>
      </c>
      <c r="E47" s="2342" t="inlineStr">
        <is>
          <t>Thornton</t>
        </is>
      </c>
      <c r="F47" s="2342" t="inlineStr">
        <is>
          <t>CO</t>
        </is>
      </c>
      <c r="G47" s="2342" t="inlineStr">
        <is>
          <t>Self-Storage</t>
        </is>
      </c>
      <c r="H47" s="2342" t="inlineStr">
        <is>
          <t>Drive-Up/Drop-Off</t>
        </is>
      </c>
      <c r="I47" s="2342" t="n"/>
      <c r="J47" s="2342" t="n">
        <v>71909</v>
      </c>
      <c r="K47" s="2342" t="n"/>
      <c r="L47" s="2342" t="inlineStr">
        <is>
          <t>R0027089/R0178319</t>
        </is>
      </c>
      <c r="M47" s="2342" t="n"/>
      <c r="N47" s="2342" t="inlineStr">
        <is>
          <t>AXG – Carlson SS Portfolio P&amp;L</t>
        </is>
      </c>
      <c r="O47" s="2342" t="inlineStr">
        <is>
          <t>2026-06-02</t>
        </is>
      </c>
      <c r="P47" s="2342" t="inlineStr">
        <is>
          <t>Combined parcel FY2021–2023; 88.2% occ Dec 2023</t>
        </is>
      </c>
    </row>
    <row r="48">
      <c r="A48" s="2341" t="inlineStr">
        <is>
          <t>P045</t>
        </is>
      </c>
      <c r="B48" s="2338" t="n">
        <v>386</v>
      </c>
      <c r="C48" s="2339" t="inlineStr">
        <is>
          <t>R0043569</t>
        </is>
      </c>
      <c r="D48" s="2341" t="inlineStr">
        <is>
          <t>40131 Quivas St (104th &amp; Quivas)</t>
        </is>
      </c>
      <c r="E48" s="2341" t="inlineStr">
        <is>
          <t>Thornton</t>
        </is>
      </c>
      <c r="F48" s="2341" t="inlineStr">
        <is>
          <t>CO</t>
        </is>
      </c>
      <c r="G48" s="2341" t="inlineStr">
        <is>
          <t>Self-Storage</t>
        </is>
      </c>
      <c r="H48" s="2341" t="inlineStr">
        <is>
          <t>Drive-Up/Drop-Off</t>
        </is>
      </c>
      <c r="I48" s="2341" t="n"/>
      <c r="J48" s="2341" t="n">
        <v>41900</v>
      </c>
      <c r="K48" s="2341" t="n"/>
      <c r="L48" s="2341" t="inlineStr">
        <is>
          <t>R0043569</t>
        </is>
      </c>
      <c r="M48" s="2341" t="n"/>
      <c r="N48" s="2341" t="inlineStr">
        <is>
          <t>AXG – SS Expense Matrix + FY2024 P&amp;L</t>
        </is>
      </c>
      <c r="O48" s="2341" t="inlineStr">
        <is>
          <t>2026-06-02</t>
        </is>
      </c>
      <c r="P48" s="2341" t="inlineStr">
        <is>
          <t>Actual FY2024 monthly P&amp;L + expense matrix</t>
        </is>
      </c>
    </row>
    <row r="49">
      <c r="A49" s="2342" t="inlineStr">
        <is>
          <t>P046</t>
        </is>
      </c>
      <c r="B49" s="2338" t="n">
        <v>386</v>
      </c>
      <c r="C49" s="2339" t="inlineStr">
        <is>
          <t>R0193009</t>
        </is>
      </c>
      <c r="D49" s="2342" t="inlineStr">
        <is>
          <t>Address unknown – see R0193009</t>
        </is>
      </c>
      <c r="E49" s="2342" t="inlineStr">
        <is>
          <t>Adams County</t>
        </is>
      </c>
      <c r="F49" s="2342" t="inlineStr">
        <is>
          <t>CO</t>
        </is>
      </c>
      <c r="G49" s="2342" t="inlineStr">
        <is>
          <t>Self-Storage</t>
        </is>
      </c>
      <c r="H49" s="2342" t="inlineStr">
        <is>
          <t>Climate-Controlled</t>
        </is>
      </c>
      <c r="I49" s="2342" t="n"/>
      <c r="J49" s="2342" t="n">
        <v>94736</v>
      </c>
      <c r="K49" s="2342" t="n"/>
      <c r="L49" s="2342" t="inlineStr">
        <is>
          <t>R0193009</t>
        </is>
      </c>
      <c r="M49" s="2342" t="n"/>
      <c r="N49" s="2342" t="inlineStr">
        <is>
          <t>AXG – SS Expense Matrix</t>
        </is>
      </c>
      <c r="O49" s="2342" t="inlineStr">
        <is>
          <t>2026-06-02</t>
        </is>
      </c>
      <c r="P49" s="2342" t="inlineStr">
        <is>
          <t>Expense matrix data; EGI $1,582,087</t>
        </is>
      </c>
    </row>
    <row r="50">
      <c r="A50" s="2341" t="inlineStr">
        <is>
          <t>P047</t>
        </is>
      </c>
      <c r="B50" s="2338" t="n">
        <v>386</v>
      </c>
      <c r="C50" s="2339" t="inlineStr">
        <is>
          <t>R0099616</t>
        </is>
      </c>
      <c r="D50" s="2341" t="inlineStr">
        <is>
          <t>Address unknown – see R0099616</t>
        </is>
      </c>
      <c r="E50" s="2341" t="inlineStr">
        <is>
          <t>Adams County</t>
        </is>
      </c>
      <c r="F50" s="2341" t="inlineStr">
        <is>
          <t>CO</t>
        </is>
      </c>
      <c r="G50" s="2341" t="inlineStr">
        <is>
          <t>Self-Storage</t>
        </is>
      </c>
      <c r="H50" s="2341" t="inlineStr">
        <is>
          <t>Drive-Up/Drop-Off</t>
        </is>
      </c>
      <c r="I50" s="2341" t="n"/>
      <c r="J50" s="2341" t="n">
        <v>73500</v>
      </c>
      <c r="K50" s="2341" t="n"/>
      <c r="L50" s="2341" t="inlineStr">
        <is>
          <t>R0099616</t>
        </is>
      </c>
      <c r="M50" s="2341" t="n"/>
      <c r="N50" s="2341" t="inlineStr">
        <is>
          <t>AXG – SS Expense Matrix</t>
        </is>
      </c>
      <c r="O50" s="2341" t="inlineStr">
        <is>
          <t>2026-06-02</t>
        </is>
      </c>
      <c r="P50" s="2341" t="inlineStr">
        <is>
          <t>Expense matrix data; EGI $834,358</t>
        </is>
      </c>
    </row>
    <row r="51">
      <c r="A51" s="2342" t="inlineStr">
        <is>
          <t>P048</t>
        </is>
      </c>
      <c r="B51" s="2338" t="n">
        <v>386</v>
      </c>
      <c r="C51" s="2339" t="inlineStr">
        <is>
          <t>R0098019</t>
        </is>
      </c>
      <c r="D51" s="2342" t="inlineStr">
        <is>
          <t>Address unknown – see R0098019</t>
        </is>
      </c>
      <c r="E51" s="2342" t="inlineStr">
        <is>
          <t>Adams County</t>
        </is>
      </c>
      <c r="F51" s="2342" t="inlineStr">
        <is>
          <t>CO</t>
        </is>
      </c>
      <c r="G51" s="2342" t="inlineStr">
        <is>
          <t>Self-Storage</t>
        </is>
      </c>
      <c r="H51" s="2342" t="inlineStr">
        <is>
          <t>Drive-Up/Drop-Off</t>
        </is>
      </c>
      <c r="I51" s="2342" t="n"/>
      <c r="J51" s="2342" t="n">
        <v>44975</v>
      </c>
      <c r="K51" s="2342" t="n"/>
      <c r="L51" s="2342" t="inlineStr">
        <is>
          <t>R0098019</t>
        </is>
      </c>
      <c r="M51" s="2342" t="n"/>
      <c r="N51" s="2342" t="inlineStr">
        <is>
          <t>AXG – SS Expense Matrix</t>
        </is>
      </c>
      <c r="O51" s="2342" t="inlineStr">
        <is>
          <t>2026-06-02</t>
        </is>
      </c>
      <c r="P51" s="2342" t="inlineStr">
        <is>
          <t>Expense matrix data; EGI $588,827</t>
        </is>
      </c>
    </row>
    <row r="52">
      <c r="A52" s="2341" t="inlineStr">
        <is>
          <t>P049</t>
        </is>
      </c>
      <c r="B52" s="2338" t="n">
        <v>386</v>
      </c>
      <c r="C52" s="2339" t="inlineStr">
        <is>
          <t>R0102989</t>
        </is>
      </c>
      <c r="D52" s="2341" t="inlineStr">
        <is>
          <t>Fitzsimons area – see R0102989</t>
        </is>
      </c>
      <c r="E52" s="2341" t="inlineStr">
        <is>
          <t>Aurora</t>
        </is>
      </c>
      <c r="F52" s="2341" t="inlineStr">
        <is>
          <t>CO</t>
        </is>
      </c>
      <c r="G52" s="2341" t="inlineStr">
        <is>
          <t>Self-Storage</t>
        </is>
      </c>
      <c r="H52" s="2341" t="inlineStr">
        <is>
          <t>Climate-Controlled</t>
        </is>
      </c>
      <c r="I52" s="2341" t="n"/>
      <c r="J52" s="2341" t="n">
        <v>94797</v>
      </c>
      <c r="K52" s="2341" t="n"/>
      <c r="L52" s="2341" t="inlineStr">
        <is>
          <t>R0102989</t>
        </is>
      </c>
      <c r="M52" s="2341" t="n"/>
      <c r="N52" s="2341" t="inlineStr">
        <is>
          <t>AXG – SS Expense Matrix</t>
        </is>
      </c>
      <c r="O52" s="2341" t="inlineStr">
        <is>
          <t>2026-06-02</t>
        </is>
      </c>
      <c r="P52" s="2341" t="inlineStr">
        <is>
          <t>Expense matrix data; EGI $1,184,503</t>
        </is>
      </c>
    </row>
    <row r="53">
      <c r="A53" s="2342" t="inlineStr">
        <is>
          <t>P050</t>
        </is>
      </c>
      <c r="B53" s="2338" t="n">
        <v>386</v>
      </c>
      <c r="C53" s="2339" t="inlineStr">
        <is>
          <t>R0085523</t>
        </is>
      </c>
      <c r="D53" s="2342" t="inlineStr">
        <is>
          <t>Address unknown – see R0085523</t>
        </is>
      </c>
      <c r="E53" s="2342" t="inlineStr">
        <is>
          <t>Adams County</t>
        </is>
      </c>
      <c r="F53" s="2342" t="inlineStr">
        <is>
          <t>CO</t>
        </is>
      </c>
      <c r="G53" s="2342" t="inlineStr">
        <is>
          <t>Self-Storage</t>
        </is>
      </c>
      <c r="H53" s="2342" t="inlineStr">
        <is>
          <t>Drive-Up/Drop-Off</t>
        </is>
      </c>
      <c r="I53" s="2342" t="n"/>
      <c r="J53" s="2342" t="n">
        <v>39525</v>
      </c>
      <c r="K53" s="2342" t="n"/>
      <c r="L53" s="2342" t="inlineStr">
        <is>
          <t>R0085523</t>
        </is>
      </c>
      <c r="M53" s="2342" t="n"/>
      <c r="N53" s="2342" t="inlineStr">
        <is>
          <t>AXG – SS Expense Matrix</t>
        </is>
      </c>
      <c r="O53" s="2342" t="inlineStr">
        <is>
          <t>2026-06-02</t>
        </is>
      </c>
      <c r="P53" s="2342" t="inlineStr">
        <is>
          <t>Expense matrix data; EGI $541,974</t>
        </is>
      </c>
    </row>
    <row r="54">
      <c r="A54" s="2341" t="inlineStr">
        <is>
          <t>P051</t>
        </is>
      </c>
      <c r="B54" s="2338" t="n">
        <v>386</v>
      </c>
      <c r="C54" s="2339" t="inlineStr">
        <is>
          <t>R0174860</t>
        </is>
      </c>
      <c r="D54" s="2341" t="inlineStr">
        <is>
          <t>Address unknown – see R0174860</t>
        </is>
      </c>
      <c r="E54" s="2341" t="inlineStr">
        <is>
          <t>Adams County</t>
        </is>
      </c>
      <c r="F54" s="2341" t="inlineStr">
        <is>
          <t>CO</t>
        </is>
      </c>
      <c r="G54" s="2341" t="inlineStr">
        <is>
          <t>Self-Storage</t>
        </is>
      </c>
      <c r="H54" s="2341" t="inlineStr">
        <is>
          <t>Drive-Up/Drop-Off (containers)</t>
        </is>
      </c>
      <c r="I54" s="2341" t="n"/>
      <c r="J54" s="2341" t="n">
        <v>45980</v>
      </c>
      <c r="K54" s="2341" t="n"/>
      <c r="L54" s="2341" t="inlineStr">
        <is>
          <t>R0174860</t>
        </is>
      </c>
      <c r="M54" s="2341" t="n"/>
      <c r="N54" s="2341" t="inlineStr">
        <is>
          <t>AXG – SS Expense Matrix</t>
        </is>
      </c>
      <c r="O54" s="2341" t="inlineStr">
        <is>
          <t>2026-06-02</t>
        </is>
      </c>
      <c r="P54" s="2341" t="inlineStr">
        <is>
          <t>Expense matrix data; EGI $646,496</t>
        </is>
      </c>
    </row>
    <row r="55">
      <c r="A55" s="2342" t="inlineStr">
        <is>
          <t>P052</t>
        </is>
      </c>
      <c r="B55" s="2338" t="n">
        <v>386</v>
      </c>
      <c r="C55" s="2339" t="inlineStr">
        <is>
          <t>R0161412</t>
        </is>
      </c>
      <c r="D55" s="2342" t="inlineStr">
        <is>
          <t>Address unknown – see R0161412</t>
        </is>
      </c>
      <c r="E55" s="2342" t="inlineStr">
        <is>
          <t>Adams County</t>
        </is>
      </c>
      <c r="F55" s="2342" t="inlineStr">
        <is>
          <t>CO</t>
        </is>
      </c>
      <c r="G55" s="2342" t="inlineStr">
        <is>
          <t>Self-Storage</t>
        </is>
      </c>
      <c r="H55" s="2342" t="inlineStr">
        <is>
          <t>Drive-Up/Drop-Off</t>
        </is>
      </c>
      <c r="I55" s="2342" t="n"/>
      <c r="J55" s="2342" t="n">
        <v>88043</v>
      </c>
      <c r="K55" s="2342" t="n"/>
      <c r="L55" s="2342" t="inlineStr">
        <is>
          <t>R0161412</t>
        </is>
      </c>
      <c r="M55" s="2342" t="n"/>
      <c r="N55" s="2342" t="inlineStr">
        <is>
          <t>AXG – SS Expense Matrix</t>
        </is>
      </c>
      <c r="O55" s="2342" t="inlineStr">
        <is>
          <t>2026-06-02</t>
        </is>
      </c>
      <c r="P55" s="2342" t="inlineStr">
        <is>
          <t>Expense matrix data; EGI $1,206,603</t>
        </is>
      </c>
    </row>
    <row r="56">
      <c r="A56" s="2341" t="inlineStr">
        <is>
          <t>P053</t>
        </is>
      </c>
      <c r="B56" s="2338" t="n">
        <v>386</v>
      </c>
      <c r="C56" s="2339" t="inlineStr">
        <is>
          <t>R0169115</t>
        </is>
      </c>
      <c r="D56" s="2341" t="inlineStr">
        <is>
          <t>Address unknown – see R0169115</t>
        </is>
      </c>
      <c r="E56" s="2341" t="inlineStr">
        <is>
          <t>Adams County</t>
        </is>
      </c>
      <c r="F56" s="2341" t="inlineStr">
        <is>
          <t>CO</t>
        </is>
      </c>
      <c r="G56" s="2341" t="inlineStr">
        <is>
          <t>Self-Storage</t>
        </is>
      </c>
      <c r="H56" s="2341" t="inlineStr">
        <is>
          <t>Drive-Up/Drop-Off</t>
        </is>
      </c>
      <c r="I56" s="2341" t="n"/>
      <c r="J56" s="2341" t="n">
        <v>41764</v>
      </c>
      <c r="K56" s="2341" t="n"/>
      <c r="L56" s="2341" t="inlineStr">
        <is>
          <t>R0169115</t>
        </is>
      </c>
      <c r="M56" s="2341" t="n"/>
      <c r="N56" s="2341" t="inlineStr">
        <is>
          <t>AXG – SS Expense Matrix</t>
        </is>
      </c>
      <c r="O56" s="2341" t="inlineStr">
        <is>
          <t>2026-06-02</t>
        </is>
      </c>
      <c r="P56" s="2341" t="inlineStr">
        <is>
          <t>Expense matrix data; EGI $787,364</t>
        </is>
      </c>
    </row>
    <row r="57">
      <c r="A57" s="2341" t="inlineStr">
        <is>
          <t>P054</t>
        </is>
      </c>
      <c r="B57" s="2338" t="n">
        <v>210</v>
      </c>
      <c r="C57" s="2339" t="inlineStr">
        <is>
          <t>R0180551</t>
        </is>
      </c>
      <c r="D57" s="2341" t="inlineStr">
        <is>
          <t>1953 N Gun Club Rd</t>
        </is>
      </c>
      <c r="E57" s="2341" t="inlineStr">
        <is>
          <t>Aurora</t>
        </is>
      </c>
      <c r="F57" s="2341" t="inlineStr">
        <is>
          <t>CO</t>
        </is>
      </c>
      <c r="G57" s="2341" t="inlineStr">
        <is>
          <t>Industrial</t>
        </is>
      </c>
      <c r="H57" s="2341" t="inlineStr">
        <is>
          <t>Multi-Tenant Industrial/Office NNN</t>
        </is>
      </c>
      <c r="I57" s="2341" t="n"/>
      <c r="J57" s="2341" t="n"/>
      <c r="K57" s="2341" t="n"/>
      <c r="L57" s="2341" t="inlineStr">
        <is>
          <t>R0180551</t>
        </is>
      </c>
      <c r="M57" s="2341" t="inlineStr">
        <is>
          <t>Cherry Owner III LLC / AIP KKR</t>
        </is>
      </c>
      <c r="N57" s="2341" t="inlineStr">
        <is>
          <t>08_2025 Review – owner actual P&amp;L</t>
        </is>
      </c>
      <c r="O57" s="2341" t="inlineStr">
        <is>
          <t>2026-06-02</t>
        </is>
      </c>
      <c r="P57" s="2341" t="inlineStr">
        <is>
          <t>Actual 2023+2024; base rent + full recovery; adj for prior-yr tax</t>
        </is>
      </c>
    </row>
    <row r="58">
      <c r="A58" s="2342" t="inlineStr">
        <is>
          <t>P055</t>
        </is>
      </c>
      <c r="B58" s="2338" t="n">
        <v>407</v>
      </c>
      <c r="C58" s="2339" t="inlineStr">
        <is>
          <t>R0211072/R0211073/R0211074</t>
        </is>
      </c>
      <c r="D58" s="2342" t="inlineStr">
        <is>
          <t>Park 76 Distribution Center</t>
        </is>
      </c>
      <c r="E58" s="2342" t="inlineStr">
        <is>
          <t>Aurora</t>
        </is>
      </c>
      <c r="F58" s="2342" t="inlineStr">
        <is>
          <t>CO</t>
        </is>
      </c>
      <c r="G58" s="2342" t="inlineStr">
        <is>
          <t>Industrial</t>
        </is>
      </c>
      <c r="H58" s="2342" t="inlineStr">
        <is>
          <t>Industrial Warehouse (3-bldg campus) NNN</t>
        </is>
      </c>
      <c r="I58" s="2342" t="n"/>
      <c r="J58" s="2342" t="n"/>
      <c r="K58" s="2342" t="n"/>
      <c r="L58" s="2342" t="inlineStr">
        <is>
          <t>R0211072/R0211073/R0211074</t>
        </is>
      </c>
      <c r="M58" s="2342" t="inlineStr">
        <is>
          <t>Park 76 Owner LLC / Alpha Industrial</t>
        </is>
      </c>
      <c r="N58" s="2342" t="inlineStr">
        <is>
          <t>08_2025 Review – owner actual P&amp;L</t>
        </is>
      </c>
      <c r="O58" s="2342" t="inlineStr">
        <is>
          <t>2026-06-02</t>
        </is>
      </c>
      <c r="P58" s="2342" t="inlineStr">
        <is>
          <t>3-building campus; actual 2023+2024; lease-up completed ~2023</t>
        </is>
      </c>
    </row>
    <row r="59">
      <c r="A59" s="2341" t="inlineStr">
        <is>
          <t>P056</t>
        </is>
      </c>
      <c r="B59" s="2338" t="n">
        <v>407</v>
      </c>
      <c r="C59" s="2339" t="inlineStr">
        <is>
          <t>R0210485</t>
        </is>
      </c>
      <c r="D59" s="2341" t="inlineStr">
        <is>
          <t>1101 E 126th Ave (Bldg A)</t>
        </is>
      </c>
      <c r="E59" s="2341" t="inlineStr">
        <is>
          <t>Thornton</t>
        </is>
      </c>
      <c r="F59" s="2341" t="inlineStr">
        <is>
          <t>CO</t>
        </is>
      </c>
      <c r="G59" s="2341" t="inlineStr">
        <is>
          <t>Industrial</t>
        </is>
      </c>
      <c r="H59" s="2341" t="inlineStr">
        <is>
          <t>Industrial Warehouse NNN</t>
        </is>
      </c>
      <c r="I59" s="2341" t="n">
        <v>2022</v>
      </c>
      <c r="J59" s="2341" t="n"/>
      <c r="K59" s="2341" t="n"/>
      <c r="L59" s="2341" t="inlineStr">
        <is>
          <t>R0210485</t>
        </is>
      </c>
      <c r="M59" s="2341" t="inlineStr">
        <is>
          <t>Thornton Owner LLC / Alpha Industrial</t>
        </is>
      </c>
      <c r="N59" s="2341" t="inlineStr">
        <is>
          <t>08_2025 Review – owner actual P&amp;L</t>
        </is>
      </c>
      <c r="O59" s="2341" t="inlineStr">
        <is>
          <t>2026-06-02</t>
        </is>
      </c>
      <c r="P59" s="2341" t="inlineStr">
        <is>
          <t>New (YOC ~2022); 2023 lease-up; 2024 near-stabilized; 2024 only added</t>
        </is>
      </c>
    </row>
    <row r="60">
      <c r="A60" s="2342" t="inlineStr">
        <is>
          <t>P057</t>
        </is>
      </c>
      <c r="B60" s="2338" t="n">
        <v>407</v>
      </c>
      <c r="C60" s="2339" t="inlineStr">
        <is>
          <t>R0210486</t>
        </is>
      </c>
      <c r="D60" s="2342" t="inlineStr">
        <is>
          <t>12625 Lafayette St (Bldg B)</t>
        </is>
      </c>
      <c r="E60" s="2342" t="inlineStr">
        <is>
          <t>Thornton</t>
        </is>
      </c>
      <c r="F60" s="2342" t="inlineStr">
        <is>
          <t>CO</t>
        </is>
      </c>
      <c r="G60" s="2342" t="inlineStr">
        <is>
          <t>Industrial</t>
        </is>
      </c>
      <c r="H60" s="2342" t="inlineStr">
        <is>
          <t>Industrial Warehouse NNN</t>
        </is>
      </c>
      <c r="I60" s="2342" t="n">
        <v>2022</v>
      </c>
      <c r="J60" s="2342" t="n"/>
      <c r="K60" s="2342" t="n"/>
      <c r="L60" s="2342" t="inlineStr">
        <is>
          <t>R0210486</t>
        </is>
      </c>
      <c r="M60" s="2342" t="inlineStr">
        <is>
          <t>Thornton Owner LLC / Alpha Industrial</t>
        </is>
      </c>
      <c r="N60" s="2342" t="inlineStr">
        <is>
          <t>08_2025 Review – owner actual P&amp;L</t>
        </is>
      </c>
      <c r="O60" s="2342" t="inlineStr">
        <is>
          <t>2026-06-02</t>
        </is>
      </c>
      <c r="P60" s="2342" t="inlineStr">
        <is>
          <t>New (YOC ~2022); 2023 lease-up; 2024 near-stabilized; 2024 only added</t>
        </is>
      </c>
    </row>
    <row r="61">
      <c r="A61" s="2341" t="inlineStr">
        <is>
          <t>P058</t>
        </is>
      </c>
      <c r="B61" s="2338" t="n">
        <v>407</v>
      </c>
      <c r="C61" s="2339" t="inlineStr">
        <is>
          <t>R0091934</t>
        </is>
      </c>
      <c r="D61" s="2341" t="inlineStr">
        <is>
          <t>350 Park Industrial (5759)</t>
        </is>
      </c>
      <c r="E61" s="2341" t="inlineStr">
        <is>
          <t>Aurora</t>
        </is>
      </c>
      <c r="F61" s="2341" t="inlineStr">
        <is>
          <t>CO</t>
        </is>
      </c>
      <c r="G61" s="2341" t="inlineStr">
        <is>
          <t>Industrial</t>
        </is>
      </c>
      <c r="H61" s="2341" t="inlineStr">
        <is>
          <t>Multi-Tenant Industrial 407</t>
        </is>
      </c>
      <c r="I61" s="2341" t="n">
        <v>1995</v>
      </c>
      <c r="J61" s="2341" t="n">
        <v>32600</v>
      </c>
      <c r="K61" s="2341" t="n"/>
      <c r="L61" s="2341" t="inlineStr">
        <is>
          <t>R0091934</t>
        </is>
      </c>
      <c r="M61" s="2341" t="n"/>
      <c r="N61" s="2341" t="inlineStr">
        <is>
          <t>08_2025 Review – owner actual P&amp;L</t>
        </is>
      </c>
      <c r="O61" s="2341" t="inlineStr">
        <is>
          <t>2026-06-02</t>
        </is>
      </c>
      <c r="P61" s="2341" t="inlineStr">
        <is>
          <t>Actual accrual 2023+2024; multi-tenant; 3 tenants</t>
        </is>
      </c>
    </row>
    <row r="62">
      <c r="A62" s="2342" t="inlineStr">
        <is>
          <t>P059</t>
        </is>
      </c>
      <c r="B62" s="2338" t="n">
        <v>407</v>
      </c>
      <c r="C62" s="2339" t="inlineStr">
        <is>
          <t>R0093111</t>
        </is>
      </c>
      <c r="D62" s="2342" t="inlineStr">
        <is>
          <t>Industrial Property (yden0702)</t>
        </is>
      </c>
      <c r="E62" s="2342" t="inlineStr">
        <is>
          <t>Aurora</t>
        </is>
      </c>
      <c r="F62" s="2342" t="inlineStr">
        <is>
          <t>CO</t>
        </is>
      </c>
      <c r="G62" s="2342" t="inlineStr">
        <is>
          <t>Industrial</t>
        </is>
      </c>
      <c r="H62" s="2342" t="inlineStr">
        <is>
          <t>Multi-Tenant Industrial 407</t>
        </is>
      </c>
      <c r="I62" s="2342" t="n"/>
      <c r="J62" s="2342" t="n"/>
      <c r="K62" s="2342" t="n"/>
      <c r="L62" s="2342" t="inlineStr">
        <is>
          <t>R0093111</t>
        </is>
      </c>
      <c r="M62" s="2342" t="n"/>
      <c r="N62" s="2342" t="inlineStr">
        <is>
          <t>08_2025 Review – owner actual P&amp;L</t>
        </is>
      </c>
      <c r="O62" s="2342" t="inlineStr">
        <is>
          <t>2026-06-02</t>
        </is>
      </c>
      <c r="P62" s="2342" t="inlineStr">
        <is>
          <t>Actual 2023+2024; SF not confirmed; multi-tenant 3 tenants</t>
        </is>
      </c>
    </row>
    <row r="63">
      <c r="A63" s="2341" t="inlineStr">
        <is>
          <t>P060</t>
        </is>
      </c>
      <c r="B63" s="2338" t="n">
        <v>407</v>
      </c>
      <c r="C63" s="2339" t="inlineStr">
        <is>
          <t>R0100104</t>
        </is>
      </c>
      <c r="D63" s="2341" t="inlineStr">
        <is>
          <t>312 Kew West</t>
        </is>
      </c>
      <c r="E63" s="2341" t="inlineStr">
        <is>
          <t>Aurora</t>
        </is>
      </c>
      <c r="F63" s="2341" t="inlineStr">
        <is>
          <t>CO</t>
        </is>
      </c>
      <c r="G63" s="2341" t="inlineStr">
        <is>
          <t>Industrial</t>
        </is>
      </c>
      <c r="H63" s="2341" t="inlineStr">
        <is>
          <t>Multi-Tenant Industrial 407</t>
        </is>
      </c>
      <c r="I63" s="2341" t="n"/>
      <c r="J63" s="2341" t="n"/>
      <c r="K63" s="2341" t="n"/>
      <c r="L63" s="2341" t="inlineStr">
        <is>
          <t>R0100104</t>
        </is>
      </c>
      <c r="M63" s="2341" t="n"/>
      <c r="N63" s="2341" t="inlineStr">
        <is>
          <t>08_2025 Review – owner actual P&amp;L</t>
        </is>
      </c>
      <c r="O63" s="2341" t="inlineStr">
        <is>
          <t>2026-06-02</t>
        </is>
      </c>
      <c r="P63" s="2341" t="inlineStr">
        <is>
          <t>Actual 2023+2024; SF not confirmed</t>
        </is>
      </c>
    </row>
    <row r="64">
      <c r="A64" s="2342" t="inlineStr">
        <is>
          <t>P061</t>
        </is>
      </c>
      <c r="B64" s="2338" t="n">
        <v>584</v>
      </c>
      <c r="C64" s="2339" t="inlineStr">
        <is>
          <t>R0083935</t>
        </is>
      </c>
      <c r="D64" s="2342" t="inlineStr">
        <is>
          <t>20101 E 36th Ave (RK Industries)</t>
        </is>
      </c>
      <c r="E64" s="2342" t="inlineStr">
        <is>
          <t>Aurora</t>
        </is>
      </c>
      <c r="F64" s="2342" t="inlineStr">
        <is>
          <t>CO</t>
        </is>
      </c>
      <c r="G64" s="2342" t="inlineStr">
        <is>
          <t>Industrial</t>
        </is>
      </c>
      <c r="H64" s="2342" t="inlineStr">
        <is>
          <t>Mega Warehouse NNN</t>
        </is>
      </c>
      <c r="I64" s="2342" t="n"/>
      <c r="J64" s="2342" t="n">
        <v>278538</v>
      </c>
      <c r="K64" s="2342" t="n"/>
      <c r="L64" s="2342" t="inlineStr">
        <is>
          <t>R0083935</t>
        </is>
      </c>
      <c r="M64" s="2342" t="inlineStr">
        <is>
          <t>RK Industries</t>
        </is>
      </c>
      <c r="N64" s="2342" t="inlineStr">
        <is>
          <t>08_2025 Review – CBRE income statement</t>
        </is>
      </c>
      <c r="O64" s="2342" t="inlineStr">
        <is>
          <t>2026-06-02</t>
        </is>
      </c>
      <c r="P64" s="2342" t="inlineStr">
        <is>
          <t>Single-tenant NNN; 2024 partial data; rent $4.47/SF NNN</t>
        </is>
      </c>
    </row>
    <row r="65">
      <c r="A65" s="2341" t="inlineStr">
        <is>
          <t>P062</t>
        </is>
      </c>
      <c r="B65" s="2338" t="n">
        <v>407</v>
      </c>
      <c r="C65" s="2339" t="inlineStr">
        <is>
          <t>R0200721</t>
        </is>
      </c>
      <c r="D65" s="2341" t="inlineStr">
        <is>
          <t>3420 N Lisbon St</t>
        </is>
      </c>
      <c r="E65" s="2341" t="inlineStr">
        <is>
          <t>Aurora</t>
        </is>
      </c>
      <c r="F65" s="2341" t="inlineStr">
        <is>
          <t>CO</t>
        </is>
      </c>
      <c r="G65" s="2341" t="inlineStr">
        <is>
          <t>Industrial</t>
        </is>
      </c>
      <c r="H65" s="2341" t="inlineStr">
        <is>
          <t>Single-Tenant Industrial NNN</t>
        </is>
      </c>
      <c r="I65" s="2341" t="n">
        <v>2019</v>
      </c>
      <c r="J65" s="2341" t="n">
        <v>36212</v>
      </c>
      <c r="K65" s="2341" t="n"/>
      <c r="L65" s="2341" t="inlineStr">
        <is>
          <t>R0200721</t>
        </is>
      </c>
      <c r="M65" s="2341" t="inlineStr">
        <is>
          <t>Cameron Ashley Bldg Products</t>
        </is>
      </c>
      <c r="N65" s="2341" t="inlineStr">
        <is>
          <t>08_2025 Review – rent roll</t>
        </is>
      </c>
      <c r="O65" s="2341" t="inlineStr">
        <is>
          <t>2026-06-02</t>
        </is>
      </c>
      <c r="P65" s="2341" t="inlineStr">
        <is>
          <t>NNN lease thru 12/31/2028; rent only; tenant pays all opex</t>
        </is>
      </c>
    </row>
    <row r="66">
      <c r="A66" s="2342" t="inlineStr">
        <is>
          <t>P063</t>
        </is>
      </c>
      <c r="B66" s="2338" t="n">
        <v>344</v>
      </c>
      <c r="C66" s="2339" t="inlineStr">
        <is>
          <t>R0040581</t>
        </is>
      </c>
      <c r="D66" s="2342" t="inlineStr">
        <is>
          <t>2090 E 104th Ave</t>
        </is>
      </c>
      <c r="E66" s="2342" t="inlineStr">
        <is>
          <t>Thornton</t>
        </is>
      </c>
      <c r="F66" s="2342" t="inlineStr">
        <is>
          <t>CO</t>
        </is>
      </c>
      <c r="G66" s="2342" t="inlineStr">
        <is>
          <t>Office</t>
        </is>
      </c>
      <c r="H66" s="2342" t="inlineStr">
        <is>
          <t>Multi-Tenant Office</t>
        </is>
      </c>
      <c r="I66" s="2342" t="n"/>
      <c r="J66" s="2342" t="n">
        <v>19764</v>
      </c>
      <c r="K66" s="2342" t="n"/>
      <c r="L66" s="2342" t="inlineStr">
        <is>
          <t>R0040581</t>
        </is>
      </c>
      <c r="M66" s="2342" t="n"/>
      <c r="N66" s="2342" t="inlineStr">
        <is>
          <t>08_2025 Review – owner P&amp;L</t>
        </is>
      </c>
      <c r="O66" s="2342" t="inlineStr">
        <is>
          <t>2026-06-02</t>
        </is>
      </c>
      <c r="P66" s="2342" t="inlineStr">
        <is>
          <t>Actual 2023+2024; 11 suites</t>
        </is>
      </c>
    </row>
    <row r="67">
      <c r="A67" s="2341" t="inlineStr">
        <is>
          <t>P064</t>
        </is>
      </c>
      <c r="B67" s="2338" t="n">
        <v>344</v>
      </c>
      <c r="C67" s="2339" t="inlineStr">
        <is>
          <t>R0050977</t>
        </is>
      </c>
      <c r="D67" s="2341" t="inlineStr">
        <is>
          <t>9351 Grant St</t>
        </is>
      </c>
      <c r="E67" s="2341" t="inlineStr">
        <is>
          <t>Thornton</t>
        </is>
      </c>
      <c r="F67" s="2341" t="inlineStr">
        <is>
          <t>CO</t>
        </is>
      </c>
      <c r="G67" s="2341" t="inlineStr">
        <is>
          <t>Office</t>
        </is>
      </c>
      <c r="H67" s="2341" t="inlineStr">
        <is>
          <t>Multi-Tenant Office</t>
        </is>
      </c>
      <c r="I67" s="2341" t="n"/>
      <c r="J67" s="2341" t="n"/>
      <c r="K67" s="2341" t="n"/>
      <c r="L67" s="2341" t="inlineStr">
        <is>
          <t>R0050977</t>
        </is>
      </c>
      <c r="M67" s="2341" t="inlineStr">
        <is>
          <t>Crown Real Estate Group</t>
        </is>
      </c>
      <c r="N67" s="2341" t="inlineStr">
        <is>
          <t>08_2025 Review – owner P&amp;L</t>
        </is>
      </c>
      <c r="O67" s="2341" t="inlineStr">
        <is>
          <t>2026-06-02</t>
        </is>
      </c>
      <c r="P67" s="2341" t="inlineStr">
        <is>
          <t>Actual 2023; SF not stated; large property</t>
        </is>
      </c>
    </row>
    <row r="68">
      <c r="A68" s="2342" t="inlineStr">
        <is>
          <t>P065</t>
        </is>
      </c>
      <c r="B68" s="2338" t="n">
        <v>344</v>
      </c>
      <c r="C68" s="2339" t="inlineStr">
        <is>
          <t>R0069041</t>
        </is>
      </c>
      <c r="D68" s="2342" t="inlineStr">
        <is>
          <t>7475 Dakin St (Turnpike Tower)</t>
        </is>
      </c>
      <c r="E68" s="2342" t="inlineStr">
        <is>
          <t>Denver</t>
        </is>
      </c>
      <c r="F68" s="2342" t="inlineStr">
        <is>
          <t>CO</t>
        </is>
      </c>
      <c r="G68" s="2342" t="inlineStr">
        <is>
          <t>Office</t>
        </is>
      </c>
      <c r="H68" s="2342" t="inlineStr">
        <is>
          <t>Multi-Tenant Office</t>
        </is>
      </c>
      <c r="I68" s="2342" t="n"/>
      <c r="J68" s="2342" t="n">
        <v>114843</v>
      </c>
      <c r="K68" s="2342" t="n"/>
      <c r="L68" s="2342" t="inlineStr">
        <is>
          <t>R0069041</t>
        </is>
      </c>
      <c r="M68" s="2342" t="n"/>
      <c r="N68" s="2342" t="inlineStr">
        <is>
          <t>08_2025 Review – owner P&amp;L</t>
        </is>
      </c>
      <c r="O68" s="2342" t="inlineStr">
        <is>
          <t>2026-06-02</t>
        </is>
      </c>
      <c r="P68" s="2342" t="inlineStr">
        <is>
          <t>Actual 2023+2024; 87.7% occ; NNN/Modified leases</t>
        </is>
      </c>
    </row>
    <row r="69">
      <c r="A69" s="2341" t="inlineStr">
        <is>
          <t>P066</t>
        </is>
      </c>
      <c r="B69" s="2338" t="n">
        <v>344</v>
      </c>
      <c r="C69" s="2339" t="inlineStr">
        <is>
          <t>R0079409</t>
        </is>
      </c>
      <c r="D69" s="2341" t="inlineStr">
        <is>
          <t>6401 E 72nd Ave</t>
        </is>
      </c>
      <c r="E69" s="2341" t="inlineStr">
        <is>
          <t>Commerce City</t>
        </is>
      </c>
      <c r="F69" s="2341" t="inlineStr">
        <is>
          <t>CO</t>
        </is>
      </c>
      <c r="G69" s="2341" t="inlineStr">
        <is>
          <t>Office</t>
        </is>
      </c>
      <c r="H69" s="2341" t="inlineStr">
        <is>
          <t>Multi-Tenant Office</t>
        </is>
      </c>
      <c r="I69" s="2341" t="n"/>
      <c r="J69" s="2341" t="n">
        <v>8218</v>
      </c>
      <c r="K69" s="2341" t="n"/>
      <c r="L69" s="2341" t="inlineStr">
        <is>
          <t>R0079409</t>
        </is>
      </c>
      <c r="M69" s="2341" t="n"/>
      <c r="N69" s="2341" t="inlineStr">
        <is>
          <t>08_2025 Review – owner P&amp;L</t>
        </is>
      </c>
      <c r="O69" s="2341" t="inlineStr">
        <is>
          <t>2026-06-02</t>
        </is>
      </c>
      <c r="P69" s="2341" t="inlineStr">
        <is>
          <t>Actual 2023; 9 tenants; small multi-tenant office</t>
        </is>
      </c>
    </row>
    <row r="70">
      <c r="A70" s="2342" t="inlineStr">
        <is>
          <t>P067</t>
        </is>
      </c>
      <c r="B70" s="2338" t="n">
        <v>344</v>
      </c>
      <c r="C70" s="2339" t="inlineStr">
        <is>
          <t>R0189338</t>
        </is>
      </c>
      <c r="D70" s="2342" t="inlineStr">
        <is>
          <t>203 Telluride St</t>
        </is>
      </c>
      <c r="E70" s="2342" t="inlineStr">
        <is>
          <t>Aurora</t>
        </is>
      </c>
      <c r="F70" s="2342" t="inlineStr">
        <is>
          <t>CO</t>
        </is>
      </c>
      <c r="G70" s="2342" t="inlineStr">
        <is>
          <t>Office</t>
        </is>
      </c>
      <c r="H70" s="2342" t="inlineStr">
        <is>
          <t>Multi-Tenant Office</t>
        </is>
      </c>
      <c r="I70" s="2342" t="n"/>
      <c r="J70" s="2342" t="n"/>
      <c r="K70" s="2342" t="n"/>
      <c r="L70" s="2342" t="inlineStr">
        <is>
          <t>R0189338</t>
        </is>
      </c>
      <c r="M70" s="2342" t="n"/>
      <c r="N70" s="2342" t="inlineStr">
        <is>
          <t>08_2025 Review – owner P&amp;L</t>
        </is>
      </c>
      <c r="O70" s="2342" t="inlineStr">
        <is>
          <t>2026-06-02</t>
        </is>
      </c>
      <c r="P70" s="2342" t="inlineStr">
        <is>
          <t>Actual 2023+2024; SF not stated</t>
        </is>
      </c>
    </row>
    <row r="71">
      <c r="A71" s="2341" t="inlineStr">
        <is>
          <t>P068</t>
        </is>
      </c>
      <c r="B71" s="2338" t="n">
        <v>344</v>
      </c>
      <c r="C71" s="2339" t="inlineStr">
        <is>
          <t>R0193830</t>
        </is>
      </c>
      <c r="D71" s="2341" t="inlineStr">
        <is>
          <t>Justice Center Office Plaza</t>
        </is>
      </c>
      <c r="E71" s="2341" t="inlineStr">
        <is>
          <t>Denver</t>
        </is>
      </c>
      <c r="F71" s="2341" t="inlineStr">
        <is>
          <t>CO</t>
        </is>
      </c>
      <c r="G71" s="2341" t="inlineStr">
        <is>
          <t>Office</t>
        </is>
      </c>
      <c r="H71" s="2341" t="inlineStr">
        <is>
          <t>Multi-Tenant Office NNN</t>
        </is>
      </c>
      <c r="I71" s="2341" t="n"/>
      <c r="J71" s="2341" t="n">
        <v>41979</v>
      </c>
      <c r="K71" s="2341" t="n"/>
      <c r="L71" s="2341" t="inlineStr">
        <is>
          <t>R0193830</t>
        </is>
      </c>
      <c r="M71" s="2341" t="n"/>
      <c r="N71" s="2341" t="inlineStr">
        <is>
          <t>08_2025 Review – owner P&amp;L</t>
        </is>
      </c>
      <c r="O71" s="2341" t="inlineStr">
        <is>
          <t>2026-06-02</t>
        </is>
      </c>
      <c r="P71" s="2341" t="inlineStr">
        <is>
          <t>Actual 2023+2024; govt tenants; 100% occ; NNN leases</t>
        </is>
      </c>
    </row>
    <row r="72">
      <c r="A72" s="2342" t="inlineStr">
        <is>
          <t>P069</t>
        </is>
      </c>
      <c r="B72" s="2338" t="n">
        <v>210</v>
      </c>
      <c r="C72" s="2339" t="inlineStr">
        <is>
          <t>R0098223</t>
        </is>
      </c>
      <c r="D72" s="2342" t="inlineStr">
        <is>
          <t>Washington Commerce Center</t>
        </is>
      </c>
      <c r="E72" s="2342" t="inlineStr">
        <is>
          <t>Commerce City</t>
        </is>
      </c>
      <c r="F72" s="2342" t="inlineStr">
        <is>
          <t>CO</t>
        </is>
      </c>
      <c r="G72" s="2342" t="inlineStr">
        <is>
          <t>Office/Industrial</t>
        </is>
      </c>
      <c r="H72" s="2342" t="inlineStr">
        <is>
          <t>Multi-Tenant Office/Industrial</t>
        </is>
      </c>
      <c r="I72" s="2342" t="n"/>
      <c r="J72" s="2342" t="n">
        <v>278538</v>
      </c>
      <c r="K72" s="2342" t="n"/>
      <c r="L72" s="2342" t="inlineStr">
        <is>
          <t>R0098223</t>
        </is>
      </c>
      <c r="M72" s="2342" t="n"/>
      <c r="N72" s="2342" t="inlineStr">
        <is>
          <t>08_2025 Review – owner P&amp;L</t>
        </is>
      </c>
      <c r="O72" s="2342" t="inlineStr">
        <is>
          <t>2026-06-02</t>
        </is>
      </c>
      <c r="P72" s="2342" t="inlineStr">
        <is>
          <t>Actual 2023+2024; SF est; opex very low – likely tenant-pay NNN</t>
        </is>
      </c>
    </row>
    <row r="73">
      <c r="A73" s="2341" t="inlineStr">
        <is>
          <t>P070</t>
        </is>
      </c>
      <c r="B73" s="2338" t="n">
        <v>210</v>
      </c>
      <c r="C73" s="2339" t="inlineStr">
        <is>
          <t>R0084242</t>
        </is>
      </c>
      <c r="D73" s="2341" t="inlineStr">
        <is>
          <t>Upland Dist Ctr I (Bldg 1 bt46274)</t>
        </is>
      </c>
      <c r="E73" s="2341" t="inlineStr">
        <is>
          <t>Aurora</t>
        </is>
      </c>
      <c r="F73" s="2341" t="inlineStr">
        <is>
          <t>CO</t>
        </is>
      </c>
      <c r="G73" s="2341" t="inlineStr">
        <is>
          <t>Industrial</t>
        </is>
      </c>
      <c r="H73" s="2341" t="inlineStr">
        <is>
          <t>Multi-Tenant Industrial NNN</t>
        </is>
      </c>
      <c r="I73" s="2341" t="n"/>
      <c r="J73" s="2341" t="n"/>
      <c r="K73" s="2341" t="n"/>
      <c r="L73" s="2341" t="inlineStr">
        <is>
          <t>R0084242</t>
        </is>
      </c>
      <c r="M73" s="2341" t="inlineStr">
        <is>
          <t>Link Logistics</t>
        </is>
      </c>
      <c r="N73" s="2341" t="inlineStr">
        <is>
          <t>08_2025 Review – Link Logistics actual P&amp;L</t>
        </is>
      </c>
      <c r="O73" s="2341" t="inlineStr">
        <is>
          <t>2026-06-02</t>
        </is>
      </c>
      <c r="P73" s="2341" t="inlineStr">
        <is>
          <t>Actual accrual 2023+2024; NNN reimbursable structure</t>
        </is>
      </c>
    </row>
    <row r="74">
      <c r="A74" s="2342" t="inlineStr">
        <is>
          <t>P071</t>
        </is>
      </c>
      <c r="B74" s="2338" t="n">
        <v>210</v>
      </c>
      <c r="C74" s="2339" t="inlineStr">
        <is>
          <t>R0084243</t>
        </is>
      </c>
      <c r="D74" s="2342" t="inlineStr">
        <is>
          <t>Upland Dist Ctr I (Bldg 2 bt46275)</t>
        </is>
      </c>
      <c r="E74" s="2342" t="inlineStr">
        <is>
          <t>Aurora</t>
        </is>
      </c>
      <c r="F74" s="2342" t="inlineStr">
        <is>
          <t>CO</t>
        </is>
      </c>
      <c r="G74" s="2342" t="inlineStr">
        <is>
          <t>Industrial</t>
        </is>
      </c>
      <c r="H74" s="2342" t="inlineStr">
        <is>
          <t>Multi-Tenant Industrial NNN</t>
        </is>
      </c>
      <c r="I74" s="2342" t="n"/>
      <c r="J74" s="2342" t="n"/>
      <c r="K74" s="2342" t="n"/>
      <c r="L74" s="2342" t="inlineStr">
        <is>
          <t>R0084243</t>
        </is>
      </c>
      <c r="M74" s="2342" t="inlineStr">
        <is>
          <t>Link Logistics</t>
        </is>
      </c>
      <c r="N74" s="2342" t="inlineStr">
        <is>
          <t>08_2025 Review – Link Logistics actual P&amp;L</t>
        </is>
      </c>
      <c r="O74" s="2342" t="inlineStr">
        <is>
          <t>2026-06-02</t>
        </is>
      </c>
      <c r="P74" s="2342" t="inlineStr">
        <is>
          <t>Actual accrual 2023+2024</t>
        </is>
      </c>
    </row>
    <row r="75">
      <c r="A75" s="2341" t="inlineStr">
        <is>
          <t>P072</t>
        </is>
      </c>
      <c r="B75" s="2338" t="n">
        <v>210</v>
      </c>
      <c r="C75" s="2339" t="inlineStr">
        <is>
          <t>R0084244</t>
        </is>
      </c>
      <c r="D75" s="2341" t="inlineStr">
        <is>
          <t>Upland Dist Ctr I (Bldg 3 bt46276)</t>
        </is>
      </c>
      <c r="E75" s="2341" t="inlineStr">
        <is>
          <t>Aurora</t>
        </is>
      </c>
      <c r="F75" s="2341" t="inlineStr">
        <is>
          <t>CO</t>
        </is>
      </c>
      <c r="G75" s="2341" t="inlineStr">
        <is>
          <t>Industrial</t>
        </is>
      </c>
      <c r="H75" s="2341" t="inlineStr">
        <is>
          <t>Multi-Tenant Industrial NNN</t>
        </is>
      </c>
      <c r="I75" s="2341" t="n"/>
      <c r="J75" s="2341" t="n"/>
      <c r="K75" s="2341" t="n"/>
      <c r="L75" s="2341" t="inlineStr">
        <is>
          <t>R0084244</t>
        </is>
      </c>
      <c r="M75" s="2341" t="inlineStr">
        <is>
          <t>Link Logistics</t>
        </is>
      </c>
      <c r="N75" s="2341" t="inlineStr">
        <is>
          <t>08_2025 Review – Link Logistics actual P&amp;L</t>
        </is>
      </c>
      <c r="O75" s="2341" t="inlineStr">
        <is>
          <t>2026-06-02</t>
        </is>
      </c>
      <c r="P75" s="2341" t="inlineStr">
        <is>
          <t>2023 only; large warehouse; notable vacancy/free rent period</t>
        </is>
      </c>
    </row>
    <row r="76">
      <c r="A76" s="2342" t="inlineStr">
        <is>
          <t>P073</t>
        </is>
      </c>
      <c r="B76" s="2338" t="n">
        <v>210</v>
      </c>
      <c r="C76" s="2339" t="inlineStr">
        <is>
          <t>R0084247</t>
        </is>
      </c>
      <c r="D76" s="2342" t="inlineStr">
        <is>
          <t>13802 E 33rd Place</t>
        </is>
      </c>
      <c r="E76" s="2342" t="inlineStr">
        <is>
          <t>Aurora</t>
        </is>
      </c>
      <c r="F76" s="2342" t="inlineStr">
        <is>
          <t>CO</t>
        </is>
      </c>
      <c r="G76" s="2342" t="inlineStr">
        <is>
          <t>Industrial</t>
        </is>
      </c>
      <c r="H76" s="2342" t="inlineStr">
        <is>
          <t>Multi-Tenant Industrial NNN</t>
        </is>
      </c>
      <c r="I76" s="2342" t="n"/>
      <c r="J76" s="2342" t="n"/>
      <c r="K76" s="2342" t="n"/>
      <c r="L76" s="2342" t="inlineStr">
        <is>
          <t>R0084247</t>
        </is>
      </c>
      <c r="M76" s="2342" t="inlineStr">
        <is>
          <t>Link Logistics</t>
        </is>
      </c>
      <c r="N76" s="2342" t="inlineStr">
        <is>
          <t>08_2025 Review – Link Logistics actual P&amp;L</t>
        </is>
      </c>
      <c r="O76" s="2342" t="inlineStr">
        <is>
          <t>2026-06-02</t>
        </is>
      </c>
      <c r="P76" s="2342" t="inlineStr">
        <is>
          <t>Actual accrual 2023+2024</t>
        </is>
      </c>
    </row>
    <row r="77">
      <c r="A77" s="2341" t="inlineStr">
        <is>
          <t>P074</t>
        </is>
      </c>
      <c r="B77" s="2338" t="n">
        <v>210</v>
      </c>
      <c r="C77" s="2339" t="inlineStr">
        <is>
          <t>R0084248</t>
        </is>
      </c>
      <c r="D77" s="2341" t="inlineStr">
        <is>
          <t>14002 E 33rd Place</t>
        </is>
      </c>
      <c r="E77" s="2341" t="inlineStr">
        <is>
          <t>Aurora</t>
        </is>
      </c>
      <c r="F77" s="2341" t="inlineStr">
        <is>
          <t>CO</t>
        </is>
      </c>
      <c r="G77" s="2341" t="inlineStr">
        <is>
          <t>Industrial</t>
        </is>
      </c>
      <c r="H77" s="2341" t="inlineStr">
        <is>
          <t>Multi-Tenant Industrial NNN</t>
        </is>
      </c>
      <c r="I77" s="2341" t="n"/>
      <c r="J77" s="2341" t="n"/>
      <c r="K77" s="2341" t="n"/>
      <c r="L77" s="2341" t="inlineStr">
        <is>
          <t>R0084248</t>
        </is>
      </c>
      <c r="M77" s="2341" t="inlineStr">
        <is>
          <t>Link Logistics</t>
        </is>
      </c>
      <c r="N77" s="2341" t="inlineStr">
        <is>
          <t>08_2025 Review – Link Logistics actual P&amp;L</t>
        </is>
      </c>
      <c r="O77" s="2341" t="inlineStr">
        <is>
          <t>2026-06-02</t>
        </is>
      </c>
      <c r="P77" s="2341" t="inlineStr">
        <is>
          <t>Actual accrual 2023+2024; 2023 RE tax net of $53k refund</t>
        </is>
      </c>
    </row>
    <row r="78">
      <c r="A78" s="2342" t="inlineStr">
        <is>
          <t>P075</t>
        </is>
      </c>
      <c r="B78" s="2338" t="n">
        <v>210</v>
      </c>
      <c r="C78" s="2339" t="inlineStr">
        <is>
          <t>R0084250</t>
        </is>
      </c>
      <c r="D78" s="2342" t="inlineStr">
        <is>
          <t>3250 Abilene Street</t>
        </is>
      </c>
      <c r="E78" s="2342" t="inlineStr">
        <is>
          <t>Aurora</t>
        </is>
      </c>
      <c r="F78" s="2342" t="inlineStr">
        <is>
          <t>CO</t>
        </is>
      </c>
      <c r="G78" s="2342" t="inlineStr">
        <is>
          <t>Industrial</t>
        </is>
      </c>
      <c r="H78" s="2342" t="inlineStr">
        <is>
          <t>Multi-Tenant Industrial NNN</t>
        </is>
      </c>
      <c r="I78" s="2342" t="n"/>
      <c r="J78" s="2342" t="n"/>
      <c r="K78" s="2342" t="n"/>
      <c r="L78" s="2342" t="inlineStr">
        <is>
          <t>R0084250</t>
        </is>
      </c>
      <c r="M78" s="2342" t="inlineStr">
        <is>
          <t>Link Logistics</t>
        </is>
      </c>
      <c r="N78" s="2342" t="inlineStr">
        <is>
          <t>08_2025 Review – Link Logistics actual P&amp;L</t>
        </is>
      </c>
      <c r="O78" s="2342" t="inlineStr">
        <is>
          <t>2026-06-02</t>
        </is>
      </c>
      <c r="P78" s="2342" t="inlineStr">
        <is>
          <t>2024 tenant turnover; base rent dropped $787k→$407k; 2023 more stable</t>
        </is>
      </c>
    </row>
    <row r="79">
      <c r="A79" s="2341" t="inlineStr">
        <is>
          <t>P076</t>
        </is>
      </c>
      <c r="B79" s="2338" t="n">
        <v>210</v>
      </c>
      <c r="C79" s="2339" t="inlineStr">
        <is>
          <t>R0084253</t>
        </is>
      </c>
      <c r="D79" s="2341" t="inlineStr">
        <is>
          <t>14509 E 33rd Place (bt46265)</t>
        </is>
      </c>
      <c r="E79" s="2341" t="inlineStr">
        <is>
          <t>Aurora</t>
        </is>
      </c>
      <c r="F79" s="2341" t="inlineStr">
        <is>
          <t>CO</t>
        </is>
      </c>
      <c r="G79" s="2341" t="inlineStr">
        <is>
          <t>Industrial</t>
        </is>
      </c>
      <c r="H79" s="2341" t="inlineStr">
        <is>
          <t>Multi-Tenant Industrial NNN</t>
        </is>
      </c>
      <c r="I79" s="2341" t="n"/>
      <c r="J79" s="2341" t="n"/>
      <c r="K79" s="2341" t="n"/>
      <c r="L79" s="2341" t="inlineStr">
        <is>
          <t>R0084253</t>
        </is>
      </c>
      <c r="M79" s="2341" t="inlineStr">
        <is>
          <t>Link Logistics</t>
        </is>
      </c>
      <c r="N79" s="2341" t="inlineStr">
        <is>
          <t>08_2025 Review – Link Logistics actual P&amp;L</t>
        </is>
      </c>
      <c r="O79" s="2341" t="inlineStr">
        <is>
          <t>2026-06-02</t>
        </is>
      </c>
      <c r="P79" s="2341" t="inlineStr">
        <is>
          <t>Actual 2023+2024; 3-bldg campus R0084253</t>
        </is>
      </c>
    </row>
    <row r="80">
      <c r="A80" s="2342" t="inlineStr">
        <is>
          <t>P077</t>
        </is>
      </c>
      <c r="B80" s="2338" t="n">
        <v>210</v>
      </c>
      <c r="C80" s="2339" t="inlineStr">
        <is>
          <t>R0084253</t>
        </is>
      </c>
      <c r="D80" s="2342" t="inlineStr">
        <is>
          <t>14704 E 33rd Place (bt46266)</t>
        </is>
      </c>
      <c r="E80" s="2342" t="inlineStr">
        <is>
          <t>Aurora</t>
        </is>
      </c>
      <c r="F80" s="2342" t="inlineStr">
        <is>
          <t>CO</t>
        </is>
      </c>
      <c r="G80" s="2342" t="inlineStr">
        <is>
          <t>Industrial</t>
        </is>
      </c>
      <c r="H80" s="2342" t="inlineStr">
        <is>
          <t>Multi-Tenant Industrial NNN</t>
        </is>
      </c>
      <c r="I80" s="2342" t="n"/>
      <c r="J80" s="2342" t="n"/>
      <c r="K80" s="2342" t="n"/>
      <c r="L80" s="2342" t="inlineStr">
        <is>
          <t>R0084253</t>
        </is>
      </c>
      <c r="M80" s="2342" t="inlineStr">
        <is>
          <t>Link Logistics</t>
        </is>
      </c>
      <c r="N80" s="2342" t="inlineStr">
        <is>
          <t>08_2025 Review – Link Logistics actual P&amp;L</t>
        </is>
      </c>
      <c r="O80" s="2342" t="inlineStr">
        <is>
          <t>2026-06-02</t>
        </is>
      </c>
      <c r="P80" s="2342" t="inlineStr">
        <is>
          <t>Actual 2024; partial vacancy (electric/gas vacancy costs); same parcel R0084253</t>
        </is>
      </c>
    </row>
    <row r="81">
      <c r="A81" s="2341" t="inlineStr">
        <is>
          <t>P078</t>
        </is>
      </c>
      <c r="B81" s="2338" t="n">
        <v>210</v>
      </c>
      <c r="C81" s="2339" t="inlineStr">
        <is>
          <t>R0084253</t>
        </is>
      </c>
      <c r="D81" s="2341" t="inlineStr">
        <is>
          <t>14705 E 33rd Place (bt46267)</t>
        </is>
      </c>
      <c r="E81" s="2341" t="inlineStr">
        <is>
          <t>Aurora</t>
        </is>
      </c>
      <c r="F81" s="2341" t="inlineStr">
        <is>
          <t>CO</t>
        </is>
      </c>
      <c r="G81" s="2341" t="inlineStr">
        <is>
          <t>Industrial</t>
        </is>
      </c>
      <c r="H81" s="2341" t="inlineStr">
        <is>
          <t>Multi-Tenant Industrial NNN</t>
        </is>
      </c>
      <c r="I81" s="2341" t="n"/>
      <c r="J81" s="2341" t="n"/>
      <c r="K81" s="2341" t="n"/>
      <c r="L81" s="2341" t="inlineStr">
        <is>
          <t>R0084253</t>
        </is>
      </c>
      <c r="M81" s="2341" t="inlineStr">
        <is>
          <t>Link Logistics</t>
        </is>
      </c>
      <c r="N81" s="2341" t="inlineStr">
        <is>
          <t>08_2025 Review – Link Logistics actual P&amp;L</t>
        </is>
      </c>
      <c r="O81" s="2341" t="inlineStr">
        <is>
          <t>2026-06-02</t>
        </is>
      </c>
      <c r="P81" s="2341" t="inlineStr">
        <is>
          <t>Actual 2024; partial lease-up/free rent; same parcel R0084253</t>
        </is>
      </c>
    </row>
    <row r="82">
      <c r="A82" s="2342" t="inlineStr">
        <is>
          <t>P079</t>
        </is>
      </c>
      <c r="B82" s="2338" t="n">
        <v>584</v>
      </c>
      <c r="C82" s="2339" t="inlineStr">
        <is>
          <t>R0086214</t>
        </is>
      </c>
      <c r="D82" s="2342" t="inlineStr">
        <is>
          <t>Aurora Warehouse (Polar br40666)</t>
        </is>
      </c>
      <c r="E82" s="2342" t="inlineStr">
        <is>
          <t>Aurora</t>
        </is>
      </c>
      <c r="F82" s="2342" t="inlineStr">
        <is>
          <t>CO</t>
        </is>
      </c>
      <c r="G82" s="2342" t="inlineStr">
        <is>
          <t>Industrial</t>
        </is>
      </c>
      <c r="H82" s="2342" t="inlineStr">
        <is>
          <t>Mega Warehouse NNN</t>
        </is>
      </c>
      <c r="I82" s="2342" t="n"/>
      <c r="J82" s="2342" t="n"/>
      <c r="K82" s="2342" t="n"/>
      <c r="L82" s="2342" t="inlineStr">
        <is>
          <t>R0086214</t>
        </is>
      </c>
      <c r="M82" s="2342" t="inlineStr">
        <is>
          <t>Link Logistics</t>
        </is>
      </c>
      <c r="N82" s="2342" t="inlineStr">
        <is>
          <t>08_2025 Review – Link Logistics actual P&amp;L</t>
        </is>
      </c>
      <c r="O82" s="2342" t="inlineStr">
        <is>
          <t>2026-06-02</t>
        </is>
      </c>
      <c r="P82" s="2342" t="inlineStr">
        <is>
          <t>Actual 2023+2024; very large — RE tax $2.2-2.4M; revenue $6.5-7M</t>
        </is>
      </c>
    </row>
    <row r="83">
      <c r="A83" s="2341" t="inlineStr">
        <is>
          <t>P080</t>
        </is>
      </c>
      <c r="B83" s="2338" t="n">
        <v>407</v>
      </c>
      <c r="C83" s="2339" t="inlineStr">
        <is>
          <t>R0194277</t>
        </is>
      </c>
      <c r="D83" s="2341" t="inlineStr">
        <is>
          <t>8251 Quintero St</t>
        </is>
      </c>
      <c r="E83" s="2341" t="inlineStr">
        <is>
          <t>Commerce City</t>
        </is>
      </c>
      <c r="F83" s="2341" t="inlineStr">
        <is>
          <t>CO</t>
        </is>
      </c>
      <c r="G83" s="2341" t="inlineStr">
        <is>
          <t>Industrial</t>
        </is>
      </c>
      <c r="H83" s="2341" t="inlineStr">
        <is>
          <t>Industrial Warehouse NNN</t>
        </is>
      </c>
      <c r="I83" s="2341" t="n"/>
      <c r="J83" s="2341" t="n"/>
      <c r="K83" s="2341" t="n"/>
      <c r="L83" s="2341" t="inlineStr">
        <is>
          <t>R0194277</t>
        </is>
      </c>
      <c r="M83" s="2341" t="inlineStr">
        <is>
          <t>Becknell Industrial</t>
        </is>
      </c>
      <c r="N83" s="2341" t="inlineStr">
        <is>
          <t>08_2025 Review – Becknell Industrial actual P&amp;L</t>
        </is>
      </c>
      <c r="O83" s="2341" t="inlineStr">
        <is>
          <t>2026-06-02</t>
        </is>
      </c>
      <c r="P83" s="2341" t="inlineStr">
        <is>
          <t>Actual accrual 2023+2024; large RE taxes ~$2M; snow $151-188k</t>
        </is>
      </c>
    </row>
    <row r="84">
      <c r="A84" s="2342" t="inlineStr">
        <is>
          <t>P081</t>
        </is>
      </c>
      <c r="B84" s="2338" t="n">
        <v>407</v>
      </c>
      <c r="C84" s="2339" t="inlineStr">
        <is>
          <t>R0198176</t>
        </is>
      </c>
      <c r="D84" s="2342" t="inlineStr">
        <is>
          <t>21800 E 19th Ave</t>
        </is>
      </c>
      <c r="E84" s="2342" t="inlineStr">
        <is>
          <t>Aurora</t>
        </is>
      </c>
      <c r="F84" s="2342" t="inlineStr">
        <is>
          <t>CO</t>
        </is>
      </c>
      <c r="G84" s="2342" t="inlineStr">
        <is>
          <t>Industrial</t>
        </is>
      </c>
      <c r="H84" s="2342" t="inlineStr">
        <is>
          <t>Industrial Warehouse NNN</t>
        </is>
      </c>
      <c r="I84" s="2342" t="n"/>
      <c r="J84" s="2342" t="n"/>
      <c r="K84" s="2342" t="n"/>
      <c r="L84" s="2342" t="inlineStr">
        <is>
          <t>R0198176</t>
        </is>
      </c>
      <c r="M84" s="2342" t="inlineStr">
        <is>
          <t>Becknell Industrial</t>
        </is>
      </c>
      <c r="N84" s="2342" t="inlineStr">
        <is>
          <t>08_2025 Review – Becknell Industrial actual P&amp;L</t>
        </is>
      </c>
      <c r="O84" s="2342" t="inlineStr">
        <is>
          <t>2026-06-02</t>
        </is>
      </c>
      <c r="P84" s="2342" t="inlineStr">
        <is>
          <t>Actual accrual 2023+2024; absolute NNN – tenant pays RE taxes directly</t>
        </is>
      </c>
    </row>
    <row r="85">
      <c r="A85" s="2341" t="inlineStr">
        <is>
          <t>P082</t>
        </is>
      </c>
      <c r="B85" s="2338" t="n">
        <v>407</v>
      </c>
      <c r="C85" s="2339" t="inlineStr">
        <is>
          <t>R0201311</t>
        </is>
      </c>
      <c r="D85" s="2341" t="inlineStr">
        <is>
          <t>Ascent Commerce Center Bldg I</t>
        </is>
      </c>
      <c r="E85" s="2341" t="inlineStr">
        <is>
          <t>Aurora</t>
        </is>
      </c>
      <c r="F85" s="2341" t="inlineStr">
        <is>
          <t>CO</t>
        </is>
      </c>
      <c r="G85" s="2341" t="inlineStr">
        <is>
          <t>Industrial</t>
        </is>
      </c>
      <c r="H85" s="2341" t="inlineStr">
        <is>
          <t>Industrial Warehouse NNN</t>
        </is>
      </c>
      <c r="I85" s="2341" t="n"/>
      <c r="J85" s="2341" t="n"/>
      <c r="K85" s="2341" t="n"/>
      <c r="L85" s="2341" t="inlineStr">
        <is>
          <t>R0201311</t>
        </is>
      </c>
      <c r="M85" s="2341" t="inlineStr">
        <is>
          <t>Ambrose Property Group</t>
        </is>
      </c>
      <c r="N85" s="2341" t="inlineStr">
        <is>
          <t>08_2025 Review – Ambrose Property Group actual P&amp;L</t>
        </is>
      </c>
      <c r="O85" s="2341" t="inlineStr">
        <is>
          <t>2026-06-02</t>
        </is>
      </c>
      <c r="P85" s="2341" t="inlineStr">
        <is>
          <t>Q4 2024 only (Oct–Dec); partial-year/lease-up; 3-bldg campus</t>
        </is>
      </c>
    </row>
    <row r="86">
      <c r="A86" s="2342" t="inlineStr">
        <is>
          <t>P083</t>
        </is>
      </c>
      <c r="B86" s="2338" t="n">
        <v>407</v>
      </c>
      <c r="C86" s="2339" t="inlineStr">
        <is>
          <t>R0201311</t>
        </is>
      </c>
      <c r="D86" s="2342" t="inlineStr">
        <is>
          <t>Ascent Commerce Center Bldg II</t>
        </is>
      </c>
      <c r="E86" s="2342" t="inlineStr">
        <is>
          <t>Aurora</t>
        </is>
      </c>
      <c r="F86" s="2342" t="inlineStr">
        <is>
          <t>CO</t>
        </is>
      </c>
      <c r="G86" s="2342" t="inlineStr">
        <is>
          <t>Industrial</t>
        </is>
      </c>
      <c r="H86" s="2342" t="inlineStr">
        <is>
          <t>Industrial Warehouse NNN</t>
        </is>
      </c>
      <c r="I86" s="2342" t="n"/>
      <c r="J86" s="2342" t="n"/>
      <c r="K86" s="2342" t="n"/>
      <c r="L86" s="2342" t="inlineStr">
        <is>
          <t>R0201311</t>
        </is>
      </c>
      <c r="M86" s="2342" t="inlineStr">
        <is>
          <t>Ambrose Property Group</t>
        </is>
      </c>
      <c r="N86" s="2342" t="inlineStr">
        <is>
          <t>08_2025 Review – Ambrose Property Group actual P&amp;L</t>
        </is>
      </c>
      <c r="O86" s="2342" t="inlineStr">
        <is>
          <t>2026-06-02</t>
        </is>
      </c>
      <c r="P86" s="2342" t="inlineStr">
        <is>
          <t>Q4 2024 only (Oct–Dec); partial-year/lease-up; same campus R0201311</t>
        </is>
      </c>
    </row>
    <row r="87">
      <c r="A87" s="2341" t="inlineStr">
        <is>
          <t>P084</t>
        </is>
      </c>
      <c r="B87" s="2338" t="n">
        <v>407</v>
      </c>
      <c r="C87" s="2339" t="inlineStr">
        <is>
          <t>R0201311</t>
        </is>
      </c>
      <c r="D87" s="2341" t="inlineStr">
        <is>
          <t>Ascent Commerce Center Bldg III</t>
        </is>
      </c>
      <c r="E87" s="2341" t="inlineStr">
        <is>
          <t>Aurora</t>
        </is>
      </c>
      <c r="F87" s="2341" t="inlineStr">
        <is>
          <t>CO</t>
        </is>
      </c>
      <c r="G87" s="2341" t="inlineStr">
        <is>
          <t>Industrial</t>
        </is>
      </c>
      <c r="H87" s="2341" t="inlineStr">
        <is>
          <t>Industrial Warehouse NNN</t>
        </is>
      </c>
      <c r="I87" s="2341" t="n"/>
      <c r="J87" s="2341" t="n"/>
      <c r="K87" s="2341" t="n"/>
      <c r="L87" s="2341" t="inlineStr">
        <is>
          <t>R0201311</t>
        </is>
      </c>
      <c r="M87" s="2341" t="inlineStr">
        <is>
          <t>Ambrose Property Group</t>
        </is>
      </c>
      <c r="N87" s="2341" t="inlineStr">
        <is>
          <t>08_2025 Review – Ambrose Property Group actual P&amp;L</t>
        </is>
      </c>
      <c r="O87" s="2341" t="inlineStr">
        <is>
          <t>2026-06-02</t>
        </is>
      </c>
      <c r="P87" s="2341" t="inlineStr">
        <is>
          <t>Q4 2024 only (Oct–Dec); lease-up/negative NOI; same campus R0201311</t>
        </is>
      </c>
    </row>
    <row r="88">
      <c r="A88" s="2341" t="inlineStr">
        <is>
          <t>P085</t>
        </is>
      </c>
      <c r="B88" s="2338" t="n">
        <v>210</v>
      </c>
      <c r="C88" s="2339" t="inlineStr">
        <is>
          <t>R0093018</t>
        </is>
      </c>
      <c r="D88" s="2341" t="inlineStr">
        <is>
          <t>3350 Peoria St</t>
        </is>
      </c>
      <c r="E88" s="2341" t="inlineStr">
        <is>
          <t>Denver</t>
        </is>
      </c>
      <c r="F88" s="2341" t="inlineStr">
        <is>
          <t>CO</t>
        </is>
      </c>
      <c r="G88" s="2341" t="inlineStr">
        <is>
          <t>Industrial</t>
        </is>
      </c>
      <c r="H88" s="2341" t="inlineStr">
        <is>
          <t>Office/Industrial Flex</t>
        </is>
      </c>
      <c r="I88" s="2341" t="n"/>
      <c r="J88" s="2341" t="n">
        <v>33057</v>
      </c>
      <c r="K88" s="2341" t="n"/>
      <c r="L88" s="2341" t="inlineStr">
        <is>
          <t>R0093018</t>
        </is>
      </c>
      <c r="M88" s="2341" t="n"/>
      <c r="N88" s="2341" t="inlineStr">
        <is>
          <t>Lease, Rent or Op Income info – owner P&amp;L 2024</t>
        </is>
      </c>
      <c r="O88" s="2341" t="inlineStr">
        <is>
          <t>2026-06-03</t>
        </is>
      </c>
      <c r="P88" s="2341" t="inlineStr">
        <is>
          <t>Office/Industrial flex; owner-submitted 2024 P&amp;L</t>
        </is>
      </c>
    </row>
    <row r="89">
      <c r="A89" s="2342" t="inlineStr">
        <is>
          <t>P086</t>
        </is>
      </c>
      <c r="B89" s="2338" t="n">
        <v>406</v>
      </c>
      <c r="C89" s="2339" t="inlineStr">
        <is>
          <t>R0210684</t>
        </is>
      </c>
      <c r="D89" s="2342" t="inlineStr">
        <is>
          <t>14200 E Moncrieff Place</t>
        </is>
      </c>
      <c r="E89" s="2342" t="inlineStr">
        <is>
          <t>Aurora</t>
        </is>
      </c>
      <c r="F89" s="2342" t="inlineStr">
        <is>
          <t>CO</t>
        </is>
      </c>
      <c r="G89" s="2342" t="inlineStr">
        <is>
          <t>Industrial</t>
        </is>
      </c>
      <c r="H89" s="2342" t="inlineStr">
        <is>
          <t>Industrial Warehouse</t>
        </is>
      </c>
      <c r="I89" s="2342" t="n">
        <v>1980</v>
      </c>
      <c r="J89" s="2342" t="n">
        <v>233808</v>
      </c>
      <c r="K89" s="2342" t="n"/>
      <c r="L89" s="2342" t="inlineStr">
        <is>
          <t>R0210684</t>
        </is>
      </c>
      <c r="M89" s="2342" t="n"/>
      <c r="N89" s="2342" t="inlineStr">
        <is>
          <t>Lease, Rent or Op Income info – owner P&amp;L 2023+2024</t>
        </is>
      </c>
      <c r="O89" s="2342" t="inlineStr">
        <is>
          <t>2026-06-03</t>
        </is>
      </c>
      <c r="P89" s="2342" t="inlineStr">
        <is>
          <t>Large industrial; 1980 YOC; 233,808 SF</t>
        </is>
      </c>
    </row>
    <row r="90">
      <c r="A90" s="2341" t="inlineStr">
        <is>
          <t>P087</t>
        </is>
      </c>
      <c r="B90" s="2338" t="n">
        <v>407</v>
      </c>
      <c r="C90" s="2339" t="inlineStr">
        <is>
          <t>R0102985</t>
        </is>
      </c>
      <c r="D90" s="2341" t="inlineStr">
        <is>
          <t>5861 Tennyson St</t>
        </is>
      </c>
      <c r="E90" s="2341" t="inlineStr">
        <is>
          <t>Arvada</t>
        </is>
      </c>
      <c r="F90" s="2341" t="inlineStr">
        <is>
          <t>CO</t>
        </is>
      </c>
      <c r="G90" s="2341" t="inlineStr">
        <is>
          <t>Industrial</t>
        </is>
      </c>
      <c r="H90" s="2341" t="inlineStr">
        <is>
          <t>Industrial NNN</t>
        </is>
      </c>
      <c r="I90" s="2341" t="n">
        <v>2000</v>
      </c>
      <c r="J90" s="2341" t="n">
        <v>80640</v>
      </c>
      <c r="K90" s="2341" t="n"/>
      <c r="L90" s="2341" t="inlineStr">
        <is>
          <t>R0102985</t>
        </is>
      </c>
      <c r="M90" s="2341" t="n"/>
      <c r="N90" s="2341" t="inlineStr">
        <is>
          <t>Lease, Rent or Op Income info – owner P&amp;L 2023+2024</t>
        </is>
      </c>
      <c r="O90" s="2341" t="inlineStr">
        <is>
          <t>2026-06-03</t>
        </is>
      </c>
      <c r="P90" s="2341" t="inlineStr">
        <is>
          <t>NNN; landlord expenses only (tenant pays RE tax); 2000 YOC</t>
        </is>
      </c>
    </row>
    <row r="91">
      <c r="A91" s="2342" t="inlineStr">
        <is>
          <t>P088</t>
        </is>
      </c>
      <c r="B91" s="2338" t="n">
        <v>210</v>
      </c>
      <c r="C91" s="2339" t="inlineStr">
        <is>
          <t>R0090973</t>
        </is>
      </c>
      <c r="D91" s="2342" t="inlineStr">
        <is>
          <t>3975 E 56th Ave</t>
        </is>
      </c>
      <c r="E91" s="2342" t="inlineStr">
        <is>
          <t>Commerce City</t>
        </is>
      </c>
      <c r="F91" s="2342" t="inlineStr">
        <is>
          <t>CO</t>
        </is>
      </c>
      <c r="G91" s="2342" t="inlineStr">
        <is>
          <t>Industrial</t>
        </is>
      </c>
      <c r="H91" s="2342" t="inlineStr">
        <is>
          <t>Multi-Tenant Industrial</t>
        </is>
      </c>
      <c r="I91" s="2342" t="n"/>
      <c r="J91" s="2342" t="n">
        <v>42299</v>
      </c>
      <c r="K91" s="2342" t="n"/>
      <c r="L91" s="2342" t="inlineStr">
        <is>
          <t>R0090973</t>
        </is>
      </c>
      <c r="M91" s="2342" t="n"/>
      <c r="N91" s="2342" t="inlineStr">
        <is>
          <t>Lease, Rent or Op Income info – owner P&amp;L 2024</t>
        </is>
      </c>
      <c r="O91" s="2342" t="inlineStr">
        <is>
          <t>2026-06-03</t>
        </is>
      </c>
      <c r="P91" s="2342" t="inlineStr">
        <is>
          <t>Sand Creek Business Park; 2024 only</t>
        </is>
      </c>
    </row>
    <row r="92">
      <c r="A92" s="2341" t="inlineStr">
        <is>
          <t>P089</t>
        </is>
      </c>
      <c r="B92" s="2338" t="n">
        <v>407</v>
      </c>
      <c r="C92" s="2339" t="inlineStr">
        <is>
          <t>R0180951</t>
        </is>
      </c>
      <c r="D92" s="2341" t="inlineStr">
        <is>
          <t>(Address TBD – R0180951)</t>
        </is>
      </c>
      <c r="E92" s="2341" t="inlineStr">
        <is>
          <t>Adams County</t>
        </is>
      </c>
      <c r="F92" s="2341" t="inlineStr">
        <is>
          <t>CO</t>
        </is>
      </c>
      <c r="G92" s="2341" t="inlineStr">
        <is>
          <t>Industrial</t>
        </is>
      </c>
      <c r="H92" s="2341" t="inlineStr">
        <is>
          <t>Industrial NNN</t>
        </is>
      </c>
      <c r="I92" s="2341" t="n">
        <v>2016</v>
      </c>
      <c r="J92" s="2341" t="n">
        <v>122106</v>
      </c>
      <c r="K92" s="2341" t="n"/>
      <c r="L92" s="2341" t="inlineStr">
        <is>
          <t>R0180951</t>
        </is>
      </c>
      <c r="M92" s="2341" t="n"/>
      <c r="N92" s="2341" t="inlineStr">
        <is>
          <t>WH Expenses 2026-Working File – NNN landlord expenses 2023+2024</t>
        </is>
      </c>
      <c r="O92" s="2341" t="inlineStr">
        <is>
          <t>2026-06-03</t>
        </is>
      </c>
      <c r="P92" s="2341" t="inlineStr">
        <is>
          <t>NNN; landlord RE Tax, Ins, Utils, CAM only; 2023+2024</t>
        </is>
      </c>
    </row>
    <row r="93">
      <c r="A93" s="2342" t="inlineStr">
        <is>
          <t>P090</t>
        </is>
      </c>
      <c r="B93" s="2338" t="n">
        <v>407</v>
      </c>
      <c r="C93" s="2339" t="inlineStr">
        <is>
          <t>R0110351</t>
        </is>
      </c>
      <c r="D93" s="2342" t="inlineStr">
        <is>
          <t>(Address TBD – R0110351)</t>
        </is>
      </c>
      <c r="E93" s="2342" t="inlineStr">
        <is>
          <t>Adams County</t>
        </is>
      </c>
      <c r="F93" s="2342" t="inlineStr">
        <is>
          <t>CO</t>
        </is>
      </c>
      <c r="G93" s="2342" t="inlineStr">
        <is>
          <t>Industrial</t>
        </is>
      </c>
      <c r="H93" s="2342" t="inlineStr">
        <is>
          <t>Industrial NNN</t>
        </is>
      </c>
      <c r="I93" s="2342" t="n">
        <v>2000</v>
      </c>
      <c r="J93" s="2342" t="n">
        <v>85200</v>
      </c>
      <c r="K93" s="2342" t="n"/>
      <c r="L93" s="2342" t="inlineStr">
        <is>
          <t>R0110351</t>
        </is>
      </c>
      <c r="M93" s="2342" t="n"/>
      <c r="N93" s="2342" t="inlineStr">
        <is>
          <t>WH Expenses 2026-Working File – NNN landlord expenses 2023+2024</t>
        </is>
      </c>
      <c r="O93" s="2342" t="inlineStr">
        <is>
          <t>2026-06-03</t>
        </is>
      </c>
      <c r="P93" s="2342" t="inlineStr">
        <is>
          <t>NNN; landlord RE Tax, Ins, CAM only; 2023+2024</t>
        </is>
      </c>
    </row>
    <row r="94">
      <c r="A94" s="2341" t="inlineStr">
        <is>
          <t>P091</t>
        </is>
      </c>
      <c r="B94" s="2338" t="n">
        <v>584</v>
      </c>
      <c r="C94" s="2339" t="inlineStr">
        <is>
          <t>R0198530</t>
        </is>
      </c>
      <c r="D94" s="2341" t="inlineStr">
        <is>
          <t>(Address TBD – R0198530)</t>
        </is>
      </c>
      <c r="E94" s="2341" t="inlineStr">
        <is>
          <t>Adams County</t>
        </is>
      </c>
      <c r="F94" s="2341" t="inlineStr">
        <is>
          <t>CO</t>
        </is>
      </c>
      <c r="G94" s="2341" t="inlineStr">
        <is>
          <t>Industrial</t>
        </is>
      </c>
      <c r="H94" s="2341" t="inlineStr">
        <is>
          <t>Industrial Mega-Warehouse NNN</t>
        </is>
      </c>
      <c r="I94" s="2341" t="n">
        <v>2019</v>
      </c>
      <c r="J94" s="2341" t="n">
        <v>555867</v>
      </c>
      <c r="K94" s="2341" t="n"/>
      <c r="L94" s="2341" t="inlineStr">
        <is>
          <t>R0198530</t>
        </is>
      </c>
      <c r="M94" s="2341" t="n"/>
      <c r="N94" s="2341" t="inlineStr">
        <is>
          <t>WH Expenses 2026-Working File – NNN landlord expenses 2024</t>
        </is>
      </c>
      <c r="O94" s="2341" t="inlineStr">
        <is>
          <t>2026-06-03</t>
        </is>
      </c>
      <c r="P94" s="2341" t="inlineStr">
        <is>
          <t>Mega-warehouse; NNN; landlord RE Tax, Ins, Mgmt only; 2024</t>
        </is>
      </c>
    </row>
    <row r="95">
      <c r="A95" s="2342" t="inlineStr">
        <is>
          <t>P092</t>
        </is>
      </c>
      <c r="B95" s="2338" t="n">
        <v>447</v>
      </c>
      <c r="C95" s="2339" t="inlineStr">
        <is>
          <t>R0180834</t>
        </is>
      </c>
      <c r="D95" s="2342" t="inlineStr">
        <is>
          <t>(Address TBD – R0180834)</t>
        </is>
      </c>
      <c r="E95" s="2342" t="inlineStr">
        <is>
          <t>Adams County</t>
        </is>
      </c>
      <c r="F95" s="2342" t="inlineStr">
        <is>
          <t>CO</t>
        </is>
      </c>
      <c r="G95" s="2342" t="inlineStr">
        <is>
          <t>Industrial</t>
        </is>
      </c>
      <c r="H95" s="2342" t="inlineStr">
        <is>
          <t>Cold Storage/Mega-Warehouse NNN</t>
        </is>
      </c>
      <c r="I95" s="2342" t="n">
        <v>2012</v>
      </c>
      <c r="J95" s="2342" t="n">
        <v>550031</v>
      </c>
      <c r="K95" s="2342" t="n"/>
      <c r="L95" s="2342" t="inlineStr">
        <is>
          <t>R0180834</t>
        </is>
      </c>
      <c r="M95" s="2342" t="n"/>
      <c r="N95" s="2342" t="inlineStr">
        <is>
          <t>WH Expenses 2026-Working File – NNN landlord expenses 2024</t>
        </is>
      </c>
      <c r="O95" s="2342" t="inlineStr">
        <is>
          <t>2026-06-03</t>
        </is>
      </c>
      <c r="P95" s="2342" t="inlineStr">
        <is>
          <t>Cold storage/mega-WH; NNN; 2012 YOC; landlord RE Tax, Ins, Mgmt only</t>
        </is>
      </c>
    </row>
    <row r="96">
      <c r="A96" s="2341" t="inlineStr">
        <is>
          <t>P093</t>
        </is>
      </c>
      <c r="B96" s="2338" t="n">
        <v>407</v>
      </c>
      <c r="C96" s="2339" t="inlineStr">
        <is>
          <t>R0114792</t>
        </is>
      </c>
      <c r="D96" s="2341" t="inlineStr">
        <is>
          <t>(Address TBD – R0114792)</t>
        </is>
      </c>
      <c r="E96" s="2341" t="inlineStr">
        <is>
          <t>Adams County</t>
        </is>
      </c>
      <c r="F96" s="2341" t="inlineStr">
        <is>
          <t>CO</t>
        </is>
      </c>
      <c r="G96" s="2341" t="inlineStr">
        <is>
          <t>Industrial</t>
        </is>
      </c>
      <c r="H96" s="2341" t="inlineStr">
        <is>
          <t>Industrial NNN</t>
        </is>
      </c>
      <c r="I96" s="2341" t="n">
        <v>1998</v>
      </c>
      <c r="J96" s="2341" t="n">
        <v>64501</v>
      </c>
      <c r="K96" s="2341" t="n"/>
      <c r="L96" s="2341" t="inlineStr">
        <is>
          <t>R0114792</t>
        </is>
      </c>
      <c r="M96" s="2341" t="n"/>
      <c r="N96" s="2341" t="inlineStr">
        <is>
          <t>WH Expenses 2026-Working File – NNN landlord expenses 2023+2024</t>
        </is>
      </c>
      <c r="O96" s="2341" t="inlineStr">
        <is>
          <t>2026-06-03</t>
        </is>
      </c>
      <c r="P96" s="2341" t="inlineStr">
        <is>
          <t>NNN; landlord RE Tax, Ins, Mgmt only; 1998 YOC</t>
        </is>
      </c>
    </row>
    <row r="97">
      <c r="A97" s="2341" t="inlineStr">
        <is>
          <t>P094</t>
        </is>
      </c>
      <c r="B97" s="2338" t="n">
        <v>407</v>
      </c>
      <c r="C97" s="2339" t="inlineStr">
        <is>
          <t>R0104122</t>
        </is>
      </c>
      <c r="D97" s="2341" t="inlineStr">
        <is>
          <t>550 W 53rd Pl</t>
        </is>
      </c>
      <c r="E97" s="2341" t="inlineStr">
        <is>
          <t>Denver</t>
        </is>
      </c>
      <c r="F97" s="2341" t="inlineStr">
        <is>
          <t>CO</t>
        </is>
      </c>
      <c r="G97" s="2341" t="inlineStr">
        <is>
          <t>Industrial</t>
        </is>
      </c>
      <c r="H97" s="2341" t="inlineStr">
        <is>
          <t>Distribution Warehouse</t>
        </is>
      </c>
      <c r="I97" s="2341" t="n">
        <v>1971</v>
      </c>
      <c r="J97" s="2341" t="n">
        <v>127900</v>
      </c>
      <c r="K97" s="2341" t="n"/>
      <c r="L97" s="2341" t="inlineStr">
        <is>
          <t>R0104122</t>
        </is>
      </c>
      <c r="M97" s="2341" t="n"/>
      <c r="N97" s="2341" t="inlineStr">
        <is>
          <t>Brad-CBOE 2024 – appraiser income approach pro forma</t>
        </is>
      </c>
      <c r="O97" s="2341" t="inlineStr">
        <is>
          <t>2026-06-03</t>
        </is>
      </c>
      <c r="P97" s="2341" t="inlineStr">
        <is>
          <t>YOC 1971 (remod 1999/eff 1985); 127,900 SF; 2024 CBOE abatement income approach</t>
        </is>
      </c>
    </row>
    <row r="98">
      <c r="A98" s="2342" t="inlineStr">
        <is>
          <t>P095</t>
        </is>
      </c>
      <c r="B98" s="2338" t="n">
        <v>386</v>
      </c>
      <c r="C98" s="2339" t="inlineStr">
        <is>
          <t>R0086010</t>
        </is>
      </c>
      <c r="D98" s="2342" t="inlineStr">
        <is>
          <t>15413 E 18th Ave</t>
        </is>
      </c>
      <c r="E98" s="2342" t="inlineStr">
        <is>
          <t>Aurora</t>
        </is>
      </c>
      <c r="F98" s="2342" t="inlineStr">
        <is>
          <t>CO</t>
        </is>
      </c>
      <c r="G98" s="2342" t="inlineStr">
        <is>
          <t>Self-Storage</t>
        </is>
      </c>
      <c r="H98" s="2342" t="inlineStr">
        <is>
          <t>Self-Storage</t>
        </is>
      </c>
      <c r="I98" s="2342" t="n">
        <v>1984</v>
      </c>
      <c r="J98" s="2342" t="n">
        <v>63989</v>
      </c>
      <c r="K98" s="2342" t="n"/>
      <c r="L98" s="2342" t="inlineStr">
        <is>
          <t>R0086010</t>
        </is>
      </c>
      <c r="M98" s="2342" t="n"/>
      <c r="N98" s="2342" t="inlineStr">
        <is>
          <t>AXG CBOE 2024 – appraiser income approach pro forma</t>
        </is>
      </c>
      <c r="O98" s="2342" t="inlineStr">
        <is>
          <t>2026-06-03</t>
        </is>
      </c>
      <c r="P98" s="2342" t="inlineStr">
        <is>
          <t>8 buildings; NRA 57,754 SF; GBA 63,989 SF; 1984 YOC</t>
        </is>
      </c>
    </row>
    <row r="99">
      <c r="A99" s="2341" t="inlineStr">
        <is>
          <t>P096</t>
        </is>
      </c>
      <c r="B99" s="2338" t="n">
        <v>407</v>
      </c>
      <c r="C99" s="2339" t="inlineStr">
        <is>
          <t>R0083917</t>
        </is>
      </c>
      <c r="D99" s="2341" t="inlineStr">
        <is>
          <t>14701 E 38th Ave</t>
        </is>
      </c>
      <c r="E99" s="2341" t="inlineStr">
        <is>
          <t>Aurora</t>
        </is>
      </c>
      <c r="F99" s="2341" t="inlineStr">
        <is>
          <t>CO</t>
        </is>
      </c>
      <c r="G99" s="2341" t="inlineStr">
        <is>
          <t>Industrial</t>
        </is>
      </c>
      <c r="H99" s="2341" t="inlineStr">
        <is>
          <t>Industrial Owner-User</t>
        </is>
      </c>
      <c r="I99" s="2341" t="n"/>
      <c r="J99" s="2341" t="n">
        <v>117280</v>
      </c>
      <c r="K99" s="2341" t="n"/>
      <c r="L99" s="2341" t="inlineStr">
        <is>
          <t>R0083917</t>
        </is>
      </c>
      <c r="M99" s="2341" t="n"/>
      <c r="N99" s="2341" t="inlineStr">
        <is>
          <t>MT.xlsx I&amp;E Survey 2024</t>
        </is>
      </c>
      <c r="O99" s="2341" t="inlineStr">
        <is>
          <t>2026-06-03</t>
        </is>
      </c>
      <c r="P99" s="2341" t="inlineStr">
        <is>
          <t>Owner-user; expenses may include non-RE items (flag); 117,280 SF</t>
        </is>
      </c>
    </row>
    <row r="100">
      <c r="A100" s="2342" t="inlineStr">
        <is>
          <t>P097</t>
        </is>
      </c>
      <c r="B100" s="2338" t="n">
        <v>210</v>
      </c>
      <c r="C100" s="2339" t="inlineStr">
        <is>
          <t>R0137586</t>
        </is>
      </c>
      <c r="D100" s="2342" t="inlineStr">
        <is>
          <t>7273-7285 E 96th Ave</t>
        </is>
      </c>
      <c r="E100" s="2342" t="inlineStr">
        <is>
          <t>Commerce City</t>
        </is>
      </c>
      <c r="F100" s="2342" t="inlineStr">
        <is>
          <t>CO</t>
        </is>
      </c>
      <c r="G100" s="2342" t="inlineStr">
        <is>
          <t>Industrial</t>
        </is>
      </c>
      <c r="H100" s="2342" t="inlineStr">
        <is>
          <t>Multi-Tenant Industrial</t>
        </is>
      </c>
      <c r="I100" s="2342" t="n"/>
      <c r="J100" s="2342" t="n">
        <v>57200</v>
      </c>
      <c r="K100" s="2342" t="n"/>
      <c r="L100" s="2342" t="inlineStr">
        <is>
          <t>R0137586</t>
        </is>
      </c>
      <c r="M100" s="2342" t="n"/>
      <c r="N100" s="2342" t="inlineStr">
        <is>
          <t>MT.xlsx I&amp;E Survey 2023</t>
        </is>
      </c>
      <c r="O100" s="2342" t="inlineStr">
        <is>
          <t>2026-06-03</t>
        </is>
      </c>
      <c r="P100" s="2342" t="inlineStr">
        <is>
          <t>Modified lease; 57,200 SF; 2023 survey data</t>
        </is>
      </c>
    </row>
    <row r="101">
      <c r="A101" s="2341" t="inlineStr">
        <is>
          <t>P098</t>
        </is>
      </c>
      <c r="B101" s="2338" t="n">
        <v>210</v>
      </c>
      <c r="C101" s="2339" t="inlineStr">
        <is>
          <t>R0187010</t>
        </is>
      </c>
      <c r="D101" s="2341" t="inlineStr">
        <is>
          <t>8020 Steele St</t>
        </is>
      </c>
      <c r="E101" s="2341" t="inlineStr">
        <is>
          <t>Denver</t>
        </is>
      </c>
      <c r="F101" s="2341" t="inlineStr">
        <is>
          <t>CO</t>
        </is>
      </c>
      <c r="G101" s="2341" t="inlineStr">
        <is>
          <t>Industrial</t>
        </is>
      </c>
      <c r="H101" s="2341" t="inlineStr">
        <is>
          <t>Industrial Modified Gross</t>
        </is>
      </c>
      <c r="I101" s="2341" t="n"/>
      <c r="J101" s="2341" t="n">
        <v>70000</v>
      </c>
      <c r="K101" s="2341" t="n"/>
      <c r="L101" s="2341" t="inlineStr">
        <is>
          <t>R0187010</t>
        </is>
      </c>
      <c r="M101" s="2341" t="n"/>
      <c r="N101" s="2341" t="inlineStr">
        <is>
          <t>MT.xlsx I&amp;E Survey 2024</t>
        </is>
      </c>
      <c r="O101" s="2341" t="inlineStr">
        <is>
          <t>2026-06-03</t>
        </is>
      </c>
      <c r="P101" s="2341" t="inlineStr">
        <is>
          <t>Modified gross; owner pays ins/R&amp;M/mgmt; tenant pays utils/trash; 70,000 SF</t>
        </is>
      </c>
    </row>
    <row r="102">
      <c r="A102" s="2342" t="inlineStr">
        <is>
          <t>P099</t>
        </is>
      </c>
      <c r="B102" s="2338" t="n">
        <v>210</v>
      </c>
      <c r="C102" s="2339" t="inlineStr">
        <is>
          <t>R0111914</t>
        </is>
      </c>
      <c r="D102" s="2342" t="inlineStr">
        <is>
          <t>1963 Jasper St</t>
        </is>
      </c>
      <c r="E102" s="2342" t="inlineStr">
        <is>
          <t>Aurora</t>
        </is>
      </c>
      <c r="F102" s="2342" t="inlineStr">
        <is>
          <t>CO</t>
        </is>
      </c>
      <c r="G102" s="2342" t="inlineStr">
        <is>
          <t>Industrial</t>
        </is>
      </c>
      <c r="H102" s="2342" t="inlineStr">
        <is>
          <t>Multi-Tenant Industrial Gross</t>
        </is>
      </c>
      <c r="I102" s="2342" t="n"/>
      <c r="J102" s="2342" t="n">
        <v>33574</v>
      </c>
      <c r="K102" s="2342" t="n"/>
      <c r="L102" s="2342" t="inlineStr">
        <is>
          <t>R0111914</t>
        </is>
      </c>
      <c r="M102" s="2342" t="n"/>
      <c r="N102" s="2342" t="inlineStr">
        <is>
          <t>MT.xlsx I&amp;E Survey 2024</t>
        </is>
      </c>
      <c r="O102" s="2342" t="inlineStr">
        <is>
          <t>2026-06-03</t>
        </is>
      </c>
      <c r="P102" s="2342" t="inlineStr">
        <is>
          <t>Gross lease; owner pays all expenses except gas/elec; 33,574 SF</t>
        </is>
      </c>
    </row>
    <row r="103">
      <c r="A103" s="2341" t="inlineStr">
        <is>
          <t>P100</t>
        </is>
      </c>
      <c r="B103" s="2338" t="n">
        <v>1332</v>
      </c>
      <c r="C103" s="2339" t="inlineStr">
        <is>
          <t>R0111965</t>
        </is>
      </c>
      <c r="D103" s="2341" t="inlineStr">
        <is>
          <t>12101 Grant St</t>
        </is>
      </c>
      <c r="E103" s="2341" t="inlineStr">
        <is>
          <t>Thornton</t>
        </is>
      </c>
      <c r="F103" s="2341" t="inlineStr">
        <is>
          <t>CO</t>
        </is>
      </c>
      <c r="G103" s="2341" t="inlineStr">
        <is>
          <t>Hospitality</t>
        </is>
      </c>
      <c r="H103" s="2341" t="inlineStr">
        <is>
          <t>Hotel Limited Service</t>
        </is>
      </c>
      <c r="I103" s="2341" t="n">
        <v>1998</v>
      </c>
      <c r="J103" s="2341" t="n"/>
      <c r="K103" s="2341" t="n"/>
      <c r="L103" s="2341" t="inlineStr">
        <is>
          <t>R0111965</t>
        </is>
      </c>
      <c r="M103" s="2341" t="n"/>
      <c r="N103" s="2341" t="inlineStr">
        <is>
          <t>AXG CBOE 2024 – appraiser Rushmore income approach</t>
        </is>
      </c>
      <c r="O103" s="2341" t="inlineStr">
        <is>
          <t>2026-06-03</t>
        </is>
      </c>
      <c r="P103" s="2341" t="inlineStr">
        <is>
          <t>100 rooms; 1998 YOC; 2024 CBOE; ADR $115/occ 70%</t>
        </is>
      </c>
    </row>
    <row r="104">
      <c r="A104" s="2342" t="inlineStr">
        <is>
          <t>P101</t>
        </is>
      </c>
      <c r="B104" s="2338" t="n">
        <v>332</v>
      </c>
      <c r="C104" s="2339" t="inlineStr">
        <is>
          <t>R0202410</t>
        </is>
      </c>
      <c r="D104" s="2342" t="inlineStr">
        <is>
          <t>2556 Oswego St</t>
        </is>
      </c>
      <c r="E104" s="2342" t="inlineStr">
        <is>
          <t>Aurora</t>
        </is>
      </c>
      <c r="F104" s="2342" t="inlineStr">
        <is>
          <t>CO</t>
        </is>
      </c>
      <c r="G104" s="2342" t="inlineStr">
        <is>
          <t>Hospitality</t>
        </is>
      </c>
      <c r="H104" s="2342" t="inlineStr">
        <is>
          <t>Hotel Full Service</t>
        </is>
      </c>
      <c r="I104" s="2342" t="n">
        <v>2023</v>
      </c>
      <c r="J104" s="2342" t="n"/>
      <c r="K104" s="2342" t="n"/>
      <c r="L104" s="2342" t="inlineStr">
        <is>
          <t>R0202410</t>
        </is>
      </c>
      <c r="M104" s="2342" t="n"/>
      <c r="N104" s="2342" t="inlineStr">
        <is>
          <t>AXG CBOE 2024 – appraiser Rushmore income approach</t>
        </is>
      </c>
      <c r="O104" s="2342" t="inlineStr">
        <is>
          <t>2026-06-03</t>
        </is>
      </c>
      <c r="P104" s="2342" t="inlineStr">
        <is>
          <t>227 rooms; built 2023; 2024 CBOE; ADR $140/occ 70%</t>
        </is>
      </c>
    </row>
    <row r="105">
      <c r="A105" s="2341" t="inlineStr">
        <is>
          <t>P102</t>
        </is>
      </c>
      <c r="B105" s="2338" t="n">
        <v>332</v>
      </c>
      <c r="C105" s="2339" t="inlineStr">
        <is>
          <t>R0024498</t>
        </is>
      </c>
      <c r="D105" s="2341" t="inlineStr">
        <is>
          <t>83 E 120th Ave</t>
        </is>
      </c>
      <c r="E105" s="2341" t="inlineStr">
        <is>
          <t>Thornton</t>
        </is>
      </c>
      <c r="F105" s="2341" t="inlineStr">
        <is>
          <t>CO</t>
        </is>
      </c>
      <c r="G105" s="2341" t="inlineStr">
        <is>
          <t>Hospitality</t>
        </is>
      </c>
      <c r="H105" s="2341" t="inlineStr">
        <is>
          <t>Hotel Full Service</t>
        </is>
      </c>
      <c r="I105" s="2341" t="n">
        <v>1984</v>
      </c>
      <c r="J105" s="2341" t="n">
        <v>114796</v>
      </c>
      <c r="K105" s="2341" t="n"/>
      <c r="L105" s="2341" t="inlineStr">
        <is>
          <t>R0024498</t>
        </is>
      </c>
      <c r="M105" s="2341" t="n"/>
      <c r="N105" s="2341" t="inlineStr">
        <is>
          <t>AXG CBOE 2024 – appraiser Rushmore income approach</t>
        </is>
      </c>
      <c r="O105" s="2341" t="inlineStr">
        <is>
          <t>2026-06-03</t>
        </is>
      </c>
      <c r="P105" s="2341" t="inlineStr">
        <is>
          <t>137 rooms; 114,796 SF GBA; 2 bldgs; 1984 YOC; ADR $142/occ 70%</t>
        </is>
      </c>
    </row>
    <row r="106">
      <c r="A106" s="2342" t="inlineStr">
        <is>
          <t>P103</t>
        </is>
      </c>
      <c r="B106" s="2338" t="n">
        <v>407</v>
      </c>
      <c r="C106" s="2339" t="inlineStr">
        <is>
          <t>R0075212</t>
        </is>
      </c>
      <c r="D106" s="2342" t="inlineStr">
        <is>
          <t>10500 Havana Ct</t>
        </is>
      </c>
      <c r="E106" s="2342" t="inlineStr">
        <is>
          <t>Commerce City</t>
        </is>
      </c>
      <c r="F106" s="2342" t="inlineStr">
        <is>
          <t>CO</t>
        </is>
      </c>
      <c r="G106" s="2342" t="inlineStr">
        <is>
          <t>Industrial</t>
        </is>
      </c>
      <c r="H106" s="2342" t="inlineStr">
        <is>
          <t>Industrial NNN</t>
        </is>
      </c>
      <c r="I106" s="2342" t="n"/>
      <c r="J106" s="2342" t="n">
        <v>30000</v>
      </c>
      <c r="K106" s="2342" t="n"/>
      <c r="L106" s="2342" t="inlineStr">
        <is>
          <t>R0075212</t>
        </is>
      </c>
      <c r="M106" s="2342" t="n"/>
      <c r="N106" s="2342" t="inlineStr">
        <is>
          <t>MT.xlsx I&amp;E Survey 2024</t>
        </is>
      </c>
      <c r="O106" s="2342" t="inlineStr">
        <is>
          <t>2026-06-03</t>
        </is>
      </c>
      <c r="P106" s="2342" t="inlineStr">
        <is>
          <t>NNN; full expense survey; 30,000 SF</t>
        </is>
      </c>
    </row>
    <row r="107">
      <c r="A107" t="inlineStr">
        <is>
          <t>P104</t>
        </is>
      </c>
      <c r="B107" s="2338" t="n">
        <v>210</v>
      </c>
      <c r="C107" t="inlineStr">
        <is>
          <t>R0226379</t>
        </is>
      </c>
      <c r="D107" t="inlineStr">
        <is>
          <t>26100 E 68th Ave</t>
        </is>
      </c>
      <c r="E107" t="inlineStr">
        <is>
          <t>Aurora</t>
        </is>
      </c>
      <c r="F107" t="inlineStr">
        <is>
          <t>CO</t>
        </is>
      </c>
      <c r="G107" t="inlineStr">
        <is>
          <t>Industrial</t>
        </is>
      </c>
      <c r="H107" t="inlineStr">
        <is>
          <t>Industrial Multi-Tenant</t>
        </is>
      </c>
      <c r="I107" t="n"/>
      <c r="J107" t="n">
        <v>187720</v>
      </c>
      <c r="K107" t="n"/>
      <c r="L107" t="inlineStr">
        <is>
          <t>R0226379</t>
        </is>
      </c>
      <c r="M107" t="inlineStr">
        <is>
          <t>Green Industrial Development Group (.ptg)</t>
        </is>
      </c>
      <c r="N107" t="inlineStr">
        <is>
          <t>Owner Income Statement 2023 &amp; 2024</t>
        </is>
      </c>
      <c r="O107" t="inlineStr">
        <is>
          <t>2026-06-03</t>
        </is>
      </c>
      <c r="P107" t="inlineStr">
        <is>
          <t>Building 1; Filing 3 Block 1 Lot 1; CAM reimb + TBB structure; SF unknown; 2023-2024 actuals</t>
        </is>
      </c>
    </row>
  </sheetData>
  <autoFilter ref="A3:P3"/>
  <mergeCells count="2">
    <mergeCell ref="A2:N2"/>
    <mergeCell ref="A1:N1"/>
  </mergeCell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AM197"/>
  <sheetViews>
    <sheetView workbookViewId="0">
      <pane xSplit="11" ySplit="171" topLeftCell="L172"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9" customWidth="1" style="1449" min="12" max="38"/>
    <col width="45" customWidth="1" style="1449" min="39" max="39"/>
  </cols>
  <sheetData>
    <row r="1" ht="24" customHeight="1" s="1449">
      <c r="A1" s="1711" t="inlineStr">
        <is>
          <t>COMMERCIAL PROPERTY EXPENSE DATABASE ? ANNUAL DETAIL</t>
        </is>
      </c>
    </row>
    <row r="2" ht="15.95" customHeight="1" s="1449">
      <c r="A2" s="1702" t="inlineStr">
        <is>
          <t>One row per property per year | All dollar figures from owner P&amp;L unless noted | $/SF = $ / Building SF</t>
        </is>
      </c>
    </row>
    <row r="3" ht="42" customHeight="1" s="1449">
      <c r="A3" s="2335" t="inlineStr">
        <is>
          <t>Prop ID</t>
        </is>
      </c>
      <c r="B3" s="2336" t="inlineStr">
        <is>
          <t>Occ Code</t>
        </is>
      </c>
      <c r="C3" s="2343" t="inlineStr">
        <is>
          <t>Account #</t>
        </is>
      </c>
      <c r="D3" s="2335" t="inlineStr">
        <is>
          <t>Address</t>
        </is>
      </c>
      <c r="E3" s="2335" t="inlineStr">
        <is>
          <t>City</t>
        </is>
      </c>
      <c r="F3" s="2335" t="inlineStr">
        <is>
          <t>State</t>
        </is>
      </c>
      <c r="G3" s="2335" t="inlineStr">
        <is>
          <t>Prop Type</t>
        </is>
      </c>
      <c r="H3" s="2335" t="inlineStr">
        <is>
          <t>Subtype</t>
        </is>
      </c>
      <c r="I3" s="2335" t="inlineStr">
        <is>
          <t>Year Built</t>
        </is>
      </c>
      <c r="J3" s="2335" t="inlineStr">
        <is>
          <t>Bldg SF</t>
        </is>
      </c>
      <c r="K3" s="2335" t="inlineStr">
        <is>
          <t>Year</t>
        </is>
      </c>
      <c r="L3" s="2335" t="inlineStr">
        <is>
          <t>Gross Rental Income</t>
        </is>
      </c>
      <c r="M3" s="2335" t="inlineStr">
        <is>
          <t>Other Income</t>
        </is>
      </c>
      <c r="N3" s="2335" t="inlineStr">
        <is>
          <t>EGI</t>
        </is>
      </c>
      <c r="O3" s="2335" t="inlineStr">
        <is>
          <t>Insurance</t>
        </is>
      </c>
      <c r="P3" s="2335" t="inlineStr">
        <is>
          <t>Mgmt/Admin</t>
        </is>
      </c>
      <c r="Q3" s="2335" t="inlineStr">
        <is>
          <t>Plumbing R&amp;M</t>
        </is>
      </c>
      <c r="R3" s="2335" t="inlineStr">
        <is>
          <t>Electrical R&amp;M</t>
        </is>
      </c>
      <c r="S3" s="2335" t="inlineStr">
        <is>
          <t>Exterior R&amp;M</t>
        </is>
      </c>
      <c r="T3" s="2335" t="inlineStr">
        <is>
          <t>Fire/Life Safety R&amp;M</t>
        </is>
      </c>
      <c r="U3" s="2335" t="inlineStr">
        <is>
          <t>HVAC R&amp;M</t>
        </is>
      </c>
      <c r="V3" s="2335" t="inlineStr">
        <is>
          <t>Interior Unit R&amp;M</t>
        </is>
      </c>
      <c r="W3" s="2335" t="inlineStr">
        <is>
          <t>Interior Common R&amp;M</t>
        </is>
      </c>
      <c r="X3" s="2335" t="inlineStr">
        <is>
          <t>General Maint &amp; Repairs</t>
        </is>
      </c>
      <c r="Y3" s="2335" t="inlineStr">
        <is>
          <t>Total R&amp;M</t>
        </is>
      </c>
      <c r="Z3" s="2335" t="inlineStr">
        <is>
          <t>Trash</t>
        </is>
      </c>
      <c r="AA3" s="2335" t="inlineStr">
        <is>
          <t>Landscape</t>
        </is>
      </c>
      <c r="AB3" s="2335" t="inlineStr">
        <is>
          <t>Snow Removal</t>
        </is>
      </c>
      <c r="AC3" s="2335" t="inlineStr">
        <is>
          <t>Total Contract Svcs</t>
        </is>
      </c>
      <c r="AD3" s="2335" t="inlineStr">
        <is>
          <t>Water &amp; Sewer</t>
        </is>
      </c>
      <c r="AE3" s="2335" t="inlineStr">
        <is>
          <t>Electric</t>
        </is>
      </c>
      <c r="AF3" s="2335" t="inlineStr">
        <is>
          <t>Total Utilities</t>
        </is>
      </c>
      <c r="AG3" s="2335" t="inlineStr">
        <is>
          <t>Other/Admin (Misc)</t>
        </is>
      </c>
      <c r="AH3" s="2335" t="inlineStr">
        <is>
          <t>Total OPX excl RE Taxes</t>
        </is>
      </c>
      <c r="AI3" s="2335" t="inlineStr">
        <is>
          <t>Real Estate Taxes</t>
        </is>
      </c>
      <c r="AJ3" s="2335" t="inlineStr">
        <is>
          <t>Total OPX incl RE Taxes</t>
        </is>
      </c>
      <c r="AK3" s="2335" t="inlineStr">
        <is>
          <t>NOI</t>
        </is>
      </c>
      <c r="AL3" s="2335" t="inlineStr">
        <is>
          <t>CapEx (non-op)</t>
        </is>
      </c>
      <c r="AM3" s="2335" t="inlineStr">
        <is>
          <t>Notes</t>
        </is>
      </c>
    </row>
    <row r="4" ht="18" customHeight="1" s="1449">
      <c r="A4" s="2344" t="inlineStr">
        <is>
          <t>P001</t>
        </is>
      </c>
      <c r="B4" s="2338" t="n">
        <v>407</v>
      </c>
      <c r="C4" s="2345" t="inlineStr">
        <is>
          <t>R0157664</t>
        </is>
      </c>
      <c r="D4" s="2344" t="inlineStr">
        <is>
          <t>6045 E. 76th Avenue</t>
        </is>
      </c>
      <c r="E4" s="2344" t="inlineStr">
        <is>
          <t>Commerce City</t>
        </is>
      </c>
      <c r="F4" s="2344" t="inlineStr">
        <is>
          <t>CO</t>
        </is>
      </c>
      <c r="G4" s="2344" t="inlineStr">
        <is>
          <t>Light Industrial</t>
        </is>
      </c>
      <c r="H4" s="2344" t="inlineStr">
        <is>
          <t>Distribution Warehouse</t>
        </is>
      </c>
      <c r="I4" s="2346" t="n">
        <v>1988</v>
      </c>
      <c r="J4" s="2346" t="n">
        <v>21000</v>
      </c>
      <c r="K4" s="2346" t="n">
        <v>2021</v>
      </c>
      <c r="L4" s="2347" t="n">
        <v>282764.52</v>
      </c>
      <c r="M4" s="2347" t="n">
        <v>6372</v>
      </c>
      <c r="N4" s="2348" t="n">
        <v>289136.52</v>
      </c>
      <c r="O4" s="2347" t="n">
        <v>4893</v>
      </c>
      <c r="P4" s="2347" t="n">
        <v>0</v>
      </c>
      <c r="Q4" s="2347" t="n">
        <v>1144</v>
      </c>
      <c r="R4" s="2347" t="n">
        <v>0</v>
      </c>
      <c r="S4" s="2347" t="n">
        <v>198.75</v>
      </c>
      <c r="T4" s="2347" t="n">
        <v>0</v>
      </c>
      <c r="U4" s="2347" t="n">
        <v>280</v>
      </c>
      <c r="V4" s="2347" t="n">
        <v>846</v>
      </c>
      <c r="W4" s="2347" t="n">
        <v>2923</v>
      </c>
      <c r="X4" s="2348" t="n">
        <v>0</v>
      </c>
      <c r="Y4" s="2347" t="n">
        <v>5391.75</v>
      </c>
      <c r="Z4" s="2347" t="n">
        <v>6710.19</v>
      </c>
      <c r="AA4" s="2347" t="n">
        <v>3875</v>
      </c>
      <c r="AB4" s="2347" t="n">
        <v>870</v>
      </c>
      <c r="AC4" s="2348" t="n">
        <v>11455.19</v>
      </c>
      <c r="AD4" s="2347" t="n">
        <v>3344.39</v>
      </c>
      <c r="AE4" s="2347" t="n">
        <v>648.33</v>
      </c>
      <c r="AF4" s="2348" t="n">
        <v>3992.72</v>
      </c>
      <c r="AG4" s="2347" t="n">
        <v>762.49</v>
      </c>
      <c r="AH4" s="2349" t="n">
        <v>26515.14999999999</v>
      </c>
      <c r="AI4" s="2349" t="n">
        <v>48263.72</v>
      </c>
      <c r="AJ4" s="2350" t="n">
        <v>74778.87</v>
      </c>
      <c r="AK4" s="2348" t="n">
        <v>214357.65</v>
      </c>
      <c r="AL4" s="2347" t="n">
        <v>2642.04</v>
      </c>
      <c r="AM4" s="2344" t="inlineStr">
        <is>
          <t>2021: other income = damages $2,392 + misc $3,863 + interest $117</t>
        </is>
      </c>
    </row>
    <row r="5" ht="18" customHeight="1" s="1449">
      <c r="A5" s="2344" t="inlineStr">
        <is>
          <t>P001</t>
        </is>
      </c>
      <c r="B5" s="2338" t="n">
        <v>407</v>
      </c>
      <c r="C5" s="2345" t="inlineStr">
        <is>
          <t>R0157664</t>
        </is>
      </c>
      <c r="D5" s="2344" t="inlineStr">
        <is>
          <t>6045 E. 76th Avenue</t>
        </is>
      </c>
      <c r="E5" s="2344" t="inlineStr">
        <is>
          <t>Commerce City</t>
        </is>
      </c>
      <c r="F5" s="2344" t="inlineStr">
        <is>
          <t>CO</t>
        </is>
      </c>
      <c r="G5" s="2344" t="inlineStr">
        <is>
          <t>Light Industrial</t>
        </is>
      </c>
      <c r="H5" s="2344" t="inlineStr">
        <is>
          <t>Distribution Warehouse</t>
        </is>
      </c>
      <c r="I5" s="2346" t="n">
        <v>1988</v>
      </c>
      <c r="J5" s="2346" t="n">
        <v>21000</v>
      </c>
      <c r="K5" s="2346" t="n">
        <v>2022</v>
      </c>
      <c r="L5" s="2347" t="n">
        <v>255992.67</v>
      </c>
      <c r="M5" s="2347" t="n">
        <v>3000</v>
      </c>
      <c r="N5" s="2348" t="n">
        <v>258992.67</v>
      </c>
      <c r="O5" s="2347" t="n">
        <v>5276</v>
      </c>
      <c r="P5" s="2347" t="n">
        <v>0</v>
      </c>
      <c r="Q5" s="2347" t="n">
        <v>4115</v>
      </c>
      <c r="R5" s="2347" t="n">
        <v>611</v>
      </c>
      <c r="S5" s="2347" t="n">
        <v>2333.33</v>
      </c>
      <c r="T5" s="2347" t="n">
        <v>0</v>
      </c>
      <c r="U5" s="2347" t="n">
        <v>0</v>
      </c>
      <c r="V5" s="2347" t="n">
        <v>0</v>
      </c>
      <c r="W5" s="2347" t="n">
        <v>780</v>
      </c>
      <c r="X5" s="2348" t="n">
        <v>0</v>
      </c>
      <c r="Y5" s="2347" t="n">
        <v>7839.33</v>
      </c>
      <c r="Z5" s="2347" t="n">
        <v>8303.969999999999</v>
      </c>
      <c r="AA5" s="2347" t="n">
        <v>4280</v>
      </c>
      <c r="AB5" s="2347" t="n">
        <v>0</v>
      </c>
      <c r="AC5" s="2348" t="n">
        <v>12583.97</v>
      </c>
      <c r="AD5" s="2347" t="n">
        <v>3043.11</v>
      </c>
      <c r="AE5" s="2347" t="n">
        <v>887.54</v>
      </c>
      <c r="AF5" s="2348" t="n">
        <v>3930.65</v>
      </c>
      <c r="AG5" s="2347" t="n">
        <v>658.98</v>
      </c>
      <c r="AH5" s="2349" t="n">
        <v>30288.93000000001</v>
      </c>
      <c r="AI5" s="2349" t="n">
        <v>66104.78</v>
      </c>
      <c r="AJ5" s="2350" t="n">
        <v>96393.71000000001</v>
      </c>
      <c r="AK5" s="2348" t="n">
        <v>162598.96</v>
      </c>
      <c r="AL5" s="2347" t="n">
        <v>5791.72</v>
      </c>
      <c r="AM5" s="2344" t="inlineStr">
        <is>
          <t>2022: other income = damages $500 + misc $2,500; CapEx unit interior</t>
        </is>
      </c>
    </row>
    <row r="6" ht="18" customHeight="1" s="1449">
      <c r="A6" s="2344" t="inlineStr">
        <is>
          <t>P001</t>
        </is>
      </c>
      <c r="B6" s="2338" t="n">
        <v>407</v>
      </c>
      <c r="C6" s="2345" t="inlineStr">
        <is>
          <t>R0157664</t>
        </is>
      </c>
      <c r="D6" s="2344" t="inlineStr">
        <is>
          <t>6045 E. 76th Avenue</t>
        </is>
      </c>
      <c r="E6" s="2344" t="inlineStr">
        <is>
          <t>Commerce City</t>
        </is>
      </c>
      <c r="F6" s="2344" t="inlineStr">
        <is>
          <t>CO</t>
        </is>
      </c>
      <c r="G6" s="2344" t="inlineStr">
        <is>
          <t>Light Industrial</t>
        </is>
      </c>
      <c r="H6" s="2344" t="inlineStr">
        <is>
          <t>Distribution Warehouse</t>
        </is>
      </c>
      <c r="I6" s="2346" t="n">
        <v>1988</v>
      </c>
      <c r="J6" s="2346" t="n">
        <v>21000</v>
      </c>
      <c r="K6" s="2346" t="n">
        <v>2023</v>
      </c>
      <c r="L6" s="2347" t="n">
        <v>256200</v>
      </c>
      <c r="M6" s="2347" t="n">
        <v>0</v>
      </c>
      <c r="N6" s="2348" t="n">
        <v>256200</v>
      </c>
      <c r="O6" s="2347" t="n">
        <v>5867.85</v>
      </c>
      <c r="P6" s="2347" t="n">
        <v>800</v>
      </c>
      <c r="Q6" s="2347" t="n">
        <v>1094.49</v>
      </c>
      <c r="R6" s="2347" t="n">
        <v>990</v>
      </c>
      <c r="S6" s="2347" t="n">
        <v>0</v>
      </c>
      <c r="T6" s="2347" t="n">
        <v>3870.75</v>
      </c>
      <c r="U6" s="2347" t="n">
        <v>480</v>
      </c>
      <c r="V6" s="2347" t="n">
        <v>618</v>
      </c>
      <c r="W6" s="2347" t="n">
        <v>0</v>
      </c>
      <c r="X6" s="2348" t="n">
        <v>480</v>
      </c>
      <c r="Y6" s="2347" t="n">
        <v>7533.24</v>
      </c>
      <c r="Z6" s="2347" t="n">
        <v>9561.9</v>
      </c>
      <c r="AA6" s="2347" t="n">
        <v>2200</v>
      </c>
      <c r="AB6" s="2347" t="n">
        <v>2800</v>
      </c>
      <c r="AC6" s="2348" t="n">
        <v>14561.9</v>
      </c>
      <c r="AD6" s="2347" t="n">
        <v>7111.97</v>
      </c>
      <c r="AE6" s="2347" t="n">
        <v>760.15</v>
      </c>
      <c r="AF6" s="2348" t="n">
        <v>7872.12</v>
      </c>
      <c r="AG6" s="2347" t="n">
        <v>597.59</v>
      </c>
      <c r="AH6" s="2349" t="n">
        <v>31952.69999999999</v>
      </c>
      <c r="AI6" s="2349" t="n">
        <v>59985.48</v>
      </c>
      <c r="AJ6" s="2350" t="n">
        <v>91938.17999999999</v>
      </c>
      <c r="AK6" s="2348" t="n">
        <v>164261.82</v>
      </c>
      <c r="AL6" s="2347" t="n">
        <v>0</v>
      </c>
      <c r="AM6" s="2344" t="n"/>
    </row>
    <row r="7" ht="18" customHeight="1" s="1449">
      <c r="A7" s="2344" t="inlineStr">
        <is>
          <t>P001</t>
        </is>
      </c>
      <c r="B7" s="2338" t="n">
        <v>407</v>
      </c>
      <c r="C7" s="2345" t="inlineStr">
        <is>
          <t>R0157664</t>
        </is>
      </c>
      <c r="D7" s="2344" t="inlineStr">
        <is>
          <t>6045 E. 76th Avenue</t>
        </is>
      </c>
      <c r="E7" s="2344" t="inlineStr">
        <is>
          <t>Commerce City</t>
        </is>
      </c>
      <c r="F7" s="2344" t="inlineStr">
        <is>
          <t>CO</t>
        </is>
      </c>
      <c r="G7" s="2344" t="inlineStr">
        <is>
          <t>Light Industrial</t>
        </is>
      </c>
      <c r="H7" s="2344" t="inlineStr">
        <is>
          <t>Distribution Warehouse</t>
        </is>
      </c>
      <c r="I7" s="2346" t="n">
        <v>1988</v>
      </c>
      <c r="J7" s="2346" t="n">
        <v>21000</v>
      </c>
      <c r="K7" s="2346" t="n">
        <v>2024</v>
      </c>
      <c r="L7" s="2347" t="n">
        <v>229531</v>
      </c>
      <c r="M7" s="2347" t="n">
        <v>0</v>
      </c>
      <c r="N7" s="2348" t="n">
        <v>229531</v>
      </c>
      <c r="O7" s="2347" t="n">
        <v>1834.57</v>
      </c>
      <c r="P7" s="2347" t="n">
        <v>1570</v>
      </c>
      <c r="Q7" s="2347" t="n">
        <v>0</v>
      </c>
      <c r="R7" s="2347" t="n">
        <v>0</v>
      </c>
      <c r="S7" s="2347" t="n">
        <v>8000</v>
      </c>
      <c r="T7" s="2347" t="n">
        <v>8299.799999999999</v>
      </c>
      <c r="U7" s="2347" t="n">
        <v>0</v>
      </c>
      <c r="V7" s="2347" t="n">
        <v>175</v>
      </c>
      <c r="W7" s="2347" t="n">
        <v>0</v>
      </c>
      <c r="X7" s="2348" t="n">
        <v>819.88</v>
      </c>
      <c r="Y7" s="2347" t="n">
        <v>17294.68</v>
      </c>
      <c r="Z7" s="2347" t="n">
        <v>8500.75</v>
      </c>
      <c r="AA7" s="2347" t="n">
        <v>3350</v>
      </c>
      <c r="AB7" s="2347" t="n">
        <v>1050</v>
      </c>
      <c r="AC7" s="2348" t="n">
        <v>12900.75</v>
      </c>
      <c r="AD7" s="2347" t="n">
        <v>3438.85</v>
      </c>
      <c r="AE7" s="2347" t="n">
        <v>712.77</v>
      </c>
      <c r="AF7" s="2348" t="n">
        <v>4151.62</v>
      </c>
      <c r="AG7" s="2347" t="n">
        <v>600.11</v>
      </c>
      <c r="AH7" s="2349" t="n">
        <v>38151.7</v>
      </c>
      <c r="AI7" s="2349" t="n">
        <v>69401.60000000001</v>
      </c>
      <c r="AJ7" s="2350" t="n">
        <v>107553.3</v>
      </c>
      <c r="AK7" s="2348" t="n">
        <v>121977.7</v>
      </c>
      <c r="AL7" s="2347" t="n">
        <v>0</v>
      </c>
      <c r="AM7" s="2344" t="n"/>
    </row>
    <row r="8" ht="18" customHeight="1" s="1449">
      <c r="A8" s="2344" t="inlineStr">
        <is>
          <t>P002</t>
        </is>
      </c>
      <c r="B8" s="2338" t="n">
        <v>344</v>
      </c>
      <c r="C8" s="2345" t="inlineStr">
        <is>
          <t>Unknown</t>
        </is>
      </c>
      <c r="D8" s="2344" t="inlineStr">
        <is>
          <t>13659 E. 104th Ave</t>
        </is>
      </c>
      <c r="E8" s="2344" t="inlineStr">
        <is>
          <t>Adams County</t>
        </is>
      </c>
      <c r="F8" s="2344" t="inlineStr">
        <is>
          <t>CO</t>
        </is>
      </c>
      <c r="G8" s="2344" t="inlineStr">
        <is>
          <t>Office/Commercial</t>
        </is>
      </c>
      <c r="H8" s="2344" t="inlineStr">
        <is>
          <t>Multi-tenant</t>
        </is>
      </c>
      <c r="I8" s="2346" t="n"/>
      <c r="J8" s="2346" t="n"/>
      <c r="K8" s="2346" t="n">
        <v>2023</v>
      </c>
      <c r="L8" s="2344" t="n"/>
      <c r="M8" s="2344" t="n"/>
      <c r="N8" s="2351" t="n">
        <v>258808</v>
      </c>
      <c r="O8" s="2347" t="n">
        <v>3292</v>
      </c>
      <c r="P8" s="2347" t="n">
        <v>18539</v>
      </c>
      <c r="Q8" s="2344" t="n"/>
      <c r="R8" s="2344" t="n"/>
      <c r="S8" s="2344" t="n"/>
      <c r="T8" s="2344" t="n"/>
      <c r="U8" s="2344" t="n"/>
      <c r="V8" s="2344" t="n"/>
      <c r="W8" s="2344" t="n"/>
      <c r="X8" s="2347" t="n">
        <v>24750</v>
      </c>
      <c r="Y8" s="2348" t="n">
        <v>24750</v>
      </c>
      <c r="Z8" s="2344" t="n"/>
      <c r="AA8" s="2347" t="n">
        <v>13331</v>
      </c>
      <c r="AB8" s="2344" t="n"/>
      <c r="AC8" s="2348" t="n">
        <v>13331</v>
      </c>
      <c r="AD8" s="2344" t="n"/>
      <c r="AE8" s="2344" t="n"/>
      <c r="AF8" s="2348" t="n">
        <v>3990</v>
      </c>
      <c r="AG8" s="2347" t="n">
        <v>11264</v>
      </c>
      <c r="AH8" s="2349" t="n">
        <v>75327</v>
      </c>
      <c r="AI8" s="2349" t="n">
        <v>51707</v>
      </c>
      <c r="AJ8" s="2349" t="n">
        <v>127034</v>
      </c>
      <c r="AK8" s="2349" t="n">
        <v>131774</v>
      </c>
      <c r="AL8" s="2344" t="n"/>
      <c r="AM8" s="2352" t="inlineStr">
        <is>
          <t>Insurance: $3,292; Mgmt fee $13,242 + asset mgmt $5,297; Professional svcs $11,264; actuals from BAA operating statement</t>
        </is>
      </c>
    </row>
    <row r="9" ht="18" customHeight="1" s="1449">
      <c r="A9" s="2344" t="inlineStr">
        <is>
          <t>P002</t>
        </is>
      </c>
      <c r="B9" s="2338" t="n">
        <v>344</v>
      </c>
      <c r="C9" s="2345" t="inlineStr">
        <is>
          <t>Unknown</t>
        </is>
      </c>
      <c r="D9" s="2344" t="inlineStr">
        <is>
          <t>13659 E. 104th Ave</t>
        </is>
      </c>
      <c r="E9" s="2344" t="inlineStr">
        <is>
          <t>Adams County</t>
        </is>
      </c>
      <c r="F9" s="2344" t="inlineStr">
        <is>
          <t>CO</t>
        </is>
      </c>
      <c r="G9" s="2344" t="inlineStr">
        <is>
          <t>Office/Commercial</t>
        </is>
      </c>
      <c r="H9" s="2344" t="inlineStr">
        <is>
          <t>Multi-tenant</t>
        </is>
      </c>
      <c r="I9" s="2346" t="n"/>
      <c r="J9" s="2346" t="n"/>
      <c r="K9" s="2346" t="n">
        <v>2024</v>
      </c>
      <c r="L9" s="2344" t="n"/>
      <c r="M9" s="2344" t="n"/>
      <c r="N9" s="2351" t="n">
        <v>264959</v>
      </c>
      <c r="O9" s="2347" t="n">
        <v>7442</v>
      </c>
      <c r="P9" s="2347" t="n">
        <v>18228</v>
      </c>
      <c r="Q9" s="2344" t="n"/>
      <c r="R9" s="2344" t="n"/>
      <c r="S9" s="2344" t="n"/>
      <c r="T9" s="2344" t="n"/>
      <c r="U9" s="2344" t="n"/>
      <c r="V9" s="2344" t="n"/>
      <c r="W9" s="2344" t="n"/>
      <c r="X9" s="2347" t="n">
        <v>37394</v>
      </c>
      <c r="Y9" s="2348" t="n">
        <v>37394</v>
      </c>
      <c r="Z9" s="2344" t="n"/>
      <c r="AA9" s="2347" t="n">
        <v>11888</v>
      </c>
      <c r="AB9" s="2344" t="n"/>
      <c r="AC9" s="2348" t="n">
        <v>11888</v>
      </c>
      <c r="AD9" s="2344" t="n"/>
      <c r="AE9" s="2344" t="n"/>
      <c r="AF9" s="2348" t="n">
        <v>5290</v>
      </c>
      <c r="AG9" s="2347" t="n">
        <v>13341</v>
      </c>
      <c r="AH9" s="2349" t="n">
        <v>93583</v>
      </c>
      <c r="AI9" s="2349" t="n">
        <v>44649</v>
      </c>
      <c r="AJ9" s="2349" t="n">
        <v>138232</v>
      </c>
      <c r="AK9" s="2349" t="n">
        <v>126727</v>
      </c>
      <c r="AL9" s="2344" t="n"/>
      <c r="AM9" s="2352" t="inlineStr">
        <is>
          <t>Insurance $7,442; Mgmt fee $13,020 + asset mgmt $5,208; Prof svcs $13,341; Utilities: gas/elec $1,091 + water/sewer $4,199</t>
        </is>
      </c>
    </row>
    <row r="10" ht="18" customHeight="1" s="1449">
      <c r="A10" s="2344" t="inlineStr">
        <is>
          <t>P003</t>
        </is>
      </c>
      <c r="B10" s="2338" t="n">
        <v>344</v>
      </c>
      <c r="C10" s="2345" t="inlineStr">
        <is>
          <t>R0024063</t>
        </is>
      </c>
      <c r="D10" s="2344" t="inlineStr">
        <is>
          <t>Park Centre - Wells Fargo Bldg</t>
        </is>
      </c>
      <c r="E10" s="2344" t="inlineStr">
        <is>
          <t>Westminster</t>
        </is>
      </c>
      <c r="F10" s="2344" t="inlineStr">
        <is>
          <t>CO</t>
        </is>
      </c>
      <c r="G10" s="2344" t="inlineStr">
        <is>
          <t>Office</t>
        </is>
      </c>
      <c r="H10" s="2344" t="inlineStr">
        <is>
          <t>Class B Multi-tenant</t>
        </is>
      </c>
      <c r="I10" s="2346" t="n"/>
      <c r="J10" s="2346" t="n">
        <v>49479</v>
      </c>
      <c r="K10" s="2346" t="n">
        <v>2023</v>
      </c>
      <c r="L10" s="2347" t="n">
        <v>1017928</v>
      </c>
      <c r="M10" s="2347" t="n">
        <v>93575</v>
      </c>
      <c r="N10" s="2351" t="n">
        <v>1111503</v>
      </c>
      <c r="O10" s="2344" t="n"/>
      <c r="P10" s="2344" t="n"/>
      <c r="Q10" s="2344" t="n"/>
      <c r="R10" s="2344" t="n"/>
      <c r="S10" s="2344" t="n"/>
      <c r="T10" s="2344" t="n"/>
      <c r="U10" s="2344" t="n"/>
      <c r="V10" s="2344" t="n"/>
      <c r="W10" s="2344" t="n"/>
      <c r="X10" s="2344" t="n"/>
      <c r="Y10" s="2353" t="n"/>
      <c r="Z10" s="2344" t="n"/>
      <c r="AA10" s="2344" t="n"/>
      <c r="AB10" s="2344" t="n"/>
      <c r="AC10" s="2353" t="n"/>
      <c r="AD10" s="2344" t="n"/>
      <c r="AE10" s="2344" t="n"/>
      <c r="AF10" s="2353" t="n"/>
      <c r="AG10" s="2344" t="n"/>
      <c r="AH10" s="2349" t="n">
        <v>453480</v>
      </c>
      <c r="AI10" s="2349" t="n">
        <v>184874</v>
      </c>
      <c r="AJ10" s="2349" t="n">
        <v>638354</v>
      </c>
      <c r="AK10" s="2349" t="n">
        <v>473149</v>
      </c>
      <c r="AL10" s="2344" t="n"/>
      <c r="AM10" s="2352" t="inlineStr">
        <is>
          <t>Westfield managed; recoveries $49,658 + other $43,917 = $93,575; OpEx BT per PROFORMA REVISED.xlsx</t>
        </is>
      </c>
    </row>
    <row r="11" ht="18" customHeight="1" s="1449">
      <c r="A11" s="2344" t="inlineStr">
        <is>
          <t>P003</t>
        </is>
      </c>
      <c r="B11" s="2338" t="n">
        <v>344</v>
      </c>
      <c r="C11" s="2345" t="inlineStr">
        <is>
          <t>R0024063</t>
        </is>
      </c>
      <c r="D11" s="2344" t="inlineStr">
        <is>
          <t>Park Centre - Wells Fargo Bldg</t>
        </is>
      </c>
      <c r="E11" s="2344" t="inlineStr">
        <is>
          <t>Westminster</t>
        </is>
      </c>
      <c r="F11" s="2344" t="inlineStr">
        <is>
          <t>CO</t>
        </is>
      </c>
      <c r="G11" s="2344" t="inlineStr">
        <is>
          <t>Office</t>
        </is>
      </c>
      <c r="H11" s="2344" t="inlineStr">
        <is>
          <t>Class B Multi-tenant</t>
        </is>
      </c>
      <c r="I11" s="2346" t="n"/>
      <c r="J11" s="2346" t="n">
        <v>49479</v>
      </c>
      <c r="K11" s="2346" t="n">
        <v>2024</v>
      </c>
      <c r="L11" s="2347" t="n">
        <v>944040</v>
      </c>
      <c r="M11" s="2347" t="n">
        <v>77962</v>
      </c>
      <c r="N11" s="2351" t="n">
        <v>1022002</v>
      </c>
      <c r="O11" s="2344" t="n"/>
      <c r="P11" s="2344" t="n"/>
      <c r="Q11" s="2344" t="n"/>
      <c r="R11" s="2344" t="n"/>
      <c r="S11" s="2344" t="n"/>
      <c r="T11" s="2344" t="n"/>
      <c r="U11" s="2344" t="n"/>
      <c r="V11" s="2344" t="n"/>
      <c r="W11" s="2344" t="n"/>
      <c r="X11" s="2344" t="n"/>
      <c r="Y11" s="2353" t="n"/>
      <c r="Z11" s="2344" t="n"/>
      <c r="AA11" s="2344" t="n"/>
      <c r="AB11" s="2344" t="n"/>
      <c r="AC11" s="2353" t="n"/>
      <c r="AD11" s="2344" t="n"/>
      <c r="AE11" s="2344" t="n"/>
      <c r="AF11" s="2353" t="n"/>
      <c r="AG11" s="2344" t="n"/>
      <c r="AH11" s="2349" t="n">
        <v>488239</v>
      </c>
      <c r="AI11" s="2349" t="n">
        <v>179568</v>
      </c>
      <c r="AJ11" s="2349" t="n">
        <v>667807</v>
      </c>
      <c r="AK11" s="2349" t="n">
        <v>354195</v>
      </c>
      <c r="AL11" s="2344" t="n"/>
      <c r="AM11" s="2352" t="inlineStr">
        <is>
          <t>Recoveries $21,696 + other $56,266; OpEx BT per PROFORMA REVISED.xlsx; NOI decline reflects higher vacancy</t>
        </is>
      </c>
    </row>
    <row r="12" ht="18" customHeight="1" s="1449">
      <c r="A12" s="2344" t="inlineStr">
        <is>
          <t>P004</t>
        </is>
      </c>
      <c r="B12" s="2338" t="n">
        <v>412</v>
      </c>
      <c r="C12" s="2345" t="inlineStr">
        <is>
          <t>R0050221</t>
        </is>
      </c>
      <c r="D12" s="2344" t="inlineStr">
        <is>
          <t>8860 Federal Blvd</t>
        </is>
      </c>
      <c r="E12" s="2344" t="inlineStr">
        <is>
          <t>Adams County</t>
        </is>
      </c>
      <c r="F12" s="2344" t="inlineStr">
        <is>
          <t>CO</t>
        </is>
      </c>
      <c r="G12" s="2344" t="inlineStr">
        <is>
          <t>Retail</t>
        </is>
      </c>
      <c r="H12" s="2344" t="inlineStr">
        <is>
          <t>Strip/Multi-tenant</t>
        </is>
      </c>
      <c r="I12" s="2346" t="n"/>
      <c r="J12" s="2346" t="n">
        <v>65850</v>
      </c>
      <c r="K12" s="2346" t="n">
        <v>2023</v>
      </c>
      <c r="L12" s="2344" t="n"/>
      <c r="M12" s="2344" t="n"/>
      <c r="N12" s="2351" t="n">
        <v>570777</v>
      </c>
      <c r="O12" s="2344" t="n"/>
      <c r="P12" s="2344" t="n"/>
      <c r="Q12" s="2344" t="n"/>
      <c r="R12" s="2344" t="n"/>
      <c r="S12" s="2344" t="n"/>
      <c r="T12" s="2344" t="n"/>
      <c r="U12" s="2344" t="n"/>
      <c r="V12" s="2344" t="n"/>
      <c r="W12" s="2344" t="n"/>
      <c r="X12" s="2344" t="n"/>
      <c r="Y12" s="2353" t="n"/>
      <c r="Z12" s="2344" t="n"/>
      <c r="AA12" s="2344" t="n"/>
      <c r="AB12" s="2344" t="n"/>
      <c r="AC12" s="2353" t="n"/>
      <c r="AD12" s="2344" t="n"/>
      <c r="AE12" s="2344" t="n"/>
      <c r="AF12" s="2353" t="n"/>
      <c r="AG12" s="2344" t="n"/>
      <c r="AH12" s="2354" t="n"/>
      <c r="AI12" s="2349" t="n">
        <v>74000</v>
      </c>
      <c r="AJ12" s="2349" t="n">
        <v>269935</v>
      </c>
      <c r="AK12" s="2349" t="n">
        <v>300842</v>
      </c>
      <c r="AL12" s="2344" t="n"/>
      <c r="AM12" s="2352" t="inlineStr">
        <is>
          <t>RE Tax estimated ~$74k (2023 not detailed); Total OpEx per actuals submission; NOI confirmed</t>
        </is>
      </c>
    </row>
    <row r="13" ht="18" customHeight="1" s="1449">
      <c r="A13" s="2344" t="inlineStr">
        <is>
          <t>P004</t>
        </is>
      </c>
      <c r="B13" s="2338" t="n">
        <v>412</v>
      </c>
      <c r="C13" s="2345" t="inlineStr">
        <is>
          <t>R0050221</t>
        </is>
      </c>
      <c r="D13" s="2344" t="inlineStr">
        <is>
          <t>8860 Federal Blvd</t>
        </is>
      </c>
      <c r="E13" s="2344" t="inlineStr">
        <is>
          <t>Adams County</t>
        </is>
      </c>
      <c r="F13" s="2344" t="inlineStr">
        <is>
          <t>CO</t>
        </is>
      </c>
      <c r="G13" s="2344" t="inlineStr">
        <is>
          <t>Retail</t>
        </is>
      </c>
      <c r="H13" s="2344" t="inlineStr">
        <is>
          <t>Strip/Multi-tenant</t>
        </is>
      </c>
      <c r="I13" s="2346" t="n"/>
      <c r="J13" s="2346" t="n">
        <v>65850</v>
      </c>
      <c r="K13" s="2346" t="n">
        <v>2024</v>
      </c>
      <c r="L13" s="2344" t="n"/>
      <c r="M13" s="2344" t="n"/>
      <c r="N13" s="2351" t="n">
        <v>587819</v>
      </c>
      <c r="O13" s="2347" t="n">
        <v>51223</v>
      </c>
      <c r="P13" s="2344" t="n"/>
      <c r="Q13" s="2344" t="n"/>
      <c r="R13" s="2344" t="n"/>
      <c r="S13" s="2344" t="n"/>
      <c r="T13" s="2344" t="n"/>
      <c r="U13" s="2344" t="n"/>
      <c r="V13" s="2344" t="n"/>
      <c r="W13" s="2344" t="n"/>
      <c r="X13" s="2347" t="n">
        <v>28919</v>
      </c>
      <c r="Y13" s="2348" t="n">
        <v>28919</v>
      </c>
      <c r="Z13" s="2347" t="n">
        <v>17561</v>
      </c>
      <c r="AA13" s="2347" t="n">
        <v>2002</v>
      </c>
      <c r="AB13" s="2347" t="n">
        <v>3485</v>
      </c>
      <c r="AC13" s="2348" t="n">
        <v>23048</v>
      </c>
      <c r="AD13" s="2347" t="n">
        <v>12892</v>
      </c>
      <c r="AE13" s="2347" t="n">
        <v>7120</v>
      </c>
      <c r="AF13" s="2348" t="n">
        <v>20012</v>
      </c>
      <c r="AG13" s="2347" t="n">
        <v>10978</v>
      </c>
      <c r="AH13" s="2349" t="n">
        <v>159331</v>
      </c>
      <c r="AI13" s="2349" t="n">
        <v>105466</v>
      </c>
      <c r="AJ13" s="2349" t="n">
        <v>264797</v>
      </c>
      <c r="AK13" s="2349" t="n">
        <v>323022</v>
      </c>
      <c r="AL13" s="2344" t="n"/>
      <c r="AM13" s="2352" t="inlineStr">
        <is>
          <t>Detailed 2024 actuals; R&amp;M includes CAM component $261; insurance unusually high at $51,223; drainage/lighting included in Other</t>
        </is>
      </c>
    </row>
    <row r="14" ht="18" customHeight="1" s="1449">
      <c r="A14" s="2344" t="inlineStr">
        <is>
          <t>P005</t>
        </is>
      </c>
      <c r="B14" s="2338" t="n">
        <v>344</v>
      </c>
      <c r="C14" s="2345" t="inlineStr">
        <is>
          <t>R0050977</t>
        </is>
      </c>
      <c r="D14" s="2344" t="inlineStr">
        <is>
          <t>9351 Grant St (Horizon Terrace)</t>
        </is>
      </c>
      <c r="E14" s="2344" t="inlineStr">
        <is>
          <t>Thornton</t>
        </is>
      </c>
      <c r="F14" s="2344" t="inlineStr">
        <is>
          <t>CO</t>
        </is>
      </c>
      <c r="G14" s="2344" t="inlineStr">
        <is>
          <t>Office</t>
        </is>
      </c>
      <c r="H14" s="2344" t="inlineStr">
        <is>
          <t>Class B Multi-story</t>
        </is>
      </c>
      <c r="I14" s="2346" t="n"/>
      <c r="J14" s="2346" t="n">
        <v>91646</v>
      </c>
      <c r="K14" s="2346" t="n">
        <v>2023</v>
      </c>
      <c r="L14" s="2347" t="n">
        <v>2011958</v>
      </c>
      <c r="M14" s="2347" t="n">
        <v>227276</v>
      </c>
      <c r="N14" s="2351" t="n">
        <v>2239234</v>
      </c>
      <c r="O14" s="2347" t="n">
        <v>24425</v>
      </c>
      <c r="P14" s="2347" t="n">
        <v>132014</v>
      </c>
      <c r="Q14" s="2344" t="n"/>
      <c r="R14" s="2344" t="n"/>
      <c r="S14" s="2344" t="n"/>
      <c r="T14" s="2344" t="n"/>
      <c r="U14" s="2344" t="n"/>
      <c r="V14" s="2344" t="n"/>
      <c r="W14" s="2344" t="n"/>
      <c r="X14" s="2347" t="n">
        <v>144543</v>
      </c>
      <c r="Y14" s="2348" t="n">
        <v>144543</v>
      </c>
      <c r="Z14" s="2344" t="n"/>
      <c r="AA14" s="2347" t="n">
        <v>108773</v>
      </c>
      <c r="AB14" s="2347" t="n">
        <v>65183</v>
      </c>
      <c r="AC14" s="2348" t="n">
        <v>273332</v>
      </c>
      <c r="AD14" s="2347" t="n">
        <v>14762</v>
      </c>
      <c r="AE14" s="2347" t="n">
        <v>225588</v>
      </c>
      <c r="AF14" s="2348" t="n">
        <v>240350</v>
      </c>
      <c r="AG14" s="2347" t="n">
        <v>32925</v>
      </c>
      <c r="AH14" s="2349" t="n">
        <v>845814</v>
      </c>
      <c r="AI14" s="2349" t="n">
        <v>372013</v>
      </c>
      <c r="AJ14" s="2349" t="n">
        <v>1217827</v>
      </c>
      <c r="AK14" s="2349" t="n">
        <v>1021407</v>
      </c>
      <c r="AL14" s="2344" t="n"/>
      <c r="AM14" s="2352" t="inlineStr">
        <is>
          <t>Full-service office: janitorial $164,559 in contract total; security/life safety $29,726 in Other; landscape incl snow $65,183; 2023 actuals confirmed</t>
        </is>
      </c>
    </row>
    <row r="15" ht="18" customHeight="1" s="1449">
      <c r="A15" s="2344" t="inlineStr">
        <is>
          <t>P005</t>
        </is>
      </c>
      <c r="B15" s="2338" t="n">
        <v>344</v>
      </c>
      <c r="C15" s="2345" t="inlineStr">
        <is>
          <t>R0050977</t>
        </is>
      </c>
      <c r="D15" s="2344" t="inlineStr">
        <is>
          <t>9351 Grant St (Horizon Terrace)</t>
        </is>
      </c>
      <c r="E15" s="2344" t="inlineStr">
        <is>
          <t>Thornton</t>
        </is>
      </c>
      <c r="F15" s="2344" t="inlineStr">
        <is>
          <t>CO</t>
        </is>
      </c>
      <c r="G15" s="2344" t="inlineStr">
        <is>
          <t>Office</t>
        </is>
      </c>
      <c r="H15" s="2344" t="inlineStr">
        <is>
          <t>Class B Multi-story</t>
        </is>
      </c>
      <c r="I15" s="2346" t="n"/>
      <c r="J15" s="2346" t="n">
        <v>91646</v>
      </c>
      <c r="K15" s="2346" t="n">
        <v>2024</v>
      </c>
      <c r="L15" s="2347" t="n">
        <v>2052556</v>
      </c>
      <c r="M15" s="2347" t="n">
        <v>269597</v>
      </c>
      <c r="N15" s="2351" t="n">
        <v>2322153</v>
      </c>
      <c r="O15" s="2347" t="n">
        <v>24269</v>
      </c>
      <c r="P15" s="2347" t="n">
        <v>149428</v>
      </c>
      <c r="Q15" s="2344" t="n"/>
      <c r="R15" s="2344" t="n"/>
      <c r="S15" s="2344" t="n"/>
      <c r="T15" s="2344" t="n"/>
      <c r="U15" s="2344" t="n"/>
      <c r="V15" s="2344" t="n"/>
      <c r="W15" s="2344" t="n"/>
      <c r="X15" s="2347" t="n">
        <v>150462</v>
      </c>
      <c r="Y15" s="2348" t="n">
        <v>150462</v>
      </c>
      <c r="Z15" s="2344" t="n"/>
      <c r="AA15" s="2347" t="n">
        <v>109178</v>
      </c>
      <c r="AB15" s="2344" t="n"/>
      <c r="AC15" s="2348" t="n">
        <v>262640</v>
      </c>
      <c r="AD15" s="2344" t="n"/>
      <c r="AE15" s="2344" t="n"/>
      <c r="AF15" s="2348" t="n">
        <v>232174</v>
      </c>
      <c r="AG15" s="2347" t="n">
        <v>37416</v>
      </c>
      <c r="AH15" s="2349" t="n">
        <v>856390</v>
      </c>
      <c r="AI15" s="2349" t="n">
        <v>413583</v>
      </c>
      <c r="AJ15" s="2349" t="n">
        <v>1269973</v>
      </c>
      <c r="AK15" s="2349" t="n">
        <v>1052180</v>
      </c>
      <c r="AL15" s="2344" t="n"/>
      <c r="AM15" s="2352" t="inlineStr">
        <is>
          <t>2024 actuals; janitorial $153,462 in contract total; security $32,603 in Other; sales/use tax $4,813 in Other</t>
        </is>
      </c>
    </row>
    <row r="16" ht="18" customHeight="1" s="1449">
      <c r="A16" s="2344" t="inlineStr">
        <is>
          <t>P006</t>
        </is>
      </c>
      <c r="B16" s="2338" t="n">
        <v>210</v>
      </c>
      <c r="C16" s="2345" t="inlineStr">
        <is>
          <t>R0062937</t>
        </is>
      </c>
      <c r="D16" s="2344" t="inlineStr">
        <is>
          <t>8670 Wolff Ct (Sheridan Park 8)</t>
        </is>
      </c>
      <c r="E16" s="2344" t="inlineStr">
        <is>
          <t>Westminster</t>
        </is>
      </c>
      <c r="F16" s="2344" t="inlineStr">
        <is>
          <t>CO</t>
        </is>
      </c>
      <c r="G16" s="2344" t="inlineStr">
        <is>
          <t>Office/Flex</t>
        </is>
      </c>
      <c r="H16" s="2344" t="inlineStr">
        <is>
          <t>Multi-tenant</t>
        </is>
      </c>
      <c r="I16" s="2346" t="n"/>
      <c r="J16" s="2346" t="n">
        <v>37078</v>
      </c>
      <c r="K16" s="2346" t="n">
        <v>2020</v>
      </c>
      <c r="L16" s="2344" t="n"/>
      <c r="M16" s="2344" t="n"/>
      <c r="N16" s="2355" t="n"/>
      <c r="O16" s="2347" t="n">
        <v>5777</v>
      </c>
      <c r="P16" s="2347" t="n">
        <v>19499</v>
      </c>
      <c r="Q16" s="2344" t="n"/>
      <c r="R16" s="2344" t="n"/>
      <c r="S16" s="2344" t="n"/>
      <c r="T16" s="2344" t="n"/>
      <c r="U16" s="2344" t="n"/>
      <c r="V16" s="2344" t="n"/>
      <c r="W16" s="2344" t="n"/>
      <c r="X16" s="2344" t="n"/>
      <c r="Y16" s="2353" t="n"/>
      <c r="Z16" s="2344" t="n"/>
      <c r="AA16" s="2344" t="n"/>
      <c r="AB16" s="2344" t="n"/>
      <c r="AC16" s="2348" t="n">
        <v>133689</v>
      </c>
      <c r="AD16" s="2344" t="n"/>
      <c r="AE16" s="2344" t="n"/>
      <c r="AF16" s="2348" t="n">
        <v>116321</v>
      </c>
      <c r="AG16" s="2344" t="n"/>
      <c r="AH16" s="2349" t="n">
        <v>275286</v>
      </c>
      <c r="AI16" s="2349" t="n">
        <v>88705</v>
      </c>
      <c r="AJ16" s="2349" t="n">
        <v>363991</v>
      </c>
      <c r="AK16" s="2354" t="n"/>
      <c r="AL16" s="2344" t="n"/>
      <c r="AM16" s="2352" t="inlineStr">
        <is>
          <t>Income not available; expense-only from DYCO CAM history; CAM in contract total</t>
        </is>
      </c>
    </row>
    <row r="17" ht="18" customHeight="1" s="1449">
      <c r="A17" s="2344" t="inlineStr">
        <is>
          <t>P006</t>
        </is>
      </c>
      <c r="B17" s="2338" t="n">
        <v>210</v>
      </c>
      <c r="C17" s="2345" t="inlineStr">
        <is>
          <t>R0062937</t>
        </is>
      </c>
      <c r="D17" s="2344" t="inlineStr">
        <is>
          <t>8670 Wolff Ct (Sheridan Park 8)</t>
        </is>
      </c>
      <c r="E17" s="2344" t="inlineStr">
        <is>
          <t>Westminster</t>
        </is>
      </c>
      <c r="F17" s="2344" t="inlineStr">
        <is>
          <t>CO</t>
        </is>
      </c>
      <c r="G17" s="2344" t="inlineStr">
        <is>
          <t>Office/Flex</t>
        </is>
      </c>
      <c r="H17" s="2344" t="inlineStr">
        <is>
          <t>Multi-tenant</t>
        </is>
      </c>
      <c r="I17" s="2346" t="n"/>
      <c r="J17" s="2346" t="n">
        <v>37078</v>
      </c>
      <c r="K17" s="2346" t="n">
        <v>2021</v>
      </c>
      <c r="L17" s="2344" t="n"/>
      <c r="M17" s="2344" t="n"/>
      <c r="N17" s="2355" t="n"/>
      <c r="O17" s="2347" t="n">
        <v>6826</v>
      </c>
      <c r="P17" s="2347" t="n">
        <v>18000</v>
      </c>
      <c r="Q17" s="2344" t="n"/>
      <c r="R17" s="2344" t="n"/>
      <c r="S17" s="2344" t="n"/>
      <c r="T17" s="2344" t="n"/>
      <c r="U17" s="2344" t="n"/>
      <c r="V17" s="2344" t="n"/>
      <c r="W17" s="2344" t="n"/>
      <c r="X17" s="2344" t="n"/>
      <c r="Y17" s="2353" t="n"/>
      <c r="Z17" s="2344" t="n"/>
      <c r="AA17" s="2344" t="n"/>
      <c r="AB17" s="2344" t="n"/>
      <c r="AC17" s="2348" t="n">
        <v>104519</v>
      </c>
      <c r="AD17" s="2344" t="n"/>
      <c r="AE17" s="2344" t="n"/>
      <c r="AF17" s="2348" t="n">
        <v>108857</v>
      </c>
      <c r="AG17" s="2344" t="n"/>
      <c r="AH17" s="2349" t="n">
        <v>238202</v>
      </c>
      <c r="AI17" s="2349" t="n">
        <v>84200</v>
      </c>
      <c r="AJ17" s="2349" t="n">
        <v>322402</v>
      </c>
      <c r="AK17" s="2354" t="n"/>
      <c r="AL17" s="2344" t="n"/>
      <c r="AM17" s="2352" t="inlineStr">
        <is>
          <t>Income not available; expense-only from DYCO CAM history</t>
        </is>
      </c>
    </row>
    <row r="18" ht="18" customHeight="1" s="1449">
      <c r="A18" s="2344" t="inlineStr">
        <is>
          <t>P006</t>
        </is>
      </c>
      <c r="B18" s="2338" t="n">
        <v>210</v>
      </c>
      <c r="C18" s="2345" t="inlineStr">
        <is>
          <t>R0062937</t>
        </is>
      </c>
      <c r="D18" s="2344" t="inlineStr">
        <is>
          <t>8670 Wolff Ct (Sheridan Park 8)</t>
        </is>
      </c>
      <c r="E18" s="2344" t="inlineStr">
        <is>
          <t>Westminster</t>
        </is>
      </c>
      <c r="F18" s="2344" t="inlineStr">
        <is>
          <t>CO</t>
        </is>
      </c>
      <c r="G18" s="2344" t="inlineStr">
        <is>
          <t>Office/Flex</t>
        </is>
      </c>
      <c r="H18" s="2344" t="inlineStr">
        <is>
          <t>Multi-tenant</t>
        </is>
      </c>
      <c r="I18" s="2346" t="n"/>
      <c r="J18" s="2346" t="n">
        <v>37078</v>
      </c>
      <c r="K18" s="2346" t="n">
        <v>2022</v>
      </c>
      <c r="L18" s="2344" t="n"/>
      <c r="M18" s="2344" t="n"/>
      <c r="N18" s="2355" t="n"/>
      <c r="O18" s="2347" t="n">
        <v>7867</v>
      </c>
      <c r="P18" s="2347" t="n">
        <v>20952</v>
      </c>
      <c r="Q18" s="2344" t="n"/>
      <c r="R18" s="2344" t="n"/>
      <c r="S18" s="2344" t="n"/>
      <c r="T18" s="2344" t="n"/>
      <c r="U18" s="2344" t="n"/>
      <c r="V18" s="2344" t="n"/>
      <c r="W18" s="2344" t="n"/>
      <c r="X18" s="2344" t="n"/>
      <c r="Y18" s="2353" t="n"/>
      <c r="Z18" s="2344" t="n"/>
      <c r="AA18" s="2344" t="n"/>
      <c r="AB18" s="2344" t="n"/>
      <c r="AC18" s="2348" t="n">
        <v>112201</v>
      </c>
      <c r="AD18" s="2344" t="n"/>
      <c r="AE18" s="2344" t="n"/>
      <c r="AF18" s="2348" t="n">
        <v>111968</v>
      </c>
      <c r="AG18" s="2344" t="n"/>
      <c r="AH18" s="2349" t="n">
        <v>252988</v>
      </c>
      <c r="AI18" s="2349" t="n">
        <v>137142</v>
      </c>
      <c r="AJ18" s="2349" t="n">
        <v>390130</v>
      </c>
      <c r="AK18" s="2354" t="n"/>
      <c r="AL18" s="2344" t="n"/>
      <c r="AM18" s="2352" t="inlineStr">
        <is>
          <t>Income not available; expense-only from DYCO CAM history; RE Tax jumped from $84k to $137k (reval year)</t>
        </is>
      </c>
    </row>
    <row r="19" ht="18" customHeight="1" s="1449">
      <c r="A19" s="2344" t="inlineStr">
        <is>
          <t>P006</t>
        </is>
      </c>
      <c r="B19" s="2338" t="n">
        <v>210</v>
      </c>
      <c r="C19" s="2345" t="inlineStr">
        <is>
          <t>R0062937</t>
        </is>
      </c>
      <c r="D19" s="2344" t="inlineStr">
        <is>
          <t>8670 Wolff Ct (Sheridan Park 8)</t>
        </is>
      </c>
      <c r="E19" s="2344" t="inlineStr">
        <is>
          <t>Westminster</t>
        </is>
      </c>
      <c r="F19" s="2344" t="inlineStr">
        <is>
          <t>CO</t>
        </is>
      </c>
      <c r="G19" s="2344" t="inlineStr">
        <is>
          <t>Office/Flex</t>
        </is>
      </c>
      <c r="H19" s="2344" t="inlineStr">
        <is>
          <t>Multi-tenant</t>
        </is>
      </c>
      <c r="I19" s="2346" t="n"/>
      <c r="J19" s="2346" t="n">
        <v>37078</v>
      </c>
      <c r="K19" s="2346" t="n">
        <v>2023</v>
      </c>
      <c r="L19" s="2344" t="n"/>
      <c r="M19" s="2344" t="n"/>
      <c r="N19" s="2355" t="n"/>
      <c r="O19" s="2347" t="n">
        <v>8654</v>
      </c>
      <c r="P19" s="2347" t="n">
        <v>18000</v>
      </c>
      <c r="Q19" s="2344" t="n"/>
      <c r="R19" s="2344" t="n"/>
      <c r="S19" s="2344" t="n"/>
      <c r="T19" s="2344" t="n"/>
      <c r="U19" s="2344" t="n"/>
      <c r="V19" s="2344" t="n"/>
      <c r="W19" s="2344" t="n"/>
      <c r="X19" s="2344" t="n"/>
      <c r="Y19" s="2353" t="n"/>
      <c r="Z19" s="2344" t="n"/>
      <c r="AA19" s="2344" t="n"/>
      <c r="AB19" s="2344" t="n"/>
      <c r="AC19" s="2348" t="n">
        <v>116495</v>
      </c>
      <c r="AD19" s="2344" t="n"/>
      <c r="AE19" s="2344" t="n"/>
      <c r="AF19" s="2348" t="n">
        <v>111903</v>
      </c>
      <c r="AG19" s="2344" t="n"/>
      <c r="AH19" s="2349" t="n">
        <v>255052</v>
      </c>
      <c r="AI19" s="2349" t="n">
        <v>131777</v>
      </c>
      <c r="AJ19" s="2349" t="n">
        <v>386829</v>
      </c>
      <c r="AK19" s="2354" t="n"/>
      <c r="AL19" s="2344" t="n"/>
      <c r="AM19" s="2352" t="inlineStr">
        <is>
          <t>Income not available; 2023 YTD annualized per DYCO</t>
        </is>
      </c>
    </row>
    <row r="20" ht="18" customHeight="1" s="1449">
      <c r="A20" s="2344" t="inlineStr">
        <is>
          <t>P006</t>
        </is>
      </c>
      <c r="B20" s="2338" t="n">
        <v>210</v>
      </c>
      <c r="C20" s="2345" t="inlineStr">
        <is>
          <t>R0062937</t>
        </is>
      </c>
      <c r="D20" s="2344" t="inlineStr">
        <is>
          <t>8670 Wolff Ct (Sheridan Park 8)</t>
        </is>
      </c>
      <c r="E20" s="2344" t="inlineStr">
        <is>
          <t>Westminster</t>
        </is>
      </c>
      <c r="F20" s="2344" t="inlineStr">
        <is>
          <t>CO</t>
        </is>
      </c>
      <c r="G20" s="2344" t="inlineStr">
        <is>
          <t>Office/Flex</t>
        </is>
      </c>
      <c r="H20" s="2344" t="inlineStr">
        <is>
          <t>Multi-tenant</t>
        </is>
      </c>
      <c r="I20" s="2346" t="n"/>
      <c r="J20" s="2346" t="n">
        <v>37078</v>
      </c>
      <c r="K20" s="2346" t="n">
        <v>2024</v>
      </c>
      <c r="L20" s="2344" t="n"/>
      <c r="M20" s="2344" t="n"/>
      <c r="N20" s="2355" t="n"/>
      <c r="O20" s="2347" t="n">
        <v>8654</v>
      </c>
      <c r="P20" s="2347" t="n">
        <v>21600</v>
      </c>
      <c r="Q20" s="2344" t="n"/>
      <c r="R20" s="2344" t="n"/>
      <c r="S20" s="2344" t="n"/>
      <c r="T20" s="2344" t="n"/>
      <c r="U20" s="2344" t="n"/>
      <c r="V20" s="2344" t="n"/>
      <c r="W20" s="2344" t="n"/>
      <c r="X20" s="2344" t="n"/>
      <c r="Y20" s="2353" t="n"/>
      <c r="Z20" s="2344" t="n"/>
      <c r="AA20" s="2344" t="n"/>
      <c r="AB20" s="2344" t="n"/>
      <c r="AC20" s="2348" t="n">
        <v>139794</v>
      </c>
      <c r="AD20" s="2344" t="n"/>
      <c r="AE20" s="2344" t="n"/>
      <c r="AF20" s="2348" t="n">
        <v>134284</v>
      </c>
      <c r="AG20" s="2344" t="n"/>
      <c r="AH20" s="2349" t="n">
        <v>304332</v>
      </c>
      <c r="AI20" s="2349" t="n">
        <v>131777</v>
      </c>
      <c r="AJ20" s="2349" t="n">
        <v>436109</v>
      </c>
      <c r="AK20" s="2354" t="n"/>
      <c r="AL20" s="2344" t="n"/>
      <c r="AM20" s="2352" t="inlineStr">
        <is>
          <t>Income not available; 2024 actuals per DYCO CAM history</t>
        </is>
      </c>
    </row>
    <row r="21" ht="18" customHeight="1" s="1449">
      <c r="A21" s="2344" t="inlineStr">
        <is>
          <t>P007</t>
        </is>
      </c>
      <c r="B21" s="2338" t="n">
        <v>341</v>
      </c>
      <c r="C21" s="2345" t="inlineStr">
        <is>
          <t>R0062944</t>
        </is>
      </c>
      <c r="D21" s="2344" t="inlineStr">
        <is>
          <t>8787 (medical office complex)</t>
        </is>
      </c>
      <c r="E21" s="2344" t="inlineStr">
        <is>
          <t>Adams County</t>
        </is>
      </c>
      <c r="F21" s="2344" t="inlineStr">
        <is>
          <t>CO</t>
        </is>
      </c>
      <c r="G21" s="2344" t="inlineStr">
        <is>
          <t>Medical Office</t>
        </is>
      </c>
      <c r="H21" s="2344" t="inlineStr">
        <is>
          <t>Multi-tenant</t>
        </is>
      </c>
      <c r="I21" s="2346" t="n"/>
      <c r="J21" s="2346" t="n">
        <v>19430</v>
      </c>
      <c r="K21" s="2346" t="n">
        <v>2023</v>
      </c>
      <c r="L21" s="2344" t="n"/>
      <c r="M21" s="2344" t="n"/>
      <c r="N21" s="2351" t="n">
        <v>393809</v>
      </c>
      <c r="O21" s="2347" t="n">
        <v>9485</v>
      </c>
      <c r="P21" s="2347" t="n">
        <v>10200</v>
      </c>
      <c r="Q21" s="2344" t="n"/>
      <c r="R21" s="2344" t="n"/>
      <c r="S21" s="2344" t="n"/>
      <c r="T21" s="2344" t="n"/>
      <c r="U21" s="2347" t="n">
        <v>21615</v>
      </c>
      <c r="V21" s="2344" t="n"/>
      <c r="W21" s="2344" t="n"/>
      <c r="X21" s="2347" t="n">
        <v>26521</v>
      </c>
      <c r="Y21" s="2348" t="n">
        <v>26521</v>
      </c>
      <c r="Z21" s="2347" t="n">
        <v>2032</v>
      </c>
      <c r="AA21" s="2347" t="n">
        <v>11685</v>
      </c>
      <c r="AB21" s="2347" t="n">
        <v>6338</v>
      </c>
      <c r="AC21" s="2348" t="n">
        <v>20055</v>
      </c>
      <c r="AD21" s="2347" t="n">
        <v>7660</v>
      </c>
      <c r="AE21" s="2347" t="n">
        <v>37676</v>
      </c>
      <c r="AF21" s="2348" t="n">
        <v>45336</v>
      </c>
      <c r="AG21" s="2347" t="n">
        <v>18144</v>
      </c>
      <c r="AH21" s="2349" t="n">
        <v>151355</v>
      </c>
      <c r="AI21" s="2349" t="n">
        <v>53397</v>
      </c>
      <c r="AJ21" s="2349" t="n">
        <v>204752</v>
      </c>
      <c r="AK21" s="2349" t="n">
        <v>189057</v>
      </c>
      <c r="AL21" s="2344" t="n"/>
      <c r="AM21" s="2352" t="inlineStr">
        <is>
          <t>HVAC maint $21,615 included in R&amp;M; janitorial $16,418 in Other; professional svcs $1,726 in Other; 2023 actuals</t>
        </is>
      </c>
    </row>
    <row r="22" ht="18" customHeight="1" s="1449">
      <c r="A22" s="2344" t="inlineStr">
        <is>
          <t>P007</t>
        </is>
      </c>
      <c r="B22" s="2338" t="n">
        <v>341</v>
      </c>
      <c r="C22" s="2345" t="inlineStr">
        <is>
          <t>R0062944</t>
        </is>
      </c>
      <c r="D22" s="2344" t="inlineStr">
        <is>
          <t>8787 (medical office complex)</t>
        </is>
      </c>
      <c r="E22" s="2344" t="inlineStr">
        <is>
          <t>Adams County</t>
        </is>
      </c>
      <c r="F22" s="2344" t="inlineStr">
        <is>
          <t>CO</t>
        </is>
      </c>
      <c r="G22" s="2344" t="inlineStr">
        <is>
          <t>Medical Office</t>
        </is>
      </c>
      <c r="H22" s="2344" t="inlineStr">
        <is>
          <t>Multi-tenant</t>
        </is>
      </c>
      <c r="I22" s="2346" t="n"/>
      <c r="J22" s="2346" t="n">
        <v>19430</v>
      </c>
      <c r="K22" s="2346" t="n">
        <v>2024</v>
      </c>
      <c r="L22" s="2344" t="n"/>
      <c r="M22" s="2344" t="n"/>
      <c r="N22" s="2351" t="n">
        <v>390497</v>
      </c>
      <c r="O22" s="2347" t="n">
        <v>13960</v>
      </c>
      <c r="P22" s="2347" t="n">
        <v>38622</v>
      </c>
      <c r="Q22" s="2344" t="n"/>
      <c r="R22" s="2344" t="n"/>
      <c r="S22" s="2344" t="n"/>
      <c r="T22" s="2344" t="n"/>
      <c r="U22" s="2347" t="n">
        <v>13067</v>
      </c>
      <c r="V22" s="2344" t="n"/>
      <c r="W22" s="2344" t="n"/>
      <c r="X22" s="2347" t="n">
        <v>25835</v>
      </c>
      <c r="Y22" s="2348" t="n">
        <v>25835</v>
      </c>
      <c r="Z22" s="2347" t="n">
        <v>1958</v>
      </c>
      <c r="AA22" s="2347" t="n">
        <v>15696</v>
      </c>
      <c r="AB22" s="2347" t="n">
        <v>5885</v>
      </c>
      <c r="AC22" s="2348" t="n">
        <v>23539</v>
      </c>
      <c r="AD22" s="2347" t="n">
        <v>6421</v>
      </c>
      <c r="AE22" s="2347" t="n">
        <v>33074</v>
      </c>
      <c r="AF22" s="2348" t="n">
        <v>39495</v>
      </c>
      <c r="AG22" s="2347" t="n">
        <v>16022</v>
      </c>
      <c r="AH22" s="2349" t="n">
        <v>170540</v>
      </c>
      <c r="AI22" s="2349" t="n">
        <v>63200</v>
      </c>
      <c r="AJ22" s="2349" t="n">
        <v>233740</v>
      </c>
      <c r="AK22" s="2349" t="n">
        <v>156757</v>
      </c>
      <c r="AL22" s="2344" t="n"/>
      <c r="AM22" s="2352" t="inlineStr">
        <is>
          <t>Mgmt = CAM portion $10,600 + non-CAM $28,022; janitorial $16,022 in Other; HVAC $13,067 in R&amp;M; 2024 actuals</t>
        </is>
      </c>
    </row>
    <row r="23" ht="18" customHeight="1" s="1449">
      <c r="A23" s="2344" t="inlineStr">
        <is>
          <t>P008</t>
        </is>
      </c>
      <c r="B23" s="2338" t="n">
        <v>210</v>
      </c>
      <c r="C23" s="2345" t="inlineStr">
        <is>
          <t>R0070622</t>
        </is>
      </c>
      <c r="D23" s="2344" t="inlineStr">
        <is>
          <t>460-550 E. 76th Ave (WPC Corporate)</t>
        </is>
      </c>
      <c r="E23" s="2344" t="inlineStr">
        <is>
          <t>Adams County</t>
        </is>
      </c>
      <c r="F23" s="2344" t="inlineStr">
        <is>
          <t>CO</t>
        </is>
      </c>
      <c r="G23" s="2344" t="inlineStr">
        <is>
          <t>Industrial</t>
        </is>
      </c>
      <c r="H23" s="2344" t="inlineStr">
        <is>
          <t>Distribution/Flex Multi-tenant</t>
        </is>
      </c>
      <c r="I23" s="2346" t="n"/>
      <c r="J23" s="2346" t="n">
        <v>330935</v>
      </c>
      <c r="K23" s="2346" t="n">
        <v>2024</v>
      </c>
      <c r="L23" s="2344" t="n"/>
      <c r="M23" s="2344" t="n"/>
      <c r="N23" s="2351" t="n">
        <v>2750538</v>
      </c>
      <c r="O23" s="2344" t="n"/>
      <c r="P23" s="2344" t="n"/>
      <c r="Q23" s="2344" t="n"/>
      <c r="R23" s="2344" t="n"/>
      <c r="S23" s="2344" t="n"/>
      <c r="T23" s="2344" t="n"/>
      <c r="U23" s="2344" t="n"/>
      <c r="V23" s="2344" t="n"/>
      <c r="W23" s="2344" t="n"/>
      <c r="X23" s="2344" t="n"/>
      <c r="Y23" s="2353" t="n"/>
      <c r="Z23" s="2344" t="n"/>
      <c r="AA23" s="2344" t="n"/>
      <c r="AB23" s="2344" t="n"/>
      <c r="AC23" s="2353" t="n"/>
      <c r="AD23" s="2344" t="n"/>
      <c r="AE23" s="2344" t="n"/>
      <c r="AF23" s="2353" t="n"/>
      <c r="AG23" s="2344" t="n"/>
      <c r="AH23" s="2354" t="n"/>
      <c r="AI23" s="2354" t="n"/>
      <c r="AJ23" s="2349" t="n">
        <v>1338440</v>
      </c>
      <c r="AK23" s="2349" t="n">
        <v>1412098</v>
      </c>
      <c r="AL23" s="2344" t="n"/>
      <c r="AM23" s="2352" t="inlineStr">
        <is>
          <t>2024 only; total OPX derived (EGI - NOI); limited line-item detail from scanned actuals; large multi-tenant industrial complex</t>
        </is>
      </c>
    </row>
    <row r="24" ht="18" customHeight="1" s="1449">
      <c r="A24" s="2344" t="inlineStr">
        <is>
          <t>P009</t>
        </is>
      </c>
      <c r="B24" s="2338" t="n">
        <v>407</v>
      </c>
      <c r="C24" s="2345" t="inlineStr">
        <is>
          <t>R0075212</t>
        </is>
      </c>
      <c r="D24" s="2344" t="inlineStr">
        <is>
          <t>10500 Havana Court</t>
        </is>
      </c>
      <c r="E24" s="2344" t="inlineStr">
        <is>
          <t>Adams County</t>
        </is>
      </c>
      <c r="F24" s="2344" t="inlineStr">
        <is>
          <t>CO</t>
        </is>
      </c>
      <c r="G24" s="2344" t="inlineStr">
        <is>
          <t>Industrial</t>
        </is>
      </c>
      <c r="H24" s="2344" t="inlineStr">
        <is>
          <t>NNN Single-tenant</t>
        </is>
      </c>
      <c r="I24" s="2346" t="n"/>
      <c r="J24" s="2346" t="n"/>
      <c r="K24" s="2346" t="n">
        <v>2023</v>
      </c>
      <c r="L24" s="2344" t="n"/>
      <c r="M24" s="2344" t="n"/>
      <c r="N24" s="2351" t="n">
        <v>332759</v>
      </c>
      <c r="O24" s="2347" t="n">
        <v>22784</v>
      </c>
      <c r="P24" s="2347" t="n">
        <v>4000</v>
      </c>
      <c r="Q24" s="2344" t="n"/>
      <c r="R24" s="2344" t="n"/>
      <c r="S24" s="2344" t="n"/>
      <c r="T24" s="2344" t="n"/>
      <c r="U24" s="2344" t="n"/>
      <c r="V24" s="2344" t="n"/>
      <c r="W24" s="2344" t="n"/>
      <c r="X24" s="2347" t="n">
        <v>12804</v>
      </c>
      <c r="Y24" s="2348" t="n">
        <v>12804</v>
      </c>
      <c r="Z24" s="2344" t="n"/>
      <c r="AA24" s="2347" t="n">
        <v>6910</v>
      </c>
      <c r="AB24" s="2347" t="n">
        <v>1800</v>
      </c>
      <c r="AC24" s="2348" t="n">
        <v>8710</v>
      </c>
      <c r="AD24" s="2347" t="n">
        <v>2209</v>
      </c>
      <c r="AE24" s="2347" t="n">
        <v>1956</v>
      </c>
      <c r="AF24" s="2348" t="n">
        <v>4165</v>
      </c>
      <c r="AG24" s="2347" t="n">
        <v>8397</v>
      </c>
      <c r="AH24" s="2349" t="n">
        <v>127005</v>
      </c>
      <c r="AI24" s="2349" t="n">
        <v>60552</v>
      </c>
      <c r="AJ24" s="2349" t="n">
        <v>187557</v>
      </c>
      <c r="AK24" s="2349" t="n">
        <v>265550</v>
      </c>
      <c r="AL24" s="2344" t="n"/>
      <c r="AM24" s="2352" t="inlineStr">
        <is>
          <t>NNN; P&amp;L excludes depreciation ($68,209) and mortgage interest ($60,714) from NOI calc; acctg/legal/bank/dues in Other; 2023 actuals</t>
        </is>
      </c>
    </row>
    <row r="25" ht="18" customHeight="1" s="1449">
      <c r="A25" s="2344" t="inlineStr">
        <is>
          <t>P009</t>
        </is>
      </c>
      <c r="B25" s="2338" t="n">
        <v>407</v>
      </c>
      <c r="C25" s="2345" t="inlineStr">
        <is>
          <t>R0075212</t>
        </is>
      </c>
      <c r="D25" s="2344" t="inlineStr">
        <is>
          <t>10500 Havana Court</t>
        </is>
      </c>
      <c r="E25" s="2344" t="inlineStr">
        <is>
          <t>Adams County</t>
        </is>
      </c>
      <c r="F25" s="2344" t="inlineStr">
        <is>
          <t>CO</t>
        </is>
      </c>
      <c r="G25" s="2344" t="inlineStr">
        <is>
          <t>Industrial</t>
        </is>
      </c>
      <c r="H25" s="2344" t="inlineStr">
        <is>
          <t>NNN Single-tenant</t>
        </is>
      </c>
      <c r="I25" s="2346" t="n"/>
      <c r="J25" s="2346" t="n"/>
      <c r="K25" s="2346" t="n">
        <v>2024</v>
      </c>
      <c r="L25" s="2344" t="n"/>
      <c r="M25" s="2344" t="n"/>
      <c r="N25" s="2351" t="n">
        <v>359583</v>
      </c>
      <c r="O25" s="2347" t="n">
        <v>27489</v>
      </c>
      <c r="P25" s="2347" t="n">
        <v>6000</v>
      </c>
      <c r="Q25" s="2344" t="n"/>
      <c r="R25" s="2344" t="n"/>
      <c r="S25" s="2344" t="n"/>
      <c r="T25" s="2344" t="n"/>
      <c r="U25" s="2344" t="n"/>
      <c r="V25" s="2344" t="n"/>
      <c r="W25" s="2344" t="n"/>
      <c r="X25" s="2347" t="n">
        <v>9601</v>
      </c>
      <c r="Y25" s="2348" t="n">
        <v>9601</v>
      </c>
      <c r="Z25" s="2344" t="n"/>
      <c r="AA25" s="2347" t="n">
        <v>3045</v>
      </c>
      <c r="AB25" s="2347" t="n">
        <v>1960</v>
      </c>
      <c r="AC25" s="2348" t="n">
        <v>5005</v>
      </c>
      <c r="AD25" s="2347" t="n">
        <v>3555</v>
      </c>
      <c r="AE25" s="2347" t="n">
        <v>1567</v>
      </c>
      <c r="AF25" s="2348" t="n">
        <v>5122</v>
      </c>
      <c r="AG25" s="2347" t="n">
        <v>10035</v>
      </c>
      <c r="AH25" s="2349" t="n">
        <v>69350</v>
      </c>
      <c r="AI25" s="2349" t="n">
        <v>101114</v>
      </c>
      <c r="AJ25" s="2349" t="n">
        <v>170464</v>
      </c>
      <c r="AK25" s="2349" t="n">
        <v>290993</v>
      </c>
      <c r="AL25" s="2344" t="n"/>
      <c r="AM25" s="2352" t="inlineStr">
        <is>
          <t>NNN; depreciation ($52,109) and mortgage interest ($58,574) excluded from NOI; Other includes acctg, dues, inspections; 2024 actuals</t>
        </is>
      </c>
    </row>
    <row r="26" ht="18" customHeight="1" s="1449">
      <c r="A26" s="2344" t="inlineStr">
        <is>
          <t>P010</t>
        </is>
      </c>
      <c r="B26" s="2338" t="n">
        <v>210</v>
      </c>
      <c r="C26" s="2345" t="inlineStr">
        <is>
          <t>R0098225</t>
        </is>
      </c>
      <c r="D26" s="2344" t="inlineStr">
        <is>
          <t>Broadway Business Center (7040B Broadway)</t>
        </is>
      </c>
      <c r="E26" s="2344" t="inlineStr">
        <is>
          <t>Denver</t>
        </is>
      </c>
      <c r="F26" s="2344" t="inlineStr">
        <is>
          <t>CO</t>
        </is>
      </c>
      <c r="G26" s="2344" t="inlineStr">
        <is>
          <t>Flex/Industrial</t>
        </is>
      </c>
      <c r="H26" s="2344" t="inlineStr">
        <is>
          <t>Multi-tenant CAM</t>
        </is>
      </c>
      <c r="I26" s="2346" t="n"/>
      <c r="J26" s="2346" t="n">
        <v>105000</v>
      </c>
      <c r="K26" s="2346" t="n">
        <v>2023</v>
      </c>
      <c r="L26" s="2347" t="n">
        <v>737984</v>
      </c>
      <c r="M26" s="2347" t="n">
        <v>508740</v>
      </c>
      <c r="N26" s="2351" t="n">
        <v>1246724</v>
      </c>
      <c r="O26" s="2347" t="n">
        <v>48903</v>
      </c>
      <c r="P26" s="2347" t="n">
        <v>104311</v>
      </c>
      <c r="Q26" s="2344" t="n"/>
      <c r="R26" s="2344" t="n"/>
      <c r="S26" s="2344" t="n"/>
      <c r="T26" s="2344" t="n"/>
      <c r="U26" s="2344" t="n"/>
      <c r="V26" s="2344" t="n"/>
      <c r="W26" s="2344" t="n"/>
      <c r="X26" s="2347" t="n">
        <v>66445</v>
      </c>
      <c r="Y26" s="2348" t="n">
        <v>66445</v>
      </c>
      <c r="Z26" s="2347" t="n">
        <v>49021</v>
      </c>
      <c r="AA26" s="2347" t="n">
        <v>22802</v>
      </c>
      <c r="AB26" s="2347" t="n">
        <v>58641</v>
      </c>
      <c r="AC26" s="2348" t="n">
        <v>130464</v>
      </c>
      <c r="AD26" s="2347" t="n">
        <v>53517</v>
      </c>
      <c r="AE26" s="2344" t="n"/>
      <c r="AF26" s="2348" t="n">
        <v>75845</v>
      </c>
      <c r="AG26" s="2344" t="n"/>
      <c r="AH26" s="2349" t="n">
        <v>484485</v>
      </c>
      <c r="AI26" s="2349" t="n">
        <v>229515</v>
      </c>
      <c r="AJ26" s="2349" t="n">
        <v>714000</v>
      </c>
      <c r="AK26" s="2349" t="n">
        <v>533000</v>
      </c>
      <c r="AL26" s="2344" t="n"/>
      <c r="AM26" s="2352" t="inlineStr">
        <is>
          <t>CAM recovery structure; mgmt = prop mgmt fee $50,590 + recoverable mgmt $53,721; snow in contract; 2023 actuals; NOI estimated</t>
        </is>
      </c>
    </row>
    <row r="27" ht="18" customHeight="1" s="1449">
      <c r="A27" s="2344" t="inlineStr">
        <is>
          <t>P010</t>
        </is>
      </c>
      <c r="B27" s="2338" t="n">
        <v>210</v>
      </c>
      <c r="C27" s="2345" t="inlineStr">
        <is>
          <t>R0098225</t>
        </is>
      </c>
      <c r="D27" s="2344" t="inlineStr">
        <is>
          <t>Broadway Business Center (7040B Broadway)</t>
        </is>
      </c>
      <c r="E27" s="2344" t="inlineStr">
        <is>
          <t>Denver</t>
        </is>
      </c>
      <c r="F27" s="2344" t="inlineStr">
        <is>
          <t>CO</t>
        </is>
      </c>
      <c r="G27" s="2344" t="inlineStr">
        <is>
          <t>Flex/Industrial</t>
        </is>
      </c>
      <c r="H27" s="2344" t="inlineStr">
        <is>
          <t>Multi-tenant CAM</t>
        </is>
      </c>
      <c r="I27" s="2346" t="n"/>
      <c r="J27" s="2346" t="n">
        <v>105000</v>
      </c>
      <c r="K27" s="2346" t="n">
        <v>2024</v>
      </c>
      <c r="L27" s="2347" t="n">
        <v>902782</v>
      </c>
      <c r="M27" s="2347" t="n">
        <v>784277</v>
      </c>
      <c r="N27" s="2351" t="n">
        <v>1687059</v>
      </c>
      <c r="O27" s="2347" t="n">
        <v>50508</v>
      </c>
      <c r="P27" s="2347" t="n">
        <v>123399</v>
      </c>
      <c r="Q27" s="2344" t="n"/>
      <c r="R27" s="2344" t="n"/>
      <c r="S27" s="2344" t="n"/>
      <c r="T27" s="2344" t="n"/>
      <c r="U27" s="2344" t="n"/>
      <c r="V27" s="2344" t="n"/>
      <c r="W27" s="2344" t="n"/>
      <c r="X27" s="2347" t="n">
        <v>75128</v>
      </c>
      <c r="Y27" s="2348" t="n">
        <v>75128</v>
      </c>
      <c r="Z27" s="2347" t="n">
        <v>58998</v>
      </c>
      <c r="AA27" s="2347" t="n">
        <v>18144</v>
      </c>
      <c r="AB27" s="2347" t="n">
        <v>52328</v>
      </c>
      <c r="AC27" s="2348" t="n">
        <v>129470</v>
      </c>
      <c r="AD27" s="2347" t="n">
        <v>87196</v>
      </c>
      <c r="AE27" s="2344" t="n"/>
      <c r="AF27" s="2348" t="n">
        <v>100191</v>
      </c>
      <c r="AG27" s="2344" t="n"/>
      <c r="AH27" s="2349" t="n">
        <v>502686</v>
      </c>
      <c r="AI27" s="2349" t="n">
        <v>544314</v>
      </c>
      <c r="AJ27" s="2349" t="n">
        <v>1047000</v>
      </c>
      <c r="AK27" s="2349" t="n">
        <v>640000</v>
      </c>
      <c r="AL27" s="2344" t="n"/>
      <c r="AM27" s="2352" t="inlineStr">
        <is>
          <t>2024 RE Tax inflated by $111,314 prior-yr catchup; normalized tax ~$425k; parking lot $52,328 in snow/contract; NOI estimated</t>
        </is>
      </c>
    </row>
    <row r="28" ht="18" customHeight="1" s="1449">
      <c r="A28" s="2344" t="inlineStr">
        <is>
          <t>P011</t>
        </is>
      </c>
      <c r="B28" s="2338" t="n">
        <v>210</v>
      </c>
      <c r="C28" s="2345" t="inlineStr">
        <is>
          <t>R0103767</t>
        </is>
      </c>
      <c r="D28" s="2344" t="inlineStr">
        <is>
          <t>5650 Washington St (Washington Business Park)</t>
        </is>
      </c>
      <c r="E28" s="2344" t="inlineStr">
        <is>
          <t>Adams County</t>
        </is>
      </c>
      <c r="F28" s="2344" t="inlineStr">
        <is>
          <t>CO</t>
        </is>
      </c>
      <c r="G28" s="2344" t="inlineStr">
        <is>
          <t>Industrial/Flex</t>
        </is>
      </c>
      <c r="H28" s="2344" t="inlineStr">
        <is>
          <t>Multi-tenant</t>
        </is>
      </c>
      <c r="I28" s="2346" t="n"/>
      <c r="J28" s="2346" t="n"/>
      <c r="K28" s="2346" t="n">
        <v>2022</v>
      </c>
      <c r="L28" s="2344" t="n"/>
      <c r="M28" s="2344" t="n"/>
      <c r="N28" s="2351" t="n">
        <v>502006</v>
      </c>
      <c r="O28" s="2347" t="n">
        <v>16872</v>
      </c>
      <c r="P28" s="2347" t="n">
        <v>54025</v>
      </c>
      <c r="Q28" s="2344" t="n"/>
      <c r="R28" s="2344" t="n"/>
      <c r="S28" s="2344" t="n"/>
      <c r="T28" s="2344" t="n"/>
      <c r="U28" s="2344" t="n"/>
      <c r="V28" s="2344" t="n"/>
      <c r="W28" s="2344" t="n"/>
      <c r="X28" s="2347" t="n">
        <v>71762</v>
      </c>
      <c r="Y28" s="2348" t="n">
        <v>71762</v>
      </c>
      <c r="Z28" s="2344" t="n"/>
      <c r="AA28" s="2347" t="n">
        <v>6528</v>
      </c>
      <c r="AB28" s="2344" t="n"/>
      <c r="AC28" s="2348" t="n">
        <v>6528</v>
      </c>
      <c r="AD28" s="2347" t="n">
        <v>4858</v>
      </c>
      <c r="AE28" s="2347" t="n">
        <v>525</v>
      </c>
      <c r="AF28" s="2348" t="n">
        <v>5383</v>
      </c>
      <c r="AG28" s="2344" t="n"/>
      <c r="AH28" s="2349" t="n">
        <v>209625</v>
      </c>
      <c r="AI28" s="2349" t="n">
        <v>64792</v>
      </c>
      <c r="AJ28" s="2349" t="n">
        <v>274417</v>
      </c>
      <c r="AK28" s="2349" t="n">
        <v>227649</v>
      </c>
      <c r="AL28" s="2344" t="n"/>
      <c r="AM28" s="2352" t="inlineStr">
        <is>
          <t>Mgmt fee $54,025 (2022 only ? not in later years); R&amp;M = bldg maint + repairs + HVAC + plumbing; water/gas from operating stmt</t>
        </is>
      </c>
    </row>
    <row r="29" ht="18" customHeight="1" s="1449">
      <c r="A29" s="2344" t="inlineStr">
        <is>
          <t>P011</t>
        </is>
      </c>
      <c r="B29" s="2338" t="n">
        <v>210</v>
      </c>
      <c r="C29" s="2345" t="inlineStr">
        <is>
          <t>R0103767</t>
        </is>
      </c>
      <c r="D29" s="2344" t="inlineStr">
        <is>
          <t>5650 Washington St (Washington Business Park)</t>
        </is>
      </c>
      <c r="E29" s="2344" t="inlineStr">
        <is>
          <t>Adams County</t>
        </is>
      </c>
      <c r="F29" s="2344" t="inlineStr">
        <is>
          <t>CO</t>
        </is>
      </c>
      <c r="G29" s="2344" t="inlineStr">
        <is>
          <t>Industrial/Flex</t>
        </is>
      </c>
      <c r="H29" s="2344" t="inlineStr">
        <is>
          <t>Multi-tenant</t>
        </is>
      </c>
      <c r="I29" s="2346" t="n"/>
      <c r="J29" s="2346" t="n"/>
      <c r="K29" s="2346" t="n">
        <v>2023</v>
      </c>
      <c r="L29" s="2344" t="n"/>
      <c r="M29" s="2344" t="n"/>
      <c r="N29" s="2351" t="n">
        <v>532468</v>
      </c>
      <c r="O29" s="2347" t="n">
        <v>15442</v>
      </c>
      <c r="P29" s="2344" t="n"/>
      <c r="Q29" s="2344" t="n"/>
      <c r="R29" s="2344" t="n"/>
      <c r="S29" s="2344" t="n"/>
      <c r="T29" s="2344" t="n"/>
      <c r="U29" s="2344" t="n"/>
      <c r="V29" s="2344" t="n"/>
      <c r="W29" s="2344" t="n"/>
      <c r="X29" s="2347" t="n">
        <v>83293</v>
      </c>
      <c r="Y29" s="2348" t="n">
        <v>83293</v>
      </c>
      <c r="Z29" s="2344" t="n"/>
      <c r="AA29" s="2347" t="n">
        <v>6029</v>
      </c>
      <c r="AB29" s="2344" t="n"/>
      <c r="AC29" s="2348" t="n">
        <v>6029</v>
      </c>
      <c r="AD29" s="2347" t="n">
        <v>6487</v>
      </c>
      <c r="AE29" s="2344" t="n"/>
      <c r="AF29" s="2348" t="n">
        <v>6487</v>
      </c>
      <c r="AG29" s="2344" t="n"/>
      <c r="AH29" s="2349" t="n">
        <v>141304</v>
      </c>
      <c r="AI29" s="2349" t="n">
        <v>63133</v>
      </c>
      <c r="AJ29" s="2349" t="n">
        <v>204437</v>
      </c>
      <c r="AK29" s="2349" t="n">
        <v>328030</v>
      </c>
      <c r="AL29" s="2344" t="n"/>
      <c r="AM29" s="2352" t="inlineStr">
        <is>
          <t>No mgmt fee in 2023; R&amp;M higher due to building repairs; gas negligible per statement; 2023 actuals</t>
        </is>
      </c>
    </row>
    <row r="30" ht="18" customHeight="1" s="1449">
      <c r="A30" s="2344" t="inlineStr">
        <is>
          <t>P011</t>
        </is>
      </c>
      <c r="B30" s="2338" t="n">
        <v>210</v>
      </c>
      <c r="C30" s="2345" t="inlineStr">
        <is>
          <t>R0103767</t>
        </is>
      </c>
      <c r="D30" s="2344" t="inlineStr">
        <is>
          <t>5650 Washington St (Washington Business Park)</t>
        </is>
      </c>
      <c r="E30" s="2344" t="inlineStr">
        <is>
          <t>Adams County</t>
        </is>
      </c>
      <c r="F30" s="2344" t="inlineStr">
        <is>
          <t>CO</t>
        </is>
      </c>
      <c r="G30" s="2344" t="inlineStr">
        <is>
          <t>Industrial/Flex</t>
        </is>
      </c>
      <c r="H30" s="2344" t="inlineStr">
        <is>
          <t>Multi-tenant</t>
        </is>
      </c>
      <c r="I30" s="2346" t="n"/>
      <c r="J30" s="2346" t="n"/>
      <c r="K30" s="2346" t="n">
        <v>2024</v>
      </c>
      <c r="L30" s="2344" t="n"/>
      <c r="M30" s="2344" t="n"/>
      <c r="N30" s="2351" t="n">
        <v>517234</v>
      </c>
      <c r="O30" s="2347" t="n">
        <v>20795</v>
      </c>
      <c r="P30" s="2344" t="n"/>
      <c r="Q30" s="2344" t="n"/>
      <c r="R30" s="2344" t="n"/>
      <c r="S30" s="2344" t="n"/>
      <c r="T30" s="2344" t="n"/>
      <c r="U30" s="2344" t="n"/>
      <c r="V30" s="2344" t="n"/>
      <c r="W30" s="2344" t="n"/>
      <c r="X30" s="2347" t="n">
        <v>32385</v>
      </c>
      <c r="Y30" s="2348" t="n">
        <v>32385</v>
      </c>
      <c r="Z30" s="2344" t="n"/>
      <c r="AA30" s="2347" t="n">
        <v>4814</v>
      </c>
      <c r="AB30" s="2344" t="n"/>
      <c r="AC30" s="2348" t="n">
        <v>4814</v>
      </c>
      <c r="AD30" s="2347" t="n">
        <v>5690</v>
      </c>
      <c r="AE30" s="2344" t="n"/>
      <c r="AF30" s="2348" t="n">
        <v>5690</v>
      </c>
      <c r="AG30" s="2344" t="n"/>
      <c r="AH30" s="2354" t="n"/>
      <c r="AI30" s="2354" t="n"/>
      <c r="AJ30" s="2349" t="n">
        <v>331645</v>
      </c>
      <c r="AK30" s="2349" t="n">
        <v>185389</v>
      </c>
      <c r="AL30" s="2344" t="n"/>
      <c r="AM30" s="2352" t="inlineStr">
        <is>
          <t>RE Tax not separately identified in 2024 column of operating stmt; total OPX from actuals; NOI confirmed</t>
        </is>
      </c>
    </row>
    <row r="31" ht="18" customHeight="1" s="1449">
      <c r="A31" s="2344" t="inlineStr">
        <is>
          <t>P012</t>
        </is>
      </c>
      <c r="B31" s="2338" t="n">
        <v>344</v>
      </c>
      <c r="C31" s="2345" t="inlineStr">
        <is>
          <t>R0124385</t>
        </is>
      </c>
      <c r="D31" s="2344" t="inlineStr">
        <is>
          <t>Unknown (Tax District 555)</t>
        </is>
      </c>
      <c r="E31" s="2344" t="inlineStr">
        <is>
          <t>Adams County</t>
        </is>
      </c>
      <c r="F31" s="2344" t="inlineStr">
        <is>
          <t>CO</t>
        </is>
      </c>
      <c r="G31" s="2344" t="inlineStr">
        <is>
          <t>Office</t>
        </is>
      </c>
      <c r="H31" s="2344" t="inlineStr">
        <is>
          <t>Multi-tenant</t>
        </is>
      </c>
      <c r="I31" s="2346" t="n"/>
      <c r="J31" s="2346" t="n">
        <v>20170</v>
      </c>
      <c r="K31" s="2346" t="n">
        <v>2023</v>
      </c>
      <c r="L31" s="2344" t="n"/>
      <c r="M31" s="2344" t="n"/>
      <c r="N31" s="2351" t="n">
        <v>275740</v>
      </c>
      <c r="O31" s="2344" t="n"/>
      <c r="P31" s="2344" t="n"/>
      <c r="Q31" s="2344" t="n"/>
      <c r="R31" s="2344" t="n"/>
      <c r="S31" s="2344" t="n"/>
      <c r="T31" s="2344" t="n"/>
      <c r="U31" s="2344" t="n"/>
      <c r="V31" s="2344" t="n"/>
      <c r="W31" s="2344" t="n"/>
      <c r="X31" s="2344" t="n"/>
      <c r="Y31" s="2353" t="n"/>
      <c r="Z31" s="2344" t="n"/>
      <c r="AA31" s="2344" t="n"/>
      <c r="AB31" s="2344" t="n"/>
      <c r="AC31" s="2353" t="n"/>
      <c r="AD31" s="2344" t="n"/>
      <c r="AE31" s="2344" t="n"/>
      <c r="AF31" s="2353" t="n"/>
      <c r="AG31" s="2344" t="n"/>
      <c r="AH31" s="2349" t="n">
        <v>108096</v>
      </c>
      <c r="AI31" s="2349" t="n">
        <v>45179</v>
      </c>
      <c r="AJ31" s="2349" t="n">
        <v>153275</v>
      </c>
      <c r="AK31" s="2349" t="n">
        <v>167644</v>
      </c>
      <c r="AL31" s="2344" t="n"/>
      <c r="AM31" s="2352" t="inlineStr">
        <is>
          <t>Limited line-item detail; totals from PROFORMA BASIS FOR OFFER.xlsx actuals section</t>
        </is>
      </c>
    </row>
    <row r="32" ht="18" customHeight="1" s="1449">
      <c r="A32" s="2344" t="inlineStr">
        <is>
          <t>P012</t>
        </is>
      </c>
      <c r="B32" s="2338" t="n">
        <v>344</v>
      </c>
      <c r="C32" s="2345" t="inlineStr">
        <is>
          <t>R0124385</t>
        </is>
      </c>
      <c r="D32" s="2344" t="inlineStr">
        <is>
          <t>Unknown (Tax District 555)</t>
        </is>
      </c>
      <c r="E32" s="2344" t="inlineStr">
        <is>
          <t>Adams County</t>
        </is>
      </c>
      <c r="F32" s="2344" t="inlineStr">
        <is>
          <t>CO</t>
        </is>
      </c>
      <c r="G32" s="2344" t="inlineStr">
        <is>
          <t>Office</t>
        </is>
      </c>
      <c r="H32" s="2344" t="inlineStr">
        <is>
          <t>Multi-tenant</t>
        </is>
      </c>
      <c r="I32" s="2346" t="n"/>
      <c r="J32" s="2346" t="n">
        <v>20170</v>
      </c>
      <c r="K32" s="2346" t="n">
        <v>2024</v>
      </c>
      <c r="L32" s="2344" t="n"/>
      <c r="M32" s="2344" t="n"/>
      <c r="N32" s="2351" t="n">
        <v>298556</v>
      </c>
      <c r="O32" s="2344" t="n"/>
      <c r="P32" s="2344" t="n"/>
      <c r="Q32" s="2344" t="n"/>
      <c r="R32" s="2344" t="n"/>
      <c r="S32" s="2344" t="n"/>
      <c r="T32" s="2344" t="n"/>
      <c r="U32" s="2344" t="n"/>
      <c r="V32" s="2344" t="n"/>
      <c r="W32" s="2344" t="n"/>
      <c r="X32" s="2344" t="n"/>
      <c r="Y32" s="2353" t="n"/>
      <c r="Z32" s="2344" t="n"/>
      <c r="AA32" s="2344" t="n"/>
      <c r="AB32" s="2344" t="n"/>
      <c r="AC32" s="2353" t="n"/>
      <c r="AD32" s="2344" t="n"/>
      <c r="AE32" s="2344" t="n"/>
      <c r="AF32" s="2353" t="n"/>
      <c r="AG32" s="2344" t="n"/>
      <c r="AH32" s="2349" t="n">
        <v>127491</v>
      </c>
      <c r="AI32" s="2349" t="n">
        <v>43698</v>
      </c>
      <c r="AJ32" s="2349" t="n">
        <v>185189</v>
      </c>
      <c r="AK32" s="2349" t="n">
        <v>171065</v>
      </c>
      <c r="AL32" s="2344" t="n"/>
      <c r="AM32" s="2352" t="inlineStr">
        <is>
          <t>CapEx $14,000 non-recurring excluded from OPX; limited line-item detail</t>
        </is>
      </c>
    </row>
    <row r="33" ht="18" customHeight="1" s="1449">
      <c r="A33" s="2344" t="inlineStr">
        <is>
          <t>P013</t>
        </is>
      </c>
      <c r="B33" s="2338" t="n">
        <v>353</v>
      </c>
      <c r="C33" s="2345" t="inlineStr">
        <is>
          <t>R0169176</t>
        </is>
      </c>
      <c r="D33" s="2344" t="inlineStr">
        <is>
          <t>Unknown (new const., opened Oct 2023)</t>
        </is>
      </c>
      <c r="E33" s="2344" t="inlineStr">
        <is>
          <t>Adams County</t>
        </is>
      </c>
      <c r="F33" s="2344" t="inlineStr">
        <is>
          <t>CO</t>
        </is>
      </c>
      <c r="G33" s="2344" t="inlineStr">
        <is>
          <t>Retail/Office</t>
        </is>
      </c>
      <c r="H33" s="2344" t="inlineStr">
        <is>
          <t>Multi-tenant</t>
        </is>
      </c>
      <c r="I33" s="2346" t="n">
        <v>2023</v>
      </c>
      <c r="J33" s="2346" t="n"/>
      <c r="K33" s="2346" t="n">
        <v>2023</v>
      </c>
      <c r="L33" s="2347" t="n">
        <v>270793</v>
      </c>
      <c r="M33" s="2347" t="n">
        <v>258323</v>
      </c>
      <c r="N33" s="2351" t="n">
        <v>524533</v>
      </c>
      <c r="O33" s="2347" t="n">
        <v>16865</v>
      </c>
      <c r="P33" s="2347" t="n">
        <v>26496</v>
      </c>
      <c r="Q33" s="2344" t="n"/>
      <c r="R33" s="2344" t="n"/>
      <c r="S33" s="2344" t="n"/>
      <c r="T33" s="2344" t="n"/>
      <c r="U33" s="2344" t="n"/>
      <c r="V33" s="2344" t="n"/>
      <c r="W33" s="2344" t="n"/>
      <c r="X33" s="2347" t="n">
        <v>50972</v>
      </c>
      <c r="Y33" s="2348" t="n">
        <v>50972</v>
      </c>
      <c r="Z33" s="2344" t="n"/>
      <c r="AA33" s="2347" t="n">
        <v>7543</v>
      </c>
      <c r="AB33" s="2344" t="n"/>
      <c r="AC33" s="2348" t="n">
        <v>7543</v>
      </c>
      <c r="AD33" s="2347" t="n">
        <v>4602</v>
      </c>
      <c r="AE33" s="2347" t="n">
        <v>51467</v>
      </c>
      <c r="AF33" s="2348" t="n">
        <v>56069</v>
      </c>
      <c r="AG33" s="2344" t="n"/>
      <c r="AH33" s="2349" t="n">
        <v>157946</v>
      </c>
      <c r="AI33" s="2349" t="n">
        <v>125577</v>
      </c>
      <c r="AJ33" s="2349" t="n">
        <v>283523</v>
      </c>
      <c r="AK33" s="2349" t="n">
        <v>241009</v>
      </c>
      <c r="AL33" s="2344" t="n"/>
      <c r="AM33" s="2352" t="inlineStr">
        <is>
          <t>2023 partial year (opened Oct 2023); RE Tax high for new construction; gas $3,877 + elec $47,590 in utilities</t>
        </is>
      </c>
    </row>
    <row r="34" ht="18" customHeight="1" s="1449">
      <c r="A34" s="2344" t="inlineStr">
        <is>
          <t>P013</t>
        </is>
      </c>
      <c r="B34" s="2338" t="n">
        <v>353</v>
      </c>
      <c r="C34" s="2345" t="inlineStr">
        <is>
          <t>R0169176</t>
        </is>
      </c>
      <c r="D34" s="2344" t="inlineStr">
        <is>
          <t>Unknown (new const., opened Oct 2023)</t>
        </is>
      </c>
      <c r="E34" s="2344" t="inlineStr">
        <is>
          <t>Adams County</t>
        </is>
      </c>
      <c r="F34" s="2344" t="inlineStr">
        <is>
          <t>CO</t>
        </is>
      </c>
      <c r="G34" s="2344" t="inlineStr">
        <is>
          <t>Retail/Office</t>
        </is>
      </c>
      <c r="H34" s="2344" t="inlineStr">
        <is>
          <t>Multi-tenant</t>
        </is>
      </c>
      <c r="I34" s="2346" t="n">
        <v>2023</v>
      </c>
      <c r="J34" s="2346" t="n"/>
      <c r="K34" s="2346" t="n">
        <v>2024</v>
      </c>
      <c r="L34" s="2347" t="n">
        <v>260040</v>
      </c>
      <c r="M34" s="2347" t="n">
        <v>337015</v>
      </c>
      <c r="N34" s="2351" t="n">
        <v>597056</v>
      </c>
      <c r="O34" s="2347" t="n">
        <v>12437</v>
      </c>
      <c r="P34" s="2347" t="n">
        <v>26717</v>
      </c>
      <c r="Q34" s="2344" t="n"/>
      <c r="R34" s="2344" t="n"/>
      <c r="S34" s="2344" t="n"/>
      <c r="T34" s="2344" t="n"/>
      <c r="U34" s="2344" t="n"/>
      <c r="V34" s="2344" t="n"/>
      <c r="W34" s="2344" t="n"/>
      <c r="X34" s="2347" t="n">
        <v>36931</v>
      </c>
      <c r="Y34" s="2348" t="n">
        <v>36931</v>
      </c>
      <c r="Z34" s="2344" t="n"/>
      <c r="AA34" s="2347" t="n">
        <v>27159</v>
      </c>
      <c r="AB34" s="2344" t="n"/>
      <c r="AC34" s="2348" t="n">
        <v>27159</v>
      </c>
      <c r="AD34" s="2347" t="n">
        <v>5043</v>
      </c>
      <c r="AE34" s="2347" t="n">
        <v>54230</v>
      </c>
      <c r="AF34" s="2348" t="n">
        <v>59273</v>
      </c>
      <c r="AG34" s="2344" t="n"/>
      <c r="AH34" s="2349" t="n">
        <v>162518</v>
      </c>
      <c r="AI34" s="2349" t="n">
        <v>156074</v>
      </c>
      <c r="AJ34" s="2349" t="n">
        <v>318592</v>
      </c>
      <c r="AK34" s="2349" t="n">
        <v>278464</v>
      </c>
      <c r="AL34" s="2344" t="n"/>
      <c r="AM34" s="2352" t="inlineStr">
        <is>
          <t>Tax consultant $11,515 added to RE Tax line; HOA/exterior maint $27,159 in landscape; recoveries $336,319 + other $696</t>
        </is>
      </c>
    </row>
    <row r="35" ht="18" customHeight="1" s="1449">
      <c r="A35" s="2344" t="inlineStr">
        <is>
          <t>P014</t>
        </is>
      </c>
      <c r="B35" s="2338" t="n">
        <v>407</v>
      </c>
      <c r="C35" s="2345" t="inlineStr">
        <is>
          <t>R0198530</t>
        </is>
      </c>
      <c r="D35" s="2344" t="inlineStr">
        <is>
          <t>Amazon DEN7 Distribution Center</t>
        </is>
      </c>
      <c r="E35" s="2344" t="inlineStr">
        <is>
          <t>Aurora</t>
        </is>
      </c>
      <c r="F35" s="2344" t="inlineStr">
        <is>
          <t>CO</t>
        </is>
      </c>
      <c r="G35" s="2344" t="inlineStr">
        <is>
          <t>Industrial/Distribution</t>
        </is>
      </c>
      <c r="H35" s="2344" t="inlineStr">
        <is>
          <t>Single-tenant NNN</t>
        </is>
      </c>
      <c r="I35" s="2346" t="n"/>
      <c r="J35" s="2346" t="n">
        <v>555840</v>
      </c>
      <c r="K35" s="2346" t="n">
        <v>2023</v>
      </c>
      <c r="L35" s="2347" t="n">
        <v>3123377</v>
      </c>
      <c r="M35" s="2344" t="n"/>
      <c r="N35" s="2351" t="n">
        <v>3123377</v>
      </c>
      <c r="O35" s="2347" t="n">
        <v>86084</v>
      </c>
      <c r="P35" s="2347" t="n">
        <v>62468</v>
      </c>
      <c r="Q35" s="2344" t="n"/>
      <c r="R35" s="2344" t="n"/>
      <c r="S35" s="2344" t="n"/>
      <c r="T35" s="2344" t="n"/>
      <c r="U35" s="2344" t="n"/>
      <c r="V35" s="2344" t="n"/>
      <c r="W35" s="2344" t="n"/>
      <c r="X35" s="2344" t="n"/>
      <c r="Y35" s="2353" t="n"/>
      <c r="Z35" s="2344" t="n"/>
      <c r="AA35" s="2344" t="n"/>
      <c r="AB35" s="2344" t="n"/>
      <c r="AC35" s="2348" t="n">
        <v>22360</v>
      </c>
      <c r="AD35" s="2344" t="n"/>
      <c r="AE35" s="2344" t="n"/>
      <c r="AF35" s="2348" t="n">
        <v>1107</v>
      </c>
      <c r="AG35" s="2344" t="n"/>
      <c r="AH35" s="2349" t="n">
        <v>197351</v>
      </c>
      <c r="AI35" s="2349" t="n">
        <v>1617282</v>
      </c>
      <c r="AJ35" s="2349" t="n">
        <v>1814633</v>
      </c>
      <c r="AK35" s="2354" t="n"/>
      <c r="AL35" s="2344" t="n"/>
      <c r="AM35" s="2352" t="inlineStr">
        <is>
          <t>NNN ? expenses = LL CAM billed to Amazon tenant; RE Tax $1.617M dominates; base rent $3.12M; 2023 CAM reconciliation</t>
        </is>
      </c>
    </row>
    <row r="36" ht="18" customHeight="1" s="1449">
      <c r="A36" s="2344" t="inlineStr">
        <is>
          <t>P014</t>
        </is>
      </c>
      <c r="B36" s="2338" t="n">
        <v>407</v>
      </c>
      <c r="C36" s="2345" t="inlineStr">
        <is>
          <t>R0198530</t>
        </is>
      </c>
      <c r="D36" s="2344" t="inlineStr">
        <is>
          <t>Amazon DEN7 Distribution Center</t>
        </is>
      </c>
      <c r="E36" s="2344" t="inlineStr">
        <is>
          <t>Aurora</t>
        </is>
      </c>
      <c r="F36" s="2344" t="inlineStr">
        <is>
          <t>CO</t>
        </is>
      </c>
      <c r="G36" s="2344" t="inlineStr">
        <is>
          <t>Industrial/Distribution</t>
        </is>
      </c>
      <c r="H36" s="2344" t="inlineStr">
        <is>
          <t>Single-tenant NNN</t>
        </is>
      </c>
      <c r="I36" s="2346" t="n"/>
      <c r="J36" s="2346" t="n">
        <v>555840</v>
      </c>
      <c r="K36" s="2346" t="n">
        <v>2024</v>
      </c>
      <c r="L36" s="2347" t="n">
        <v>3201462</v>
      </c>
      <c r="M36" s="2344" t="n"/>
      <c r="N36" s="2351" t="n">
        <v>3201462</v>
      </c>
      <c r="O36" s="2347" t="n">
        <v>89809</v>
      </c>
      <c r="P36" s="2347" t="n">
        <v>64029</v>
      </c>
      <c r="Q36" s="2344" t="n"/>
      <c r="R36" s="2344" t="n"/>
      <c r="S36" s="2344" t="n"/>
      <c r="T36" s="2344" t="n"/>
      <c r="U36" s="2344" t="n"/>
      <c r="V36" s="2344" t="n"/>
      <c r="W36" s="2344" t="n"/>
      <c r="X36" s="2344" t="n"/>
      <c r="Y36" s="2353" t="n"/>
      <c r="Z36" s="2344" t="n"/>
      <c r="AA36" s="2344" t="n"/>
      <c r="AB36" s="2347" t="n">
        <v>2110</v>
      </c>
      <c r="AC36" s="2348" t="n">
        <v>17455</v>
      </c>
      <c r="AD36" s="2344" t="n"/>
      <c r="AE36" s="2344" t="n"/>
      <c r="AF36" s="2348" t="n">
        <v>2024</v>
      </c>
      <c r="AG36" s="2344" t="n"/>
      <c r="AH36" s="2349" t="n">
        <v>154693</v>
      </c>
      <c r="AI36" s="2349" t="n">
        <v>2161856</v>
      </c>
      <c r="AJ36" s="2349" t="n">
        <v>2316549</v>
      </c>
      <c r="AK36" s="2354" t="n"/>
      <c r="AL36" s="2344" t="n"/>
      <c r="AM36" s="2352" t="inlineStr">
        <is>
          <t>NNN; RE Tax $2.162M = $3.89/SF reflecting Adams County assessment increase (+34% YOY); 2024 CAM reconciliation</t>
        </is>
      </c>
    </row>
    <row r="37">
      <c r="A37" s="2345" t="inlineStr">
        <is>
          <t>P015</t>
        </is>
      </c>
      <c r="B37" s="2338" t="n">
        <v>407</v>
      </c>
      <c r="C37" s="2345" t="inlineStr">
        <is>
          <t>R0180894</t>
        </is>
      </c>
      <c r="D37" s="2345" t="inlineStr">
        <is>
          <t>1910 N Gun Club Rd</t>
        </is>
      </c>
      <c r="E37" s="2345" t="inlineStr">
        <is>
          <t>Aurora</t>
        </is>
      </c>
      <c r="F37" s="2345" t="inlineStr">
        <is>
          <t>CO</t>
        </is>
      </c>
      <c r="G37" s="2345" t="inlineStr">
        <is>
          <t>Industrial</t>
        </is>
      </c>
      <c r="H37" s="2345" t="inlineStr">
        <is>
          <t>Distribution Warehouse Multi-Tenant NNN</t>
        </is>
      </c>
      <c r="I37" s="2345" t="n">
        <v>2019</v>
      </c>
      <c r="J37" s="2345" t="n">
        <v>163386</v>
      </c>
      <c r="K37" s="2345" t="n">
        <v>2023</v>
      </c>
      <c r="L37" s="2356" t="n">
        <v>2096086</v>
      </c>
      <c r="M37" s="2345" t="n"/>
      <c r="N37" s="2356" t="n">
        <v>2096086</v>
      </c>
      <c r="O37" s="2356" t="n">
        <v>40706</v>
      </c>
      <c r="P37" s="2356" t="n">
        <v>55071</v>
      </c>
      <c r="Q37" s="2345" t="n"/>
      <c r="R37" s="2345" t="n"/>
      <c r="S37" s="2345" t="n"/>
      <c r="T37" s="2345" t="n"/>
      <c r="U37" s="2345" t="n"/>
      <c r="V37" s="2345" t="n"/>
      <c r="W37" s="2345" t="n"/>
      <c r="X37" s="2345" t="n"/>
      <c r="Y37" s="2356" t="n">
        <v>6447</v>
      </c>
      <c r="Z37" s="2345" t="n"/>
      <c r="AA37" s="2356" t="n">
        <v>14502</v>
      </c>
      <c r="AB37" s="2356" t="n">
        <v>55450</v>
      </c>
      <c r="AC37" s="2345" t="n"/>
      <c r="AD37" s="2345" t="n"/>
      <c r="AE37" s="2345" t="n"/>
      <c r="AF37" s="2356" t="n">
        <v>43911</v>
      </c>
      <c r="AG37" s="2356" t="n">
        <v>159500</v>
      </c>
      <c r="AH37" s="2356" t="n">
        <v>379886</v>
      </c>
      <c r="AI37" s="2356" t="n">
        <v>923586</v>
      </c>
      <c r="AJ37" s="2356" t="n">
        <v>1303472</v>
      </c>
      <c r="AK37" s="2356" t="n">
        <v>792614</v>
      </c>
      <c r="AL37" s="2345" t="n"/>
      <c r="AM37" s="2345" t="inlineStr">
        <is>
          <t>Actual accrual; security $159,500 in Other</t>
        </is>
      </c>
    </row>
    <row r="38">
      <c r="A38" s="2345" t="inlineStr">
        <is>
          <t>P015</t>
        </is>
      </c>
      <c r="B38" s="2338" t="n">
        <v>407</v>
      </c>
      <c r="C38" s="2345" t="inlineStr">
        <is>
          <t>R0180894</t>
        </is>
      </c>
      <c r="D38" s="2345" t="inlineStr">
        <is>
          <t>1910 N Gun Club Rd</t>
        </is>
      </c>
      <c r="E38" s="2345" t="inlineStr">
        <is>
          <t>Aurora</t>
        </is>
      </c>
      <c r="F38" s="2345" t="inlineStr">
        <is>
          <t>CO</t>
        </is>
      </c>
      <c r="G38" s="2345" t="inlineStr">
        <is>
          <t>Industrial</t>
        </is>
      </c>
      <c r="H38" s="2345" t="inlineStr">
        <is>
          <t>Distribution Warehouse Multi-Tenant NNN</t>
        </is>
      </c>
      <c r="I38" s="2345" t="n">
        <v>2019</v>
      </c>
      <c r="J38" s="2345" t="n">
        <v>163386</v>
      </c>
      <c r="K38" s="2345" t="n">
        <v>2024</v>
      </c>
      <c r="L38" s="2356" t="n">
        <v>2154019</v>
      </c>
      <c r="M38" s="2345" t="n"/>
      <c r="N38" s="2356" t="n">
        <v>2154019</v>
      </c>
      <c r="O38" s="2356" t="n">
        <v>48091</v>
      </c>
      <c r="P38" s="2356" t="n">
        <v>74844</v>
      </c>
      <c r="Q38" s="2345" t="n"/>
      <c r="R38" s="2345" t="n"/>
      <c r="S38" s="2345" t="n"/>
      <c r="T38" s="2345" t="n"/>
      <c r="U38" s="2345" t="n"/>
      <c r="V38" s="2345" t="n"/>
      <c r="W38" s="2345" t="n"/>
      <c r="X38" s="2345" t="n"/>
      <c r="Y38" s="2356" t="n">
        <v>5257</v>
      </c>
      <c r="Z38" s="2345" t="n"/>
      <c r="AA38" s="2356" t="n">
        <v>13438</v>
      </c>
      <c r="AB38" s="2356" t="n">
        <v>46667</v>
      </c>
      <c r="AC38" s="2345" t="n"/>
      <c r="AD38" s="2345" t="n"/>
      <c r="AE38" s="2345" t="n"/>
      <c r="AF38" s="2356" t="n">
        <v>53895</v>
      </c>
      <c r="AG38" s="2356" t="n">
        <v>132552</v>
      </c>
      <c r="AH38" s="2356" t="n">
        <v>394495</v>
      </c>
      <c r="AI38" s="2356" t="n">
        <v>912402</v>
      </c>
      <c r="AJ38" s="2356" t="n">
        <v>1306897</v>
      </c>
      <c r="AK38" s="2356" t="n">
        <v>847122</v>
      </c>
      <c r="AL38" s="2345" t="n"/>
      <c r="AM38" s="2345" t="inlineStr">
        <is>
          <t>Actual accrual; security $132,552 in Other</t>
        </is>
      </c>
    </row>
    <row r="39">
      <c r="A39" s="2345" t="inlineStr">
        <is>
          <t>P016</t>
        </is>
      </c>
      <c r="B39" s="2338" t="n">
        <v>584</v>
      </c>
      <c r="C39" s="2345" t="inlineStr">
        <is>
          <t>R0212546/R0212547</t>
        </is>
      </c>
      <c r="D39" s="2345" t="inlineStr">
        <is>
          <t>2780 N Tower Rd</t>
        </is>
      </c>
      <c r="E39" s="2345" t="inlineStr">
        <is>
          <t>Aurora</t>
        </is>
      </c>
      <c r="F39" s="2345" t="inlineStr">
        <is>
          <t>CO</t>
        </is>
      </c>
      <c r="G39" s="2345" t="inlineStr">
        <is>
          <t>Industrial</t>
        </is>
      </c>
      <c r="H39" s="2345" t="inlineStr">
        <is>
          <t>Mega Warehouse NNN</t>
        </is>
      </c>
      <c r="I39" s="2345" t="n">
        <v>1983</v>
      </c>
      <c r="J39" s="2345" t="n">
        <v>384953</v>
      </c>
      <c r="K39" s="2345" t="n">
        <v>2024</v>
      </c>
      <c r="L39" s="2345" t="n"/>
      <c r="M39" s="2345" t="n"/>
      <c r="N39" s="2345" t="n"/>
      <c r="O39" s="2345" t="n"/>
      <c r="P39" s="2345" t="n"/>
      <c r="Q39" s="2345" t="n"/>
      <c r="R39" s="2345" t="n"/>
      <c r="S39" s="2345" t="n"/>
      <c r="T39" s="2345" t="n"/>
      <c r="U39" s="2345" t="n"/>
      <c r="V39" s="2345" t="n"/>
      <c r="W39" s="2345" t="n"/>
      <c r="X39" s="2345" t="n"/>
      <c r="Y39" s="2345" t="n"/>
      <c r="Z39" s="2345" t="n"/>
      <c r="AA39" s="2345" t="n"/>
      <c r="AB39" s="2345" t="n"/>
      <c r="AC39" s="2345" t="n"/>
      <c r="AD39" s="2345" t="n"/>
      <c r="AE39" s="2345" t="n"/>
      <c r="AF39" s="2345" t="n"/>
      <c r="AG39" s="2345" t="n"/>
      <c r="AH39" s="2345" t="n"/>
      <c r="AI39" s="2345" t="n"/>
      <c r="AJ39" s="2345" t="n"/>
      <c r="AK39" s="2345" t="n"/>
      <c r="AL39" s="2345" t="n"/>
      <c r="AM39" s="2345" t="inlineStr">
        <is>
          <t>County proforma only; limited line-item detail available</t>
        </is>
      </c>
    </row>
    <row r="40">
      <c r="A40" s="2345" t="inlineStr">
        <is>
          <t>P017</t>
        </is>
      </c>
      <c r="B40" s="2338" t="n">
        <v>210</v>
      </c>
      <c r="C40" s="2345" t="inlineStr">
        <is>
          <t>R0098098</t>
        </is>
      </c>
      <c r="D40" s="2345" t="inlineStr">
        <is>
          <t>1445 E 68th Ave</t>
        </is>
      </c>
      <c r="E40" s="2345" t="inlineStr">
        <is>
          <t>Denver</t>
        </is>
      </c>
      <c r="F40" s="2345" t="inlineStr">
        <is>
          <t>CO</t>
        </is>
      </c>
      <c r="G40" s="2345" t="inlineStr">
        <is>
          <t>Industrial</t>
        </is>
      </c>
      <c r="H40" s="2345" t="inlineStr">
        <is>
          <t>Industrial Office Mix</t>
        </is>
      </c>
      <c r="I40" s="2345" t="n">
        <v>1972</v>
      </c>
      <c r="J40" s="2345" t="n">
        <v>63348</v>
      </c>
      <c r="K40" s="2345" t="n">
        <v>2024</v>
      </c>
      <c r="L40" s="2345" t="n"/>
      <c r="M40" s="2345" t="n"/>
      <c r="N40" s="2345" t="n"/>
      <c r="O40" s="2345" t="n"/>
      <c r="P40" s="2345" t="n"/>
      <c r="Q40" s="2345" t="n"/>
      <c r="R40" s="2345" t="n"/>
      <c r="S40" s="2345" t="n"/>
      <c r="T40" s="2345" t="n"/>
      <c r="U40" s="2345" t="n"/>
      <c r="V40" s="2345" t="n"/>
      <c r="W40" s="2345" t="n"/>
      <c r="X40" s="2345" t="n"/>
      <c r="Y40" s="2345" t="n"/>
      <c r="Z40" s="2345" t="n"/>
      <c r="AA40" s="2345" t="n"/>
      <c r="AB40" s="2345" t="n"/>
      <c r="AC40" s="2345" t="n"/>
      <c r="AD40" s="2345" t="n"/>
      <c r="AE40" s="2345" t="n"/>
      <c r="AF40" s="2345" t="n"/>
      <c r="AG40" s="2345" t="n"/>
      <c r="AH40" s="2345" t="n"/>
      <c r="AI40" s="2345" t="n"/>
      <c r="AJ40" s="2345" t="n"/>
      <c r="AK40" s="2345" t="n"/>
      <c r="AL40" s="2345" t="n"/>
      <c r="AM40" s="2345" t="inlineStr">
        <is>
          <t>County proforma 2024; YOC 1972/2006/2023 additions</t>
        </is>
      </c>
    </row>
    <row r="41">
      <c r="A41" s="2345" t="inlineStr">
        <is>
          <t>P018</t>
        </is>
      </c>
      <c r="B41" s="2338" t="n">
        <v>406</v>
      </c>
      <c r="C41" s="2345" t="inlineStr">
        <is>
          <t>R0103783</t>
        </is>
      </c>
      <c r="D41" s="2345" t="inlineStr">
        <is>
          <t>2031 E 58th Ave</t>
        </is>
      </c>
      <c r="E41" s="2345" t="inlineStr">
        <is>
          <t>Denver</t>
        </is>
      </c>
      <c r="F41" s="2345" t="inlineStr">
        <is>
          <t>CO</t>
        </is>
      </c>
      <c r="G41" s="2345" t="inlineStr">
        <is>
          <t>Industrial</t>
        </is>
      </c>
      <c r="H41" s="2345" t="inlineStr">
        <is>
          <t>Storage Warehouse / Mod Office NNN</t>
        </is>
      </c>
      <c r="I41" s="2345" t="n">
        <v>2004</v>
      </c>
      <c r="J41" s="2345" t="n">
        <v>18720</v>
      </c>
      <c r="K41" s="2345" t="n">
        <v>2024</v>
      </c>
      <c r="L41" s="2356" t="n">
        <v>248796</v>
      </c>
      <c r="M41" s="2345" t="n"/>
      <c r="N41" s="2356" t="n">
        <v>299942</v>
      </c>
      <c r="O41" s="2356" t="n">
        <v>3858</v>
      </c>
      <c r="P41" s="2345" t="n"/>
      <c r="Q41" s="2345" t="n"/>
      <c r="R41" s="2345" t="n"/>
      <c r="S41" s="2345" t="n"/>
      <c r="T41" s="2345" t="n"/>
      <c r="U41" s="2345" t="n"/>
      <c r="V41" s="2345" t="n"/>
      <c r="W41" s="2345" t="n"/>
      <c r="X41" s="2345" t="n"/>
      <c r="Y41" s="2345" t="n"/>
      <c r="Z41" s="2345" t="n"/>
      <c r="AA41" s="2345" t="n"/>
      <c r="AB41" s="2345" t="n"/>
      <c r="AC41" s="2356" t="n">
        <v>2427</v>
      </c>
      <c r="AD41" s="2345" t="n"/>
      <c r="AE41" s="2345" t="n"/>
      <c r="AF41" s="2345" t="n"/>
      <c r="AG41" s="2345" t="n"/>
      <c r="AH41" s="2356" t="n">
        <v>6285</v>
      </c>
      <c r="AI41" s="2356" t="n">
        <v>44860</v>
      </c>
      <c r="AJ41" s="2356" t="n">
        <v>51145</v>
      </c>
      <c r="AK41" s="2356" t="n">
        <v>248797</v>
      </c>
      <c r="AL41" s="2345" t="n"/>
      <c r="AM41" s="2345" t="inlineStr">
        <is>
          <t>NNN billed charges; EGI = base rent + NNN pass-throughs</t>
        </is>
      </c>
    </row>
    <row r="42">
      <c r="A42" s="2345" t="inlineStr">
        <is>
          <t>P018</t>
        </is>
      </c>
      <c r="B42" s="2338" t="n">
        <v>406</v>
      </c>
      <c r="C42" s="2345" t="inlineStr">
        <is>
          <t>R0103783</t>
        </is>
      </c>
      <c r="D42" s="2345" t="inlineStr">
        <is>
          <t>2031 E 58th Ave</t>
        </is>
      </c>
      <c r="E42" s="2345" t="inlineStr">
        <is>
          <t>Denver</t>
        </is>
      </c>
      <c r="F42" s="2345" t="inlineStr">
        <is>
          <t>CO</t>
        </is>
      </c>
      <c r="G42" s="2345" t="inlineStr">
        <is>
          <t>Industrial</t>
        </is>
      </c>
      <c r="H42" s="2345" t="inlineStr">
        <is>
          <t>Storage Warehouse / Mod Office NNN</t>
        </is>
      </c>
      <c r="I42" s="2345" t="n">
        <v>2004</v>
      </c>
      <c r="J42" s="2345" t="n">
        <v>18720</v>
      </c>
      <c r="K42" s="2345" t="n">
        <v>2023</v>
      </c>
      <c r="L42" s="2356" t="n">
        <v>243918</v>
      </c>
      <c r="M42" s="2345" t="n"/>
      <c r="N42" s="2356" t="n">
        <v>295063</v>
      </c>
      <c r="O42" s="2356" t="n">
        <v>3858</v>
      </c>
      <c r="P42" s="2345" t="n"/>
      <c r="Q42" s="2345" t="n"/>
      <c r="R42" s="2345" t="n"/>
      <c r="S42" s="2345" t="n"/>
      <c r="T42" s="2345" t="n"/>
      <c r="U42" s="2345" t="n"/>
      <c r="V42" s="2345" t="n"/>
      <c r="W42" s="2345" t="n"/>
      <c r="X42" s="2345" t="n"/>
      <c r="Y42" s="2345" t="n"/>
      <c r="Z42" s="2345" t="n"/>
      <c r="AA42" s="2345" t="n"/>
      <c r="AB42" s="2345" t="n"/>
      <c r="AC42" s="2356" t="n">
        <v>2427</v>
      </c>
      <c r="AD42" s="2345" t="n"/>
      <c r="AE42" s="2345" t="n"/>
      <c r="AF42" s="2345" t="n"/>
      <c r="AG42" s="2345" t="n"/>
      <c r="AH42" s="2356" t="n">
        <v>6285</v>
      </c>
      <c r="AI42" s="2356" t="n">
        <v>44860</v>
      </c>
      <c r="AJ42" s="2356" t="n">
        <v>51145</v>
      </c>
      <c r="AK42" s="2356" t="n">
        <v>243918</v>
      </c>
      <c r="AL42" s="2345" t="n"/>
      <c r="AM42" s="2345" t="inlineStr">
        <is>
          <t>NNN billed charges; EGI = base rent + NNN pass-throughs</t>
        </is>
      </c>
    </row>
    <row r="43">
      <c r="A43" s="2345" t="inlineStr">
        <is>
          <t>P019</t>
        </is>
      </c>
      <c r="B43" s="2338" t="n">
        <v>407</v>
      </c>
      <c r="C43" s="2345" t="inlineStr">
        <is>
          <t>R0210402/R0210403</t>
        </is>
      </c>
      <c r="D43" s="2345" t="inlineStr">
        <is>
          <t>17190 E 85th Ave</t>
        </is>
      </c>
      <c r="E43" s="2345" t="inlineStr">
        <is>
          <t>Commerce City</t>
        </is>
      </c>
      <c r="F43" s="2345" t="inlineStr">
        <is>
          <t>CO</t>
        </is>
      </c>
      <c r="G43" s="2345" t="inlineStr">
        <is>
          <t>Industrial</t>
        </is>
      </c>
      <c r="H43" s="2345" t="inlineStr">
        <is>
          <t>Industrial Warehouse NNN</t>
        </is>
      </c>
      <c r="I43" s="2345" t="n">
        <v>2021</v>
      </c>
      <c r="J43" s="2345" t="n">
        <v>329940</v>
      </c>
      <c r="K43" s="2345" t="n">
        <v>2024</v>
      </c>
      <c r="L43" s="2345" t="n"/>
      <c r="M43" s="2345" t="n"/>
      <c r="N43" s="2345" t="n"/>
      <c r="O43" s="2345" t="n"/>
      <c r="P43" s="2345" t="n"/>
      <c r="Q43" s="2345" t="n"/>
      <c r="R43" s="2345" t="n"/>
      <c r="S43" s="2345" t="n"/>
      <c r="T43" s="2345" t="n"/>
      <c r="U43" s="2345" t="n"/>
      <c r="V43" s="2345" t="n"/>
      <c r="W43" s="2345" t="n"/>
      <c r="X43" s="2345" t="n"/>
      <c r="Y43" s="2345" t="n"/>
      <c r="Z43" s="2345" t="n"/>
      <c r="AA43" s="2345" t="n"/>
      <c r="AB43" s="2345" t="n"/>
      <c r="AC43" s="2345" t="n"/>
      <c r="AD43" s="2345" t="n"/>
      <c r="AE43" s="2345" t="n"/>
      <c r="AF43" s="2345" t="n"/>
      <c r="AG43" s="2345" t="n"/>
      <c r="AH43" s="2345" t="n"/>
      <c r="AI43" s="2345" t="n"/>
      <c r="AJ43" s="2345" t="n"/>
      <c r="AK43" s="2345" t="n"/>
      <c r="AL43" s="2345" t="n"/>
      <c r="AM43" s="2345" t="inlineStr">
        <is>
          <t>Petitioner proforma 2024/25; limited line-item detail</t>
        </is>
      </c>
    </row>
    <row r="44">
      <c r="A44" s="2345" t="inlineStr">
        <is>
          <t>P020</t>
        </is>
      </c>
      <c r="B44" s="2338" t="n">
        <v>584</v>
      </c>
      <c r="C44" s="2345" t="inlineStr">
        <is>
          <t>R0209679</t>
        </is>
      </c>
      <c r="D44" s="2345" t="inlineStr">
        <is>
          <t>17501 E 84th Ave</t>
        </is>
      </c>
      <c r="E44" s="2345" t="inlineStr">
        <is>
          <t>Commerce City</t>
        </is>
      </c>
      <c r="F44" s="2345" t="inlineStr">
        <is>
          <t>CO</t>
        </is>
      </c>
      <c r="G44" s="2345" t="inlineStr">
        <is>
          <t>Industrial</t>
        </is>
      </c>
      <c r="H44" s="2345" t="inlineStr">
        <is>
          <t>Mega Warehouse / Distribution Center NNN (Lowe's)</t>
        </is>
      </c>
      <c r="I44" s="2345" t="n">
        <v>2021</v>
      </c>
      <c r="J44" s="2345" t="n">
        <v>999780</v>
      </c>
      <c r="K44" s="2345" t="n">
        <v>2023</v>
      </c>
      <c r="L44" s="2356" t="n">
        <v>12396458</v>
      </c>
      <c r="M44" s="2345" t="n"/>
      <c r="N44" s="2356" t="n">
        <v>12396458</v>
      </c>
      <c r="O44" s="2356" t="n">
        <v>150453</v>
      </c>
      <c r="P44" s="2356" t="n">
        <v>100437</v>
      </c>
      <c r="Q44" s="2345" t="n"/>
      <c r="R44" s="2345" t="n"/>
      <c r="S44" s="2345" t="n"/>
      <c r="T44" s="2345" t="n"/>
      <c r="U44" s="2345" t="n"/>
      <c r="V44" s="2345" t="n"/>
      <c r="W44" s="2345" t="n"/>
      <c r="X44" s="2345" t="n"/>
      <c r="Y44" s="2356" t="n">
        <v>53276</v>
      </c>
      <c r="Z44" s="2345" t="n"/>
      <c r="AA44" s="2356" t="n">
        <v>50764</v>
      </c>
      <c r="AB44" s="2356" t="n">
        <v>117765</v>
      </c>
      <c r="AC44" s="2345" t="n"/>
      <c r="AD44" s="2345" t="n"/>
      <c r="AE44" s="2345" t="n"/>
      <c r="AF44" s="2345" t="n"/>
      <c r="AG44" s="2356" t="n">
        <v>8384</v>
      </c>
      <c r="AH44" s="2356" t="n">
        <v>1354674</v>
      </c>
      <c r="AI44" s="2356" t="n">
        <v>4922300</v>
      </c>
      <c r="AJ44" s="2356" t="n">
        <v>8277752</v>
      </c>
      <c r="AK44" s="2356" t="n">
        <v>4118706</v>
      </c>
      <c r="AL44" s="2345" t="n"/>
      <c r="AM44" s="2345" t="inlineStr">
        <is>
          <t>Actual accrual; 2023 NOI inflated ~$2.8M by prior-yr RE tax adj; security in Other</t>
        </is>
      </c>
    </row>
    <row r="45">
      <c r="A45" s="2345" t="inlineStr">
        <is>
          <t>P020</t>
        </is>
      </c>
      <c r="B45" s="2338" t="n">
        <v>584</v>
      </c>
      <c r="C45" s="2345" t="inlineStr">
        <is>
          <t>R0209679</t>
        </is>
      </c>
      <c r="D45" s="2345" t="inlineStr">
        <is>
          <t>17501 E 84th Ave</t>
        </is>
      </c>
      <c r="E45" s="2345" t="inlineStr">
        <is>
          <t>Commerce City</t>
        </is>
      </c>
      <c r="F45" s="2345" t="inlineStr">
        <is>
          <t>CO</t>
        </is>
      </c>
      <c r="G45" s="2345" t="inlineStr">
        <is>
          <t>Industrial</t>
        </is>
      </c>
      <c r="H45" s="2345" t="inlineStr">
        <is>
          <t>Mega Warehouse / Distribution Center NNN (Lowe's)</t>
        </is>
      </c>
      <c r="I45" s="2345" t="n">
        <v>2021</v>
      </c>
      <c r="J45" s="2345" t="n">
        <v>999780</v>
      </c>
      <c r="K45" s="2345" t="n">
        <v>2024</v>
      </c>
      <c r="L45" s="2356" t="n">
        <v>10000751</v>
      </c>
      <c r="M45" s="2345" t="n"/>
      <c r="N45" s="2356" t="n">
        <v>10000751</v>
      </c>
      <c r="O45" s="2356" t="n">
        <v>171963</v>
      </c>
      <c r="P45" s="2356" t="n">
        <v>101559</v>
      </c>
      <c r="Q45" s="2345" t="n"/>
      <c r="R45" s="2345" t="n"/>
      <c r="S45" s="2345" t="n"/>
      <c r="T45" s="2345" t="n"/>
      <c r="U45" s="2345" t="n"/>
      <c r="V45" s="2345" t="n"/>
      <c r="W45" s="2345" t="n"/>
      <c r="X45" s="2345" t="n"/>
      <c r="Y45" s="2356" t="n">
        <v>120481</v>
      </c>
      <c r="Z45" s="2345" t="n"/>
      <c r="AA45" s="2356" t="n">
        <v>37766</v>
      </c>
      <c r="AB45" s="2356" t="n">
        <v>131877</v>
      </c>
      <c r="AC45" s="2345" t="n"/>
      <c r="AD45" s="2345" t="n"/>
      <c r="AE45" s="2345" t="n"/>
      <c r="AF45" s="2345" t="n"/>
      <c r="AG45" s="2356" t="n">
        <v>30799</v>
      </c>
      <c r="AH45" s="2356" t="n">
        <v>797409</v>
      </c>
      <c r="AI45" s="2356" t="n">
        <v>4996600</v>
      </c>
      <c r="AJ45" s="2356" t="n">
        <v>5794009</v>
      </c>
      <c r="AK45" s="2356" t="n">
        <v>4206742</v>
      </c>
      <c r="AL45" s="2345" t="n"/>
      <c r="AM45" s="2345" t="inlineStr">
        <is>
          <t>Actual accrual; security $30,799 in Other</t>
        </is>
      </c>
    </row>
    <row r="46">
      <c r="A46" s="2345" t="inlineStr">
        <is>
          <t>P021</t>
        </is>
      </c>
      <c r="B46" s="2338" t="n">
        <v>210</v>
      </c>
      <c r="C46" s="2345" t="inlineStr">
        <is>
          <t>R0091931</t>
        </is>
      </c>
      <c r="D46" s="2345" t="inlineStr">
        <is>
          <t>6300 E. 58th Ave</t>
        </is>
      </c>
      <c r="E46" s="2345" t="inlineStr">
        <is>
          <t>Commerce City</t>
        </is>
      </c>
      <c r="F46" s="2345" t="inlineStr">
        <is>
          <t>CO</t>
        </is>
      </c>
      <c r="G46" s="2345" t="inlineStr">
        <is>
          <t>Industrial</t>
        </is>
      </c>
      <c r="H46" s="2345" t="inlineStr">
        <is>
          <t>Multi-Tenant Industrial/Flex</t>
        </is>
      </c>
      <c r="I46" s="2345" t="n">
        <v>1999</v>
      </c>
      <c r="J46" s="2345" t="n">
        <v>90000</v>
      </c>
      <c r="K46" s="2345" t="n">
        <v>2023</v>
      </c>
      <c r="L46" s="2356" t="n">
        <v>949132</v>
      </c>
      <c r="M46" s="2345" t="n"/>
      <c r="N46" s="2356" t="n">
        <v>1238350</v>
      </c>
      <c r="O46" s="2356" t="n">
        <v>15839</v>
      </c>
      <c r="P46" s="2356" t="n">
        <v>46438</v>
      </c>
      <c r="Q46" s="2356" t="n">
        <v>3968</v>
      </c>
      <c r="R46" s="2345" t="n"/>
      <c r="S46" s="2356" t="n">
        <v>27292</v>
      </c>
      <c r="T46" s="2356" t="n">
        <v>6577</v>
      </c>
      <c r="U46" s="2345" t="n"/>
      <c r="V46" s="2345" t="n"/>
      <c r="W46" s="2345" t="n"/>
      <c r="X46" s="2356" t="n">
        <v>23213</v>
      </c>
      <c r="Y46" s="2356" t="n">
        <v>61050</v>
      </c>
      <c r="Z46" s="2356" t="n">
        <v>930</v>
      </c>
      <c r="AA46" s="2356" t="n">
        <v>4777</v>
      </c>
      <c r="AB46" s="2356" t="n">
        <v>11271</v>
      </c>
      <c r="AC46" s="2356" t="n">
        <v>16978</v>
      </c>
      <c r="AD46" s="2356" t="n">
        <v>14167</v>
      </c>
      <c r="AE46" s="2356" t="n">
        <v>5593</v>
      </c>
      <c r="AF46" s="2356" t="n">
        <v>19760</v>
      </c>
      <c r="AG46" s="2345" t="n"/>
      <c r="AH46" s="2356" t="n">
        <v>162482</v>
      </c>
      <c r="AI46" s="2356" t="n">
        <v>283603</v>
      </c>
      <c r="AJ46" s="2356" t="n">
        <v>446085</v>
      </c>
      <c r="AK46" s="2356" t="n">
        <v>792265</v>
      </c>
      <c r="AL46" s="2345" t="n"/>
      <c r="AM46" s="2345" t="inlineStr">
        <is>
          <t>Actual accrual; parking sweep in Trash; admin fees in Mgmt</t>
        </is>
      </c>
    </row>
    <row r="47">
      <c r="A47" s="2345" t="inlineStr">
        <is>
          <t>P021</t>
        </is>
      </c>
      <c r="B47" s="2338" t="n">
        <v>210</v>
      </c>
      <c r="C47" s="2345" t="inlineStr">
        <is>
          <t>R0091931</t>
        </is>
      </c>
      <c r="D47" s="2345" t="inlineStr">
        <is>
          <t>6300 E. 58th Ave</t>
        </is>
      </c>
      <c r="E47" s="2345" t="inlineStr">
        <is>
          <t>Commerce City</t>
        </is>
      </c>
      <c r="F47" s="2345" t="inlineStr">
        <is>
          <t>CO</t>
        </is>
      </c>
      <c r="G47" s="2345" t="inlineStr">
        <is>
          <t>Industrial</t>
        </is>
      </c>
      <c r="H47" s="2345" t="inlineStr">
        <is>
          <t>Multi-Tenant Industrial/Flex</t>
        </is>
      </c>
      <c r="I47" s="2345" t="n">
        <v>1999</v>
      </c>
      <c r="J47" s="2345" t="n">
        <v>90000</v>
      </c>
      <c r="K47" s="2345" t="n">
        <v>2024</v>
      </c>
      <c r="L47" s="2356" t="n">
        <v>911911</v>
      </c>
      <c r="M47" s="2345" t="n"/>
      <c r="N47" s="2356" t="n">
        <v>1307178</v>
      </c>
      <c r="O47" s="2356" t="n">
        <v>15815</v>
      </c>
      <c r="P47" s="2356" t="n">
        <v>65253</v>
      </c>
      <c r="Q47" s="2356" t="n">
        <v>620</v>
      </c>
      <c r="R47" s="2345" t="n"/>
      <c r="S47" s="2356" t="n">
        <v>35961</v>
      </c>
      <c r="T47" s="2356" t="n">
        <v>7833</v>
      </c>
      <c r="U47" s="2345" t="n"/>
      <c r="V47" s="2345" t="n"/>
      <c r="W47" s="2345" t="n"/>
      <c r="X47" s="2356" t="n">
        <v>22008</v>
      </c>
      <c r="Y47" s="2356" t="n">
        <v>66422</v>
      </c>
      <c r="Z47" s="2356" t="n">
        <v>1176</v>
      </c>
      <c r="AA47" s="2356" t="n">
        <v>4463</v>
      </c>
      <c r="AB47" s="2356" t="n">
        <v>14953</v>
      </c>
      <c r="AC47" s="2356" t="n">
        <v>20592</v>
      </c>
      <c r="AD47" s="2356" t="n">
        <v>15736</v>
      </c>
      <c r="AE47" s="2356" t="n">
        <v>5731</v>
      </c>
      <c r="AF47" s="2356" t="n">
        <v>21467</v>
      </c>
      <c r="AG47" s="2345" t="n"/>
      <c r="AH47" s="2356" t="n">
        <v>158481</v>
      </c>
      <c r="AI47" s="2356" t="n">
        <v>290988</v>
      </c>
      <c r="AJ47" s="2356" t="n">
        <v>449469</v>
      </c>
      <c r="AK47" s="2356" t="n">
        <v>842728</v>
      </c>
      <c r="AL47" s="2345" t="n"/>
      <c r="AM47" s="2345" t="inlineStr">
        <is>
          <t>Actual accrual; snow $14,953 also listed under ext R&amp;M; security/admin in ext maint</t>
        </is>
      </c>
    </row>
    <row r="48">
      <c r="A48" s="2345" t="inlineStr">
        <is>
          <t>P022</t>
        </is>
      </c>
      <c r="B48" s="2338" t="n">
        <v>210</v>
      </c>
      <c r="C48" s="2345" t="inlineStr">
        <is>
          <t>R0111559</t>
        </is>
      </c>
      <c r="D48" s="2345" t="inlineStr">
        <is>
          <t>3590 N. Himalaya Rd (Bldg 6)</t>
        </is>
      </c>
      <c r="E48" s="2345" t="inlineStr">
        <is>
          <t>Aurora</t>
        </is>
      </c>
      <c r="F48" s="2345" t="inlineStr">
        <is>
          <t>CO</t>
        </is>
      </c>
      <c r="G48" s="2345" t="inlineStr">
        <is>
          <t>Industrial</t>
        </is>
      </c>
      <c r="H48" s="2345" t="inlineStr">
        <is>
          <t>Multi-Tenant Industrial/Flex NNN</t>
        </is>
      </c>
      <c r="I48" s="2345" t="n"/>
      <c r="J48" s="2345" t="n"/>
      <c r="K48" s="2345" t="n">
        <v>2024</v>
      </c>
      <c r="L48" s="2356" t="n">
        <v>548918</v>
      </c>
      <c r="M48" s="2345" t="n"/>
      <c r="N48" s="2356" t="n">
        <v>766859</v>
      </c>
      <c r="O48" s="2356" t="n">
        <v>23025</v>
      </c>
      <c r="P48" s="2345" t="n"/>
      <c r="Q48" s="2345" t="n"/>
      <c r="R48" s="2345" t="n"/>
      <c r="S48" s="2345" t="n"/>
      <c r="T48" s="2345" t="n"/>
      <c r="U48" s="2345" t="n"/>
      <c r="V48" s="2345" t="n"/>
      <c r="W48" s="2345" t="n"/>
      <c r="X48" s="2345" t="n"/>
      <c r="Y48" s="2345" t="n"/>
      <c r="Z48" s="2345" t="n"/>
      <c r="AA48" s="2345" t="n"/>
      <c r="AB48" s="2345" t="n"/>
      <c r="AC48" s="2345" t="n"/>
      <c r="AD48" s="2356" t="n">
        <v>7986</v>
      </c>
      <c r="AE48" s="2356" t="n">
        <v>33669</v>
      </c>
      <c r="AF48" s="2356" t="n">
        <v>41655</v>
      </c>
      <c r="AG48" s="2345" t="n"/>
      <c r="AH48" s="2345" t="n"/>
      <c r="AI48" s="2356" t="n">
        <v>129107</v>
      </c>
      <c r="AJ48" s="2356" t="n">
        <v>250157</v>
      </c>
      <c r="AK48" s="2356" t="n">
        <v>374789</v>
      </c>
      <c r="AL48" s="2345" t="n"/>
      <c r="AM48" s="2345" t="inlineStr">
        <is>
          <t>2024 only – 2023 was transitional vacancy year; SF not confirmed; approx figures</t>
        </is>
      </c>
    </row>
    <row r="49">
      <c r="A49" s="2345" t="inlineStr">
        <is>
          <t>P023</t>
        </is>
      </c>
      <c r="B49" s="2338" t="n">
        <v>407</v>
      </c>
      <c r="C49" s="2345" t="inlineStr">
        <is>
          <t>R0191098</t>
        </is>
      </c>
      <c r="D49" s="2345" t="inlineStr">
        <is>
          <t>19754 E. 35th Dr (Bldg 4)</t>
        </is>
      </c>
      <c r="E49" s="2345" t="inlineStr">
        <is>
          <t>Aurora</t>
        </is>
      </c>
      <c r="F49" s="2345" t="inlineStr">
        <is>
          <t>CO</t>
        </is>
      </c>
      <c r="G49" s="2345" t="inlineStr">
        <is>
          <t>Industrial</t>
        </is>
      </c>
      <c r="H49" s="2345" t="inlineStr">
        <is>
          <t>Single-Tenant Industrial NNN</t>
        </is>
      </c>
      <c r="I49" s="2345" t="n"/>
      <c r="J49" s="2345" t="n">
        <v>155033</v>
      </c>
      <c r="K49" s="2345" t="n">
        <v>2023</v>
      </c>
      <c r="L49" s="2356" t="n">
        <v>969912</v>
      </c>
      <c r="M49" s="2345" t="n"/>
      <c r="N49" s="2356" t="n">
        <v>968340</v>
      </c>
      <c r="O49" s="2356" t="n">
        <v>20444</v>
      </c>
      <c r="P49" s="2356" t="n">
        <v>29946</v>
      </c>
      <c r="Q49" s="2345" t="n"/>
      <c r="R49" s="2345" t="n"/>
      <c r="S49" s="2345" t="n"/>
      <c r="T49" s="2345" t="n"/>
      <c r="U49" s="2345" t="n"/>
      <c r="V49" s="2345" t="n"/>
      <c r="W49" s="2345" t="n"/>
      <c r="X49" s="2345" t="n"/>
      <c r="Y49" s="2345" t="n"/>
      <c r="Z49" s="2345" t="n"/>
      <c r="AA49" s="2356" t="n">
        <v>3990</v>
      </c>
      <c r="AB49" s="2345" t="n"/>
      <c r="AC49" s="2345" t="n"/>
      <c r="AD49" s="2356" t="n">
        <v>37966</v>
      </c>
      <c r="AE49" s="2356" t="n">
        <v>13715</v>
      </c>
      <c r="AF49" s="2356" t="n">
        <v>51681</v>
      </c>
      <c r="AG49" s="2345" t="n"/>
      <c r="AH49" s="2356" t="n">
        <v>295391</v>
      </c>
      <c r="AI49" s="2356" t="n">
        <v>92518</v>
      </c>
      <c r="AJ49" s="2356" t="n">
        <v>387909</v>
      </c>
      <c r="AK49" s="2356" t="n">
        <v>580431</v>
      </c>
      <c r="AL49" s="2345" t="n"/>
      <c r="AM49" s="2345" t="inlineStr">
        <is>
          <t>NNN; tenant pays most R&amp;M directly; Quality Custom Distribution lease thru 12/31/2029</t>
        </is>
      </c>
    </row>
    <row r="50">
      <c r="A50" s="2345" t="inlineStr">
        <is>
          <t>P023</t>
        </is>
      </c>
      <c r="B50" s="2338" t="n">
        <v>407</v>
      </c>
      <c r="C50" s="2345" t="inlineStr">
        <is>
          <t>R0191098</t>
        </is>
      </c>
      <c r="D50" s="2345" t="inlineStr">
        <is>
          <t>19754 E. 35th Dr (Bldg 4)</t>
        </is>
      </c>
      <c r="E50" s="2345" t="inlineStr">
        <is>
          <t>Aurora</t>
        </is>
      </c>
      <c r="F50" s="2345" t="inlineStr">
        <is>
          <t>CO</t>
        </is>
      </c>
      <c r="G50" s="2345" t="inlineStr">
        <is>
          <t>Industrial</t>
        </is>
      </c>
      <c r="H50" s="2345" t="inlineStr">
        <is>
          <t>Single-Tenant Industrial NNN</t>
        </is>
      </c>
      <c r="I50" s="2345" t="n"/>
      <c r="J50" s="2345" t="n">
        <v>155033</v>
      </c>
      <c r="K50" s="2345" t="n">
        <v>2024</v>
      </c>
      <c r="L50" s="2356" t="n">
        <v>1011167</v>
      </c>
      <c r="M50" s="2345" t="n"/>
      <c r="N50" s="2356" t="n">
        <v>1011168</v>
      </c>
      <c r="O50" s="2356" t="n">
        <v>28366</v>
      </c>
      <c r="P50" s="2356" t="n">
        <v>29365</v>
      </c>
      <c r="Q50" s="2345" t="n"/>
      <c r="R50" s="2345" t="n"/>
      <c r="S50" s="2345" t="n"/>
      <c r="T50" s="2345" t="n"/>
      <c r="U50" s="2345" t="n"/>
      <c r="V50" s="2345" t="n"/>
      <c r="W50" s="2345" t="n"/>
      <c r="X50" s="2345" t="n"/>
      <c r="Y50" s="2345" t="n"/>
      <c r="Z50" s="2345" t="n"/>
      <c r="AA50" s="2345" t="n"/>
      <c r="AB50" s="2345" t="n"/>
      <c r="AC50" s="2345" t="n"/>
      <c r="AD50" s="2356" t="n">
        <v>36662</v>
      </c>
      <c r="AE50" s="2356" t="n">
        <v>27344</v>
      </c>
      <c r="AF50" s="2356" t="n">
        <v>64006</v>
      </c>
      <c r="AG50" s="2345" t="n"/>
      <c r="AH50" s="2356" t="n">
        <v>264833</v>
      </c>
      <c r="AI50" s="2356" t="n">
        <v>120903</v>
      </c>
      <c r="AJ50" s="2356" t="n">
        <v>385736</v>
      </c>
      <c r="AK50" s="2356" t="n">
        <v>625432</v>
      </c>
      <c r="AL50" s="2345" t="n"/>
      <c r="AM50" s="2345" t="inlineStr">
        <is>
          <t>NNN; tenant pays most R&amp;M directly</t>
        </is>
      </c>
    </row>
    <row r="51">
      <c r="A51" s="2345" t="inlineStr">
        <is>
          <t>P024</t>
        </is>
      </c>
      <c r="B51" s="2338" t="n">
        <v>407</v>
      </c>
      <c r="C51" s="2345" t="inlineStr">
        <is>
          <t>R0111560</t>
        </is>
      </c>
      <c r="D51" s="2345" t="inlineStr">
        <is>
          <t>20320 E. 36th Dr (Bldg 7)</t>
        </is>
      </c>
      <c r="E51" s="2345" t="inlineStr">
        <is>
          <t>Aurora</t>
        </is>
      </c>
      <c r="F51" s="2345" t="inlineStr">
        <is>
          <t>CO</t>
        </is>
      </c>
      <c r="G51" s="2345" t="inlineStr">
        <is>
          <t>Industrial</t>
        </is>
      </c>
      <c r="H51" s="2345" t="inlineStr">
        <is>
          <t>Single-Tenant Industrial NNN</t>
        </is>
      </c>
      <c r="I51" s="2345" t="n"/>
      <c r="J51" s="2345" t="n">
        <v>200000</v>
      </c>
      <c r="K51" s="2345" t="n">
        <v>2023</v>
      </c>
      <c r="L51" s="2356" t="n">
        <v>1391167</v>
      </c>
      <c r="M51" s="2345" t="n"/>
      <c r="N51" s="2356" t="n">
        <v>1357167</v>
      </c>
      <c r="O51" s="2356" t="n">
        <v>4008</v>
      </c>
      <c r="P51" s="2345" t="n"/>
      <c r="Q51" s="2345" t="n"/>
      <c r="R51" s="2345" t="n"/>
      <c r="S51" s="2345" t="n"/>
      <c r="T51" s="2345" t="n"/>
      <c r="U51" s="2345" t="n"/>
      <c r="V51" s="2345" t="n"/>
      <c r="W51" s="2345" t="n"/>
      <c r="X51" s="2345" t="n"/>
      <c r="Y51" s="2345" t="n"/>
      <c r="Z51" s="2345" t="n"/>
      <c r="AA51" s="2345" t="n"/>
      <c r="AB51" s="2345" t="n"/>
      <c r="AC51" s="2345" t="n"/>
      <c r="AD51" s="2345" t="n"/>
      <c r="AE51" s="2356" t="n">
        <v>2419</v>
      </c>
      <c r="AF51" s="2356" t="n">
        <v>2419</v>
      </c>
      <c r="AG51" s="2345" t="n"/>
      <c r="AH51" s="2356" t="n">
        <v>235792</v>
      </c>
      <c r="AI51" s="2356" t="n">
        <v>3481</v>
      </c>
      <c r="AJ51" s="2356" t="n">
        <v>239273</v>
      </c>
      <c r="AK51" s="2356" t="n">
        <v>1117893</v>
      </c>
      <c r="AL51" s="2345" t="n"/>
      <c r="AM51" s="2345" t="inlineStr">
        <is>
          <t>FedEx NNN thru 4/30/2024; tenant pays nearly all expenses; 2024 excluded (lease expiry vacancy)</t>
        </is>
      </c>
    </row>
    <row r="52">
      <c r="A52" s="2345" t="inlineStr">
        <is>
          <t>P025</t>
        </is>
      </c>
      <c r="B52" s="2338" t="n">
        <v>210</v>
      </c>
      <c r="C52" s="2345" t="inlineStr">
        <is>
          <t>R0191099</t>
        </is>
      </c>
      <c r="D52" s="2345" t="inlineStr">
        <is>
          <t>3559 N. Himalaya Rd (Bldg 5)</t>
        </is>
      </c>
      <c r="E52" s="2345" t="inlineStr">
        <is>
          <t>Aurora</t>
        </is>
      </c>
      <c r="F52" s="2345" t="inlineStr">
        <is>
          <t>CO</t>
        </is>
      </c>
      <c r="G52" s="2345" t="inlineStr">
        <is>
          <t>Industrial</t>
        </is>
      </c>
      <c r="H52" s="2345" t="inlineStr">
        <is>
          <t>Multi-Tenant Industrial NNN</t>
        </is>
      </c>
      <c r="I52" s="2345" t="n"/>
      <c r="J52" s="2345" t="n">
        <v>159047</v>
      </c>
      <c r="K52" s="2345" t="n">
        <v>2023</v>
      </c>
      <c r="L52" s="2345" t="n"/>
      <c r="M52" s="2345" t="n"/>
      <c r="N52" s="2356" t="n">
        <v>2146251</v>
      </c>
      <c r="O52" s="2345" t="n"/>
      <c r="P52" s="2356" t="n">
        <v>5837</v>
      </c>
      <c r="Q52" s="2345" t="n"/>
      <c r="R52" s="2345" t="n"/>
      <c r="S52" s="2345" t="n"/>
      <c r="T52" s="2345" t="n"/>
      <c r="U52" s="2345" t="n"/>
      <c r="V52" s="2345" t="n"/>
      <c r="W52" s="2345" t="n"/>
      <c r="X52" s="2345" t="n"/>
      <c r="Y52" s="2345" t="n"/>
      <c r="Z52" s="2345" t="n"/>
      <c r="AA52" s="2345" t="n"/>
      <c r="AB52" s="2356" t="n">
        <v>2813</v>
      </c>
      <c r="AC52" s="2345" t="n"/>
      <c r="AD52" s="2345" t="n"/>
      <c r="AE52" s="2345" t="n"/>
      <c r="AF52" s="2345" t="n"/>
      <c r="AG52" s="2345" t="n"/>
      <c r="AH52" s="2345" t="n"/>
      <c r="AI52" s="2345" t="n"/>
      <c r="AJ52" s="2356" t="n">
        <v>1015103</v>
      </c>
      <c r="AK52" s="2356" t="n">
        <v>1131148</v>
      </c>
      <c r="AL52" s="2345" t="n"/>
      <c r="AM52" s="2345" t="inlineStr">
        <is>
          <t>Multi-tenant NNN; limited expense detail available; approx figures</t>
        </is>
      </c>
    </row>
    <row r="53">
      <c r="A53" s="2345" t="inlineStr">
        <is>
          <t>P025</t>
        </is>
      </c>
      <c r="B53" s="2338" t="n">
        <v>210</v>
      </c>
      <c r="C53" s="2345" t="inlineStr">
        <is>
          <t>R0191099</t>
        </is>
      </c>
      <c r="D53" s="2345" t="inlineStr">
        <is>
          <t>3559 N. Himalaya Rd (Bldg 5)</t>
        </is>
      </c>
      <c r="E53" s="2345" t="inlineStr">
        <is>
          <t>Aurora</t>
        </is>
      </c>
      <c r="F53" s="2345" t="inlineStr">
        <is>
          <t>CO</t>
        </is>
      </c>
      <c r="G53" s="2345" t="inlineStr">
        <is>
          <t>Industrial</t>
        </is>
      </c>
      <c r="H53" s="2345" t="inlineStr">
        <is>
          <t>Multi-Tenant Industrial NNN</t>
        </is>
      </c>
      <c r="I53" s="2345" t="n"/>
      <c r="J53" s="2345" t="n">
        <v>159047</v>
      </c>
      <c r="K53" s="2345" t="n">
        <v>2024</v>
      </c>
      <c r="L53" s="2345" t="n"/>
      <c r="M53" s="2345" t="n"/>
      <c r="N53" s="2356" t="n">
        <v>2148251</v>
      </c>
      <c r="O53" s="2345" t="n"/>
      <c r="P53" s="2345" t="n"/>
      <c r="Q53" s="2345" t="n"/>
      <c r="R53" s="2345" t="n"/>
      <c r="S53" s="2345" t="n"/>
      <c r="T53" s="2345" t="n"/>
      <c r="U53" s="2345" t="n"/>
      <c r="V53" s="2345" t="n"/>
      <c r="W53" s="2345" t="n"/>
      <c r="X53" s="2345" t="n"/>
      <c r="Y53" s="2345" t="n"/>
      <c r="Z53" s="2345" t="n"/>
      <c r="AA53" s="2345" t="n"/>
      <c r="AB53" s="2356" t="n">
        <v>2813</v>
      </c>
      <c r="AC53" s="2345" t="n"/>
      <c r="AD53" s="2345" t="n"/>
      <c r="AE53" s="2345" t="n"/>
      <c r="AF53" s="2345" t="n"/>
      <c r="AG53" s="2345" t="n"/>
      <c r="AH53" s="2345" t="n"/>
      <c r="AI53" s="2345" t="n"/>
      <c r="AJ53" s="2356" t="n">
        <v>1176766</v>
      </c>
      <c r="AK53" s="2356" t="n">
        <v>971485</v>
      </c>
      <c r="AL53" s="2345" t="n"/>
      <c r="AM53" s="2345" t="inlineStr">
        <is>
          <t>Multi-tenant NNN; limited expense detail available; approx figures</t>
        </is>
      </c>
    </row>
    <row r="54">
      <c r="A54" s="2345" t="inlineStr">
        <is>
          <t>P026</t>
        </is>
      </c>
      <c r="B54" s="2338" t="n">
        <v>406</v>
      </c>
      <c r="C54" s="2345" t="inlineStr">
        <is>
          <t>R0092667</t>
        </is>
      </c>
      <c r="D54" s="2345" t="inlineStr">
        <is>
          <t>4901 Locust St</t>
        </is>
      </c>
      <c r="E54" s="2345" t="inlineStr">
        <is>
          <t>Commerce City</t>
        </is>
      </c>
      <c r="F54" s="2345" t="inlineStr">
        <is>
          <t>CO</t>
        </is>
      </c>
      <c r="G54" s="2345" t="inlineStr">
        <is>
          <t>Industrial</t>
        </is>
      </c>
      <c r="H54" s="2345" t="inlineStr">
        <is>
          <t>Industrial Warehouse</t>
        </is>
      </c>
      <c r="I54" s="2345" t="n"/>
      <c r="J54" s="2345" t="n">
        <v>29512</v>
      </c>
      <c r="K54" s="2345" t="n">
        <v>2024</v>
      </c>
      <c r="L54" s="2345" t="n"/>
      <c r="M54" s="2345" t="n"/>
      <c r="N54" s="2356" t="n">
        <v>419456</v>
      </c>
      <c r="O54" s="2356" t="n">
        <v>4427</v>
      </c>
      <c r="P54" s="2356" t="n">
        <v>10486</v>
      </c>
      <c r="Q54" s="2345" t="n"/>
      <c r="R54" s="2345" t="n"/>
      <c r="S54" s="2345" t="n"/>
      <c r="T54" s="2345" t="n"/>
      <c r="U54" s="2345" t="n"/>
      <c r="V54" s="2345" t="n"/>
      <c r="W54" s="2345" t="n"/>
      <c r="X54" s="2356" t="n">
        <v>16232</v>
      </c>
      <c r="Y54" s="2356" t="n">
        <v>16232</v>
      </c>
      <c r="Z54" s="2345" t="n"/>
      <c r="AA54" s="2345" t="n"/>
      <c r="AB54" s="2345" t="n"/>
      <c r="AC54" s="2345" t="n"/>
      <c r="AD54" s="2345" t="n"/>
      <c r="AE54" s="2345" t="n"/>
      <c r="AF54" s="2356" t="n">
        <v>7378</v>
      </c>
      <c r="AG54" s="2356" t="n">
        <v>14756</v>
      </c>
      <c r="AH54" s="2356" t="n">
        <v>59181</v>
      </c>
      <c r="AI54" s="2356" t="n">
        <v>97831</v>
      </c>
      <c r="AJ54" s="2356" t="n">
        <v>157012</v>
      </c>
      <c r="AK54" s="2356" t="n">
        <v>262444</v>
      </c>
      <c r="AL54" s="2356" t="n">
        <v>5902</v>
      </c>
      <c r="AM54" s="2345" t="inlineStr">
        <is>
          <t>Newmark stabilized proforma 6/30/2024; cap rate 7.00%; not actual historical</t>
        </is>
      </c>
    </row>
    <row r="55">
      <c r="A55" s="2345" t="inlineStr">
        <is>
          <t>P022</t>
        </is>
      </c>
      <c r="B55" s="2338" t="n">
        <v>210</v>
      </c>
      <c r="C55" s="2345" t="inlineStr">
        <is>
          <t>R0111559</t>
        </is>
      </c>
      <c r="D55" s="2345" t="inlineStr">
        <is>
          <t>3590 N. Himalaya Rd (Bldg 6)</t>
        </is>
      </c>
      <c r="E55" s="2345" t="inlineStr">
        <is>
          <t>Aurora</t>
        </is>
      </c>
      <c r="F55" s="2345" t="inlineStr">
        <is>
          <t>CO</t>
        </is>
      </c>
      <c r="G55" s="2345" t="inlineStr">
        <is>
          <t>Industrial</t>
        </is>
      </c>
      <c r="H55" s="2345" t="inlineStr">
        <is>
          <t>Multi-Tenant Industrial/Flex NNN</t>
        </is>
      </c>
      <c r="I55" s="2345" t="n">
        <v>1998</v>
      </c>
      <c r="J55" s="2345" t="n">
        <v>123603</v>
      </c>
      <c r="K55" s="2345" t="n">
        <v>2021</v>
      </c>
      <c r="L55" s="2345" t="n"/>
      <c r="M55" s="2345" t="n"/>
      <c r="N55" s="2345" t="n"/>
      <c r="O55" s="2356" t="n">
        <v>10376</v>
      </c>
      <c r="P55" s="2356" t="n">
        <v>43384</v>
      </c>
      <c r="Q55" s="2345" t="n"/>
      <c r="R55" s="2345" t="n"/>
      <c r="S55" s="2345" t="n"/>
      <c r="T55" s="2345" t="n"/>
      <c r="U55" s="2345" t="n"/>
      <c r="V55" s="2345" t="n"/>
      <c r="W55" s="2345" t="n"/>
      <c r="X55" s="2345" t="n"/>
      <c r="Y55" s="2345" t="n"/>
      <c r="Z55" s="2345" t="n"/>
      <c r="AA55" s="2345" t="n"/>
      <c r="AB55" s="2345" t="n"/>
      <c r="AC55" s="2356" t="n">
        <v>88626</v>
      </c>
      <c r="AD55" s="2345" t="n"/>
      <c r="AE55" s="2345" t="n"/>
      <c r="AF55" s="2356" t="n">
        <v>37062</v>
      </c>
      <c r="AG55" s="2345" t="n"/>
      <c r="AH55" s="2356" t="n">
        <v>179448</v>
      </c>
      <c r="AI55" s="2356" t="n">
        <v>289126</v>
      </c>
      <c r="AJ55" s="2356" t="n">
        <v>468574</v>
      </c>
      <c r="AK55" s="2345" t="n"/>
      <c r="AL55" s="2345" t="n"/>
      <c r="AM55" s="2345" t="inlineStr">
        <is>
          <t>NNN landlord expenses only; from AXG Whse Expenses PSF.xlsx</t>
        </is>
      </c>
    </row>
    <row r="56">
      <c r="A56" s="2345" t="inlineStr">
        <is>
          <t>P022</t>
        </is>
      </c>
      <c r="B56" s="2338" t="n">
        <v>210</v>
      </c>
      <c r="C56" s="2345" t="inlineStr">
        <is>
          <t>R0111559</t>
        </is>
      </c>
      <c r="D56" s="2345" t="inlineStr">
        <is>
          <t>3590 N. Himalaya Rd (Bldg 6)</t>
        </is>
      </c>
      <c r="E56" s="2345" t="inlineStr">
        <is>
          <t>Aurora</t>
        </is>
      </c>
      <c r="F56" s="2345" t="inlineStr">
        <is>
          <t>CO</t>
        </is>
      </c>
      <c r="G56" s="2345" t="inlineStr">
        <is>
          <t>Industrial</t>
        </is>
      </c>
      <c r="H56" s="2345" t="inlineStr">
        <is>
          <t>Multi-Tenant Industrial/Flex NNN</t>
        </is>
      </c>
      <c r="I56" s="2345" t="n">
        <v>1998</v>
      </c>
      <c r="J56" s="2345" t="n">
        <v>123603</v>
      </c>
      <c r="K56" s="2345" t="n">
        <v>2022</v>
      </c>
      <c r="L56" s="2345" t="n"/>
      <c r="M56" s="2345" t="n"/>
      <c r="N56" s="2345" t="n"/>
      <c r="O56" s="2356" t="n">
        <v>11039</v>
      </c>
      <c r="P56" s="2356" t="n">
        <v>39811</v>
      </c>
      <c r="Q56" s="2345" t="n"/>
      <c r="R56" s="2345" t="n"/>
      <c r="S56" s="2345" t="n"/>
      <c r="T56" s="2345" t="n"/>
      <c r="U56" s="2345" t="n"/>
      <c r="V56" s="2345" t="n"/>
      <c r="W56" s="2345" t="n"/>
      <c r="X56" s="2345" t="n"/>
      <c r="Y56" s="2345" t="n"/>
      <c r="Z56" s="2345" t="n"/>
      <c r="AA56" s="2345" t="n"/>
      <c r="AB56" s="2345" t="n"/>
      <c r="AC56" s="2356" t="n">
        <v>91945</v>
      </c>
      <c r="AD56" s="2345" t="n"/>
      <c r="AE56" s="2345" t="n"/>
      <c r="AF56" s="2356" t="n">
        <v>38461</v>
      </c>
      <c r="AG56" s="2345" t="n"/>
      <c r="AH56" s="2356" t="n">
        <v>181256</v>
      </c>
      <c r="AI56" s="2356" t="n">
        <v>318845</v>
      </c>
      <c r="AJ56" s="2356" t="n">
        <v>500101</v>
      </c>
      <c r="AK56" s="2345" t="n"/>
      <c r="AL56" s="2345" t="n"/>
      <c r="AM56" s="2345" t="inlineStr">
        <is>
          <t>NNN landlord expenses only; from AXG Whse Expenses PSF.xlsx</t>
        </is>
      </c>
    </row>
    <row r="57">
      <c r="A57" s="2345" t="inlineStr">
        <is>
          <t>P024</t>
        </is>
      </c>
      <c r="B57" s="2338" t="n">
        <v>407</v>
      </c>
      <c r="C57" s="2345" t="inlineStr">
        <is>
          <t>R0111560</t>
        </is>
      </c>
      <c r="D57" s="2345" t="inlineStr">
        <is>
          <t>20320 E. 36th Dr (Bldg 7)</t>
        </is>
      </c>
      <c r="E57" s="2345" t="inlineStr">
        <is>
          <t>Aurora</t>
        </is>
      </c>
      <c r="F57" s="2345" t="inlineStr">
        <is>
          <t>CO</t>
        </is>
      </c>
      <c r="G57" s="2345" t="inlineStr">
        <is>
          <t>Industrial</t>
        </is>
      </c>
      <c r="H57" s="2345" t="inlineStr">
        <is>
          <t>Single-Tenant Industrial NNN</t>
        </is>
      </c>
      <c r="I57" s="2345" t="n">
        <v>1998</v>
      </c>
      <c r="J57" s="2345" t="n">
        <v>199962</v>
      </c>
      <c r="K57" s="2345" t="n">
        <v>2019</v>
      </c>
      <c r="L57" s="2345" t="n"/>
      <c r="M57" s="2345" t="n"/>
      <c r="N57" s="2345" t="n"/>
      <c r="O57" s="2356" t="n">
        <v>8457</v>
      </c>
      <c r="P57" s="2356" t="n">
        <v>26194</v>
      </c>
      <c r="Q57" s="2345" t="n"/>
      <c r="R57" s="2345" t="n"/>
      <c r="S57" s="2345" t="n"/>
      <c r="T57" s="2345" t="n"/>
      <c r="U57" s="2345" t="n"/>
      <c r="V57" s="2345" t="n"/>
      <c r="W57" s="2345" t="n"/>
      <c r="X57" s="2345" t="n"/>
      <c r="Y57" s="2345" t="n"/>
      <c r="Z57" s="2345" t="n"/>
      <c r="AA57" s="2345" t="n"/>
      <c r="AB57" s="2345" t="n"/>
      <c r="AC57" s="2356" t="n">
        <v>261694</v>
      </c>
      <c r="AD57" s="2345" t="n"/>
      <c r="AE57" s="2345" t="n"/>
      <c r="AF57" s="2345" t="n"/>
      <c r="AG57" s="2345" t="n"/>
      <c r="AH57" s="2356" t="n">
        <v>296345</v>
      </c>
      <c r="AI57" s="2356" t="n">
        <v>494719</v>
      </c>
      <c r="AJ57" s="2356" t="n">
        <v>791064</v>
      </c>
      <c r="AK57" s="2345" t="n"/>
      <c r="AL57" s="2345" t="n"/>
      <c r="AM57" s="2345" t="inlineStr">
        <is>
          <t>NNN landlord expenses only; from AXG Whse Expenses PSF.xlsx</t>
        </is>
      </c>
    </row>
    <row r="58">
      <c r="A58" s="2345" t="inlineStr">
        <is>
          <t>P024</t>
        </is>
      </c>
      <c r="B58" s="2338" t="n">
        <v>407</v>
      </c>
      <c r="C58" s="2345" t="inlineStr">
        <is>
          <t>R0111560</t>
        </is>
      </c>
      <c r="D58" s="2345" t="inlineStr">
        <is>
          <t>20320 E. 36th Dr (Bldg 7)</t>
        </is>
      </c>
      <c r="E58" s="2345" t="inlineStr">
        <is>
          <t>Aurora</t>
        </is>
      </c>
      <c r="F58" s="2345" t="inlineStr">
        <is>
          <t>CO</t>
        </is>
      </c>
      <c r="G58" s="2345" t="inlineStr">
        <is>
          <t>Industrial</t>
        </is>
      </c>
      <c r="H58" s="2345" t="inlineStr">
        <is>
          <t>Single-Tenant Industrial NNN</t>
        </is>
      </c>
      <c r="I58" s="2345" t="n">
        <v>1998</v>
      </c>
      <c r="J58" s="2345" t="n">
        <v>199962</v>
      </c>
      <c r="K58" s="2345" t="n">
        <v>2020</v>
      </c>
      <c r="L58" s="2345" t="n"/>
      <c r="M58" s="2345" t="n"/>
      <c r="N58" s="2345" t="n"/>
      <c r="O58" s="2356" t="n">
        <v>9678</v>
      </c>
      <c r="P58" s="2356" t="n">
        <v>26625</v>
      </c>
      <c r="Q58" s="2345" t="n"/>
      <c r="R58" s="2345" t="n"/>
      <c r="S58" s="2345" t="n"/>
      <c r="T58" s="2345" t="n"/>
      <c r="U58" s="2345" t="n"/>
      <c r="V58" s="2345" t="n"/>
      <c r="W58" s="2345" t="n"/>
      <c r="X58" s="2345" t="n"/>
      <c r="Y58" s="2345" t="n"/>
      <c r="Z58" s="2345" t="n"/>
      <c r="AA58" s="2345" t="n"/>
      <c r="AB58" s="2345" t="n"/>
      <c r="AC58" s="2356" t="n">
        <v>144817</v>
      </c>
      <c r="AD58" s="2345" t="n"/>
      <c r="AE58" s="2345" t="n"/>
      <c r="AF58" s="2345" t="n"/>
      <c r="AG58" s="2345" t="n"/>
      <c r="AH58" s="2356" t="n">
        <v>181120</v>
      </c>
      <c r="AI58" s="2356" t="n">
        <v>415592</v>
      </c>
      <c r="AJ58" s="2356" t="n">
        <v>596712</v>
      </c>
      <c r="AK58" s="2345" t="n"/>
      <c r="AL58" s="2345" t="n"/>
      <c r="AM58" s="2345" t="inlineStr">
        <is>
          <t>NNN landlord expenses only; from AXG Whse Expenses PSF.xlsx</t>
        </is>
      </c>
    </row>
    <row r="59">
      <c r="A59" s="2345" t="inlineStr">
        <is>
          <t>P025</t>
        </is>
      </c>
      <c r="B59" s="2338" t="n">
        <v>210</v>
      </c>
      <c r="C59" s="2345" t="inlineStr">
        <is>
          <t>R0191099</t>
        </is>
      </c>
      <c r="D59" s="2345" t="inlineStr">
        <is>
          <t>3559 N. Himalaya Rd (Bldg 5)</t>
        </is>
      </c>
      <c r="E59" s="2345" t="inlineStr">
        <is>
          <t>Aurora</t>
        </is>
      </c>
      <c r="F59" s="2345" t="inlineStr">
        <is>
          <t>CO</t>
        </is>
      </c>
      <c r="G59" s="2345" t="inlineStr">
        <is>
          <t>Industrial</t>
        </is>
      </c>
      <c r="H59" s="2345" t="inlineStr">
        <is>
          <t>Multi-Tenant Industrial NNN</t>
        </is>
      </c>
      <c r="I59" s="2345" t="n">
        <v>2017</v>
      </c>
      <c r="J59" s="2345" t="n">
        <v>159047</v>
      </c>
      <c r="K59" s="2345" t="n">
        <v>2021</v>
      </c>
      <c r="L59" s="2345" t="n"/>
      <c r="M59" s="2345" t="n"/>
      <c r="N59" s="2345" t="n"/>
      <c r="O59" s="2356" t="n">
        <v>15209</v>
      </c>
      <c r="P59" s="2356" t="n">
        <v>53747</v>
      </c>
      <c r="Q59" s="2345" t="n"/>
      <c r="R59" s="2345" t="n"/>
      <c r="S59" s="2345" t="n"/>
      <c r="T59" s="2345" t="n"/>
      <c r="U59" s="2345" t="n"/>
      <c r="V59" s="2345" t="n"/>
      <c r="W59" s="2345" t="n"/>
      <c r="X59" s="2345" t="n"/>
      <c r="Y59" s="2345" t="n"/>
      <c r="Z59" s="2345" t="n"/>
      <c r="AA59" s="2345" t="n"/>
      <c r="AB59" s="2345" t="n"/>
      <c r="AC59" s="2356" t="n">
        <v>59915</v>
      </c>
      <c r="AD59" s="2345" t="n"/>
      <c r="AE59" s="2345" t="n"/>
      <c r="AF59" s="2356" t="n">
        <v>46324</v>
      </c>
      <c r="AG59" s="2345" t="n"/>
      <c r="AH59" s="2356" t="n">
        <v>175195</v>
      </c>
      <c r="AI59" s="2356" t="n">
        <v>554960</v>
      </c>
      <c r="AJ59" s="2356" t="n">
        <v>730155</v>
      </c>
      <c r="AK59" s="2345" t="n"/>
      <c r="AL59" s="2345" t="n"/>
      <c r="AM59" s="2345" t="inlineStr">
        <is>
          <t>NNN landlord expenses only; from AXG Whse Expenses PSF.xlsx</t>
        </is>
      </c>
    </row>
    <row r="60">
      <c r="A60" s="2345" t="inlineStr">
        <is>
          <t>P025</t>
        </is>
      </c>
      <c r="B60" s="2338" t="n">
        <v>210</v>
      </c>
      <c r="C60" s="2345" t="inlineStr">
        <is>
          <t>R0191099</t>
        </is>
      </c>
      <c r="D60" s="2345" t="inlineStr">
        <is>
          <t>3559 N. Himalaya Rd (Bldg 5)</t>
        </is>
      </c>
      <c r="E60" s="2345" t="inlineStr">
        <is>
          <t>Aurora</t>
        </is>
      </c>
      <c r="F60" s="2345" t="inlineStr">
        <is>
          <t>CO</t>
        </is>
      </c>
      <c r="G60" s="2345" t="inlineStr">
        <is>
          <t>Industrial</t>
        </is>
      </c>
      <c r="H60" s="2345" t="inlineStr">
        <is>
          <t>Multi-Tenant Industrial NNN</t>
        </is>
      </c>
      <c r="I60" s="2345" t="n">
        <v>2017</v>
      </c>
      <c r="J60" s="2345" t="n">
        <v>159047</v>
      </c>
      <c r="K60" s="2345" t="n">
        <v>2022</v>
      </c>
      <c r="L60" s="2345" t="n"/>
      <c r="M60" s="2345" t="n"/>
      <c r="N60" s="2345" t="n"/>
      <c r="O60" s="2356" t="n">
        <v>16181</v>
      </c>
      <c r="P60" s="2356" t="n">
        <v>49338</v>
      </c>
      <c r="Q60" s="2345" t="n"/>
      <c r="R60" s="2345" t="n"/>
      <c r="S60" s="2345" t="n"/>
      <c r="T60" s="2345" t="n"/>
      <c r="U60" s="2345" t="n"/>
      <c r="V60" s="2345" t="n"/>
      <c r="W60" s="2345" t="n"/>
      <c r="X60" s="2345" t="n"/>
      <c r="Y60" s="2345" t="n"/>
      <c r="Z60" s="2345" t="n"/>
      <c r="AA60" s="2345" t="n"/>
      <c r="AB60" s="2345" t="n"/>
      <c r="AC60" s="2356" t="n">
        <v>53323</v>
      </c>
      <c r="AD60" s="2345" t="n"/>
      <c r="AE60" s="2345" t="n"/>
      <c r="AF60" s="2356" t="n">
        <v>51404</v>
      </c>
      <c r="AG60" s="2345" t="n"/>
      <c r="AH60" s="2356" t="n">
        <v>170246</v>
      </c>
      <c r="AI60" s="2356" t="n">
        <v>468848</v>
      </c>
      <c r="AJ60" s="2356" t="n">
        <v>639094</v>
      </c>
      <c r="AK60" s="2345" t="n"/>
      <c r="AL60" s="2345" t="n"/>
      <c r="AM60" s="2345" t="inlineStr">
        <is>
          <t>NNN landlord expenses only; from AXG Whse Expenses PSF.xlsx</t>
        </is>
      </c>
    </row>
    <row r="61">
      <c r="A61" s="2345" t="inlineStr">
        <is>
          <t>P027</t>
        </is>
      </c>
      <c r="B61" s="2338" t="n">
        <v>407</v>
      </c>
      <c r="C61" s="2345" t="inlineStr">
        <is>
          <t>R0132030</t>
        </is>
      </c>
      <c r="D61" s="2345" t="inlineStr">
        <is>
          <t>Majestic Commercenter (R0132030)</t>
        </is>
      </c>
      <c r="E61" s="2345" t="inlineStr">
        <is>
          <t>Commerce City</t>
        </is>
      </c>
      <c r="F61" s="2345" t="inlineStr">
        <is>
          <t>CO</t>
        </is>
      </c>
      <c r="G61" s="2345" t="inlineStr">
        <is>
          <t>Industrial</t>
        </is>
      </c>
      <c r="H61" s="2345" t="inlineStr">
        <is>
          <t>Warehouse NNN</t>
        </is>
      </c>
      <c r="I61" s="2345" t="n">
        <v>2001</v>
      </c>
      <c r="J61" s="2345" t="n">
        <v>200094</v>
      </c>
      <c r="K61" s="2345" t="n">
        <v>2021</v>
      </c>
      <c r="L61" s="2345" t="n"/>
      <c r="M61" s="2345" t="n"/>
      <c r="N61" s="2345" t="n"/>
      <c r="O61" s="2356" t="n">
        <v>14313</v>
      </c>
      <c r="P61" s="2356" t="n">
        <v>53036</v>
      </c>
      <c r="Q61" s="2345" t="n"/>
      <c r="R61" s="2345" t="n"/>
      <c r="S61" s="2345" t="n"/>
      <c r="T61" s="2345" t="n"/>
      <c r="U61" s="2345" t="n"/>
      <c r="V61" s="2345" t="n"/>
      <c r="W61" s="2345" t="n"/>
      <c r="X61" s="2345" t="n"/>
      <c r="Y61" s="2345" t="n"/>
      <c r="Z61" s="2345" t="n"/>
      <c r="AA61" s="2345" t="n"/>
      <c r="AB61" s="2345" t="n"/>
      <c r="AC61" s="2356" t="n">
        <v>98037</v>
      </c>
      <c r="AD61" s="2345" t="n"/>
      <c r="AE61" s="2345" t="n"/>
      <c r="AF61" s="2356" t="n">
        <v>70815</v>
      </c>
      <c r="AG61" s="2345" t="n"/>
      <c r="AH61" s="2356" t="n">
        <v>236201</v>
      </c>
      <c r="AI61" s="2356" t="n">
        <v>570651</v>
      </c>
      <c r="AJ61" s="2356" t="n">
        <v>806852</v>
      </c>
      <c r="AK61" s="2345" t="n"/>
      <c r="AL61" s="2345" t="n"/>
      <c r="AM61" s="2345" t="inlineStr">
        <is>
          <t>NNN landlord expenses only; from AXG Whse Expenses PSF.xlsx (R0132030)</t>
        </is>
      </c>
    </row>
    <row r="62">
      <c r="A62" s="2345" t="inlineStr">
        <is>
          <t>P027</t>
        </is>
      </c>
      <c r="B62" s="2338" t="n">
        <v>407</v>
      </c>
      <c r="C62" s="2345" t="inlineStr">
        <is>
          <t>R0132030</t>
        </is>
      </c>
      <c r="D62" s="2345" t="inlineStr">
        <is>
          <t>Majestic Commercenter (R0132030)</t>
        </is>
      </c>
      <c r="E62" s="2345" t="inlineStr">
        <is>
          <t>Commerce City</t>
        </is>
      </c>
      <c r="F62" s="2345" t="inlineStr">
        <is>
          <t>CO</t>
        </is>
      </c>
      <c r="G62" s="2345" t="inlineStr">
        <is>
          <t>Industrial</t>
        </is>
      </c>
      <c r="H62" s="2345" t="inlineStr">
        <is>
          <t>Warehouse NNN</t>
        </is>
      </c>
      <c r="I62" s="2345" t="n">
        <v>2001</v>
      </c>
      <c r="J62" s="2345" t="n">
        <v>200094</v>
      </c>
      <c r="K62" s="2345" t="n">
        <v>2022</v>
      </c>
      <c r="L62" s="2345" t="n"/>
      <c r="M62" s="2345" t="n"/>
      <c r="N62" s="2345" t="n"/>
      <c r="O62" s="2356" t="n">
        <v>15228</v>
      </c>
      <c r="P62" s="2356" t="n">
        <v>49506</v>
      </c>
      <c r="Q62" s="2345" t="n"/>
      <c r="R62" s="2345" t="n"/>
      <c r="S62" s="2345" t="n"/>
      <c r="T62" s="2345" t="n"/>
      <c r="U62" s="2345" t="n"/>
      <c r="V62" s="2345" t="n"/>
      <c r="W62" s="2345" t="n"/>
      <c r="X62" s="2345" t="n"/>
      <c r="Y62" s="2345" t="n"/>
      <c r="Z62" s="2345" t="n"/>
      <c r="AA62" s="2345" t="n"/>
      <c r="AB62" s="2345" t="n"/>
      <c r="AC62" s="2356" t="n">
        <v>98037</v>
      </c>
      <c r="AD62" s="2345" t="n"/>
      <c r="AE62" s="2345" t="n"/>
      <c r="AF62" s="2356" t="n">
        <v>70815</v>
      </c>
      <c r="AG62" s="2345" t="n"/>
      <c r="AH62" s="2356" t="n">
        <v>233586</v>
      </c>
      <c r="AI62" s="2356" t="n">
        <v>451706</v>
      </c>
      <c r="AJ62" s="2356" t="n">
        <v>685292</v>
      </c>
      <c r="AK62" s="2345" t="n"/>
      <c r="AL62" s="2345" t="n"/>
      <c r="AM62" s="2345" t="inlineStr">
        <is>
          <t>NNN landlord expenses only; from AXG Whse Expenses PSF.xlsx (R0132030)</t>
        </is>
      </c>
    </row>
    <row r="63">
      <c r="A63" s="2345" t="inlineStr">
        <is>
          <t>P028</t>
        </is>
      </c>
      <c r="B63" s="2338" t="n">
        <v>407</v>
      </c>
      <c r="C63" s="2345" t="inlineStr">
        <is>
          <t>R0084040</t>
        </is>
      </c>
      <c r="D63" s="2345" t="inlineStr">
        <is>
          <t>Majestic Commercenter (R0084040)</t>
        </is>
      </c>
      <c r="E63" s="2345" t="inlineStr">
        <is>
          <t>Commerce City</t>
        </is>
      </c>
      <c r="F63" s="2345" t="inlineStr">
        <is>
          <t>CO</t>
        </is>
      </c>
      <c r="G63" s="2345" t="inlineStr">
        <is>
          <t>Industrial</t>
        </is>
      </c>
      <c r="H63" s="2345" t="inlineStr">
        <is>
          <t>Warehouse NNN</t>
        </is>
      </c>
      <c r="I63" s="2345" t="n">
        <v>1997</v>
      </c>
      <c r="J63" s="2345" t="n">
        <v>177736</v>
      </c>
      <c r="K63" s="2345" t="n">
        <v>2021</v>
      </c>
      <c r="L63" s="2345" t="n"/>
      <c r="M63" s="2345" t="n"/>
      <c r="N63" s="2345" t="n"/>
      <c r="O63" s="2356" t="n">
        <v>13073</v>
      </c>
      <c r="P63" s="2356" t="n">
        <v>55346</v>
      </c>
      <c r="Q63" s="2345" t="n"/>
      <c r="R63" s="2345" t="n"/>
      <c r="S63" s="2345" t="n"/>
      <c r="T63" s="2345" t="n"/>
      <c r="U63" s="2345" t="n"/>
      <c r="V63" s="2345" t="n"/>
      <c r="W63" s="2345" t="n"/>
      <c r="X63" s="2345" t="n"/>
      <c r="Y63" s="2345" t="n"/>
      <c r="Z63" s="2345" t="n"/>
      <c r="AA63" s="2345" t="n"/>
      <c r="AB63" s="2345" t="n"/>
      <c r="AC63" s="2356" t="n">
        <v>98118</v>
      </c>
      <c r="AD63" s="2345" t="n"/>
      <c r="AE63" s="2345" t="n"/>
      <c r="AF63" s="2356" t="n">
        <v>51405</v>
      </c>
      <c r="AG63" s="2345" t="n"/>
      <c r="AH63" s="2356" t="n">
        <v>217942</v>
      </c>
      <c r="AI63" s="2356" t="n">
        <v>483220</v>
      </c>
      <c r="AJ63" s="2356" t="n">
        <v>701162</v>
      </c>
      <c r="AK63" s="2345" t="n"/>
      <c r="AL63" s="2345" t="n"/>
      <c r="AM63" s="2345" t="inlineStr">
        <is>
          <t>NNN landlord expenses only; from AXG Whse Expenses PSF.xlsx (R0084040)</t>
        </is>
      </c>
    </row>
    <row r="64">
      <c r="A64" s="2345" t="inlineStr">
        <is>
          <t>P028</t>
        </is>
      </c>
      <c r="B64" s="2338" t="n">
        <v>407</v>
      </c>
      <c r="C64" s="2345" t="inlineStr">
        <is>
          <t>R0084040</t>
        </is>
      </c>
      <c r="D64" s="2345" t="inlineStr">
        <is>
          <t>Majestic Commercenter (R0084040)</t>
        </is>
      </c>
      <c r="E64" s="2345" t="inlineStr">
        <is>
          <t>Commerce City</t>
        </is>
      </c>
      <c r="F64" s="2345" t="inlineStr">
        <is>
          <t>CO</t>
        </is>
      </c>
      <c r="G64" s="2345" t="inlineStr">
        <is>
          <t>Industrial</t>
        </is>
      </c>
      <c r="H64" s="2345" t="inlineStr">
        <is>
          <t>Warehouse NNN</t>
        </is>
      </c>
      <c r="I64" s="2345" t="n">
        <v>1997</v>
      </c>
      <c r="J64" s="2345" t="n">
        <v>177736</v>
      </c>
      <c r="K64" s="2345" t="n">
        <v>2022</v>
      </c>
      <c r="L64" s="2345" t="n"/>
      <c r="M64" s="2345" t="n"/>
      <c r="N64" s="2345" t="n"/>
      <c r="O64" s="2356" t="n">
        <v>13909</v>
      </c>
      <c r="P64" s="2356" t="n">
        <v>55347</v>
      </c>
      <c r="Q64" s="2345" t="n"/>
      <c r="R64" s="2345" t="n"/>
      <c r="S64" s="2345" t="n"/>
      <c r="T64" s="2345" t="n"/>
      <c r="U64" s="2345" t="n"/>
      <c r="V64" s="2345" t="n"/>
      <c r="W64" s="2345" t="n"/>
      <c r="X64" s="2345" t="n"/>
      <c r="Y64" s="2345" t="n"/>
      <c r="Z64" s="2345" t="n"/>
      <c r="AA64" s="2345" t="n"/>
      <c r="AB64" s="2345" t="n"/>
      <c r="AC64" s="2356" t="n">
        <v>117141</v>
      </c>
      <c r="AD64" s="2345" t="n"/>
      <c r="AE64" s="2345" t="n"/>
      <c r="AF64" s="2356" t="n">
        <v>63264</v>
      </c>
      <c r="AG64" s="2345" t="n"/>
      <c r="AH64" s="2356" t="n">
        <v>249661</v>
      </c>
      <c r="AI64" s="2356" t="n">
        <v>506747</v>
      </c>
      <c r="AJ64" s="2356" t="n">
        <v>756408</v>
      </c>
      <c r="AK64" s="2345" t="n"/>
      <c r="AL64" s="2345" t="n"/>
      <c r="AM64" s="2345" t="inlineStr">
        <is>
          <t>NNN landlord expenses only; from AXG Whse Expenses PSF.xlsx (R0084040)</t>
        </is>
      </c>
    </row>
    <row r="65">
      <c r="A65" s="2345" t="inlineStr">
        <is>
          <t>P029</t>
        </is>
      </c>
      <c r="B65" s="2338" t="n">
        <v>407</v>
      </c>
      <c r="C65" s="2345" t="inlineStr">
        <is>
          <t>R0084041</t>
        </is>
      </c>
      <c r="D65" s="2345" t="inlineStr">
        <is>
          <t>Majestic Commercenter (R0084041)</t>
        </is>
      </c>
      <c r="E65" s="2345" t="inlineStr">
        <is>
          <t>Commerce City</t>
        </is>
      </c>
      <c r="F65" s="2345" t="inlineStr">
        <is>
          <t>CO</t>
        </is>
      </c>
      <c r="G65" s="2345" t="inlineStr">
        <is>
          <t>Industrial</t>
        </is>
      </c>
      <c r="H65" s="2345" t="inlineStr">
        <is>
          <t>Warehouse NNN</t>
        </is>
      </c>
      <c r="I65" s="2345" t="n">
        <v>1997</v>
      </c>
      <c r="J65" s="2345" t="n">
        <v>200371</v>
      </c>
      <c r="K65" s="2345" t="n">
        <v>2021</v>
      </c>
      <c r="L65" s="2345" t="n"/>
      <c r="M65" s="2345" t="n"/>
      <c r="N65" s="2345" t="n"/>
      <c r="O65" s="2356" t="n">
        <v>13750</v>
      </c>
      <c r="P65" s="2356" t="n">
        <v>32155</v>
      </c>
      <c r="Q65" s="2345" t="n"/>
      <c r="R65" s="2345" t="n"/>
      <c r="S65" s="2345" t="n"/>
      <c r="T65" s="2345" t="n"/>
      <c r="U65" s="2345" t="n"/>
      <c r="V65" s="2345" t="n"/>
      <c r="W65" s="2345" t="n"/>
      <c r="X65" s="2345" t="n"/>
      <c r="Y65" s="2345" t="n"/>
      <c r="Z65" s="2345" t="n"/>
      <c r="AA65" s="2345" t="n"/>
      <c r="AB65" s="2345" t="n"/>
      <c r="AC65" s="2356" t="n">
        <v>117597</v>
      </c>
      <c r="AD65" s="2345" t="n"/>
      <c r="AE65" s="2345" t="n"/>
      <c r="AF65" s="2345" t="n"/>
      <c r="AG65" s="2345" t="n"/>
      <c r="AH65" s="2356" t="n">
        <v>163502</v>
      </c>
      <c r="AI65" s="2356" t="n">
        <v>499309</v>
      </c>
      <c r="AJ65" s="2356" t="n">
        <v>662811</v>
      </c>
      <c r="AK65" s="2345" t="n"/>
      <c r="AL65" s="2345" t="n"/>
      <c r="AM65" s="2345" t="inlineStr">
        <is>
          <t>NNN landlord expenses only; from AXG Whse Expenses PSF.xlsx (R0084041)</t>
        </is>
      </c>
    </row>
    <row r="66">
      <c r="A66" s="2345" t="inlineStr">
        <is>
          <t>P029</t>
        </is>
      </c>
      <c r="B66" s="2338" t="n">
        <v>407</v>
      </c>
      <c r="C66" s="2345" t="inlineStr">
        <is>
          <t>R0084041</t>
        </is>
      </c>
      <c r="D66" s="2345" t="inlineStr">
        <is>
          <t>Majestic Commercenter (R0084041)</t>
        </is>
      </c>
      <c r="E66" s="2345" t="inlineStr">
        <is>
          <t>Commerce City</t>
        </is>
      </c>
      <c r="F66" s="2345" t="inlineStr">
        <is>
          <t>CO</t>
        </is>
      </c>
      <c r="G66" s="2345" t="inlineStr">
        <is>
          <t>Industrial</t>
        </is>
      </c>
      <c r="H66" s="2345" t="inlineStr">
        <is>
          <t>Warehouse NNN</t>
        </is>
      </c>
      <c r="I66" s="2345" t="n">
        <v>1997</v>
      </c>
      <c r="J66" s="2345" t="n">
        <v>200371</v>
      </c>
      <c r="K66" s="2345" t="n">
        <v>2022</v>
      </c>
      <c r="L66" s="2345" t="n"/>
      <c r="M66" s="2345" t="n"/>
      <c r="N66" s="2345" t="n"/>
      <c r="O66" s="2356" t="n">
        <v>14629</v>
      </c>
      <c r="P66" s="2356" t="n">
        <v>29974</v>
      </c>
      <c r="Q66" s="2345" t="n"/>
      <c r="R66" s="2345" t="n"/>
      <c r="S66" s="2345" t="n"/>
      <c r="T66" s="2345" t="n"/>
      <c r="U66" s="2345" t="n"/>
      <c r="V66" s="2345" t="n"/>
      <c r="W66" s="2345" t="n"/>
      <c r="X66" s="2345" t="n"/>
      <c r="Y66" s="2345" t="n"/>
      <c r="Z66" s="2345" t="n"/>
      <c r="AA66" s="2345" t="n"/>
      <c r="AB66" s="2345" t="n"/>
      <c r="AC66" s="2356" t="n">
        <v>103927</v>
      </c>
      <c r="AD66" s="2345" t="n"/>
      <c r="AE66" s="2345" t="n"/>
      <c r="AF66" s="2345" t="n"/>
      <c r="AG66" s="2345" t="n"/>
      <c r="AH66" s="2356" t="n">
        <v>148530</v>
      </c>
      <c r="AI66" s="2356" t="n">
        <v>518816</v>
      </c>
      <c r="AJ66" s="2356" t="n">
        <v>667346</v>
      </c>
      <c r="AK66" s="2345" t="n"/>
      <c r="AL66" s="2345" t="n"/>
      <c r="AM66" s="2345" t="inlineStr">
        <is>
          <t>NNN landlord expenses only; from AXG Whse Expenses PSF.xlsx (R0084041)</t>
        </is>
      </c>
    </row>
    <row r="67">
      <c r="A67" s="2345" t="inlineStr">
        <is>
          <t>P030</t>
        </is>
      </c>
      <c r="B67" s="2338" t="n">
        <v>584</v>
      </c>
      <c r="C67" s="2345" t="inlineStr">
        <is>
          <t>R0217015</t>
        </is>
      </c>
      <c r="D67" s="2345" t="inlineStr">
        <is>
          <t>Majestic Commercenter (R0217015)</t>
        </is>
      </c>
      <c r="E67" s="2345" t="inlineStr">
        <is>
          <t>Commerce City</t>
        </is>
      </c>
      <c r="F67" s="2345" t="inlineStr">
        <is>
          <t>CO</t>
        </is>
      </c>
      <c r="G67" s="2345" t="inlineStr">
        <is>
          <t>Industrial</t>
        </is>
      </c>
      <c r="H67" s="2345" t="inlineStr">
        <is>
          <t>Warehouse NNN</t>
        </is>
      </c>
      <c r="I67" s="2345" t="n">
        <v>2021</v>
      </c>
      <c r="J67" s="2345" t="n">
        <v>548510</v>
      </c>
      <c r="K67" s="2345" t="n">
        <v>2022</v>
      </c>
      <c r="L67" s="2345" t="n"/>
      <c r="M67" s="2345" t="n"/>
      <c r="N67" s="2345" t="n"/>
      <c r="O67" s="2356" t="n">
        <v>64009</v>
      </c>
      <c r="P67" s="2356" t="n">
        <v>58266</v>
      </c>
      <c r="Q67" s="2345" t="n"/>
      <c r="R67" s="2345" t="n"/>
      <c r="S67" s="2345" t="n"/>
      <c r="T67" s="2345" t="n"/>
      <c r="U67" s="2345" t="n"/>
      <c r="V67" s="2345" t="n"/>
      <c r="W67" s="2345" t="n"/>
      <c r="X67" s="2345" t="n"/>
      <c r="Y67" s="2345" t="n"/>
      <c r="Z67" s="2345" t="n"/>
      <c r="AA67" s="2345" t="n"/>
      <c r="AB67" s="2345" t="n"/>
      <c r="AC67" s="2356" t="n">
        <v>96936</v>
      </c>
      <c r="AD67" s="2345" t="n"/>
      <c r="AE67" s="2345" t="n"/>
      <c r="AF67" s="2356" t="n">
        <v>20844</v>
      </c>
      <c r="AG67" s="2345" t="n"/>
      <c r="AH67" s="2356" t="n">
        <v>240055</v>
      </c>
      <c r="AI67" s="2356" t="n">
        <v>1245681</v>
      </c>
      <c r="AJ67" s="2356" t="n">
        <v>1485736</v>
      </c>
      <c r="AK67" s="2345" t="n"/>
      <c r="AL67" s="2345" t="n"/>
      <c r="AM67" s="2345" t="inlineStr">
        <is>
          <t>NNN landlord expenses only; from AXG Whse Expenses PSF.xlsx (R0217015)</t>
        </is>
      </c>
    </row>
    <row r="68">
      <c r="A68" s="2345" t="inlineStr">
        <is>
          <t>P031</t>
        </is>
      </c>
      <c r="B68" s="2338" t="n">
        <v>407</v>
      </c>
      <c r="C68" s="2345" t="inlineStr">
        <is>
          <t>R0111562</t>
        </is>
      </c>
      <c r="D68" s="2345" t="inlineStr">
        <is>
          <t>Majestic Commercenter (R0111562)</t>
        </is>
      </c>
      <c r="E68" s="2345" t="inlineStr">
        <is>
          <t>Commerce City</t>
        </is>
      </c>
      <c r="F68" s="2345" t="inlineStr">
        <is>
          <t>CO</t>
        </is>
      </c>
      <c r="G68" s="2345" t="inlineStr">
        <is>
          <t>Industrial</t>
        </is>
      </c>
      <c r="H68" s="2345" t="inlineStr">
        <is>
          <t>Warehouse NNN</t>
        </is>
      </c>
      <c r="I68" s="2345" t="n">
        <v>2000</v>
      </c>
      <c r="J68" s="2345" t="n">
        <v>149175</v>
      </c>
      <c r="K68" s="2345" t="n">
        <v>2019</v>
      </c>
      <c r="L68" s="2345" t="n"/>
      <c r="M68" s="2345" t="n"/>
      <c r="N68" s="2345" t="n"/>
      <c r="O68" s="2356" t="n">
        <v>6519</v>
      </c>
      <c r="P68" s="2356" t="n">
        <v>22700</v>
      </c>
      <c r="Q68" s="2345" t="n"/>
      <c r="R68" s="2345" t="n"/>
      <c r="S68" s="2345" t="n"/>
      <c r="T68" s="2345" t="n"/>
      <c r="U68" s="2345" t="n"/>
      <c r="V68" s="2345" t="n"/>
      <c r="W68" s="2345" t="n"/>
      <c r="X68" s="2345" t="n"/>
      <c r="Y68" s="2345" t="n"/>
      <c r="Z68" s="2345" t="n"/>
      <c r="AA68" s="2345" t="n"/>
      <c r="AB68" s="2345" t="n"/>
      <c r="AC68" s="2356" t="n">
        <v>101769</v>
      </c>
      <c r="AD68" s="2345" t="n"/>
      <c r="AE68" s="2345" t="n"/>
      <c r="AF68" s="2345" t="n"/>
      <c r="AG68" s="2345" t="n"/>
      <c r="AH68" s="2356" t="n">
        <v>130988</v>
      </c>
      <c r="AI68" s="2356" t="n">
        <v>281972</v>
      </c>
      <c r="AJ68" s="2356" t="n">
        <v>412960</v>
      </c>
      <c r="AK68" s="2345" t="n"/>
      <c r="AL68" s="2345" t="n"/>
      <c r="AM68" s="2345" t="inlineStr">
        <is>
          <t>NNN landlord expenses only; from AXG Whse Expenses PSF.xlsx (R0111562)</t>
        </is>
      </c>
    </row>
    <row r="69">
      <c r="A69" s="2345" t="inlineStr">
        <is>
          <t>P031</t>
        </is>
      </c>
      <c r="B69" s="2338" t="n">
        <v>407</v>
      </c>
      <c r="C69" s="2345" t="inlineStr">
        <is>
          <t>R0111562</t>
        </is>
      </c>
      <c r="D69" s="2345" t="inlineStr">
        <is>
          <t>Majestic Commercenter (R0111562)</t>
        </is>
      </c>
      <c r="E69" s="2345" t="inlineStr">
        <is>
          <t>Commerce City</t>
        </is>
      </c>
      <c r="F69" s="2345" t="inlineStr">
        <is>
          <t>CO</t>
        </is>
      </c>
      <c r="G69" s="2345" t="inlineStr">
        <is>
          <t>Industrial</t>
        </is>
      </c>
      <c r="H69" s="2345" t="inlineStr">
        <is>
          <t>Warehouse NNN</t>
        </is>
      </c>
      <c r="I69" s="2345" t="n">
        <v>2000</v>
      </c>
      <c r="J69" s="2345" t="n">
        <v>149175</v>
      </c>
      <c r="K69" s="2345" t="n">
        <v>2020</v>
      </c>
      <c r="L69" s="2345" t="n"/>
      <c r="M69" s="2345" t="n"/>
      <c r="N69" s="2345" t="n"/>
      <c r="O69" s="2356" t="n">
        <v>7450</v>
      </c>
      <c r="P69" s="2356" t="n">
        <v>3942</v>
      </c>
      <c r="Q69" s="2345" t="n"/>
      <c r="R69" s="2345" t="n"/>
      <c r="S69" s="2345" t="n"/>
      <c r="T69" s="2345" t="n"/>
      <c r="U69" s="2345" t="n"/>
      <c r="V69" s="2345" t="n"/>
      <c r="W69" s="2345" t="n"/>
      <c r="X69" s="2345" t="n"/>
      <c r="Y69" s="2345" t="n"/>
      <c r="Z69" s="2345" t="n"/>
      <c r="AA69" s="2345" t="n"/>
      <c r="AB69" s="2345" t="n"/>
      <c r="AC69" s="2356" t="n">
        <v>23921</v>
      </c>
      <c r="AD69" s="2345" t="n"/>
      <c r="AE69" s="2345" t="n"/>
      <c r="AF69" s="2356" t="n">
        <v>165141</v>
      </c>
      <c r="AG69" s="2345" t="n"/>
      <c r="AH69" s="2356" t="n">
        <v>200454</v>
      </c>
      <c r="AI69" s="2356" t="n">
        <v>282989</v>
      </c>
      <c r="AJ69" s="2356" t="n">
        <v>483443</v>
      </c>
      <c r="AK69" s="2345" t="n"/>
      <c r="AL69" s="2345" t="n"/>
      <c r="AM69" s="2345" t="inlineStr">
        <is>
          <t>NNN landlord expenses only; from AXG Whse Expenses PSF.xlsx (R0111562)</t>
        </is>
      </c>
    </row>
    <row r="70">
      <c r="A70" s="2345" t="inlineStr">
        <is>
          <t>P032</t>
        </is>
      </c>
      <c r="B70" s="2338" t="n">
        <v>407</v>
      </c>
      <c r="C70" s="2345" t="inlineStr">
        <is>
          <t>R0118875</t>
        </is>
      </c>
      <c r="D70" s="2345" t="inlineStr">
        <is>
          <t>Majestic Commercenter (R0118875)</t>
        </is>
      </c>
      <c r="E70" s="2345" t="inlineStr">
        <is>
          <t>Commerce City</t>
        </is>
      </c>
      <c r="F70" s="2345" t="inlineStr">
        <is>
          <t>CO</t>
        </is>
      </c>
      <c r="G70" s="2345" t="inlineStr">
        <is>
          <t>Industrial</t>
        </is>
      </c>
      <c r="H70" s="2345" t="inlineStr">
        <is>
          <t>Warehouse NNN</t>
        </is>
      </c>
      <c r="I70" s="2345" t="n">
        <v>1999</v>
      </c>
      <c r="J70" s="2345" t="n">
        <v>279640</v>
      </c>
      <c r="K70" s="2345" t="n">
        <v>2021</v>
      </c>
      <c r="L70" s="2345" t="n"/>
      <c r="M70" s="2345" t="n"/>
      <c r="N70" s="2345" t="n"/>
      <c r="O70" s="2356" t="n">
        <v>24629</v>
      </c>
      <c r="P70" s="2356" t="n">
        <v>62870</v>
      </c>
      <c r="Q70" s="2345" t="n"/>
      <c r="R70" s="2345" t="n"/>
      <c r="S70" s="2345" t="n"/>
      <c r="T70" s="2345" t="n"/>
      <c r="U70" s="2345" t="n"/>
      <c r="V70" s="2345" t="n"/>
      <c r="W70" s="2345" t="n"/>
      <c r="X70" s="2345" t="n"/>
      <c r="Y70" s="2345" t="n"/>
      <c r="Z70" s="2345" t="n"/>
      <c r="AA70" s="2345" t="n"/>
      <c r="AB70" s="2345" t="n"/>
      <c r="AC70" s="2356" t="n">
        <v>100363</v>
      </c>
      <c r="AD70" s="2345" t="n"/>
      <c r="AE70" s="2345" t="n"/>
      <c r="AF70" s="2345" t="n"/>
      <c r="AG70" s="2345" t="n"/>
      <c r="AH70" s="2356" t="n">
        <v>187862</v>
      </c>
      <c r="AI70" s="2356" t="n">
        <v>640886</v>
      </c>
      <c r="AJ70" s="2356" t="n">
        <v>828748</v>
      </c>
      <c r="AK70" s="2345" t="n"/>
      <c r="AL70" s="2345" t="n"/>
      <c r="AM70" s="2345" t="inlineStr">
        <is>
          <t>NNN landlord expenses only; from AXG Whse Expenses PSF.xlsx (R0118875)</t>
        </is>
      </c>
    </row>
    <row r="71">
      <c r="A71" s="2345" t="inlineStr">
        <is>
          <t>P032</t>
        </is>
      </c>
      <c r="B71" s="2338" t="n">
        <v>407</v>
      </c>
      <c r="C71" s="2345" t="inlineStr">
        <is>
          <t>R0118875</t>
        </is>
      </c>
      <c r="D71" s="2345" t="inlineStr">
        <is>
          <t>Majestic Commercenter (R0118875)</t>
        </is>
      </c>
      <c r="E71" s="2345" t="inlineStr">
        <is>
          <t>Commerce City</t>
        </is>
      </c>
      <c r="F71" s="2345" t="inlineStr">
        <is>
          <t>CO</t>
        </is>
      </c>
      <c r="G71" s="2345" t="inlineStr">
        <is>
          <t>Industrial</t>
        </is>
      </c>
      <c r="H71" s="2345" t="inlineStr">
        <is>
          <t>Warehouse NNN</t>
        </is>
      </c>
      <c r="I71" s="2345" t="n">
        <v>1999</v>
      </c>
      <c r="J71" s="2345" t="n">
        <v>279640</v>
      </c>
      <c r="K71" s="2345" t="n">
        <v>2022</v>
      </c>
      <c r="L71" s="2345" t="n"/>
      <c r="M71" s="2345" t="n"/>
      <c r="N71" s="2345" t="n"/>
      <c r="O71" s="2356" t="n">
        <v>26204</v>
      </c>
      <c r="P71" s="2356" t="n">
        <v>63433</v>
      </c>
      <c r="Q71" s="2345" t="n"/>
      <c r="R71" s="2345" t="n"/>
      <c r="S71" s="2345" t="n"/>
      <c r="T71" s="2345" t="n"/>
      <c r="U71" s="2345" t="n"/>
      <c r="V71" s="2345" t="n"/>
      <c r="W71" s="2345" t="n"/>
      <c r="X71" s="2345" t="n"/>
      <c r="Y71" s="2345" t="n"/>
      <c r="Z71" s="2345" t="n"/>
      <c r="AA71" s="2345" t="n"/>
      <c r="AB71" s="2345" t="n"/>
      <c r="AC71" s="2356" t="n">
        <v>18197</v>
      </c>
      <c r="AD71" s="2345" t="n"/>
      <c r="AE71" s="2345" t="n"/>
      <c r="AF71" s="2345" t="n"/>
      <c r="AG71" s="2345" t="n"/>
      <c r="AH71" s="2356" t="n">
        <v>107834</v>
      </c>
      <c r="AI71" s="2356" t="n">
        <v>657060</v>
      </c>
      <c r="AJ71" s="2356" t="n">
        <v>764894</v>
      </c>
      <c r="AK71" s="2345" t="n"/>
      <c r="AL71" s="2345" t="n"/>
      <c r="AM71" s="2345" t="inlineStr">
        <is>
          <t>NNN landlord expenses only; from AXG Whse Expenses PSF.xlsx (R0118875)</t>
        </is>
      </c>
    </row>
    <row r="72">
      <c r="A72" s="2345" t="inlineStr">
        <is>
          <t>P033</t>
        </is>
      </c>
      <c r="B72" s="2338" t="n">
        <v>407</v>
      </c>
      <c r="C72" s="2345" t="inlineStr">
        <is>
          <t>R0132031</t>
        </is>
      </c>
      <c r="D72" s="2345" t="inlineStr">
        <is>
          <t>Majestic Commercenter (R0132031)</t>
        </is>
      </c>
      <c r="E72" s="2345" t="inlineStr">
        <is>
          <t>Commerce City</t>
        </is>
      </c>
      <c r="F72" s="2345" t="inlineStr">
        <is>
          <t>CO</t>
        </is>
      </c>
      <c r="G72" s="2345" t="inlineStr">
        <is>
          <t>Industrial</t>
        </is>
      </c>
      <c r="H72" s="2345" t="inlineStr">
        <is>
          <t>Warehouse NNN</t>
        </is>
      </c>
      <c r="I72" s="2345" t="n">
        <v>2002</v>
      </c>
      <c r="J72" s="2345" t="n">
        <v>280098</v>
      </c>
      <c r="K72" s="2345" t="n">
        <v>2021</v>
      </c>
      <c r="L72" s="2345" t="n"/>
      <c r="M72" s="2345" t="n"/>
      <c r="N72" s="2345" t="n"/>
      <c r="O72" s="2356" t="n">
        <v>19984</v>
      </c>
      <c r="P72" s="2356" t="n">
        <v>64701</v>
      </c>
      <c r="Q72" s="2345" t="n"/>
      <c r="R72" s="2345" t="n"/>
      <c r="S72" s="2345" t="n"/>
      <c r="T72" s="2345" t="n"/>
      <c r="U72" s="2345" t="n"/>
      <c r="V72" s="2345" t="n"/>
      <c r="W72" s="2345" t="n"/>
      <c r="X72" s="2345" t="n"/>
      <c r="Y72" s="2345" t="n"/>
      <c r="Z72" s="2345" t="n"/>
      <c r="AA72" s="2345" t="n"/>
      <c r="AB72" s="2345" t="n"/>
      <c r="AC72" s="2356" t="n">
        <v>73763</v>
      </c>
      <c r="AD72" s="2345" t="n"/>
      <c r="AE72" s="2345" t="n"/>
      <c r="AF72" s="2356" t="n">
        <v>85895</v>
      </c>
      <c r="AG72" s="2345" t="n"/>
      <c r="AH72" s="2356" t="n">
        <v>244343</v>
      </c>
      <c r="AI72" s="2356" t="n">
        <v>639063</v>
      </c>
      <c r="AJ72" s="2356" t="n">
        <v>883406</v>
      </c>
      <c r="AK72" s="2345" t="n"/>
      <c r="AL72" s="2345" t="n"/>
      <c r="AM72" s="2345" t="inlineStr">
        <is>
          <t>NNN landlord expenses only; from AXG Whse Expenses PSF.xlsx (R0132031)</t>
        </is>
      </c>
    </row>
    <row r="73">
      <c r="A73" s="2345" t="inlineStr">
        <is>
          <t>P033</t>
        </is>
      </c>
      <c r="B73" s="2338" t="n">
        <v>407</v>
      </c>
      <c r="C73" s="2345" t="inlineStr">
        <is>
          <t>R0132031</t>
        </is>
      </c>
      <c r="D73" s="2345" t="inlineStr">
        <is>
          <t>Majestic Commercenter (R0132031)</t>
        </is>
      </c>
      <c r="E73" s="2345" t="inlineStr">
        <is>
          <t>Commerce City</t>
        </is>
      </c>
      <c r="F73" s="2345" t="inlineStr">
        <is>
          <t>CO</t>
        </is>
      </c>
      <c r="G73" s="2345" t="inlineStr">
        <is>
          <t>Industrial</t>
        </is>
      </c>
      <c r="H73" s="2345" t="inlineStr">
        <is>
          <t>Warehouse NNN</t>
        </is>
      </c>
      <c r="I73" s="2345" t="n">
        <v>2002</v>
      </c>
      <c r="J73" s="2345" t="n">
        <v>280098</v>
      </c>
      <c r="K73" s="2345" t="n">
        <v>2022</v>
      </c>
      <c r="L73" s="2345" t="n"/>
      <c r="M73" s="2345" t="n"/>
      <c r="N73" s="2345" t="n"/>
      <c r="O73" s="2356" t="n">
        <v>21261</v>
      </c>
      <c r="P73" s="2356" t="n">
        <v>59067</v>
      </c>
      <c r="Q73" s="2345" t="n"/>
      <c r="R73" s="2345" t="n"/>
      <c r="S73" s="2345" t="n"/>
      <c r="T73" s="2345" t="n"/>
      <c r="U73" s="2345" t="n"/>
      <c r="V73" s="2345" t="n"/>
      <c r="W73" s="2345" t="n"/>
      <c r="X73" s="2345" t="n"/>
      <c r="Y73" s="2345" t="n"/>
      <c r="Z73" s="2345" t="n"/>
      <c r="AA73" s="2345" t="n"/>
      <c r="AB73" s="2345" t="n"/>
      <c r="AC73" s="2356" t="n">
        <v>120936</v>
      </c>
      <c r="AD73" s="2345" t="n"/>
      <c r="AE73" s="2345" t="n"/>
      <c r="AF73" s="2356" t="n">
        <v>94786</v>
      </c>
      <c r="AG73" s="2345" t="n"/>
      <c r="AH73" s="2356" t="n">
        <v>296050</v>
      </c>
      <c r="AI73" s="2356" t="n">
        <v>669090</v>
      </c>
      <c r="AJ73" s="2356" t="n">
        <v>965140</v>
      </c>
      <c r="AK73" s="2345" t="n"/>
      <c r="AL73" s="2345" t="n"/>
      <c r="AM73" s="2345" t="inlineStr">
        <is>
          <t>NNN landlord expenses only; from AXG Whse Expenses PSF.xlsx (R0132031)</t>
        </is>
      </c>
    </row>
    <row r="74">
      <c r="A74" s="2345" t="inlineStr">
        <is>
          <t>P034</t>
        </is>
      </c>
      <c r="B74" s="2338" t="n">
        <v>407</v>
      </c>
      <c r="C74" s="2345" t="inlineStr">
        <is>
          <t>R0172865</t>
        </is>
      </c>
      <c r="D74" s="2345" t="inlineStr">
        <is>
          <t>Majestic Commercenter (R0172865)</t>
        </is>
      </c>
      <c r="E74" s="2345" t="inlineStr">
        <is>
          <t>Commerce City</t>
        </is>
      </c>
      <c r="F74" s="2345" t="inlineStr">
        <is>
          <t>CO</t>
        </is>
      </c>
      <c r="G74" s="2345" t="inlineStr">
        <is>
          <t>Industrial</t>
        </is>
      </c>
      <c r="H74" s="2345" t="inlineStr">
        <is>
          <t>Warehouse NNN</t>
        </is>
      </c>
      <c r="I74" s="2345" t="n">
        <v>2008</v>
      </c>
      <c r="J74" s="2345" t="n">
        <v>215461</v>
      </c>
      <c r="K74" s="2345" t="n">
        <v>2021</v>
      </c>
      <c r="L74" s="2345" t="n"/>
      <c r="M74" s="2345" t="n"/>
      <c r="N74" s="2345" t="n"/>
      <c r="O74" s="2356" t="n">
        <v>17428</v>
      </c>
      <c r="P74" s="2356" t="n">
        <v>65798</v>
      </c>
      <c r="Q74" s="2345" t="n"/>
      <c r="R74" s="2345" t="n"/>
      <c r="S74" s="2345" t="n"/>
      <c r="T74" s="2345" t="n"/>
      <c r="U74" s="2345" t="n"/>
      <c r="V74" s="2345" t="n"/>
      <c r="W74" s="2345" t="n"/>
      <c r="X74" s="2345" t="n"/>
      <c r="Y74" s="2345" t="n"/>
      <c r="Z74" s="2345" t="n"/>
      <c r="AA74" s="2345" t="n"/>
      <c r="AB74" s="2345" t="n"/>
      <c r="AC74" s="2356" t="n">
        <v>100975</v>
      </c>
      <c r="AD74" s="2345" t="n"/>
      <c r="AE74" s="2345" t="n"/>
      <c r="AF74" s="2356" t="n">
        <v>73139</v>
      </c>
      <c r="AG74" s="2345" t="n"/>
      <c r="AH74" s="2356" t="n">
        <v>257340</v>
      </c>
      <c r="AI74" s="2356" t="n">
        <v>614041</v>
      </c>
      <c r="AJ74" s="2356" t="n">
        <v>871381</v>
      </c>
      <c r="AK74" s="2345" t="n"/>
      <c r="AL74" s="2345" t="n"/>
      <c r="AM74" s="2345" t="inlineStr">
        <is>
          <t>NNN landlord expenses only; from AXG Whse Expenses PSF.xlsx (R0172865)</t>
        </is>
      </c>
    </row>
    <row r="75">
      <c r="A75" s="2345" t="inlineStr">
        <is>
          <t>P034</t>
        </is>
      </c>
      <c r="B75" s="2338" t="n">
        <v>407</v>
      </c>
      <c r="C75" s="2345" t="inlineStr">
        <is>
          <t>R0172865</t>
        </is>
      </c>
      <c r="D75" s="2345" t="inlineStr">
        <is>
          <t>Majestic Commercenter (R0172865)</t>
        </is>
      </c>
      <c r="E75" s="2345" t="inlineStr">
        <is>
          <t>Commerce City</t>
        </is>
      </c>
      <c r="F75" s="2345" t="inlineStr">
        <is>
          <t>CO</t>
        </is>
      </c>
      <c r="G75" s="2345" t="inlineStr">
        <is>
          <t>Industrial</t>
        </is>
      </c>
      <c r="H75" s="2345" t="inlineStr">
        <is>
          <t>Warehouse NNN</t>
        </is>
      </c>
      <c r="I75" s="2345" t="n">
        <v>2008</v>
      </c>
      <c r="J75" s="2345" t="n">
        <v>215461</v>
      </c>
      <c r="K75" s="2345" t="n">
        <v>2022</v>
      </c>
      <c r="L75" s="2345" t="n"/>
      <c r="M75" s="2345" t="n"/>
      <c r="N75" s="2345" t="n"/>
      <c r="O75" s="2356" t="n">
        <v>18350</v>
      </c>
      <c r="P75" s="2356" t="n">
        <v>62443</v>
      </c>
      <c r="Q75" s="2345" t="n"/>
      <c r="R75" s="2345" t="n"/>
      <c r="S75" s="2345" t="n"/>
      <c r="T75" s="2345" t="n"/>
      <c r="U75" s="2345" t="n"/>
      <c r="V75" s="2345" t="n"/>
      <c r="W75" s="2345" t="n"/>
      <c r="X75" s="2345" t="n"/>
      <c r="Y75" s="2345" t="n"/>
      <c r="Z75" s="2345" t="n"/>
      <c r="AA75" s="2345" t="n"/>
      <c r="AB75" s="2345" t="n"/>
      <c r="AC75" s="2356" t="n">
        <v>73459</v>
      </c>
      <c r="AD75" s="2345" t="n"/>
      <c r="AE75" s="2345" t="n"/>
      <c r="AF75" s="2356" t="n">
        <v>74975</v>
      </c>
      <c r="AG75" s="2345" t="n"/>
      <c r="AH75" s="2356" t="n">
        <v>229227</v>
      </c>
      <c r="AI75" s="2356" t="n">
        <v>590782</v>
      </c>
      <c r="AJ75" s="2356" t="n">
        <v>820009</v>
      </c>
      <c r="AK75" s="2345" t="n"/>
      <c r="AL75" s="2345" t="n"/>
      <c r="AM75" s="2345" t="inlineStr">
        <is>
          <t>NNN landlord expenses only; from AXG Whse Expenses PSF.xlsx (R0172865)</t>
        </is>
      </c>
    </row>
    <row r="76">
      <c r="A76" s="2345" t="inlineStr">
        <is>
          <t>P035</t>
        </is>
      </c>
      <c r="B76" s="2338" t="n">
        <v>407</v>
      </c>
      <c r="C76" s="2345" t="inlineStr">
        <is>
          <t>R0172867</t>
        </is>
      </c>
      <c r="D76" s="2345" t="inlineStr">
        <is>
          <t>Majestic Commercenter (R0172867)</t>
        </is>
      </c>
      <c r="E76" s="2345" t="inlineStr">
        <is>
          <t>Commerce City</t>
        </is>
      </c>
      <c r="F76" s="2345" t="inlineStr">
        <is>
          <t>CO</t>
        </is>
      </c>
      <c r="G76" s="2345" t="inlineStr">
        <is>
          <t>Industrial</t>
        </is>
      </c>
      <c r="H76" s="2345" t="inlineStr">
        <is>
          <t>Warehouse NNN</t>
        </is>
      </c>
      <c r="I76" s="2345" t="n">
        <v>2007</v>
      </c>
      <c r="J76" s="2345" t="n">
        <v>215560</v>
      </c>
      <c r="K76" s="2345" t="n">
        <v>2021</v>
      </c>
      <c r="L76" s="2345" t="n"/>
      <c r="M76" s="2345" t="n"/>
      <c r="N76" s="2345" t="n"/>
      <c r="O76" s="2356" t="n">
        <v>21017</v>
      </c>
      <c r="P76" s="2356" t="n">
        <v>52362</v>
      </c>
      <c r="Q76" s="2345" t="n"/>
      <c r="R76" s="2345" t="n"/>
      <c r="S76" s="2345" t="n"/>
      <c r="T76" s="2345" t="n"/>
      <c r="U76" s="2345" t="n"/>
      <c r="V76" s="2345" t="n"/>
      <c r="W76" s="2345" t="n"/>
      <c r="X76" s="2345" t="n"/>
      <c r="Y76" s="2345" t="n"/>
      <c r="Z76" s="2345" t="n"/>
      <c r="AA76" s="2345" t="n"/>
      <c r="AB76" s="2345" t="n"/>
      <c r="AC76" s="2356" t="n">
        <v>64218</v>
      </c>
      <c r="AD76" s="2345" t="n"/>
      <c r="AE76" s="2345" t="n"/>
      <c r="AF76" s="2356" t="n">
        <v>67129</v>
      </c>
      <c r="AG76" s="2345" t="n"/>
      <c r="AH76" s="2356" t="n">
        <v>204726</v>
      </c>
      <c r="AI76" s="2356" t="n">
        <v>537207</v>
      </c>
      <c r="AJ76" s="2356" t="n">
        <v>741933</v>
      </c>
      <c r="AK76" s="2345" t="n"/>
      <c r="AL76" s="2345" t="n"/>
      <c r="AM76" s="2345" t="inlineStr">
        <is>
          <t>NNN landlord expenses only; from AXG Whse Expenses PSF.xlsx (R0172867)</t>
        </is>
      </c>
    </row>
    <row r="77">
      <c r="A77" s="2345" t="inlineStr">
        <is>
          <t>P035</t>
        </is>
      </c>
      <c r="B77" s="2338" t="n">
        <v>407</v>
      </c>
      <c r="C77" s="2345" t="inlineStr">
        <is>
          <t>R0172867</t>
        </is>
      </c>
      <c r="D77" s="2345" t="inlineStr">
        <is>
          <t>Majestic Commercenter (R0172867)</t>
        </is>
      </c>
      <c r="E77" s="2345" t="inlineStr">
        <is>
          <t>Commerce City</t>
        </is>
      </c>
      <c r="F77" s="2345" t="inlineStr">
        <is>
          <t>CO</t>
        </is>
      </c>
      <c r="G77" s="2345" t="inlineStr">
        <is>
          <t>Industrial</t>
        </is>
      </c>
      <c r="H77" s="2345" t="inlineStr">
        <is>
          <t>Warehouse NNN</t>
        </is>
      </c>
      <c r="I77" s="2345" t="n">
        <v>2007</v>
      </c>
      <c r="J77" s="2345" t="n">
        <v>215560</v>
      </c>
      <c r="K77" s="2345" t="n">
        <v>2022</v>
      </c>
      <c r="L77" s="2345" t="n"/>
      <c r="M77" s="2345" t="n"/>
      <c r="N77" s="2345" t="n"/>
      <c r="O77" s="2356" t="n">
        <v>22360</v>
      </c>
      <c r="P77" s="2356" t="n">
        <v>55092</v>
      </c>
      <c r="Q77" s="2345" t="n"/>
      <c r="R77" s="2345" t="n"/>
      <c r="S77" s="2345" t="n"/>
      <c r="T77" s="2345" t="n"/>
      <c r="U77" s="2345" t="n"/>
      <c r="V77" s="2345" t="n"/>
      <c r="W77" s="2345" t="n"/>
      <c r="X77" s="2345" t="n"/>
      <c r="Y77" s="2345" t="n"/>
      <c r="Z77" s="2345" t="n"/>
      <c r="AA77" s="2345" t="n"/>
      <c r="AB77" s="2345" t="n"/>
      <c r="AC77" s="2356" t="n">
        <v>67277</v>
      </c>
      <c r="AD77" s="2345" t="n"/>
      <c r="AE77" s="2345" t="n"/>
      <c r="AF77" s="2356" t="n">
        <v>72040</v>
      </c>
      <c r="AG77" s="2345" t="n"/>
      <c r="AH77" s="2356" t="n">
        <v>216769</v>
      </c>
      <c r="AI77" s="2356" t="n">
        <v>558214</v>
      </c>
      <c r="AJ77" s="2356" t="n">
        <v>774983</v>
      </c>
      <c r="AK77" s="2345" t="n"/>
      <c r="AL77" s="2345" t="n"/>
      <c r="AM77" s="2345" t="inlineStr">
        <is>
          <t>NNN landlord expenses only; from AXG Whse Expenses PSF.xlsx (R0172867)</t>
        </is>
      </c>
    </row>
    <row r="78">
      <c r="A78" s="2345" t="inlineStr">
        <is>
          <t>P036</t>
        </is>
      </c>
      <c r="B78" s="2338" t="n">
        <v>407</v>
      </c>
      <c r="C78" s="2345" t="inlineStr">
        <is>
          <t>R0172868</t>
        </is>
      </c>
      <c r="D78" s="2345" t="inlineStr">
        <is>
          <t>Majestic Commercenter (R0172868)</t>
        </is>
      </c>
      <c r="E78" s="2345" t="inlineStr">
        <is>
          <t>Commerce City</t>
        </is>
      </c>
      <c r="F78" s="2345" t="inlineStr">
        <is>
          <t>CO</t>
        </is>
      </c>
      <c r="G78" s="2345" t="inlineStr">
        <is>
          <t>Industrial</t>
        </is>
      </c>
      <c r="H78" s="2345" t="inlineStr">
        <is>
          <t>Warehouse NNN</t>
        </is>
      </c>
      <c r="I78" s="2345" t="n">
        <v>2007</v>
      </c>
      <c r="J78" s="2345" t="n">
        <v>202091</v>
      </c>
      <c r="K78" s="2345" t="n">
        <v>2021</v>
      </c>
      <c r="L78" s="2345" t="n"/>
      <c r="M78" s="2345" t="n"/>
      <c r="N78" s="2345" t="n"/>
      <c r="O78" s="2356" t="n">
        <v>17434</v>
      </c>
      <c r="P78" s="2356" t="n">
        <v>31149</v>
      </c>
      <c r="Q78" s="2345" t="n"/>
      <c r="R78" s="2345" t="n"/>
      <c r="S78" s="2345" t="n"/>
      <c r="T78" s="2345" t="n"/>
      <c r="U78" s="2345" t="n"/>
      <c r="V78" s="2345" t="n"/>
      <c r="W78" s="2345" t="n"/>
      <c r="X78" s="2345" t="n"/>
      <c r="Y78" s="2345" t="n"/>
      <c r="Z78" s="2345" t="n"/>
      <c r="AA78" s="2345" t="n"/>
      <c r="AB78" s="2345" t="n"/>
      <c r="AC78" s="2356" t="n">
        <v>83142</v>
      </c>
      <c r="AD78" s="2345" t="n"/>
      <c r="AE78" s="2345" t="n"/>
      <c r="AF78" s="2345" t="n"/>
      <c r="AG78" s="2345" t="n"/>
      <c r="AH78" s="2356" t="n">
        <v>131725</v>
      </c>
      <c r="AI78" s="2356" t="n">
        <v>499000</v>
      </c>
      <c r="AJ78" s="2356" t="n">
        <v>630725</v>
      </c>
      <c r="AK78" s="2345" t="n"/>
      <c r="AL78" s="2345" t="n"/>
      <c r="AM78" s="2345" t="inlineStr">
        <is>
          <t>NNN landlord expenses only; from AXG Whse Expenses PSF.xlsx (R0172868)</t>
        </is>
      </c>
    </row>
    <row r="79">
      <c r="A79" s="2345" t="inlineStr">
        <is>
          <t>P036</t>
        </is>
      </c>
      <c r="B79" s="2338" t="n">
        <v>407</v>
      </c>
      <c r="C79" s="2345" t="inlineStr">
        <is>
          <t>R0172868</t>
        </is>
      </c>
      <c r="D79" s="2345" t="inlineStr">
        <is>
          <t>Majestic Commercenter (R0172868)</t>
        </is>
      </c>
      <c r="E79" s="2345" t="inlineStr">
        <is>
          <t>Commerce City</t>
        </is>
      </c>
      <c r="F79" s="2345" t="inlineStr">
        <is>
          <t>CO</t>
        </is>
      </c>
      <c r="G79" s="2345" t="inlineStr">
        <is>
          <t>Industrial</t>
        </is>
      </c>
      <c r="H79" s="2345" t="inlineStr">
        <is>
          <t>Warehouse NNN</t>
        </is>
      </c>
      <c r="I79" s="2345" t="n">
        <v>2007</v>
      </c>
      <c r="J79" s="2345" t="n">
        <v>202091</v>
      </c>
      <c r="K79" s="2345" t="n">
        <v>2022</v>
      </c>
      <c r="L79" s="2345" t="n"/>
      <c r="M79" s="2345" t="n"/>
      <c r="N79" s="2345" t="n"/>
      <c r="O79" s="2356" t="n">
        <v>18548</v>
      </c>
      <c r="P79" s="2356" t="n">
        <v>27554</v>
      </c>
      <c r="Q79" s="2345" t="n"/>
      <c r="R79" s="2345" t="n"/>
      <c r="S79" s="2345" t="n"/>
      <c r="T79" s="2345" t="n"/>
      <c r="U79" s="2345" t="n"/>
      <c r="V79" s="2345" t="n"/>
      <c r="W79" s="2345" t="n"/>
      <c r="X79" s="2345" t="n"/>
      <c r="Y79" s="2345" t="n"/>
      <c r="Z79" s="2345" t="n"/>
      <c r="AA79" s="2345" t="n"/>
      <c r="AB79" s="2345" t="n"/>
      <c r="AC79" s="2356" t="n">
        <v>66184</v>
      </c>
      <c r="AD79" s="2345" t="n"/>
      <c r="AE79" s="2345" t="n"/>
      <c r="AF79" s="2345" t="n"/>
      <c r="AG79" s="2345" t="n"/>
      <c r="AH79" s="2356" t="n">
        <v>112286</v>
      </c>
      <c r="AI79" s="2356" t="n">
        <v>509649</v>
      </c>
      <c r="AJ79" s="2356" t="n">
        <v>621935</v>
      </c>
      <c r="AK79" s="2345" t="n"/>
      <c r="AL79" s="2345" t="n"/>
      <c r="AM79" s="2345" t="inlineStr">
        <is>
          <t>NNN landlord expenses only; from AXG Whse Expenses PSF.xlsx (R0172868)</t>
        </is>
      </c>
    </row>
    <row r="80">
      <c r="A80" s="2345" t="inlineStr">
        <is>
          <t>P037</t>
        </is>
      </c>
      <c r="B80" s="2338" t="n">
        <v>407</v>
      </c>
      <c r="C80" s="2345" t="inlineStr">
        <is>
          <t>R0145680</t>
        </is>
      </c>
      <c r="D80" s="2345" t="inlineStr">
        <is>
          <t>Majestic Commercenter (R0145680)</t>
        </is>
      </c>
      <c r="E80" s="2345" t="inlineStr">
        <is>
          <t>Commerce City</t>
        </is>
      </c>
      <c r="F80" s="2345" t="inlineStr">
        <is>
          <t>CO</t>
        </is>
      </c>
      <c r="G80" s="2345" t="inlineStr">
        <is>
          <t>Industrial</t>
        </is>
      </c>
      <c r="H80" s="2345" t="inlineStr">
        <is>
          <t>Warehouse NNN</t>
        </is>
      </c>
      <c r="I80" s="2345" t="n">
        <v>2001</v>
      </c>
      <c r="J80" s="2345" t="n">
        <v>150027</v>
      </c>
      <c r="K80" s="2345" t="n">
        <v>2021</v>
      </c>
      <c r="L80" s="2345" t="n"/>
      <c r="M80" s="2345" t="n"/>
      <c r="N80" s="2345" t="n"/>
      <c r="O80" s="2356" t="n">
        <v>11682</v>
      </c>
      <c r="P80" s="2356" t="n">
        <v>41521</v>
      </c>
      <c r="Q80" s="2345" t="n"/>
      <c r="R80" s="2345" t="n"/>
      <c r="S80" s="2345" t="n"/>
      <c r="T80" s="2345" t="n"/>
      <c r="U80" s="2345" t="n"/>
      <c r="V80" s="2345" t="n"/>
      <c r="W80" s="2345" t="n"/>
      <c r="X80" s="2345" t="n"/>
      <c r="Y80" s="2345" t="n"/>
      <c r="Z80" s="2345" t="n"/>
      <c r="AA80" s="2345" t="n"/>
      <c r="AB80" s="2345" t="n"/>
      <c r="AC80" s="2356" t="n">
        <v>49834</v>
      </c>
      <c r="AD80" s="2345" t="n"/>
      <c r="AE80" s="2345" t="n"/>
      <c r="AF80" s="2345" t="n"/>
      <c r="AG80" s="2345" t="n"/>
      <c r="AH80" s="2356" t="n">
        <v>103037</v>
      </c>
      <c r="AI80" s="2356" t="n">
        <v>427951</v>
      </c>
      <c r="AJ80" s="2356" t="n">
        <v>530988</v>
      </c>
      <c r="AK80" s="2345" t="n"/>
      <c r="AL80" s="2345" t="n"/>
      <c r="AM80" s="2345" t="inlineStr">
        <is>
          <t>NNN landlord expenses only; from AXG Whse Expenses PSF.xlsx (R0145680)</t>
        </is>
      </c>
    </row>
    <row r="81">
      <c r="A81" s="2345" t="inlineStr">
        <is>
          <t>P037</t>
        </is>
      </c>
      <c r="B81" s="2338" t="n">
        <v>407</v>
      </c>
      <c r="C81" s="2345" t="inlineStr">
        <is>
          <t>R0145680</t>
        </is>
      </c>
      <c r="D81" s="2345" t="inlineStr">
        <is>
          <t>Majestic Commercenter (R0145680)</t>
        </is>
      </c>
      <c r="E81" s="2345" t="inlineStr">
        <is>
          <t>Commerce City</t>
        </is>
      </c>
      <c r="F81" s="2345" t="inlineStr">
        <is>
          <t>CO</t>
        </is>
      </c>
      <c r="G81" s="2345" t="inlineStr">
        <is>
          <t>Industrial</t>
        </is>
      </c>
      <c r="H81" s="2345" t="inlineStr">
        <is>
          <t>Warehouse NNN</t>
        </is>
      </c>
      <c r="I81" s="2345" t="n">
        <v>2001</v>
      </c>
      <c r="J81" s="2345" t="n">
        <v>150027</v>
      </c>
      <c r="K81" s="2345" t="n">
        <v>2022</v>
      </c>
      <c r="L81" s="2345" t="n"/>
      <c r="M81" s="2345" t="n"/>
      <c r="N81" s="2345" t="n"/>
      <c r="O81" s="2356" t="n">
        <v>12428</v>
      </c>
      <c r="P81" s="2356" t="n">
        <v>34409</v>
      </c>
      <c r="Q81" s="2345" t="n"/>
      <c r="R81" s="2345" t="n"/>
      <c r="S81" s="2345" t="n"/>
      <c r="T81" s="2345" t="n"/>
      <c r="U81" s="2345" t="n"/>
      <c r="V81" s="2345" t="n"/>
      <c r="W81" s="2345" t="n"/>
      <c r="X81" s="2345" t="n"/>
      <c r="Y81" s="2345" t="n"/>
      <c r="Z81" s="2345" t="n"/>
      <c r="AA81" s="2345" t="n"/>
      <c r="AB81" s="2345" t="n"/>
      <c r="AC81" s="2356" t="n">
        <v>54262</v>
      </c>
      <c r="AD81" s="2345" t="n"/>
      <c r="AE81" s="2345" t="n"/>
      <c r="AF81" s="2345" t="n"/>
      <c r="AG81" s="2345" t="n"/>
      <c r="AH81" s="2356" t="n">
        <v>101099</v>
      </c>
      <c r="AI81" s="2356" t="n">
        <v>410892</v>
      </c>
      <c r="AJ81" s="2356" t="n">
        <v>511991</v>
      </c>
      <c r="AK81" s="2345" t="n"/>
      <c r="AL81" s="2345" t="n"/>
      <c r="AM81" s="2345" t="inlineStr">
        <is>
          <t>NNN landlord expenses only; from AXG Whse Expenses PSF.xlsx (R0145680)</t>
        </is>
      </c>
    </row>
    <row r="82">
      <c r="A82" s="2345" t="inlineStr">
        <is>
          <t>P038</t>
        </is>
      </c>
      <c r="B82" s="2338" t="n">
        <v>584</v>
      </c>
      <c r="C82" s="2345" t="inlineStr">
        <is>
          <t>R0181787</t>
        </is>
      </c>
      <c r="D82" s="2345" t="inlineStr">
        <is>
          <t>Majestic Commercenter (R0181787)</t>
        </is>
      </c>
      <c r="E82" s="2345" t="inlineStr">
        <is>
          <t>Commerce City</t>
        </is>
      </c>
      <c r="F82" s="2345" t="inlineStr">
        <is>
          <t>CO</t>
        </is>
      </c>
      <c r="G82" s="2345" t="inlineStr">
        <is>
          <t>Industrial</t>
        </is>
      </c>
      <c r="H82" s="2345" t="inlineStr">
        <is>
          <t>Warehouse NNN</t>
        </is>
      </c>
      <c r="I82" s="2345" t="n">
        <v>2013</v>
      </c>
      <c r="J82" s="2345" t="n">
        <v>500358</v>
      </c>
      <c r="K82" s="2345" t="n">
        <v>2021</v>
      </c>
      <c r="L82" s="2345" t="n"/>
      <c r="M82" s="2345" t="n"/>
      <c r="N82" s="2345" t="n"/>
      <c r="O82" s="2356" t="n">
        <v>37172</v>
      </c>
      <c r="P82" s="2356" t="n">
        <v>117764</v>
      </c>
      <c r="Q82" s="2345" t="n"/>
      <c r="R82" s="2345" t="n"/>
      <c r="S82" s="2345" t="n"/>
      <c r="T82" s="2345" t="n"/>
      <c r="U82" s="2345" t="n"/>
      <c r="V82" s="2345" t="n"/>
      <c r="W82" s="2345" t="n"/>
      <c r="X82" s="2345" t="n"/>
      <c r="Y82" s="2345" t="n"/>
      <c r="Z82" s="2345" t="n"/>
      <c r="AA82" s="2345" t="n"/>
      <c r="AB82" s="2345" t="n"/>
      <c r="AC82" s="2356" t="n">
        <v>156518</v>
      </c>
      <c r="AD82" s="2345" t="n"/>
      <c r="AE82" s="2345" t="n"/>
      <c r="AF82" s="2356" t="n">
        <v>117148</v>
      </c>
      <c r="AG82" s="2345" t="n"/>
      <c r="AH82" s="2356" t="n">
        <v>428602</v>
      </c>
      <c r="AI82" s="2356" t="n">
        <v>1142695</v>
      </c>
      <c r="AJ82" s="2356" t="n">
        <v>1571297</v>
      </c>
      <c r="AK82" s="2345" t="n"/>
      <c r="AL82" s="2345" t="n"/>
      <c r="AM82" s="2345" t="inlineStr">
        <is>
          <t>NNN landlord expenses only; from AXG Whse Expenses PSF.xlsx (R0181787)</t>
        </is>
      </c>
    </row>
    <row r="83">
      <c r="A83" s="2345" t="inlineStr">
        <is>
          <t>P038</t>
        </is>
      </c>
      <c r="B83" s="2338" t="n">
        <v>584</v>
      </c>
      <c r="C83" s="2345" t="inlineStr">
        <is>
          <t>R0181787</t>
        </is>
      </c>
      <c r="D83" s="2345" t="inlineStr">
        <is>
          <t>Majestic Commercenter (R0181787)</t>
        </is>
      </c>
      <c r="E83" s="2345" t="inlineStr">
        <is>
          <t>Commerce City</t>
        </is>
      </c>
      <c r="F83" s="2345" t="inlineStr">
        <is>
          <t>CO</t>
        </is>
      </c>
      <c r="G83" s="2345" t="inlineStr">
        <is>
          <t>Industrial</t>
        </is>
      </c>
      <c r="H83" s="2345" t="inlineStr">
        <is>
          <t>Warehouse NNN</t>
        </is>
      </c>
      <c r="I83" s="2345" t="n">
        <v>2013</v>
      </c>
      <c r="J83" s="2345" t="n">
        <v>500358</v>
      </c>
      <c r="K83" s="2345" t="n">
        <v>2022</v>
      </c>
      <c r="L83" s="2345" t="n"/>
      <c r="M83" s="2345" t="n"/>
      <c r="N83" s="2345" t="n"/>
      <c r="O83" s="2356" t="n">
        <v>39548</v>
      </c>
      <c r="P83" s="2356" t="n">
        <v>100791</v>
      </c>
      <c r="Q83" s="2345" t="n"/>
      <c r="R83" s="2345" t="n"/>
      <c r="S83" s="2345" t="n"/>
      <c r="T83" s="2345" t="n"/>
      <c r="U83" s="2345" t="n"/>
      <c r="V83" s="2345" t="n"/>
      <c r="W83" s="2345" t="n"/>
      <c r="X83" s="2345" t="n"/>
      <c r="Y83" s="2345" t="n"/>
      <c r="Z83" s="2345" t="n"/>
      <c r="AA83" s="2345" t="n"/>
      <c r="AB83" s="2345" t="n"/>
      <c r="AC83" s="2356" t="n">
        <v>116474</v>
      </c>
      <c r="AD83" s="2345" t="n"/>
      <c r="AE83" s="2345" t="n"/>
      <c r="AF83" s="2356" t="n">
        <v>113231</v>
      </c>
      <c r="AG83" s="2345" t="n"/>
      <c r="AH83" s="2356" t="n">
        <v>370044</v>
      </c>
      <c r="AI83" s="2356" t="n">
        <v>1270807</v>
      </c>
      <c r="AJ83" s="2356" t="n">
        <v>1640851</v>
      </c>
      <c r="AK83" s="2345" t="n"/>
      <c r="AL83" s="2345" t="n"/>
      <c r="AM83" s="2345" t="inlineStr">
        <is>
          <t>NNN landlord expenses only; from AXG Whse Expenses PSF.xlsx (R0181787)</t>
        </is>
      </c>
    </row>
    <row r="84">
      <c r="A84" s="2345" t="inlineStr">
        <is>
          <t>P039</t>
        </is>
      </c>
      <c r="B84" s="2338" t="n">
        <v>584</v>
      </c>
      <c r="C84" s="2345" t="inlineStr">
        <is>
          <t>R0191101</t>
        </is>
      </c>
      <c r="D84" s="2345" t="inlineStr">
        <is>
          <t>Majestic Commercenter (R0191101)</t>
        </is>
      </c>
      <c r="E84" s="2345" t="inlineStr">
        <is>
          <t>Commerce City</t>
        </is>
      </c>
      <c r="F84" s="2345" t="inlineStr">
        <is>
          <t>CO</t>
        </is>
      </c>
      <c r="G84" s="2345" t="inlineStr">
        <is>
          <t>Industrial</t>
        </is>
      </c>
      <c r="H84" s="2345" t="inlineStr">
        <is>
          <t>Warehouse NNN</t>
        </is>
      </c>
      <c r="I84" s="2345" t="n">
        <v>2017</v>
      </c>
      <c r="J84" s="2345" t="n">
        <v>522120</v>
      </c>
      <c r="K84" s="2345" t="n">
        <v>2021</v>
      </c>
      <c r="L84" s="2345" t="n"/>
      <c r="M84" s="2345" t="n"/>
      <c r="N84" s="2345" t="n"/>
      <c r="O84" s="2356" t="n">
        <v>42908</v>
      </c>
      <c r="P84" s="2356" t="n">
        <v>134812</v>
      </c>
      <c r="Q84" s="2345" t="n"/>
      <c r="R84" s="2345" t="n"/>
      <c r="S84" s="2345" t="n"/>
      <c r="T84" s="2345" t="n"/>
      <c r="U84" s="2345" t="n"/>
      <c r="V84" s="2345" t="n"/>
      <c r="W84" s="2345" t="n"/>
      <c r="X84" s="2345" t="n"/>
      <c r="Y84" s="2345" t="n"/>
      <c r="Z84" s="2345" t="n"/>
      <c r="AA84" s="2345" t="n"/>
      <c r="AB84" s="2345" t="n"/>
      <c r="AC84" s="2356" t="n">
        <v>147507</v>
      </c>
      <c r="AD84" s="2345" t="n"/>
      <c r="AE84" s="2345" t="n"/>
      <c r="AF84" s="2356" t="n">
        <v>93640</v>
      </c>
      <c r="AG84" s="2345" t="n"/>
      <c r="AH84" s="2356" t="n">
        <v>418867</v>
      </c>
      <c r="AI84" s="2356" t="n">
        <v>1137439</v>
      </c>
      <c r="AJ84" s="2356" t="n">
        <v>1556306</v>
      </c>
      <c r="AK84" s="2345" t="n"/>
      <c r="AL84" s="2345" t="n"/>
      <c r="AM84" s="2345" t="inlineStr">
        <is>
          <t>NNN landlord expenses only; from AXG Whse Expenses PSF.xlsx (R0191101)</t>
        </is>
      </c>
    </row>
    <row r="85">
      <c r="A85" s="2345" t="inlineStr">
        <is>
          <t>P039</t>
        </is>
      </c>
      <c r="B85" s="2338" t="n">
        <v>584</v>
      </c>
      <c r="C85" s="2345" t="inlineStr">
        <is>
          <t>R0191101</t>
        </is>
      </c>
      <c r="D85" s="2345" t="inlineStr">
        <is>
          <t>Majestic Commercenter (R0191101)</t>
        </is>
      </c>
      <c r="E85" s="2345" t="inlineStr">
        <is>
          <t>Commerce City</t>
        </is>
      </c>
      <c r="F85" s="2345" t="inlineStr">
        <is>
          <t>CO</t>
        </is>
      </c>
      <c r="G85" s="2345" t="inlineStr">
        <is>
          <t>Industrial</t>
        </is>
      </c>
      <c r="H85" s="2345" t="inlineStr">
        <is>
          <t>Warehouse NNN</t>
        </is>
      </c>
      <c r="I85" s="2345" t="n">
        <v>2017</v>
      </c>
      <c r="J85" s="2345" t="n">
        <v>522120</v>
      </c>
      <c r="K85" s="2345" t="n">
        <v>2022</v>
      </c>
      <c r="L85" s="2345" t="n"/>
      <c r="M85" s="2345" t="n"/>
      <c r="N85" s="2345" t="n"/>
      <c r="O85" s="2356" t="n">
        <v>45651</v>
      </c>
      <c r="P85" s="2356" t="n">
        <v>115853</v>
      </c>
      <c r="Q85" s="2345" t="n"/>
      <c r="R85" s="2345" t="n"/>
      <c r="S85" s="2345" t="n"/>
      <c r="T85" s="2345" t="n"/>
      <c r="U85" s="2345" t="n"/>
      <c r="V85" s="2345" t="n"/>
      <c r="W85" s="2345" t="n"/>
      <c r="X85" s="2345" t="n"/>
      <c r="Y85" s="2345" t="n"/>
      <c r="Z85" s="2345" t="n"/>
      <c r="AA85" s="2345" t="n"/>
      <c r="AB85" s="2345" t="n"/>
      <c r="AC85" s="2356" t="n">
        <v>89739</v>
      </c>
      <c r="AD85" s="2345" t="n"/>
      <c r="AE85" s="2345" t="n"/>
      <c r="AF85" s="2356" t="n">
        <v>90763</v>
      </c>
      <c r="AG85" s="2345" t="n"/>
      <c r="AH85" s="2356" t="n">
        <v>342006</v>
      </c>
      <c r="AI85" s="2356" t="n">
        <v>1169645</v>
      </c>
      <c r="AJ85" s="2356" t="n">
        <v>1511651</v>
      </c>
      <c r="AK85" s="2345" t="n"/>
      <c r="AL85" s="2345" t="n"/>
      <c r="AM85" s="2345" t="inlineStr">
        <is>
          <t>NNN landlord expenses only; from AXG Whse Expenses PSF.xlsx (R0191101)</t>
        </is>
      </c>
    </row>
    <row r="86">
      <c r="A86" s="2345" t="inlineStr">
        <is>
          <t>P040</t>
        </is>
      </c>
      <c r="B86" s="2338" t="n">
        <v>407</v>
      </c>
      <c r="C86" s="2345" t="inlineStr">
        <is>
          <t>R0202874</t>
        </is>
      </c>
      <c r="D86" s="2345" t="inlineStr">
        <is>
          <t>900 E 128th Ave</t>
        </is>
      </c>
      <c r="E86" s="2345" t="inlineStr">
        <is>
          <t>Henderson</t>
        </is>
      </c>
      <c r="F86" s="2345" t="inlineStr">
        <is>
          <t>CO</t>
        </is>
      </c>
      <c r="G86" s="2345" t="inlineStr">
        <is>
          <t>Industrial</t>
        </is>
      </c>
      <c r="H86" s="2345" t="inlineStr">
        <is>
          <t>Last-Mile Distribution NNN</t>
        </is>
      </c>
      <c r="I86" s="2345" t="n"/>
      <c r="J86" s="2345" t="n"/>
      <c r="K86" s="2345" t="n">
        <v>2021</v>
      </c>
      <c r="L86" s="2356" t="n">
        <v>2633716</v>
      </c>
      <c r="M86" s="2345" t="n"/>
      <c r="N86" s="2356" t="n">
        <v>3256403</v>
      </c>
      <c r="O86" s="2356" t="n">
        <v>56624</v>
      </c>
      <c r="P86" s="2345" t="n"/>
      <c r="Q86" s="2356" t="n">
        <v>300</v>
      </c>
      <c r="R86" s="2345" t="n"/>
      <c r="S86" s="2345" t="n"/>
      <c r="T86" s="2345" t="n"/>
      <c r="U86" s="2345" t="n"/>
      <c r="V86" s="2345" t="n"/>
      <c r="W86" s="2345" t="n"/>
      <c r="X86" s="2356" t="n">
        <v>29535</v>
      </c>
      <c r="Y86" s="2356" t="n">
        <v>30138</v>
      </c>
      <c r="Z86" s="2345" t="n"/>
      <c r="AA86" s="2356" t="n">
        <v>54136</v>
      </c>
      <c r="AB86" s="2356" t="n">
        <v>127274</v>
      </c>
      <c r="AC86" s="2345" t="n"/>
      <c r="AD86" s="2345" t="n"/>
      <c r="AE86" s="2345" t="n"/>
      <c r="AF86" s="2356" t="n">
        <v>18748</v>
      </c>
      <c r="AG86" s="2345" t="n"/>
      <c r="AH86" s="2356" t="n">
        <v>731951</v>
      </c>
      <c r="AI86" s="2345" t="n"/>
      <c r="AJ86" s="2345" t="n"/>
      <c r="AK86" s="2356" t="n">
        <v>2524452</v>
      </c>
      <c r="AL86" s="2345" t="n"/>
      <c r="AM86" s="2345" t="inlineStr">
        <is>
          <t>Amazon AMZL Site 51812; SF not extracted; RE Tax not broken out in 2021</t>
        </is>
      </c>
    </row>
    <row r="87">
      <c r="A87" s="2345" t="inlineStr">
        <is>
          <t>P040</t>
        </is>
      </c>
      <c r="B87" s="2338" t="n">
        <v>407</v>
      </c>
      <c r="C87" s="2345" t="inlineStr">
        <is>
          <t>R0202874</t>
        </is>
      </c>
      <c r="D87" s="2345" t="inlineStr">
        <is>
          <t>900 E 128th Ave</t>
        </is>
      </c>
      <c r="E87" s="2345" t="inlineStr">
        <is>
          <t>Henderson</t>
        </is>
      </c>
      <c r="F87" s="2345" t="inlineStr">
        <is>
          <t>CO</t>
        </is>
      </c>
      <c r="G87" s="2345" t="inlineStr">
        <is>
          <t>Industrial</t>
        </is>
      </c>
      <c r="H87" s="2345" t="inlineStr">
        <is>
          <t>Last-Mile Distribution NNN</t>
        </is>
      </c>
      <c r="I87" s="2345" t="n"/>
      <c r="J87" s="2345" t="n"/>
      <c r="K87" s="2345" t="n">
        <v>2022</v>
      </c>
      <c r="L87" s="2345" t="n"/>
      <c r="M87" s="2345" t="n"/>
      <c r="N87" s="2345" t="n"/>
      <c r="O87" s="2345" t="n"/>
      <c r="P87" s="2356" t="n">
        <v>69999</v>
      </c>
      <c r="Q87" s="2345" t="n"/>
      <c r="R87" s="2345" t="n"/>
      <c r="S87" s="2345" t="n"/>
      <c r="T87" s="2345" t="n"/>
      <c r="U87" s="2345" t="n"/>
      <c r="V87" s="2345" t="n"/>
      <c r="W87" s="2345" t="n"/>
      <c r="X87" s="2345" t="n"/>
      <c r="Y87" s="2345" t="n"/>
      <c r="Z87" s="2345" t="n"/>
      <c r="AA87" s="2345" t="n"/>
      <c r="AB87" s="2345" t="n"/>
      <c r="AC87" s="2345" t="n"/>
      <c r="AD87" s="2345" t="n"/>
      <c r="AE87" s="2345" t="n"/>
      <c r="AF87" s="2345" t="n"/>
      <c r="AG87" s="2345" t="n"/>
      <c r="AH87" s="2345" t="n"/>
      <c r="AI87" s="2356" t="n">
        <v>1080500</v>
      </c>
      <c r="AJ87" s="2356" t="n">
        <v>1527913</v>
      </c>
      <c r="AK87" s="2356" t="n">
        <v>2475461</v>
      </c>
      <c r="AL87" s="2345" t="n"/>
      <c r="AM87" s="2345" t="inlineStr">
        <is>
          <t>Amazon AMZL Site 51812; 2022 dominated by RE Tax $1.08M; asset mgmt fee $70k</t>
        </is>
      </c>
    </row>
    <row r="88">
      <c r="A88" s="2345" t="inlineStr">
        <is>
          <t>P041</t>
        </is>
      </c>
      <c r="B88" s="2338" t="n">
        <v>386</v>
      </c>
      <c r="C88" s="2345" t="inlineStr">
        <is>
          <t>R0189384</t>
        </is>
      </c>
      <c r="D88" s="2345" t="inlineStr">
        <is>
          <t>1101 Colorado Blvd</t>
        </is>
      </c>
      <c r="E88" s="2345" t="inlineStr">
        <is>
          <t>Thornton</t>
        </is>
      </c>
      <c r="F88" s="2345" t="inlineStr">
        <is>
          <t>CO</t>
        </is>
      </c>
      <c r="G88" s="2345" t="inlineStr">
        <is>
          <t>Self-Storage</t>
        </is>
      </c>
      <c r="H88" s="2345" t="inlineStr">
        <is>
          <t>Climate-Controlled</t>
        </is>
      </c>
      <c r="I88" s="2345" t="n"/>
      <c r="J88" s="2345" t="n">
        <v>65766</v>
      </c>
      <c r="K88" s="2345" t="n">
        <v>2021</v>
      </c>
      <c r="L88" s="2345" t="n"/>
      <c r="M88" s="2345" t="n"/>
      <c r="N88" s="2356" t="n">
        <v>879992</v>
      </c>
      <c r="O88" s="2345" t="n"/>
      <c r="P88" s="2345" t="n"/>
      <c r="Q88" s="2345" t="n"/>
      <c r="R88" s="2345" t="n"/>
      <c r="S88" s="2345" t="n"/>
      <c r="T88" s="2345" t="n"/>
      <c r="U88" s="2345" t="n"/>
      <c r="V88" s="2345" t="n"/>
      <c r="W88" s="2345" t="n"/>
      <c r="X88" s="2345" t="n"/>
      <c r="Y88" s="2345" t="n"/>
      <c r="Z88" s="2345" t="n"/>
      <c r="AA88" s="2345" t="n"/>
      <c r="AB88" s="2345" t="n"/>
      <c r="AC88" s="2345" t="n"/>
      <c r="AD88" s="2345" t="n"/>
      <c r="AE88" s="2345" t="n"/>
      <c r="AF88" s="2345" t="n"/>
      <c r="AG88" s="2345" t="n"/>
      <c r="AH88" s="2345" t="n"/>
      <c r="AI88" s="2345" t="n"/>
      <c r="AJ88" s="2356" t="n">
        <v>418098</v>
      </c>
      <c r="AK88" s="2356" t="n">
        <v>461894</v>
      </c>
      <c r="AL88" s="2345" t="n"/>
      <c r="AM88" s="2345" t="inlineStr">
        <is>
          <t>Actual SS P&amp;L; mgmt=off-site+on-site combined; admin+adv in Other</t>
        </is>
      </c>
    </row>
    <row r="89">
      <c r="A89" s="2345" t="inlineStr">
        <is>
          <t>P041</t>
        </is>
      </c>
      <c r="B89" s="2338" t="n">
        <v>386</v>
      </c>
      <c r="C89" s="2345" t="inlineStr">
        <is>
          <t>R0189384</t>
        </is>
      </c>
      <c r="D89" s="2345" t="inlineStr">
        <is>
          <t>1101 Colorado Blvd</t>
        </is>
      </c>
      <c r="E89" s="2345" t="inlineStr">
        <is>
          <t>Thornton</t>
        </is>
      </c>
      <c r="F89" s="2345" t="inlineStr">
        <is>
          <t>CO</t>
        </is>
      </c>
      <c r="G89" s="2345" t="inlineStr">
        <is>
          <t>Self-Storage</t>
        </is>
      </c>
      <c r="H89" s="2345" t="inlineStr">
        <is>
          <t>Climate-Controlled</t>
        </is>
      </c>
      <c r="I89" s="2345" t="n"/>
      <c r="J89" s="2345" t="n">
        <v>65766</v>
      </c>
      <c r="K89" s="2345" t="n">
        <v>2022</v>
      </c>
      <c r="L89" s="2345" t="n"/>
      <c r="M89" s="2345" t="n"/>
      <c r="N89" s="2356" t="n">
        <v>924824</v>
      </c>
      <c r="O89" s="2345" t="n"/>
      <c r="P89" s="2345" t="n"/>
      <c r="Q89" s="2345" t="n"/>
      <c r="R89" s="2345" t="n"/>
      <c r="S89" s="2345" t="n"/>
      <c r="T89" s="2345" t="n"/>
      <c r="U89" s="2345" t="n"/>
      <c r="V89" s="2345" t="n"/>
      <c r="W89" s="2345" t="n"/>
      <c r="X89" s="2345" t="n"/>
      <c r="Y89" s="2345" t="n"/>
      <c r="Z89" s="2345" t="n"/>
      <c r="AA89" s="2345" t="n"/>
      <c r="AB89" s="2345" t="n"/>
      <c r="AC89" s="2345" t="n"/>
      <c r="AD89" s="2345" t="n"/>
      <c r="AE89" s="2345" t="n"/>
      <c r="AF89" s="2345" t="n"/>
      <c r="AG89" s="2345" t="n"/>
      <c r="AH89" s="2345" t="n"/>
      <c r="AI89" s="2345" t="n"/>
      <c r="AJ89" s="2356" t="n">
        <v>455769</v>
      </c>
      <c r="AK89" s="2356" t="n">
        <v>469055</v>
      </c>
      <c r="AL89" s="2345" t="n"/>
      <c r="AM89" s="2345" t="inlineStr">
        <is>
          <t>Actual SS P&amp;L; mgmt=off-site+on-site combined; admin+adv in Other</t>
        </is>
      </c>
    </row>
    <row r="90">
      <c r="A90" s="2345" t="inlineStr">
        <is>
          <t>P041</t>
        </is>
      </c>
      <c r="B90" s="2338" t="n">
        <v>386</v>
      </c>
      <c r="C90" s="2345" t="inlineStr">
        <is>
          <t>R0189384</t>
        </is>
      </c>
      <c r="D90" s="2345" t="inlineStr">
        <is>
          <t>1101 Colorado Blvd</t>
        </is>
      </c>
      <c r="E90" s="2345" t="inlineStr">
        <is>
          <t>Thornton</t>
        </is>
      </c>
      <c r="F90" s="2345" t="inlineStr">
        <is>
          <t>CO</t>
        </is>
      </c>
      <c r="G90" s="2345" t="inlineStr">
        <is>
          <t>Self-Storage</t>
        </is>
      </c>
      <c r="H90" s="2345" t="inlineStr">
        <is>
          <t>Climate-Controlled</t>
        </is>
      </c>
      <c r="I90" s="2345" t="n"/>
      <c r="J90" s="2345" t="n">
        <v>65766</v>
      </c>
      <c r="K90" s="2345" t="n">
        <v>2023</v>
      </c>
      <c r="L90" s="2345" t="n"/>
      <c r="M90" s="2345" t="n"/>
      <c r="N90" s="2356" t="n">
        <v>931247</v>
      </c>
      <c r="O90" s="2356" t="n">
        <v>41471</v>
      </c>
      <c r="P90" s="2356" t="n">
        <v>104101</v>
      </c>
      <c r="Q90" s="2345" t="n"/>
      <c r="R90" s="2345" t="n"/>
      <c r="S90" s="2345" t="n"/>
      <c r="T90" s="2345" t="n"/>
      <c r="U90" s="2345" t="n"/>
      <c r="V90" s="2345" t="n"/>
      <c r="W90" s="2345" t="n"/>
      <c r="X90" s="2345" t="n"/>
      <c r="Y90" s="2356" t="n">
        <v>15564</v>
      </c>
      <c r="Z90" s="2345" t="n"/>
      <c r="AA90" s="2345" t="n"/>
      <c r="AB90" s="2345" t="n"/>
      <c r="AC90" s="2345" t="n"/>
      <c r="AD90" s="2345" t="n"/>
      <c r="AE90" s="2345" t="n"/>
      <c r="AF90" s="2356" t="n">
        <v>37120</v>
      </c>
      <c r="AG90" s="2345" t="n"/>
      <c r="AH90" s="2356" t="n">
        <v>294563</v>
      </c>
      <c r="AI90" s="2356" t="n">
        <v>179920</v>
      </c>
      <c r="AJ90" s="2356" t="n">
        <v>474483</v>
      </c>
      <c r="AK90" s="2356" t="n">
        <v>469746</v>
      </c>
      <c r="AL90" s="2345" t="n"/>
      <c r="AM90" s="2345" t="inlineStr">
        <is>
          <t>Actual SS P&amp;L; mgmt=off-site+on-site combined; admin+adv in Other</t>
        </is>
      </c>
    </row>
    <row r="91">
      <c r="A91" s="2345" t="inlineStr">
        <is>
          <t>P042</t>
        </is>
      </c>
      <c r="B91" s="2338" t="n">
        <v>386</v>
      </c>
      <c r="C91" s="2345" t="inlineStr">
        <is>
          <t>R0126235</t>
        </is>
      </c>
      <c r="D91" s="2345" t="inlineStr">
        <is>
          <t>15024 Laroy Drive</t>
        </is>
      </c>
      <c r="E91" s="2345" t="inlineStr">
        <is>
          <t>Northglenn</t>
        </is>
      </c>
      <c r="F91" s="2345" t="inlineStr">
        <is>
          <t>CO</t>
        </is>
      </c>
      <c r="G91" s="2345" t="inlineStr">
        <is>
          <t>Self-Storage</t>
        </is>
      </c>
      <c r="H91" s="2345" t="inlineStr">
        <is>
          <t>Climate-Controlled</t>
        </is>
      </c>
      <c r="I91" s="2345" t="n"/>
      <c r="J91" s="2345" t="n">
        <v>79950</v>
      </c>
      <c r="K91" s="2345" t="n">
        <v>2021</v>
      </c>
      <c r="L91" s="2345" t="n"/>
      <c r="M91" s="2345" t="n"/>
      <c r="N91" s="2356" t="n">
        <v>956337</v>
      </c>
      <c r="O91" s="2345" t="n"/>
      <c r="P91" s="2345" t="n"/>
      <c r="Q91" s="2345" t="n"/>
      <c r="R91" s="2345" t="n"/>
      <c r="S91" s="2345" t="n"/>
      <c r="T91" s="2345" t="n"/>
      <c r="U91" s="2345" t="n"/>
      <c r="V91" s="2345" t="n"/>
      <c r="W91" s="2345" t="n"/>
      <c r="X91" s="2345" t="n"/>
      <c r="Y91" s="2345" t="n"/>
      <c r="Z91" s="2345" t="n"/>
      <c r="AA91" s="2345" t="n"/>
      <c r="AB91" s="2345" t="n"/>
      <c r="AC91" s="2345" t="n"/>
      <c r="AD91" s="2345" t="n"/>
      <c r="AE91" s="2345" t="n"/>
      <c r="AF91" s="2345" t="n"/>
      <c r="AG91" s="2345" t="n"/>
      <c r="AH91" s="2345" t="n"/>
      <c r="AI91" s="2345" t="n"/>
      <c r="AJ91" s="2356" t="n">
        <v>481614</v>
      </c>
      <c r="AK91" s="2356" t="n">
        <v>514723</v>
      </c>
      <c r="AL91" s="2345" t="n"/>
      <c r="AM91" s="2345" t="inlineStr">
        <is>
          <t>Actual SS P&amp;L; mgmt=off-site+on-site combined</t>
        </is>
      </c>
    </row>
    <row r="92">
      <c r="A92" s="2345" t="inlineStr">
        <is>
          <t>P042</t>
        </is>
      </c>
      <c r="B92" s="2338" t="n">
        <v>386</v>
      </c>
      <c r="C92" s="2345" t="inlineStr">
        <is>
          <t>R0126235</t>
        </is>
      </c>
      <c r="D92" s="2345" t="inlineStr">
        <is>
          <t>15024 Laroy Drive</t>
        </is>
      </c>
      <c r="E92" s="2345" t="inlineStr">
        <is>
          <t>Northglenn</t>
        </is>
      </c>
      <c r="F92" s="2345" t="inlineStr">
        <is>
          <t>CO</t>
        </is>
      </c>
      <c r="G92" s="2345" t="inlineStr">
        <is>
          <t>Self-Storage</t>
        </is>
      </c>
      <c r="H92" s="2345" t="inlineStr">
        <is>
          <t>Climate-Controlled</t>
        </is>
      </c>
      <c r="I92" s="2345" t="n"/>
      <c r="J92" s="2345" t="n">
        <v>79950</v>
      </c>
      <c r="K92" s="2345" t="n">
        <v>2022</v>
      </c>
      <c r="L92" s="2345" t="n"/>
      <c r="M92" s="2345" t="n"/>
      <c r="N92" s="2356" t="n">
        <v>1017929</v>
      </c>
      <c r="O92" s="2345" t="n"/>
      <c r="P92" s="2345" t="n"/>
      <c r="Q92" s="2345" t="n"/>
      <c r="R92" s="2345" t="n"/>
      <c r="S92" s="2345" t="n"/>
      <c r="T92" s="2345" t="n"/>
      <c r="U92" s="2345" t="n"/>
      <c r="V92" s="2345" t="n"/>
      <c r="W92" s="2345" t="n"/>
      <c r="X92" s="2345" t="n"/>
      <c r="Y92" s="2345" t="n"/>
      <c r="Z92" s="2345" t="n"/>
      <c r="AA92" s="2345" t="n"/>
      <c r="AB92" s="2345" t="n"/>
      <c r="AC92" s="2345" t="n"/>
      <c r="AD92" s="2345" t="n"/>
      <c r="AE92" s="2345" t="n"/>
      <c r="AF92" s="2345" t="n"/>
      <c r="AG92" s="2345" t="n"/>
      <c r="AH92" s="2345" t="n"/>
      <c r="AI92" s="2345" t="n"/>
      <c r="AJ92" s="2356" t="n">
        <v>432239</v>
      </c>
      <c r="AK92" s="2356" t="n">
        <v>585690</v>
      </c>
      <c r="AL92" s="2345" t="n"/>
      <c r="AM92" s="2345" t="inlineStr">
        <is>
          <t>Actual SS P&amp;L; mgmt=off-site+on-site combined</t>
        </is>
      </c>
    </row>
    <row r="93">
      <c r="A93" s="2345" t="inlineStr">
        <is>
          <t>P042</t>
        </is>
      </c>
      <c r="B93" s="2338" t="n">
        <v>386</v>
      </c>
      <c r="C93" s="2345" t="inlineStr">
        <is>
          <t>R0126235</t>
        </is>
      </c>
      <c r="D93" s="2345" t="inlineStr">
        <is>
          <t>15024 Laroy Drive</t>
        </is>
      </c>
      <c r="E93" s="2345" t="inlineStr">
        <is>
          <t>Northglenn</t>
        </is>
      </c>
      <c r="F93" s="2345" t="inlineStr">
        <is>
          <t>CO</t>
        </is>
      </c>
      <c r="G93" s="2345" t="inlineStr">
        <is>
          <t>Self-Storage</t>
        </is>
      </c>
      <c r="H93" s="2345" t="inlineStr">
        <is>
          <t>Climate-Controlled</t>
        </is>
      </c>
      <c r="I93" s="2345" t="n"/>
      <c r="J93" s="2345" t="n">
        <v>79950</v>
      </c>
      <c r="K93" s="2345" t="n">
        <v>2023</v>
      </c>
      <c r="L93" s="2345" t="n"/>
      <c r="M93" s="2345" t="n"/>
      <c r="N93" s="2356" t="n">
        <v>954605</v>
      </c>
      <c r="O93" s="2356" t="n">
        <v>40815</v>
      </c>
      <c r="P93" s="2356" t="n">
        <v>108523</v>
      </c>
      <c r="Q93" s="2345" t="n"/>
      <c r="R93" s="2345" t="n"/>
      <c r="S93" s="2345" t="n"/>
      <c r="T93" s="2345" t="n"/>
      <c r="U93" s="2345" t="n"/>
      <c r="V93" s="2345" t="n"/>
      <c r="W93" s="2345" t="n"/>
      <c r="X93" s="2345" t="n"/>
      <c r="Y93" s="2356" t="n">
        <v>24068</v>
      </c>
      <c r="Z93" s="2345" t="n"/>
      <c r="AA93" s="2345" t="n"/>
      <c r="AB93" s="2345" t="n"/>
      <c r="AC93" s="2345" t="n"/>
      <c r="AD93" s="2345" t="n"/>
      <c r="AE93" s="2345" t="n"/>
      <c r="AF93" s="2356" t="n">
        <v>20683</v>
      </c>
      <c r="AG93" s="2345" t="n"/>
      <c r="AH93" s="2356" t="n">
        <v>274666</v>
      </c>
      <c r="AI93" s="2356" t="n">
        <v>244725</v>
      </c>
      <c r="AJ93" s="2356" t="n">
        <v>519391</v>
      </c>
      <c r="AK93" s="2356" t="n">
        <v>435215</v>
      </c>
      <c r="AL93" s="2345" t="n"/>
      <c r="AM93" s="2345" t="inlineStr">
        <is>
          <t>Actual SS P&amp;L; mgmt=off-site+on-site combined</t>
        </is>
      </c>
    </row>
    <row r="94">
      <c r="A94" s="2345" t="inlineStr">
        <is>
          <t>P043</t>
        </is>
      </c>
      <c r="B94" s="2338" t="n">
        <v>386</v>
      </c>
      <c r="C94" s="2345" t="inlineStr">
        <is>
          <t>R0126234</t>
        </is>
      </c>
      <c r="D94" s="2345" t="inlineStr">
        <is>
          <t>715 W 112th Ave</t>
        </is>
      </c>
      <c r="E94" s="2345" t="inlineStr">
        <is>
          <t>Northglenn</t>
        </is>
      </c>
      <c r="F94" s="2345" t="inlineStr">
        <is>
          <t>CO</t>
        </is>
      </c>
      <c r="G94" s="2345" t="inlineStr">
        <is>
          <t>Self-Storage</t>
        </is>
      </c>
      <c r="H94" s="2345" t="inlineStr">
        <is>
          <t>Drive-Up/Drop-Off</t>
        </is>
      </c>
      <c r="I94" s="2345" t="n"/>
      <c r="J94" s="2345" t="n">
        <v>83756</v>
      </c>
      <c r="K94" s="2345" t="n">
        <v>2021</v>
      </c>
      <c r="L94" s="2345" t="n"/>
      <c r="M94" s="2345" t="n"/>
      <c r="N94" s="2356" t="n">
        <v>814763</v>
      </c>
      <c r="O94" s="2345" t="n"/>
      <c r="P94" s="2345" t="n"/>
      <c r="Q94" s="2345" t="n"/>
      <c r="R94" s="2345" t="n"/>
      <c r="S94" s="2345" t="n"/>
      <c r="T94" s="2345" t="n"/>
      <c r="U94" s="2345" t="n"/>
      <c r="V94" s="2345" t="n"/>
      <c r="W94" s="2345" t="n"/>
      <c r="X94" s="2345" t="n"/>
      <c r="Y94" s="2345" t="n"/>
      <c r="Z94" s="2345" t="n"/>
      <c r="AA94" s="2345" t="n"/>
      <c r="AB94" s="2345" t="n"/>
      <c r="AC94" s="2345" t="n"/>
      <c r="AD94" s="2345" t="n"/>
      <c r="AE94" s="2345" t="n"/>
      <c r="AF94" s="2345" t="n"/>
      <c r="AG94" s="2345" t="n"/>
      <c r="AH94" s="2345" t="n"/>
      <c r="AI94" s="2345" t="n"/>
      <c r="AJ94" s="2356" t="n">
        <v>436596</v>
      </c>
      <c r="AK94" s="2356" t="n">
        <v>378167</v>
      </c>
      <c r="AL94" s="2345" t="n"/>
      <c r="AM94" s="2345" t="inlineStr">
        <is>
          <t>Actual SS P&amp;L; mgmt=off-site+on-site combined</t>
        </is>
      </c>
    </row>
    <row r="95">
      <c r="A95" s="2345" t="inlineStr">
        <is>
          <t>P043</t>
        </is>
      </c>
      <c r="B95" s="2338" t="n">
        <v>386</v>
      </c>
      <c r="C95" s="2345" t="inlineStr">
        <is>
          <t>R0126234</t>
        </is>
      </c>
      <c r="D95" s="2345" t="inlineStr">
        <is>
          <t>715 W 112th Ave</t>
        </is>
      </c>
      <c r="E95" s="2345" t="inlineStr">
        <is>
          <t>Northglenn</t>
        </is>
      </c>
      <c r="F95" s="2345" t="inlineStr">
        <is>
          <t>CO</t>
        </is>
      </c>
      <c r="G95" s="2345" t="inlineStr">
        <is>
          <t>Self-Storage</t>
        </is>
      </c>
      <c r="H95" s="2345" t="inlineStr">
        <is>
          <t>Drive-Up/Drop-Off</t>
        </is>
      </c>
      <c r="I95" s="2345" t="n"/>
      <c r="J95" s="2345" t="n">
        <v>83756</v>
      </c>
      <c r="K95" s="2345" t="n">
        <v>2022</v>
      </c>
      <c r="L95" s="2345" t="n"/>
      <c r="M95" s="2345" t="n"/>
      <c r="N95" s="2356" t="n">
        <v>980798</v>
      </c>
      <c r="O95" s="2345" t="n"/>
      <c r="P95" s="2345" t="n"/>
      <c r="Q95" s="2345" t="n"/>
      <c r="R95" s="2345" t="n"/>
      <c r="S95" s="2345" t="n"/>
      <c r="T95" s="2345" t="n"/>
      <c r="U95" s="2345" t="n"/>
      <c r="V95" s="2345" t="n"/>
      <c r="W95" s="2345" t="n"/>
      <c r="X95" s="2345" t="n"/>
      <c r="Y95" s="2345" t="n"/>
      <c r="Z95" s="2345" t="n"/>
      <c r="AA95" s="2345" t="n"/>
      <c r="AB95" s="2345" t="n"/>
      <c r="AC95" s="2345" t="n"/>
      <c r="AD95" s="2345" t="n"/>
      <c r="AE95" s="2345" t="n"/>
      <c r="AF95" s="2345" t="n"/>
      <c r="AG95" s="2345" t="n"/>
      <c r="AH95" s="2345" t="n"/>
      <c r="AI95" s="2345" t="n"/>
      <c r="AJ95" s="2356" t="n">
        <v>455854</v>
      </c>
      <c r="AK95" s="2356" t="n">
        <v>524944</v>
      </c>
      <c r="AL95" s="2345" t="n"/>
      <c r="AM95" s="2345" t="inlineStr">
        <is>
          <t>Actual SS P&amp;L; mgmt=off-site+on-site combined</t>
        </is>
      </c>
    </row>
    <row r="96">
      <c r="A96" s="2345" t="inlineStr">
        <is>
          <t>P043</t>
        </is>
      </c>
      <c r="B96" s="2338" t="n">
        <v>386</v>
      </c>
      <c r="C96" s="2345" t="inlineStr">
        <is>
          <t>R0126234</t>
        </is>
      </c>
      <c r="D96" s="2345" t="inlineStr">
        <is>
          <t>715 W 112th Ave</t>
        </is>
      </c>
      <c r="E96" s="2345" t="inlineStr">
        <is>
          <t>Northglenn</t>
        </is>
      </c>
      <c r="F96" s="2345" t="inlineStr">
        <is>
          <t>CO</t>
        </is>
      </c>
      <c r="G96" s="2345" t="inlineStr">
        <is>
          <t>Self-Storage</t>
        </is>
      </c>
      <c r="H96" s="2345" t="inlineStr">
        <is>
          <t>Drive-Up/Drop-Off</t>
        </is>
      </c>
      <c r="I96" s="2345" t="n"/>
      <c r="J96" s="2345" t="n">
        <v>83756</v>
      </c>
      <c r="K96" s="2345" t="n">
        <v>2023</v>
      </c>
      <c r="L96" s="2345" t="n"/>
      <c r="M96" s="2345" t="n"/>
      <c r="N96" s="2356" t="n">
        <v>1011950</v>
      </c>
      <c r="O96" s="2356" t="n">
        <v>47107</v>
      </c>
      <c r="P96" s="2356" t="n">
        <v>111748</v>
      </c>
      <c r="Q96" s="2345" t="n"/>
      <c r="R96" s="2345" t="n"/>
      <c r="S96" s="2345" t="n"/>
      <c r="T96" s="2345" t="n"/>
      <c r="U96" s="2345" t="n"/>
      <c r="V96" s="2345" t="n"/>
      <c r="W96" s="2345" t="n"/>
      <c r="X96" s="2345" t="n"/>
      <c r="Y96" s="2356" t="n">
        <v>10236</v>
      </c>
      <c r="Z96" s="2345" t="n"/>
      <c r="AA96" s="2345" t="n"/>
      <c r="AB96" s="2345" t="n"/>
      <c r="AC96" s="2345" t="n"/>
      <c r="AD96" s="2345" t="n"/>
      <c r="AE96" s="2345" t="n"/>
      <c r="AF96" s="2356" t="n">
        <v>15944</v>
      </c>
      <c r="AG96" s="2345" t="n"/>
      <c r="AH96" s="2356" t="n">
        <v>257858</v>
      </c>
      <c r="AI96" s="2356" t="n">
        <v>202686</v>
      </c>
      <c r="AJ96" s="2356" t="n">
        <v>460544</v>
      </c>
      <c r="AK96" s="2356" t="n">
        <v>551606</v>
      </c>
      <c r="AL96" s="2345" t="n"/>
      <c r="AM96" s="2345" t="inlineStr">
        <is>
          <t>Actual SS P&amp;L; mgmt=off-site+on-site combined</t>
        </is>
      </c>
    </row>
    <row r="97">
      <c r="A97" s="2345" t="inlineStr">
        <is>
          <t>P044</t>
        </is>
      </c>
      <c r="B97" s="2338" t="n">
        <v>386</v>
      </c>
      <c r="C97" s="2345" t="inlineStr">
        <is>
          <t>R0027089/R0178319</t>
        </is>
      </c>
      <c r="D97" s="2345" t="inlineStr">
        <is>
          <t>2290 E 120th Ave</t>
        </is>
      </c>
      <c r="E97" s="2345" t="inlineStr">
        <is>
          <t>Thornton</t>
        </is>
      </c>
      <c r="F97" s="2345" t="inlineStr">
        <is>
          <t>CO</t>
        </is>
      </c>
      <c r="G97" s="2345" t="inlineStr">
        <is>
          <t>Self-Storage</t>
        </is>
      </c>
      <c r="H97" s="2345" t="inlineStr">
        <is>
          <t>Drive-Up/Drop-Off</t>
        </is>
      </c>
      <c r="I97" s="2345" t="n"/>
      <c r="J97" s="2345" t="n">
        <v>71909</v>
      </c>
      <c r="K97" s="2345" t="n">
        <v>2021</v>
      </c>
      <c r="L97" s="2345" t="n"/>
      <c r="M97" s="2345" t="n"/>
      <c r="N97" s="2356" t="n">
        <v>837430</v>
      </c>
      <c r="O97" s="2345" t="n"/>
      <c r="P97" s="2345" t="n"/>
      <c r="Q97" s="2345" t="n"/>
      <c r="R97" s="2345" t="n"/>
      <c r="S97" s="2345" t="n"/>
      <c r="T97" s="2345" t="n"/>
      <c r="U97" s="2345" t="n"/>
      <c r="V97" s="2345" t="n"/>
      <c r="W97" s="2345" t="n"/>
      <c r="X97" s="2345" t="n"/>
      <c r="Y97" s="2345" t="n"/>
      <c r="Z97" s="2345" t="n"/>
      <c r="AA97" s="2345" t="n"/>
      <c r="AB97" s="2345" t="n"/>
      <c r="AC97" s="2345" t="n"/>
      <c r="AD97" s="2345" t="n"/>
      <c r="AE97" s="2345" t="n"/>
      <c r="AF97" s="2345" t="n"/>
      <c r="AG97" s="2345" t="n"/>
      <c r="AH97" s="2345" t="n"/>
      <c r="AI97" s="2345" t="n"/>
      <c r="AJ97" s="2356" t="n">
        <v>445701</v>
      </c>
      <c r="AK97" s="2356" t="n">
        <v>391729</v>
      </c>
      <c r="AL97" s="2345" t="n"/>
      <c r="AM97" s="2345" t="inlineStr">
        <is>
          <t>Actual SS P&amp;L; combined parcels R0027089+R0178319; mgmt=off-site+on-site</t>
        </is>
      </c>
    </row>
    <row r="98">
      <c r="A98" s="2345" t="inlineStr">
        <is>
          <t>P044</t>
        </is>
      </c>
      <c r="B98" s="2338" t="n">
        <v>386</v>
      </c>
      <c r="C98" s="2345" t="inlineStr">
        <is>
          <t>R0027089/R0178319</t>
        </is>
      </c>
      <c r="D98" s="2345" t="inlineStr">
        <is>
          <t>2290 E 120th Ave</t>
        </is>
      </c>
      <c r="E98" s="2345" t="inlineStr">
        <is>
          <t>Thornton</t>
        </is>
      </c>
      <c r="F98" s="2345" t="inlineStr">
        <is>
          <t>CO</t>
        </is>
      </c>
      <c r="G98" s="2345" t="inlineStr">
        <is>
          <t>Self-Storage</t>
        </is>
      </c>
      <c r="H98" s="2345" t="inlineStr">
        <is>
          <t>Drive-Up/Drop-Off</t>
        </is>
      </c>
      <c r="I98" s="2345" t="n"/>
      <c r="J98" s="2345" t="n">
        <v>71909</v>
      </c>
      <c r="K98" s="2345" t="n">
        <v>2022</v>
      </c>
      <c r="L98" s="2345" t="n"/>
      <c r="M98" s="2345" t="n"/>
      <c r="N98" s="2356" t="n">
        <v>945562</v>
      </c>
      <c r="O98" s="2345" t="n"/>
      <c r="P98" s="2345" t="n"/>
      <c r="Q98" s="2345" t="n"/>
      <c r="R98" s="2345" t="n"/>
      <c r="S98" s="2345" t="n"/>
      <c r="T98" s="2345" t="n"/>
      <c r="U98" s="2345" t="n"/>
      <c r="V98" s="2345" t="n"/>
      <c r="W98" s="2345" t="n"/>
      <c r="X98" s="2345" t="n"/>
      <c r="Y98" s="2345" t="n"/>
      <c r="Z98" s="2345" t="n"/>
      <c r="AA98" s="2345" t="n"/>
      <c r="AB98" s="2345" t="n"/>
      <c r="AC98" s="2345" t="n"/>
      <c r="AD98" s="2345" t="n"/>
      <c r="AE98" s="2345" t="n"/>
      <c r="AF98" s="2345" t="n"/>
      <c r="AG98" s="2345" t="n"/>
      <c r="AH98" s="2345" t="n"/>
      <c r="AI98" s="2345" t="n"/>
      <c r="AJ98" s="2356" t="n">
        <v>445701</v>
      </c>
      <c r="AK98" s="2356" t="n">
        <v>466302</v>
      </c>
      <c r="AL98" s="2345" t="n"/>
      <c r="AM98" s="2345" t="inlineStr">
        <is>
          <t>Actual SS P&amp;L; combined parcels R0027089+R0178319; mgmt=off-site+on-site</t>
        </is>
      </c>
    </row>
    <row r="99">
      <c r="A99" s="2345" t="inlineStr">
        <is>
          <t>P044</t>
        </is>
      </c>
      <c r="B99" s="2338" t="n">
        <v>386</v>
      </c>
      <c r="C99" s="2345" t="inlineStr">
        <is>
          <t>R0027089/R0178319</t>
        </is>
      </c>
      <c r="D99" s="2345" t="inlineStr">
        <is>
          <t>2290 E 120th Ave</t>
        </is>
      </c>
      <c r="E99" s="2345" t="inlineStr">
        <is>
          <t>Thornton</t>
        </is>
      </c>
      <c r="F99" s="2345" t="inlineStr">
        <is>
          <t>CO</t>
        </is>
      </c>
      <c r="G99" s="2345" t="inlineStr">
        <is>
          <t>Self-Storage</t>
        </is>
      </c>
      <c r="H99" s="2345" t="inlineStr">
        <is>
          <t>Drive-Up/Drop-Off</t>
        </is>
      </c>
      <c r="I99" s="2345" t="n"/>
      <c r="J99" s="2345" t="n">
        <v>71909</v>
      </c>
      <c r="K99" s="2345" t="n">
        <v>2023</v>
      </c>
      <c r="L99" s="2345" t="n"/>
      <c r="M99" s="2345" t="n"/>
      <c r="N99" s="2356" t="n">
        <v>980778</v>
      </c>
      <c r="O99" s="2356" t="n">
        <v>43407</v>
      </c>
      <c r="P99" s="2356" t="n">
        <v>141702</v>
      </c>
      <c r="Q99" s="2345" t="n"/>
      <c r="R99" s="2345" t="n"/>
      <c r="S99" s="2345" t="n"/>
      <c r="T99" s="2345" t="n"/>
      <c r="U99" s="2345" t="n"/>
      <c r="V99" s="2345" t="n"/>
      <c r="W99" s="2345" t="n"/>
      <c r="X99" s="2345" t="n"/>
      <c r="Y99" s="2356" t="n">
        <v>17835</v>
      </c>
      <c r="Z99" s="2345" t="n"/>
      <c r="AA99" s="2345" t="n"/>
      <c r="AB99" s="2345" t="n"/>
      <c r="AC99" s="2345" t="n"/>
      <c r="AD99" s="2345" t="n"/>
      <c r="AE99" s="2345" t="n"/>
      <c r="AF99" s="2356" t="n">
        <v>21431</v>
      </c>
      <c r="AG99" s="2345" t="n"/>
      <c r="AH99" s="2356" t="n">
        <v>298955</v>
      </c>
      <c r="AI99" s="2356" t="n">
        <v>186365</v>
      </c>
      <c r="AJ99" s="2356" t="n">
        <v>485320</v>
      </c>
      <c r="AK99" s="2356" t="n">
        <v>492300</v>
      </c>
      <c r="AL99" s="2345" t="n"/>
      <c r="AM99" s="2345" t="inlineStr">
        <is>
          <t>Actual SS P&amp;L; combined parcels R0027089+R0178319; mgmt=off-site+on-site</t>
        </is>
      </c>
    </row>
    <row r="100">
      <c r="A100" s="2345" t="inlineStr">
        <is>
          <t>P045</t>
        </is>
      </c>
      <c r="B100" s="2338" t="n">
        <v>386</v>
      </c>
      <c r="C100" s="2345" t="inlineStr">
        <is>
          <t>R0043569</t>
        </is>
      </c>
      <c r="D100" s="2345" t="inlineStr">
        <is>
          <t>40131 Quivas St</t>
        </is>
      </c>
      <c r="E100" s="2345" t="inlineStr">
        <is>
          <t>Thornton</t>
        </is>
      </c>
      <c r="F100" s="2345" t="inlineStr">
        <is>
          <t>CO</t>
        </is>
      </c>
      <c r="G100" s="2345" t="inlineStr">
        <is>
          <t>Self-Storage</t>
        </is>
      </c>
      <c r="H100" s="2345" t="inlineStr">
        <is>
          <t>Drive-Up/Drop-Off</t>
        </is>
      </c>
      <c r="I100" s="2345" t="n"/>
      <c r="J100" s="2345" t="n">
        <v>41900</v>
      </c>
      <c r="K100" s="2345" t="n">
        <v>2024</v>
      </c>
      <c r="L100" s="2345" t="n"/>
      <c r="M100" s="2345" t="n"/>
      <c r="N100" s="2356" t="n">
        <v>718060</v>
      </c>
      <c r="O100" s="2356" t="n">
        <v>19037</v>
      </c>
      <c r="P100" s="2356" t="n">
        <v>93975</v>
      </c>
      <c r="Q100" s="2345" t="n"/>
      <c r="R100" s="2345" t="n"/>
      <c r="S100" s="2345" t="n"/>
      <c r="T100" s="2345" t="n"/>
      <c r="U100" s="2345" t="n"/>
      <c r="V100" s="2345" t="n"/>
      <c r="W100" s="2345" t="n"/>
      <c r="X100" s="2345" t="n"/>
      <c r="Y100" s="2356" t="n">
        <v>11768</v>
      </c>
      <c r="Z100" s="2345" t="n"/>
      <c r="AA100" s="2345" t="n"/>
      <c r="AB100" s="2345" t="n"/>
      <c r="AC100" s="2345" t="n"/>
      <c r="AD100" s="2345" t="n"/>
      <c r="AE100" s="2345" t="n"/>
      <c r="AF100" s="2356" t="n">
        <v>5417</v>
      </c>
      <c r="AG100" s="2345" t="n"/>
      <c r="AH100" s="2356" t="n">
        <v>208790</v>
      </c>
      <c r="AI100" s="2356" t="n">
        <v>176524</v>
      </c>
      <c r="AJ100" s="2356" t="n">
        <v>385314</v>
      </c>
      <c r="AK100" s="2356" t="n">
        <v>332746</v>
      </c>
      <c r="AL100" s="2345" t="n"/>
      <c r="AM100" s="2345" t="inlineStr">
        <is>
          <t>Actual FY2024 P&amp;L; mgmt=off-site $42,964+on-site $51,011; RE Tax est from matrix</t>
        </is>
      </c>
    </row>
    <row r="101">
      <c r="A101" s="2345" t="inlineStr">
        <is>
          <t>P046</t>
        </is>
      </c>
      <c r="B101" s="2338" t="n">
        <v>386</v>
      </c>
      <c r="C101" s="2345" t="inlineStr">
        <is>
          <t>R0193009</t>
        </is>
      </c>
      <c r="D101" s="2345" t="inlineStr">
        <is>
          <t>Address unknown – see R0193009</t>
        </is>
      </c>
      <c r="E101" s="2345" t="inlineStr">
        <is>
          <t>Adams County</t>
        </is>
      </c>
      <c r="F101" s="2345" t="inlineStr">
        <is>
          <t>CO</t>
        </is>
      </c>
      <c r="G101" s="2345" t="inlineStr">
        <is>
          <t>Self-Storage</t>
        </is>
      </c>
      <c r="H101" s="2345" t="inlineStr">
        <is>
          <t>Climate-Controlled</t>
        </is>
      </c>
      <c r="I101" s="2345" t="n"/>
      <c r="J101" s="2345" t="n">
        <v>94736</v>
      </c>
      <c r="K101" s="2345" t="n"/>
      <c r="L101" s="2345" t="n"/>
      <c r="M101" s="2345" t="n"/>
      <c r="N101" s="2356" t="n">
        <v>1582087</v>
      </c>
      <c r="O101" s="2356" t="n">
        <v>39625</v>
      </c>
      <c r="P101" s="2356" t="n">
        <v>167356</v>
      </c>
      <c r="Q101" s="2345" t="n"/>
      <c r="R101" s="2345" t="n"/>
      <c r="S101" s="2345" t="n"/>
      <c r="T101" s="2345" t="n"/>
      <c r="U101" s="2345" t="n"/>
      <c r="V101" s="2345" t="n"/>
      <c r="W101" s="2345" t="n"/>
      <c r="X101" s="2345" t="n"/>
      <c r="Y101" s="2356" t="n">
        <v>38582</v>
      </c>
      <c r="Z101" s="2345" t="n"/>
      <c r="AA101" s="2345" t="n"/>
      <c r="AB101" s="2345" t="n"/>
      <c r="AC101" s="2345" t="n"/>
      <c r="AD101" s="2345" t="n"/>
      <c r="AE101" s="2345" t="n"/>
      <c r="AF101" s="2356" t="n">
        <v>19609</v>
      </c>
      <c r="AG101" s="2345" t="n"/>
      <c r="AH101" s="2356" t="n">
        <v>349253</v>
      </c>
      <c r="AI101" s="2356" t="n">
        <v>423847</v>
      </c>
      <c r="AJ101" s="2356" t="n">
        <v>773100</v>
      </c>
      <c r="AK101" s="2356" t="n">
        <v>808987</v>
      </c>
      <c r="AL101" s="2345" t="n"/>
      <c r="AM101" s="2345" t="inlineStr">
        <is>
          <t>AXG SS Expense Matrix; year not specified (~2022/23); R0193009</t>
        </is>
      </c>
    </row>
    <row r="102">
      <c r="A102" s="2345" t="inlineStr">
        <is>
          <t>P047</t>
        </is>
      </c>
      <c r="B102" s="2338" t="n">
        <v>386</v>
      </c>
      <c r="C102" s="2345" t="inlineStr">
        <is>
          <t>R0099616</t>
        </is>
      </c>
      <c r="D102" s="2345" t="inlineStr">
        <is>
          <t>Address unknown – see R0099616</t>
        </is>
      </c>
      <c r="E102" s="2345" t="inlineStr">
        <is>
          <t>Adams County</t>
        </is>
      </c>
      <c r="F102" s="2345" t="inlineStr">
        <is>
          <t>CO</t>
        </is>
      </c>
      <c r="G102" s="2345" t="inlineStr">
        <is>
          <t>Self-Storage</t>
        </is>
      </c>
      <c r="H102" s="2345" t="inlineStr">
        <is>
          <t>Drive-Up/Drop-Off</t>
        </is>
      </c>
      <c r="I102" s="2345" t="n"/>
      <c r="J102" s="2345" t="n">
        <v>73500</v>
      </c>
      <c r="K102" s="2345" t="n"/>
      <c r="L102" s="2345" t="n"/>
      <c r="M102" s="2345" t="n"/>
      <c r="N102" s="2356" t="n">
        <v>834358</v>
      </c>
      <c r="O102" s="2356" t="n">
        <v>18408</v>
      </c>
      <c r="P102" s="2356" t="n">
        <v>65010</v>
      </c>
      <c r="Q102" s="2345" t="n"/>
      <c r="R102" s="2345" t="n"/>
      <c r="S102" s="2345" t="n"/>
      <c r="T102" s="2345" t="n"/>
      <c r="U102" s="2345" t="n"/>
      <c r="V102" s="2345" t="n"/>
      <c r="W102" s="2345" t="n"/>
      <c r="X102" s="2345" t="n"/>
      <c r="Y102" s="2356" t="n">
        <v>24753</v>
      </c>
      <c r="Z102" s="2345" t="n"/>
      <c r="AA102" s="2345" t="n"/>
      <c r="AB102" s="2345" t="n"/>
      <c r="AC102" s="2345" t="n"/>
      <c r="AD102" s="2345" t="n"/>
      <c r="AE102" s="2345" t="n"/>
      <c r="AF102" s="2356" t="n">
        <v>17255</v>
      </c>
      <c r="AG102" s="2345" t="n"/>
      <c r="AH102" s="2356" t="n">
        <v>198623</v>
      </c>
      <c r="AI102" s="2356" t="n">
        <v>157582</v>
      </c>
      <c r="AJ102" s="2356" t="n">
        <v>356205</v>
      </c>
      <c r="AK102" s="2356" t="n">
        <v>478153</v>
      </c>
      <c r="AL102" s="2345" t="n"/>
      <c r="AM102" s="2345" t="inlineStr">
        <is>
          <t>AXG SS Expense Matrix; year not specified (~2022/23); R0099616</t>
        </is>
      </c>
    </row>
    <row r="103">
      <c r="A103" s="2345" t="inlineStr">
        <is>
          <t>P048</t>
        </is>
      </c>
      <c r="B103" s="2338" t="n">
        <v>386</v>
      </c>
      <c r="C103" s="2345" t="inlineStr">
        <is>
          <t>R0098019</t>
        </is>
      </c>
      <c r="D103" s="2345" t="inlineStr">
        <is>
          <t>Address unknown – see R0098019</t>
        </is>
      </c>
      <c r="E103" s="2345" t="inlineStr">
        <is>
          <t>Adams County</t>
        </is>
      </c>
      <c r="F103" s="2345" t="inlineStr">
        <is>
          <t>CO</t>
        </is>
      </c>
      <c r="G103" s="2345" t="inlineStr">
        <is>
          <t>Self-Storage</t>
        </is>
      </c>
      <c r="H103" s="2345" t="inlineStr">
        <is>
          <t>Drive-Up/Drop-Off</t>
        </is>
      </c>
      <c r="I103" s="2345" t="n"/>
      <c r="J103" s="2345" t="n">
        <v>44975</v>
      </c>
      <c r="K103" s="2345" t="n"/>
      <c r="L103" s="2345" t="n"/>
      <c r="M103" s="2345" t="n"/>
      <c r="N103" s="2356" t="n">
        <v>588827</v>
      </c>
      <c r="O103" s="2356" t="n">
        <v>22185</v>
      </c>
      <c r="P103" s="2356" t="n">
        <v>38503</v>
      </c>
      <c r="Q103" s="2345" t="n"/>
      <c r="R103" s="2345" t="n"/>
      <c r="S103" s="2345" t="n"/>
      <c r="T103" s="2345" t="n"/>
      <c r="U103" s="2345" t="n"/>
      <c r="V103" s="2345" t="n"/>
      <c r="W103" s="2345" t="n"/>
      <c r="X103" s="2345" t="n"/>
      <c r="Y103" s="2356" t="n">
        <v>38667</v>
      </c>
      <c r="Z103" s="2345" t="n"/>
      <c r="AA103" s="2345" t="n"/>
      <c r="AB103" s="2345" t="n"/>
      <c r="AC103" s="2345" t="n"/>
      <c r="AD103" s="2345" t="n"/>
      <c r="AE103" s="2345" t="n"/>
      <c r="AF103" s="2356" t="n">
        <v>31243</v>
      </c>
      <c r="AG103" s="2345" t="n"/>
      <c r="AH103" s="2356" t="n">
        <v>143905</v>
      </c>
      <c r="AI103" s="2356" t="n">
        <v>128521</v>
      </c>
      <c r="AJ103" s="2356" t="n">
        <v>272426</v>
      </c>
      <c r="AK103" s="2356" t="n">
        <v>316401</v>
      </c>
      <c r="AL103" s="2345" t="n"/>
      <c r="AM103" s="2345" t="inlineStr">
        <is>
          <t>AXG SS Expense Matrix; year not specified (~2022/23); R0098019</t>
        </is>
      </c>
    </row>
    <row r="104">
      <c r="A104" s="2345" t="inlineStr">
        <is>
          <t>P049</t>
        </is>
      </c>
      <c r="B104" s="2338" t="n">
        <v>386</v>
      </c>
      <c r="C104" s="2345" t="inlineStr">
        <is>
          <t>R0102989</t>
        </is>
      </c>
      <c r="D104" s="2345" t="inlineStr">
        <is>
          <t>Address unknown – see R0102989</t>
        </is>
      </c>
      <c r="E104" s="2345" t="inlineStr">
        <is>
          <t>Adams County</t>
        </is>
      </c>
      <c r="F104" s="2345" t="inlineStr">
        <is>
          <t>CO</t>
        </is>
      </c>
      <c r="G104" s="2345" t="inlineStr">
        <is>
          <t>Self-Storage</t>
        </is>
      </c>
      <c r="H104" s="2345" t="inlineStr">
        <is>
          <t>Climate-Controlled</t>
        </is>
      </c>
      <c r="I104" s="2345" t="n"/>
      <c r="J104" s="2345" t="n">
        <v>94797</v>
      </c>
      <c r="K104" s="2345" t="n"/>
      <c r="L104" s="2345" t="n"/>
      <c r="M104" s="2345" t="n"/>
      <c r="N104" s="2356" t="n">
        <v>1184503</v>
      </c>
      <c r="O104" s="2356" t="n">
        <v>25293</v>
      </c>
      <c r="P104" s="2356" t="n">
        <v>206702</v>
      </c>
      <c r="Q104" s="2345" t="n"/>
      <c r="R104" s="2345" t="n"/>
      <c r="S104" s="2345" t="n"/>
      <c r="T104" s="2345" t="n"/>
      <c r="U104" s="2345" t="n"/>
      <c r="V104" s="2345" t="n"/>
      <c r="W104" s="2345" t="n"/>
      <c r="X104" s="2345" t="n"/>
      <c r="Y104" s="2356" t="n">
        <v>28562</v>
      </c>
      <c r="Z104" s="2345" t="n"/>
      <c r="AA104" s="2345" t="n"/>
      <c r="AB104" s="2345" t="n"/>
      <c r="AC104" s="2345" t="n"/>
      <c r="AD104" s="2345" t="n"/>
      <c r="AE104" s="2345" t="n"/>
      <c r="AF104" s="2356" t="n">
        <v>49493</v>
      </c>
      <c r="AG104" s="2345" t="n"/>
      <c r="AH104" s="2356" t="n">
        <v>434049</v>
      </c>
      <c r="AI104" s="2356" t="n">
        <v>259535</v>
      </c>
      <c r="AJ104" s="2356" t="n">
        <v>693584</v>
      </c>
      <c r="AK104" s="2356" t="n">
        <v>490919</v>
      </c>
      <c r="AL104" s="2345" t="n"/>
      <c r="AM104" s="2345" t="inlineStr">
        <is>
          <t>AXG SS Expense Matrix; year not specified (~2022/23); R0102989</t>
        </is>
      </c>
    </row>
    <row r="105">
      <c r="A105" s="2345" t="inlineStr">
        <is>
          <t>P050</t>
        </is>
      </c>
      <c r="B105" s="2338" t="n">
        <v>386</v>
      </c>
      <c r="C105" s="2345" t="inlineStr">
        <is>
          <t>R0085523</t>
        </is>
      </c>
      <c r="D105" s="2345" t="inlineStr">
        <is>
          <t>Address unknown – see R0085523</t>
        </is>
      </c>
      <c r="E105" s="2345" t="inlineStr">
        <is>
          <t>Adams County</t>
        </is>
      </c>
      <c r="F105" s="2345" t="inlineStr">
        <is>
          <t>CO</t>
        </is>
      </c>
      <c r="G105" s="2345" t="inlineStr">
        <is>
          <t>Self-Storage</t>
        </is>
      </c>
      <c r="H105" s="2345" t="inlineStr">
        <is>
          <t>Drive-Up/Drop-Off</t>
        </is>
      </c>
      <c r="I105" s="2345" t="n"/>
      <c r="J105" s="2345" t="n">
        <v>39525</v>
      </c>
      <c r="K105" s="2345" t="n"/>
      <c r="L105" s="2345" t="n"/>
      <c r="M105" s="2345" t="n"/>
      <c r="N105" s="2356" t="n">
        <v>541974</v>
      </c>
      <c r="O105" s="2356" t="n">
        <v>8307</v>
      </c>
      <c r="P105" s="2356" t="n">
        <v>94279</v>
      </c>
      <c r="Q105" s="2345" t="n"/>
      <c r="R105" s="2345" t="n"/>
      <c r="S105" s="2345" t="n"/>
      <c r="T105" s="2345" t="n"/>
      <c r="U105" s="2345" t="n"/>
      <c r="V105" s="2345" t="n"/>
      <c r="W105" s="2345" t="n"/>
      <c r="X105" s="2345" t="n"/>
      <c r="Y105" s="2356" t="n">
        <v>21292</v>
      </c>
      <c r="Z105" s="2345" t="n"/>
      <c r="AA105" s="2345" t="n"/>
      <c r="AB105" s="2345" t="n"/>
      <c r="AC105" s="2345" t="n"/>
      <c r="AD105" s="2345" t="n"/>
      <c r="AE105" s="2345" t="n"/>
      <c r="AF105" s="2356" t="n">
        <v>16489</v>
      </c>
      <c r="AG105" s="2345" t="n"/>
      <c r="AH105" s="2356" t="n">
        <v>149627</v>
      </c>
      <c r="AI105" s="2356" t="n">
        <v>209139</v>
      </c>
      <c r="AJ105" s="2356" t="n">
        <v>358766</v>
      </c>
      <c r="AK105" s="2356" t="n">
        <v>183208</v>
      </c>
      <c r="AL105" s="2345" t="n"/>
      <c r="AM105" s="2345" t="inlineStr">
        <is>
          <t>AXG SS Expense Matrix; year not specified (~2022/23); R0085523</t>
        </is>
      </c>
    </row>
    <row r="106">
      <c r="A106" s="2345" t="inlineStr">
        <is>
          <t>P051</t>
        </is>
      </c>
      <c r="B106" s="2338" t="n">
        <v>386</v>
      </c>
      <c r="C106" s="2345" t="inlineStr">
        <is>
          <t>R0174860</t>
        </is>
      </c>
      <c r="D106" s="2345" t="inlineStr">
        <is>
          <t>Address unknown – see R0174860</t>
        </is>
      </c>
      <c r="E106" s="2345" t="inlineStr">
        <is>
          <t>Adams County</t>
        </is>
      </c>
      <c r="F106" s="2345" t="inlineStr">
        <is>
          <t>CO</t>
        </is>
      </c>
      <c r="G106" s="2345" t="inlineStr">
        <is>
          <t>Self-Storage</t>
        </is>
      </c>
      <c r="H106" s="2345" t="inlineStr">
        <is>
          <t>Drive-Up/Drop-Off (containers)</t>
        </is>
      </c>
      <c r="I106" s="2345" t="n"/>
      <c r="J106" s="2345" t="n">
        <v>45980</v>
      </c>
      <c r="K106" s="2345" t="n"/>
      <c r="L106" s="2345" t="n"/>
      <c r="M106" s="2345" t="n"/>
      <c r="N106" s="2356" t="n">
        <v>646496</v>
      </c>
      <c r="O106" s="2356" t="n">
        <v>4989</v>
      </c>
      <c r="P106" s="2356" t="n">
        <v>70000</v>
      </c>
      <c r="Q106" s="2345" t="n"/>
      <c r="R106" s="2345" t="n"/>
      <c r="S106" s="2345" t="n"/>
      <c r="T106" s="2345" t="n"/>
      <c r="U106" s="2345" t="n"/>
      <c r="V106" s="2345" t="n"/>
      <c r="W106" s="2345" t="n"/>
      <c r="X106" s="2345" t="n"/>
      <c r="Y106" s="2356" t="n">
        <v>12000</v>
      </c>
      <c r="Z106" s="2345" t="n"/>
      <c r="AA106" s="2345" t="n"/>
      <c r="AB106" s="2345" t="n"/>
      <c r="AC106" s="2345" t="n"/>
      <c r="AD106" s="2345" t="n"/>
      <c r="AE106" s="2345" t="n"/>
      <c r="AF106" s="2356" t="n">
        <v>11972</v>
      </c>
      <c r="AG106" s="2345" t="n"/>
      <c r="AH106" s="2356" t="n">
        <v>146795</v>
      </c>
      <c r="AI106" s="2356" t="n">
        <v>83042</v>
      </c>
      <c r="AJ106" s="2356" t="n">
        <v>229837</v>
      </c>
      <c r="AK106" s="2356" t="n">
        <v>416659</v>
      </c>
      <c r="AL106" s="2345" t="n"/>
      <c r="AM106" s="2345" t="inlineStr">
        <is>
          <t>AXG SS Expense Matrix; year not specified (~2022/23); R0174860</t>
        </is>
      </c>
    </row>
    <row r="107">
      <c r="A107" s="2345" t="inlineStr">
        <is>
          <t>P052</t>
        </is>
      </c>
      <c r="B107" s="2338" t="n">
        <v>386</v>
      </c>
      <c r="C107" s="2345" t="inlineStr">
        <is>
          <t>R0161412</t>
        </is>
      </c>
      <c r="D107" s="2345" t="inlineStr">
        <is>
          <t>Address unknown – see R0161412</t>
        </is>
      </c>
      <c r="E107" s="2345" t="inlineStr">
        <is>
          <t>Adams County</t>
        </is>
      </c>
      <c r="F107" s="2345" t="inlineStr">
        <is>
          <t>CO</t>
        </is>
      </c>
      <c r="G107" s="2345" t="inlineStr">
        <is>
          <t>Self-Storage</t>
        </is>
      </c>
      <c r="H107" s="2345" t="inlineStr">
        <is>
          <t>Drive-Up/Drop-Off</t>
        </is>
      </c>
      <c r="I107" s="2345" t="n"/>
      <c r="J107" s="2345" t="n">
        <v>88043</v>
      </c>
      <c r="K107" s="2345" t="n"/>
      <c r="L107" s="2345" t="n"/>
      <c r="M107" s="2345" t="n"/>
      <c r="N107" s="2356" t="n">
        <v>1206603</v>
      </c>
      <c r="O107" s="2356" t="n">
        <v>12478</v>
      </c>
      <c r="P107" s="2356" t="n">
        <v>179092</v>
      </c>
      <c r="Q107" s="2345" t="n"/>
      <c r="R107" s="2345" t="n"/>
      <c r="S107" s="2345" t="n"/>
      <c r="T107" s="2345" t="n"/>
      <c r="U107" s="2345" t="n"/>
      <c r="V107" s="2345" t="n"/>
      <c r="W107" s="2345" t="n"/>
      <c r="X107" s="2345" t="n"/>
      <c r="Y107" s="2356" t="n">
        <v>20272</v>
      </c>
      <c r="Z107" s="2345" t="n"/>
      <c r="AA107" s="2345" t="n"/>
      <c r="AB107" s="2345" t="n"/>
      <c r="AC107" s="2345" t="n"/>
      <c r="AD107" s="2345" t="n"/>
      <c r="AE107" s="2345" t="n"/>
      <c r="AF107" s="2356" t="n">
        <v>16957</v>
      </c>
      <c r="AG107" s="2345" t="n"/>
      <c r="AH107" s="2356" t="n">
        <v>284089</v>
      </c>
      <c r="AI107" s="2356" t="n">
        <v>389500</v>
      </c>
      <c r="AJ107" s="2356" t="n">
        <v>673589</v>
      </c>
      <c r="AK107" s="2356" t="n">
        <v>533014</v>
      </c>
      <c r="AL107" s="2345" t="n"/>
      <c r="AM107" s="2345" t="inlineStr">
        <is>
          <t>AXG SS Expense Matrix; year not specified (~2022/23); R0161412</t>
        </is>
      </c>
    </row>
    <row r="108">
      <c r="A108" s="2345" t="inlineStr">
        <is>
          <t>P053</t>
        </is>
      </c>
      <c r="B108" s="2338" t="n">
        <v>386</v>
      </c>
      <c r="C108" s="2345" t="inlineStr">
        <is>
          <t>R0169115</t>
        </is>
      </c>
      <c r="D108" s="2345" t="inlineStr">
        <is>
          <t>Address unknown – see R0169115</t>
        </is>
      </c>
      <c r="E108" s="2345" t="inlineStr">
        <is>
          <t>Adams County</t>
        </is>
      </c>
      <c r="F108" s="2345" t="inlineStr">
        <is>
          <t>CO</t>
        </is>
      </c>
      <c r="G108" s="2345" t="inlineStr">
        <is>
          <t>Self-Storage</t>
        </is>
      </c>
      <c r="H108" s="2345" t="inlineStr">
        <is>
          <t>Drive-Up/Drop-Off</t>
        </is>
      </c>
      <c r="I108" s="2345" t="n"/>
      <c r="J108" s="2345" t="n">
        <v>41764</v>
      </c>
      <c r="K108" s="2345" t="n"/>
      <c r="L108" s="2345" t="n"/>
      <c r="M108" s="2345" t="n"/>
      <c r="N108" s="2356" t="n">
        <v>787364</v>
      </c>
      <c r="O108" s="2356" t="n">
        <v>9652</v>
      </c>
      <c r="P108" s="2356" t="n">
        <v>83320</v>
      </c>
      <c r="Q108" s="2345" t="n"/>
      <c r="R108" s="2345" t="n"/>
      <c r="S108" s="2345" t="n"/>
      <c r="T108" s="2345" t="n"/>
      <c r="U108" s="2345" t="n"/>
      <c r="V108" s="2345" t="n"/>
      <c r="W108" s="2345" t="n"/>
      <c r="X108" s="2345" t="n"/>
      <c r="Y108" s="2356" t="n">
        <v>25639</v>
      </c>
      <c r="Z108" s="2345" t="n"/>
      <c r="AA108" s="2345" t="n"/>
      <c r="AB108" s="2345" t="n"/>
      <c r="AC108" s="2345" t="n"/>
      <c r="AD108" s="2345" t="n"/>
      <c r="AE108" s="2345" t="n"/>
      <c r="AF108" s="2356" t="n">
        <v>15956</v>
      </c>
      <c r="AG108" s="2345" t="n"/>
      <c r="AH108" s="2356" t="n">
        <v>192632</v>
      </c>
      <c r="AI108" s="2356" t="n">
        <v>203116</v>
      </c>
      <c r="AJ108" s="2356" t="n">
        <v>395748</v>
      </c>
      <c r="AK108" s="2356" t="n">
        <v>391616</v>
      </c>
      <c r="AL108" s="2345" t="n"/>
      <c r="AM108" s="2345" t="inlineStr">
        <is>
          <t>AXG SS Expense Matrix; year not specified (~2022/23); R0169115</t>
        </is>
      </c>
    </row>
    <row r="109">
      <c r="A109" s="2345" t="inlineStr">
        <is>
          <t>P016</t>
        </is>
      </c>
      <c r="B109" s="2338" t="n">
        <v>584</v>
      </c>
      <c r="C109" s="2345" t="inlineStr">
        <is>
          <t>R0212546/R0212547</t>
        </is>
      </c>
      <c r="D109" s="2345" t="inlineStr">
        <is>
          <t>2780 N Tower Rd</t>
        </is>
      </c>
      <c r="E109" s="2345" t="inlineStr">
        <is>
          <t>Aurora</t>
        </is>
      </c>
      <c r="F109" s="2345" t="inlineStr">
        <is>
          <t>CO</t>
        </is>
      </c>
      <c r="G109" s="2345" t="inlineStr">
        <is>
          <t>Industrial</t>
        </is>
      </c>
      <c r="H109" s="2345" t="inlineStr">
        <is>
          <t>Mega Warehouse NNN</t>
        </is>
      </c>
      <c r="I109" s="2345" t="n">
        <v>1983</v>
      </c>
      <c r="J109" s="2345" t="n">
        <v>377729</v>
      </c>
      <c r="K109" s="2345" t="n">
        <v>2023</v>
      </c>
      <c r="L109" s="2356" t="n">
        <v>2979661</v>
      </c>
      <c r="M109" s="2345" t="n"/>
      <c r="N109" s="2356" t="n">
        <v>2979661</v>
      </c>
      <c r="O109" s="2345" t="n"/>
      <c r="P109" s="2356" t="n">
        <v>3855</v>
      </c>
      <c r="Q109" s="2345" t="n"/>
      <c r="R109" s="2345" t="n"/>
      <c r="S109" s="2345" t="n"/>
      <c r="T109" s="2345" t="n"/>
      <c r="U109" s="2345" t="n"/>
      <c r="V109" s="2345" t="n"/>
      <c r="W109" s="2345" t="n"/>
      <c r="X109" s="2345" t="n"/>
      <c r="Y109" s="2345" t="n"/>
      <c r="Z109" s="2345" t="n"/>
      <c r="AA109" s="2345" t="n"/>
      <c r="AB109" s="2345" t="n"/>
      <c r="AC109" s="2345" t="n"/>
      <c r="AD109" s="2345" t="n"/>
      <c r="AE109" s="2345" t="n"/>
      <c r="AF109" s="2345" t="n"/>
      <c r="AG109" s="2356" t="n">
        <v>7775</v>
      </c>
      <c r="AH109" s="2356" t="n">
        <v>41363</v>
      </c>
      <c r="AI109" s="2356" t="n">
        <v>0</v>
      </c>
      <c r="AJ109" s="2356" t="n">
        <v>41363</v>
      </c>
      <c r="AK109" s="2356" t="n">
        <v>2938298</v>
      </c>
      <c r="AL109" s="2345" t="n"/>
      <c r="AM109" s="2345" t="inlineStr">
        <is>
          <t>Absolute NNN; tenant pays ALL RE tax, ins, CAM; owner opex = admin only (excl D&amp;A $456k); supersedes proforma row</t>
        </is>
      </c>
    </row>
    <row r="110">
      <c r="A110" s="2345" t="inlineStr">
        <is>
          <t>P016</t>
        </is>
      </c>
      <c r="B110" s="2338" t="n">
        <v>584</v>
      </c>
      <c r="C110" s="2345" t="inlineStr">
        <is>
          <t>R0212546/R0212547</t>
        </is>
      </c>
      <c r="D110" s="2345" t="inlineStr">
        <is>
          <t>2780 N Tower Rd</t>
        </is>
      </c>
      <c r="E110" s="2345" t="inlineStr">
        <is>
          <t>Aurora</t>
        </is>
      </c>
      <c r="F110" s="2345" t="inlineStr">
        <is>
          <t>CO</t>
        </is>
      </c>
      <c r="G110" s="2345" t="inlineStr">
        <is>
          <t>Industrial</t>
        </is>
      </c>
      <c r="H110" s="2345" t="inlineStr">
        <is>
          <t>Mega Warehouse NNN</t>
        </is>
      </c>
      <c r="I110" s="2345" t="n">
        <v>1983</v>
      </c>
      <c r="J110" s="2345" t="n">
        <v>377729</v>
      </c>
      <c r="K110" s="2345" t="n">
        <v>2024</v>
      </c>
      <c r="L110" s="2356" t="n">
        <v>3047376</v>
      </c>
      <c r="M110" s="2345" t="n"/>
      <c r="N110" s="2356" t="n">
        <v>3047376</v>
      </c>
      <c r="O110" s="2345" t="n"/>
      <c r="P110" s="2356" t="n">
        <v>4000</v>
      </c>
      <c r="Q110" s="2345" t="n"/>
      <c r="R110" s="2345" t="n"/>
      <c r="S110" s="2345" t="n"/>
      <c r="T110" s="2345" t="n"/>
      <c r="U110" s="2345" t="n"/>
      <c r="V110" s="2345" t="n"/>
      <c r="W110" s="2345" t="n"/>
      <c r="X110" s="2345" t="n"/>
      <c r="Y110" s="2345" t="n"/>
      <c r="Z110" s="2345" t="n"/>
      <c r="AA110" s="2345" t="n"/>
      <c r="AB110" s="2345" t="n"/>
      <c r="AC110" s="2345" t="n"/>
      <c r="AD110" s="2345" t="n"/>
      <c r="AE110" s="2345" t="n"/>
      <c r="AF110" s="2345" t="n"/>
      <c r="AG110" s="2356" t="n">
        <v>25863</v>
      </c>
      <c r="AH110" s="2356" t="n">
        <v>58863</v>
      </c>
      <c r="AI110" s="2356" t="n">
        <v>0</v>
      </c>
      <c r="AJ110" s="2356" t="n">
        <v>58863</v>
      </c>
      <c r="AK110" s="2356" t="n">
        <v>2988513</v>
      </c>
      <c r="AL110" s="2345" t="n"/>
      <c r="AM110" s="2345" t="inlineStr">
        <is>
          <t>Absolute NNN; tenant pays ALL RE tax, ins, CAM; owner opex = admin only (excl D&amp;A $456k); supersedes proforma row</t>
        </is>
      </c>
    </row>
    <row r="111">
      <c r="A111" s="2345" t="inlineStr">
        <is>
          <t>P034</t>
        </is>
      </c>
      <c r="B111" s="2338" t="n">
        <v>407</v>
      </c>
      <c r="C111" s="2345" t="inlineStr">
        <is>
          <t>R0172865</t>
        </is>
      </c>
      <c r="D111" s="2345" t="inlineStr">
        <is>
          <t>Majestic Commercenter (R0172865)</t>
        </is>
      </c>
      <c r="E111" s="2345" t="inlineStr">
        <is>
          <t>Commerce City</t>
        </is>
      </c>
      <c r="F111" s="2345" t="inlineStr">
        <is>
          <t>CO</t>
        </is>
      </c>
      <c r="G111" s="2345" t="inlineStr">
        <is>
          <t>Industrial</t>
        </is>
      </c>
      <c r="H111" s="2345" t="inlineStr">
        <is>
          <t>Warehouse NNN</t>
        </is>
      </c>
      <c r="I111" s="2345" t="n">
        <v>2008</v>
      </c>
      <c r="J111" s="2345" t="n">
        <v>215461</v>
      </c>
      <c r="K111" s="2345" t="n">
        <v>2024</v>
      </c>
      <c r="L111" s="2356" t="n">
        <v>1540283</v>
      </c>
      <c r="M111" s="2345" t="n"/>
      <c r="N111" s="2356" t="n">
        <v>1540283</v>
      </c>
      <c r="O111" s="2345" t="n"/>
      <c r="P111" s="2345" t="n"/>
      <c r="Q111" s="2345" t="n"/>
      <c r="R111" s="2345" t="n"/>
      <c r="S111" s="2345" t="n"/>
      <c r="T111" s="2345" t="n"/>
      <c r="U111" s="2345" t="n"/>
      <c r="V111" s="2345" t="n"/>
      <c r="W111" s="2345" t="n"/>
      <c r="X111" s="2345" t="n"/>
      <c r="Y111" s="2345" t="n"/>
      <c r="Z111" s="2345" t="n"/>
      <c r="AA111" s="2356" t="n">
        <v>9880</v>
      </c>
      <c r="AB111" s="2356" t="n">
        <v>29880</v>
      </c>
      <c r="AC111" s="2345" t="n"/>
      <c r="AD111" s="2345" t="n"/>
      <c r="AE111" s="2345" t="n"/>
      <c r="AF111" s="2345" t="n"/>
      <c r="AG111" s="2345" t="n"/>
      <c r="AH111" s="2345" t="n"/>
      <c r="AI111" s="2345" t="n"/>
      <c r="AJ111" s="2345" t="n"/>
      <c r="AK111" s="2345" t="n"/>
      <c r="AL111" s="2345" t="n"/>
      <c r="AM111" s="2345" t="inlineStr">
        <is>
          <t>2024 actual 12-month P&amp;L; NOI est. per expense ratio; from 08_2025 Review</t>
        </is>
      </c>
    </row>
    <row r="112">
      <c r="A112" s="2345" t="inlineStr">
        <is>
          <t>P036</t>
        </is>
      </c>
      <c r="B112" s="2338" t="n">
        <v>407</v>
      </c>
      <c r="C112" s="2345" t="inlineStr">
        <is>
          <t>R0172868</t>
        </is>
      </c>
      <c r="D112" s="2345" t="inlineStr">
        <is>
          <t>Majestic Commercenter (R0172868)</t>
        </is>
      </c>
      <c r="E112" s="2345" t="inlineStr">
        <is>
          <t>Commerce City</t>
        </is>
      </c>
      <c r="F112" s="2345" t="inlineStr">
        <is>
          <t>CO</t>
        </is>
      </c>
      <c r="G112" s="2345" t="inlineStr">
        <is>
          <t>Industrial</t>
        </is>
      </c>
      <c r="H112" s="2345" t="inlineStr">
        <is>
          <t>Warehouse NNN</t>
        </is>
      </c>
      <c r="I112" s="2345" t="n">
        <v>2007</v>
      </c>
      <c r="J112" s="2345" t="n">
        <v>202091</v>
      </c>
      <c r="K112" s="2345" t="n">
        <v>2024</v>
      </c>
      <c r="L112" s="2345" t="n"/>
      <c r="M112" s="2345" t="n"/>
      <c r="N112" s="2356" t="n">
        <v>1057537</v>
      </c>
      <c r="O112" s="2345" t="n"/>
      <c r="P112" s="2345" t="n"/>
      <c r="Q112" s="2345" t="n"/>
      <c r="R112" s="2345" t="n"/>
      <c r="S112" s="2345" t="n"/>
      <c r="T112" s="2345" t="n"/>
      <c r="U112" s="2345" t="n"/>
      <c r="V112" s="2345" t="n"/>
      <c r="W112" s="2345" t="n"/>
      <c r="X112" s="2345" t="n"/>
      <c r="Y112" s="2345" t="n"/>
      <c r="Z112" s="2345" t="n"/>
      <c r="AA112" s="2345" t="n"/>
      <c r="AB112" s="2345" t="n"/>
      <c r="AC112" s="2345" t="n"/>
      <c r="AD112" s="2345" t="n"/>
      <c r="AE112" s="2345" t="n"/>
      <c r="AF112" s="2345" t="n"/>
      <c r="AG112" s="2345" t="n"/>
      <c r="AH112" s="2356" t="n">
        <v>722093</v>
      </c>
      <c r="AI112" s="2345" t="n"/>
      <c r="AJ112" s="2356" t="n">
        <v>722093</v>
      </c>
      <c r="AK112" s="2356" t="n">
        <v>335444</v>
      </c>
      <c r="AL112" s="2345" t="n"/>
      <c r="AM112" s="2345" t="inlineStr">
        <is>
          <t>2024 actual 12-month P&amp;L; from 08_2025 Review</t>
        </is>
      </c>
    </row>
    <row r="113">
      <c r="A113" s="2345" t="inlineStr">
        <is>
          <t>P054</t>
        </is>
      </c>
      <c r="B113" s="2338" t="n">
        <v>210</v>
      </c>
      <c r="C113" s="2345" t="inlineStr">
        <is>
          <t>R0180551</t>
        </is>
      </c>
      <c r="D113" s="2345" t="inlineStr">
        <is>
          <t>1953 N Gun Club Rd</t>
        </is>
      </c>
      <c r="E113" s="2345" t="inlineStr">
        <is>
          <t>Aurora</t>
        </is>
      </c>
      <c r="F113" s="2345" t="inlineStr">
        <is>
          <t>CO</t>
        </is>
      </c>
      <c r="G113" s="2345" t="inlineStr">
        <is>
          <t>Industrial</t>
        </is>
      </c>
      <c r="H113" s="2345" t="inlineStr">
        <is>
          <t>Multi-Tenant Industrial/Office NNN</t>
        </is>
      </c>
      <c r="I113" s="2345" t="n"/>
      <c r="J113" s="2345" t="n"/>
      <c r="K113" s="2345" t="n">
        <v>2023</v>
      </c>
      <c r="L113" s="2345" t="n"/>
      <c r="M113" s="2345" t="n"/>
      <c r="N113" s="2356" t="n">
        <v>2454080</v>
      </c>
      <c r="O113" s="2356" t="n">
        <v>41179</v>
      </c>
      <c r="P113" s="2356" t="n">
        <v>58394</v>
      </c>
      <c r="Q113" s="2345" t="n"/>
      <c r="R113" s="2345" t="n"/>
      <c r="S113" s="2356" t="n">
        <v>36166</v>
      </c>
      <c r="T113" s="2356" t="n">
        <v>1942</v>
      </c>
      <c r="U113" s="2345" t="n"/>
      <c r="V113" s="2345" t="n"/>
      <c r="W113" s="2345" t="n"/>
      <c r="X113" s="2356" t="n">
        <v>549</v>
      </c>
      <c r="Y113" s="2356" t="n">
        <v>38657</v>
      </c>
      <c r="Z113" s="2345" t="n"/>
      <c r="AA113" s="2356" t="n">
        <v>15068</v>
      </c>
      <c r="AB113" s="2356" t="n">
        <v>55875</v>
      </c>
      <c r="AC113" s="2356" t="n">
        <v>70943</v>
      </c>
      <c r="AD113" s="2356" t="n">
        <v>25682</v>
      </c>
      <c r="AE113" s="2345" t="n"/>
      <c r="AF113" s="2356" t="n">
        <v>25682</v>
      </c>
      <c r="AG113" s="2356" t="n">
        <v>1654</v>
      </c>
      <c r="AH113" s="2356" t="n">
        <v>220784</v>
      </c>
      <c r="AI113" s="2356" t="n">
        <v>1347168</v>
      </c>
      <c r="AJ113" s="2356" t="n">
        <v>1568172</v>
      </c>
      <c r="AK113" s="2356" t="n">
        <v>885908</v>
      </c>
      <c r="AL113" s="2345" t="n"/>
      <c r="AM113" s="2345" t="inlineStr">
        <is>
          <t>Actual accrual; base rent $880k; recovery $1.59M; prior-yr adj included</t>
        </is>
      </c>
    </row>
    <row r="114">
      <c r="A114" s="2345" t="inlineStr">
        <is>
          <t>P054</t>
        </is>
      </c>
      <c r="B114" s="2338" t="n">
        <v>210</v>
      </c>
      <c r="C114" s="2345" t="inlineStr">
        <is>
          <t>R0180551</t>
        </is>
      </c>
      <c r="D114" s="2345" t="inlineStr">
        <is>
          <t>1953 N Gun Club Rd</t>
        </is>
      </c>
      <c r="E114" s="2345" t="inlineStr">
        <is>
          <t>Aurora</t>
        </is>
      </c>
      <c r="F114" s="2345" t="inlineStr">
        <is>
          <t>CO</t>
        </is>
      </c>
      <c r="G114" s="2345" t="inlineStr">
        <is>
          <t>Industrial</t>
        </is>
      </c>
      <c r="H114" s="2345" t="inlineStr">
        <is>
          <t>Multi-Tenant Industrial/Office NNN</t>
        </is>
      </c>
      <c r="I114" s="2345" t="n"/>
      <c r="J114" s="2345" t="n"/>
      <c r="K114" s="2345" t="n">
        <v>2024</v>
      </c>
      <c r="L114" s="2345" t="n"/>
      <c r="M114" s="2345" t="n"/>
      <c r="N114" s="2356" t="n">
        <v>2720117</v>
      </c>
      <c r="O114" s="2356" t="n">
        <v>53324</v>
      </c>
      <c r="P114" s="2356" t="n">
        <v>85426</v>
      </c>
      <c r="Q114" s="2345" t="n"/>
      <c r="R114" s="2345" t="n"/>
      <c r="S114" s="2356" t="n">
        <v>10052</v>
      </c>
      <c r="T114" s="2356" t="n">
        <v>12752</v>
      </c>
      <c r="U114" s="2345" t="n"/>
      <c r="V114" s="2345" t="n"/>
      <c r="W114" s="2345" t="n"/>
      <c r="X114" s="2356" t="n">
        <v>789</v>
      </c>
      <c r="Y114" s="2356" t="n">
        <v>23593</v>
      </c>
      <c r="Z114" s="2345" t="n"/>
      <c r="AA114" s="2356" t="n">
        <v>16126</v>
      </c>
      <c r="AB114" s="2356" t="n">
        <v>57314</v>
      </c>
      <c r="AC114" s="2356" t="n">
        <v>73440</v>
      </c>
      <c r="AD114" s="2356" t="n">
        <v>21725</v>
      </c>
      <c r="AE114" s="2345" t="n"/>
      <c r="AF114" s="2356" t="n">
        <v>21725</v>
      </c>
      <c r="AG114" s="2356" t="n">
        <v>2601</v>
      </c>
      <c r="AH114" s="2356" t="n">
        <v>265585</v>
      </c>
      <c r="AI114" s="2356" t="n">
        <v>1331347</v>
      </c>
      <c r="AJ114" s="2356" t="n">
        <v>1596932</v>
      </c>
      <c r="AK114" s="2356" t="n">
        <v>1123184</v>
      </c>
      <c r="AL114" s="2345" t="n"/>
      <c r="AM114" s="2345" t="inlineStr">
        <is>
          <t>Actual accrual; base rent $1.09M stepped; recovery $1.62M</t>
        </is>
      </c>
    </row>
    <row r="115">
      <c r="A115" s="2345" t="inlineStr">
        <is>
          <t>P055</t>
        </is>
      </c>
      <c r="B115" s="2338" t="n">
        <v>407</v>
      </c>
      <c r="C115" s="2345" t="inlineStr">
        <is>
          <t>R0211072/R0211073/R0211074</t>
        </is>
      </c>
      <c r="D115" s="2345" t="inlineStr">
        <is>
          <t>Park 76 Distribution Center</t>
        </is>
      </c>
      <c r="E115" s="2345" t="inlineStr">
        <is>
          <t>Aurora</t>
        </is>
      </c>
      <c r="F115" s="2345" t="inlineStr">
        <is>
          <t>CO</t>
        </is>
      </c>
      <c r="G115" s="2345" t="inlineStr">
        <is>
          <t>Industrial</t>
        </is>
      </c>
      <c r="H115" s="2345" t="inlineStr">
        <is>
          <t>Industrial Warehouse NNN</t>
        </is>
      </c>
      <c r="I115" s="2345" t="n"/>
      <c r="J115" s="2345" t="n"/>
      <c r="K115" s="2345" t="n">
        <v>2023</v>
      </c>
      <c r="L115" s="2356" t="n">
        <v>1865903</v>
      </c>
      <c r="M115" s="2345" t="n"/>
      <c r="N115" s="2356" t="n">
        <v>2819460</v>
      </c>
      <c r="O115" s="2356" t="n">
        <v>30551</v>
      </c>
      <c r="P115" s="2356" t="n">
        <v>174961</v>
      </c>
      <c r="Q115" s="2345" t="n"/>
      <c r="R115" s="2345" t="n"/>
      <c r="S115" s="2356" t="n">
        <v>38995</v>
      </c>
      <c r="T115" s="2356" t="n">
        <v>27460</v>
      </c>
      <c r="U115" s="2345" t="n"/>
      <c r="V115" s="2345" t="n"/>
      <c r="W115" s="2345" t="n"/>
      <c r="X115" s="2356" t="n">
        <v>2475</v>
      </c>
      <c r="Y115" s="2356" t="n">
        <v>68930</v>
      </c>
      <c r="Z115" s="2345" t="n"/>
      <c r="AA115" s="2356" t="n">
        <v>18672</v>
      </c>
      <c r="AB115" s="2356" t="n">
        <v>19945</v>
      </c>
      <c r="AC115" s="2356" t="n">
        <v>38617</v>
      </c>
      <c r="AD115" s="2345" t="n"/>
      <c r="AE115" s="2345" t="n"/>
      <c r="AF115" s="2356" t="n">
        <v>58172</v>
      </c>
      <c r="AG115" s="2356" t="n">
        <v>18488</v>
      </c>
      <c r="AH115" s="2356" t="n">
        <v>379535</v>
      </c>
      <c r="AI115" s="2356" t="n">
        <v>895967</v>
      </c>
      <c r="AJ115" s="2356" t="n">
        <v>1013502</v>
      </c>
      <c r="AK115" s="2356" t="n">
        <v>1805958</v>
      </c>
      <c r="AL115" s="2345" t="n"/>
      <c r="AM115" s="2345" t="inlineStr">
        <is>
          <t>3-bldg campus; actual accrual; base rent $1.87M; recovery $992k; prior-yr tax credit ($186k) netted</t>
        </is>
      </c>
    </row>
    <row r="116">
      <c r="A116" s="2345" t="inlineStr">
        <is>
          <t>P055</t>
        </is>
      </c>
      <c r="B116" s="2338" t="n">
        <v>407</v>
      </c>
      <c r="C116" s="2345" t="inlineStr">
        <is>
          <t>R0211072/R0211073/R0211074</t>
        </is>
      </c>
      <c r="D116" s="2345" t="inlineStr">
        <is>
          <t>Park 76 Distribution Center</t>
        </is>
      </c>
      <c r="E116" s="2345" t="inlineStr">
        <is>
          <t>Aurora</t>
        </is>
      </c>
      <c r="F116" s="2345" t="inlineStr">
        <is>
          <t>CO</t>
        </is>
      </c>
      <c r="G116" s="2345" t="inlineStr">
        <is>
          <t>Industrial</t>
        </is>
      </c>
      <c r="H116" s="2345" t="inlineStr">
        <is>
          <t>Industrial Warehouse NNN</t>
        </is>
      </c>
      <c r="I116" s="2345" t="n"/>
      <c r="J116" s="2345" t="n"/>
      <c r="K116" s="2345" t="n">
        <v>2024</v>
      </c>
      <c r="L116" s="2356" t="n">
        <v>2075908</v>
      </c>
      <c r="M116" s="2345" t="n"/>
      <c r="N116" s="2356" t="n">
        <v>3348615</v>
      </c>
      <c r="O116" s="2356" t="n">
        <v>35750</v>
      </c>
      <c r="P116" s="2356" t="n">
        <v>200286</v>
      </c>
      <c r="Q116" s="2345" t="n"/>
      <c r="R116" s="2345" t="n"/>
      <c r="S116" s="2356" t="n">
        <v>22119</v>
      </c>
      <c r="T116" s="2356" t="n">
        <v>33962</v>
      </c>
      <c r="U116" s="2345" t="n"/>
      <c r="V116" s="2345" t="n"/>
      <c r="W116" s="2345" t="n"/>
      <c r="X116" s="2356" t="n">
        <v>3333</v>
      </c>
      <c r="Y116" s="2356" t="n">
        <v>59414</v>
      </c>
      <c r="Z116" s="2345" t="n"/>
      <c r="AA116" s="2356" t="n">
        <v>26689</v>
      </c>
      <c r="AB116" s="2356" t="n">
        <v>56296</v>
      </c>
      <c r="AC116" s="2356" t="n">
        <v>82985</v>
      </c>
      <c r="AD116" s="2345" t="n"/>
      <c r="AE116" s="2345" t="n"/>
      <c r="AF116" s="2356" t="n">
        <v>34195</v>
      </c>
      <c r="AG116" s="2356" t="n">
        <v>4284</v>
      </c>
      <c r="AH116" s="2356" t="n">
        <v>341787</v>
      </c>
      <c r="AI116" s="2356" t="n">
        <v>989805</v>
      </c>
      <c r="AJ116" s="2356" t="n">
        <v>1331592</v>
      </c>
      <c r="AK116" s="2356" t="n">
        <v>2017023</v>
      </c>
      <c r="AL116" s="2345" t="n"/>
      <c r="AM116" s="2345" t="inlineStr">
        <is>
          <t>3-bldg campus; actual accrual; near-stabilized; base rent $2.08M; recovery $1.23M</t>
        </is>
      </c>
    </row>
    <row r="117">
      <c r="A117" s="2345" t="inlineStr">
        <is>
          <t>P056</t>
        </is>
      </c>
      <c r="B117" s="2338" t="n">
        <v>407</v>
      </c>
      <c r="C117" s="2345" t="inlineStr">
        <is>
          <t>R0210485</t>
        </is>
      </c>
      <c r="D117" s="2345" t="inlineStr">
        <is>
          <t>1101 E 126th Ave (Bldg A)</t>
        </is>
      </c>
      <c r="E117" s="2345" t="inlineStr">
        <is>
          <t>Thornton</t>
        </is>
      </c>
      <c r="F117" s="2345" t="inlineStr">
        <is>
          <t>CO</t>
        </is>
      </c>
      <c r="G117" s="2345" t="inlineStr">
        <is>
          <t>Industrial</t>
        </is>
      </c>
      <c r="H117" s="2345" t="inlineStr">
        <is>
          <t>Industrial Warehouse NNN</t>
        </is>
      </c>
      <c r="I117" s="2345" t="n">
        <v>2022</v>
      </c>
      <c r="J117" s="2345" t="n"/>
      <c r="K117" s="2345" t="n">
        <v>2024</v>
      </c>
      <c r="L117" s="2356" t="n">
        <v>646186</v>
      </c>
      <c r="M117" s="2345" t="n"/>
      <c r="N117" s="2356" t="n">
        <v>839307</v>
      </c>
      <c r="O117" s="2356" t="n">
        <v>11813</v>
      </c>
      <c r="P117" s="2356" t="n">
        <v>47295</v>
      </c>
      <c r="Q117" s="2345" t="n"/>
      <c r="R117" s="2345" t="n"/>
      <c r="S117" s="2345" t="n"/>
      <c r="T117" s="2356" t="n">
        <v>9156</v>
      </c>
      <c r="U117" s="2345" t="n"/>
      <c r="V117" s="2345" t="n"/>
      <c r="W117" s="2345" t="n"/>
      <c r="X117" s="2356" t="n">
        <v>3898</v>
      </c>
      <c r="Y117" s="2356" t="n">
        <v>13054</v>
      </c>
      <c r="Z117" s="2345" t="n"/>
      <c r="AA117" s="2356" t="n">
        <v>11343</v>
      </c>
      <c r="AB117" s="2356" t="n">
        <v>24799</v>
      </c>
      <c r="AC117" s="2356" t="n">
        <v>36142</v>
      </c>
      <c r="AD117" s="2345" t="n"/>
      <c r="AE117" s="2345" t="n"/>
      <c r="AF117" s="2356" t="n">
        <v>27895</v>
      </c>
      <c r="AG117" s="2345" t="n"/>
      <c r="AH117" s="2356" t="n">
        <v>146517</v>
      </c>
      <c r="AI117" s="2356" t="n">
        <v>558285</v>
      </c>
      <c r="AJ117" s="2356" t="n">
        <v>705154</v>
      </c>
      <c r="AK117" s="2356" t="n">
        <v>134153</v>
      </c>
      <c r="AL117" s="2345" t="n"/>
      <c r="AM117" s="2345" t="inlineStr">
        <is>
          <t>New (YOC ~2022); 2024 near-stabilized; 2023 excluded (lease-up, negative NOI)</t>
        </is>
      </c>
    </row>
    <row r="118">
      <c r="A118" s="2345" t="inlineStr">
        <is>
          <t>P057</t>
        </is>
      </c>
      <c r="B118" s="2338" t="n">
        <v>407</v>
      </c>
      <c r="C118" s="2345" t="inlineStr">
        <is>
          <t>R0210486</t>
        </is>
      </c>
      <c r="D118" s="2345" t="inlineStr">
        <is>
          <t>12625 Lafayette St (Bldg B)</t>
        </is>
      </c>
      <c r="E118" s="2345" t="inlineStr">
        <is>
          <t>Thornton</t>
        </is>
      </c>
      <c r="F118" s="2345" t="inlineStr">
        <is>
          <t>CO</t>
        </is>
      </c>
      <c r="G118" s="2345" t="inlineStr">
        <is>
          <t>Industrial</t>
        </is>
      </c>
      <c r="H118" s="2345" t="inlineStr">
        <is>
          <t>Industrial Warehouse NNN</t>
        </is>
      </c>
      <c r="I118" s="2345" t="n">
        <v>2022</v>
      </c>
      <c r="J118" s="2345" t="n"/>
      <c r="K118" s="2345" t="n">
        <v>2024</v>
      </c>
      <c r="L118" s="2356" t="n">
        <v>898845</v>
      </c>
      <c r="M118" s="2345" t="n"/>
      <c r="N118" s="2356" t="n">
        <v>1373599</v>
      </c>
      <c r="O118" s="2356" t="n">
        <v>21888</v>
      </c>
      <c r="P118" s="2356" t="n">
        <v>72220</v>
      </c>
      <c r="Q118" s="2345" t="n"/>
      <c r="R118" s="2345" t="n"/>
      <c r="S118" s="2345" t="n"/>
      <c r="T118" s="2356" t="n">
        <v>8438</v>
      </c>
      <c r="U118" s="2345" t="n"/>
      <c r="V118" s="2345" t="n"/>
      <c r="W118" s="2345" t="n"/>
      <c r="X118" s="2356" t="n">
        <v>5773</v>
      </c>
      <c r="Y118" s="2356" t="n">
        <v>14211</v>
      </c>
      <c r="Z118" s="2345" t="n"/>
      <c r="AA118" s="2356" t="n">
        <v>21287</v>
      </c>
      <c r="AB118" s="2356" t="n">
        <v>29625</v>
      </c>
      <c r="AC118" s="2356" t="n">
        <v>50912</v>
      </c>
      <c r="AD118" s="2345" t="n"/>
      <c r="AE118" s="2345" t="n"/>
      <c r="AF118" s="2356" t="n">
        <v>51235</v>
      </c>
      <c r="AG118" s="2345" t="n"/>
      <c r="AH118" s="2356" t="n">
        <v>209004</v>
      </c>
      <c r="AI118" s="2356" t="n">
        <v>762465</v>
      </c>
      <c r="AJ118" s="2356" t="n">
        <v>971469</v>
      </c>
      <c r="AK118" s="2356" t="n">
        <v>402131</v>
      </c>
      <c r="AL118" s="2345" t="n"/>
      <c r="AM118" s="2345" t="inlineStr">
        <is>
          <t>New (YOC ~2022); 2024 near-stabilized; 2023 excluded (lease-up, negative NOI)</t>
        </is>
      </c>
    </row>
    <row r="119">
      <c r="A119" s="2345" t="inlineStr">
        <is>
          <t>P058</t>
        </is>
      </c>
      <c r="B119" s="2338" t="n">
        <v>407</v>
      </c>
      <c r="C119" s="2345" t="inlineStr">
        <is>
          <t>R0091934</t>
        </is>
      </c>
      <c r="D119" s="2345" t="inlineStr">
        <is>
          <t>350 Park Industrial (5759)</t>
        </is>
      </c>
      <c r="E119" s="2345" t="inlineStr">
        <is>
          <t>Aurora</t>
        </is>
      </c>
      <c r="F119" s="2345" t="inlineStr">
        <is>
          <t>CO</t>
        </is>
      </c>
      <c r="G119" s="2345" t="inlineStr">
        <is>
          <t>Industrial</t>
        </is>
      </c>
      <c r="H119" s="2345" t="inlineStr">
        <is>
          <t>Multi-Tenant Industrial 407</t>
        </is>
      </c>
      <c r="I119" s="2345" t="n">
        <v>1995</v>
      </c>
      <c r="J119" s="2345" t="n">
        <v>32600</v>
      </c>
      <c r="K119" s="2345" t="n">
        <v>2023</v>
      </c>
      <c r="L119" s="2356" t="n">
        <v>296766</v>
      </c>
      <c r="M119" s="2345" t="n"/>
      <c r="N119" s="2356" t="n">
        <v>449003</v>
      </c>
      <c r="O119" s="2356" t="n">
        <v>5808</v>
      </c>
      <c r="P119" s="2356" t="n">
        <v>16857</v>
      </c>
      <c r="Q119" s="2356" t="n">
        <v>1204</v>
      </c>
      <c r="R119" s="2345" t="n"/>
      <c r="S119" s="2356" t="n">
        <v>10015</v>
      </c>
      <c r="T119" s="2356" t="n">
        <v>500</v>
      </c>
      <c r="U119" s="2345" t="n"/>
      <c r="V119" s="2345" t="n"/>
      <c r="W119" s="2345" t="n"/>
      <c r="X119" s="2356" t="n">
        <v>7760</v>
      </c>
      <c r="Y119" s="2356" t="n">
        <v>19479</v>
      </c>
      <c r="Z119" s="2356" t="n">
        <v>1359</v>
      </c>
      <c r="AA119" s="2345" t="n"/>
      <c r="AB119" s="2345" t="n"/>
      <c r="AC119" s="2356" t="n">
        <v>1359</v>
      </c>
      <c r="AD119" s="2356" t="n">
        <v>6103</v>
      </c>
      <c r="AE119" s="2345" t="n"/>
      <c r="AF119" s="2356" t="n">
        <v>6103</v>
      </c>
      <c r="AG119" s="2356" t="n">
        <v>7749</v>
      </c>
      <c r="AH119" s="2356" t="n">
        <v>57071</v>
      </c>
      <c r="AI119" s="2356" t="n">
        <v>102701</v>
      </c>
      <c r="AJ119" s="2356" t="n">
        <v>159537</v>
      </c>
      <c r="AK119" s="2356" t="n">
        <v>289466</v>
      </c>
      <c r="AL119" s="2345" t="n"/>
      <c r="AM119" s="2345" t="inlineStr">
        <is>
          <t>Actual accrual; 3 tenants; multi-tenant industrial</t>
        </is>
      </c>
    </row>
    <row r="120">
      <c r="A120" s="2345" t="inlineStr">
        <is>
          <t>P058</t>
        </is>
      </c>
      <c r="B120" s="2338" t="n">
        <v>407</v>
      </c>
      <c r="C120" s="2345" t="inlineStr">
        <is>
          <t>R0091934</t>
        </is>
      </c>
      <c r="D120" s="2345" t="inlineStr">
        <is>
          <t>350 Park Industrial (5759)</t>
        </is>
      </c>
      <c r="E120" s="2345" t="inlineStr">
        <is>
          <t>Aurora</t>
        </is>
      </c>
      <c r="F120" s="2345" t="inlineStr">
        <is>
          <t>CO</t>
        </is>
      </c>
      <c r="G120" s="2345" t="inlineStr">
        <is>
          <t>Industrial</t>
        </is>
      </c>
      <c r="H120" s="2345" t="inlineStr">
        <is>
          <t>Multi-Tenant Industrial 407</t>
        </is>
      </c>
      <c r="I120" s="2345" t="n">
        <v>1995</v>
      </c>
      <c r="J120" s="2345" t="n">
        <v>32600</v>
      </c>
      <c r="K120" s="2345" t="n">
        <v>2024</v>
      </c>
      <c r="L120" s="2356" t="n">
        <v>312397</v>
      </c>
      <c r="M120" s="2345" t="n"/>
      <c r="N120" s="2356" t="n">
        <v>497987</v>
      </c>
      <c r="O120" s="2356" t="n">
        <v>5897</v>
      </c>
      <c r="P120" s="2356" t="n">
        <v>18574</v>
      </c>
      <c r="Q120" s="2356" t="n">
        <v>1251</v>
      </c>
      <c r="R120" s="2345" t="n"/>
      <c r="S120" s="2356" t="n">
        <v>7535</v>
      </c>
      <c r="T120" s="2356" t="n">
        <v>1222</v>
      </c>
      <c r="U120" s="2345" t="n"/>
      <c r="V120" s="2345" t="n"/>
      <c r="W120" s="2345" t="n"/>
      <c r="X120" s="2356" t="n">
        <v>7269</v>
      </c>
      <c r="Y120" s="2356" t="n">
        <v>17277</v>
      </c>
      <c r="Z120" s="2356" t="n">
        <v>1376</v>
      </c>
      <c r="AA120" s="2345" t="n"/>
      <c r="AB120" s="2345" t="n"/>
      <c r="AC120" s="2356" t="n">
        <v>1376</v>
      </c>
      <c r="AD120" s="2356" t="n">
        <v>6829</v>
      </c>
      <c r="AE120" s="2345" t="n"/>
      <c r="AF120" s="2356" t="n">
        <v>6829</v>
      </c>
      <c r="AG120" s="2356" t="n">
        <v>25153</v>
      </c>
      <c r="AH120" s="2356" t="n">
        <v>69242</v>
      </c>
      <c r="AI120" s="2356" t="n">
        <v>105852</v>
      </c>
      <c r="AJ120" s="2356" t="n">
        <v>172094</v>
      </c>
      <c r="AK120" s="2356" t="n">
        <v>325893</v>
      </c>
      <c r="AL120" s="2345" t="n"/>
      <c r="AM120" s="2345" t="inlineStr">
        <is>
          <t>Actual accrual; 3 tenants</t>
        </is>
      </c>
    </row>
    <row r="121">
      <c r="A121" s="2345" t="inlineStr">
        <is>
          <t>P059</t>
        </is>
      </c>
      <c r="B121" s="2338" t="n">
        <v>407</v>
      </c>
      <c r="C121" s="2345" t="inlineStr">
        <is>
          <t>R0093111</t>
        </is>
      </c>
      <c r="D121" s="2345" t="inlineStr">
        <is>
          <t>Industrial Property (R0093111)</t>
        </is>
      </c>
      <c r="E121" s="2345" t="inlineStr">
        <is>
          <t>Aurora</t>
        </is>
      </c>
      <c r="F121" s="2345" t="inlineStr">
        <is>
          <t>CO</t>
        </is>
      </c>
      <c r="G121" s="2345" t="inlineStr">
        <is>
          <t>Industrial</t>
        </is>
      </c>
      <c r="H121" s="2345" t="inlineStr">
        <is>
          <t>Multi-Tenant Industrial 407</t>
        </is>
      </c>
      <c r="I121" s="2345" t="n"/>
      <c r="J121" s="2345" t="n"/>
      <c r="K121" s="2345" t="n">
        <v>2023</v>
      </c>
      <c r="L121" s="2356" t="n">
        <v>340825</v>
      </c>
      <c r="M121" s="2345" t="n"/>
      <c r="N121" s="2356" t="n">
        <v>817280</v>
      </c>
      <c r="O121" s="2356" t="n">
        <v>396</v>
      </c>
      <c r="P121" s="2356" t="n">
        <v>24226</v>
      </c>
      <c r="Q121" s="2356" t="n">
        <v>2790</v>
      </c>
      <c r="R121" s="2345" t="n"/>
      <c r="S121" s="2356" t="n">
        <v>17586</v>
      </c>
      <c r="T121" s="2345" t="n"/>
      <c r="U121" s="2345" t="n"/>
      <c r="V121" s="2345" t="n"/>
      <c r="W121" s="2345" t="n"/>
      <c r="X121" s="2356" t="n">
        <v>1690</v>
      </c>
      <c r="Y121" s="2356" t="n">
        <v>22066</v>
      </c>
      <c r="Z121" s="2356" t="n">
        <v>1690</v>
      </c>
      <c r="AA121" s="2356" t="n">
        <v>10029</v>
      </c>
      <c r="AB121" s="2356" t="n">
        <v>13406</v>
      </c>
      <c r="AC121" s="2356" t="n">
        <v>15096</v>
      </c>
      <c r="AD121" s="2356" t="n">
        <v>8414</v>
      </c>
      <c r="AE121" s="2345" t="n"/>
      <c r="AF121" s="2356" t="n">
        <v>8414</v>
      </c>
      <c r="AG121" s="2356" t="n">
        <v>7749</v>
      </c>
      <c r="AH121" s="2356" t="n">
        <v>82990</v>
      </c>
      <c r="AI121" s="2356" t="n">
        <v>262422</v>
      </c>
      <c r="AJ121" s="2356" t="n">
        <v>345412</v>
      </c>
      <c r="AK121" s="2356" t="n">
        <v>471868</v>
      </c>
      <c r="AL121" s="2345" t="n"/>
      <c r="AM121" s="2345" t="inlineStr">
        <is>
          <t>Actual; RE tax heavy due to NNN recovery; SF not confirmed</t>
        </is>
      </c>
    </row>
    <row r="122">
      <c r="A122" s="2345" t="inlineStr">
        <is>
          <t>P059</t>
        </is>
      </c>
      <c r="B122" s="2338" t="n">
        <v>407</v>
      </c>
      <c r="C122" s="2345" t="inlineStr">
        <is>
          <t>R0093111</t>
        </is>
      </c>
      <c r="D122" s="2345" t="inlineStr">
        <is>
          <t>Industrial Property (R0093111)</t>
        </is>
      </c>
      <c r="E122" s="2345" t="inlineStr">
        <is>
          <t>Aurora</t>
        </is>
      </c>
      <c r="F122" s="2345" t="inlineStr">
        <is>
          <t>CO</t>
        </is>
      </c>
      <c r="G122" s="2345" t="inlineStr">
        <is>
          <t>Industrial</t>
        </is>
      </c>
      <c r="H122" s="2345" t="inlineStr">
        <is>
          <t>Multi-Tenant Industrial 407</t>
        </is>
      </c>
      <c r="I122" s="2345" t="n"/>
      <c r="J122" s="2345" t="n"/>
      <c r="K122" s="2345" t="n">
        <v>2024</v>
      </c>
      <c r="L122" s="2356" t="n">
        <v>343350</v>
      </c>
      <c r="M122" s="2345" t="n"/>
      <c r="N122" s="2356" t="n">
        <v>632272</v>
      </c>
      <c r="O122" s="2356" t="n">
        <v>9737</v>
      </c>
      <c r="P122" s="2345" t="n"/>
      <c r="Q122" s="2345" t="n"/>
      <c r="R122" s="2345" t="n"/>
      <c r="S122" s="2345" t="n"/>
      <c r="T122" s="2345" t="n"/>
      <c r="U122" s="2345" t="n"/>
      <c r="V122" s="2345" t="n"/>
      <c r="W122" s="2345" t="n"/>
      <c r="X122" s="2345" t="n"/>
      <c r="Y122" s="2345" t="n"/>
      <c r="Z122" s="2345" t="n"/>
      <c r="AA122" s="2345" t="n"/>
      <c r="AB122" s="2345" t="n"/>
      <c r="AC122" s="2345" t="n"/>
      <c r="AD122" s="2345" t="n"/>
      <c r="AE122" s="2345" t="n"/>
      <c r="AF122" s="2345" t="n"/>
      <c r="AG122" s="2345" t="n"/>
      <c r="AH122" s="2356" t="n">
        <v>119649</v>
      </c>
      <c r="AI122" s="2356" t="n">
        <v>159461</v>
      </c>
      <c r="AJ122" s="2356" t="n">
        <v>279110</v>
      </c>
      <c r="AK122" s="2356" t="n">
        <v>353163</v>
      </c>
      <c r="AL122" s="2345" t="n"/>
      <c r="AM122" s="2345" t="inlineStr">
        <is>
          <t>2024 summary data; limited line-item detail; SF not confirmed</t>
        </is>
      </c>
    </row>
    <row r="123">
      <c r="A123" s="2345" t="inlineStr">
        <is>
          <t>P060</t>
        </is>
      </c>
      <c r="B123" s="2338" t="n">
        <v>407</v>
      </c>
      <c r="C123" s="2345" t="inlineStr">
        <is>
          <t>R0100104</t>
        </is>
      </c>
      <c r="D123" s="2345" t="inlineStr">
        <is>
          <t>312 Kew West</t>
        </is>
      </c>
      <c r="E123" s="2345" t="inlineStr">
        <is>
          <t>Aurora</t>
        </is>
      </c>
      <c r="F123" s="2345" t="inlineStr">
        <is>
          <t>CO</t>
        </is>
      </c>
      <c r="G123" s="2345" t="inlineStr">
        <is>
          <t>Industrial</t>
        </is>
      </c>
      <c r="H123" s="2345" t="inlineStr">
        <is>
          <t>Multi-Tenant Industrial 407</t>
        </is>
      </c>
      <c r="I123" s="2345" t="n"/>
      <c r="J123" s="2345" t="n"/>
      <c r="K123" s="2345" t="n">
        <v>2023</v>
      </c>
      <c r="L123" s="2356" t="n">
        <v>246837</v>
      </c>
      <c r="M123" s="2345" t="n"/>
      <c r="N123" s="2356" t="n">
        <v>340193</v>
      </c>
      <c r="O123" s="2356" t="n">
        <v>7355</v>
      </c>
      <c r="P123" s="2356" t="n">
        <v>12734</v>
      </c>
      <c r="Q123" s="2356" t="n">
        <v>1711</v>
      </c>
      <c r="R123" s="2345" t="n"/>
      <c r="S123" s="2356" t="n">
        <v>24740</v>
      </c>
      <c r="T123" s="2356" t="n">
        <v>6577</v>
      </c>
      <c r="U123" s="2345" t="n"/>
      <c r="V123" s="2345" t="n"/>
      <c r="W123" s="2345" t="n"/>
      <c r="X123" s="2356" t="n">
        <v>10612</v>
      </c>
      <c r="Y123" s="2356" t="n">
        <v>43640</v>
      </c>
      <c r="Z123" s="2356" t="n">
        <v>2451</v>
      </c>
      <c r="AA123" s="2356" t="n">
        <v>2474</v>
      </c>
      <c r="AB123" s="2356" t="n">
        <v>9457</v>
      </c>
      <c r="AC123" s="2356" t="n">
        <v>14382</v>
      </c>
      <c r="AD123" s="2356" t="n">
        <v>4092</v>
      </c>
      <c r="AE123" s="2345" t="n"/>
      <c r="AF123" s="2356" t="n">
        <v>4092</v>
      </c>
      <c r="AG123" s="2345" t="n"/>
      <c r="AH123" s="2356" t="n">
        <v>68233</v>
      </c>
      <c r="AI123" s="2356" t="n">
        <v>92861</v>
      </c>
      <c r="AJ123" s="2356" t="n">
        <v>161094</v>
      </c>
      <c r="AK123" s="2356" t="n">
        <v>179099</v>
      </c>
      <c r="AL123" s="2345" t="n"/>
      <c r="AM123" s="2345" t="inlineStr">
        <is>
          <t>Actual accrual; SF not confirmed</t>
        </is>
      </c>
    </row>
    <row r="124">
      <c r="A124" s="2345" t="inlineStr">
        <is>
          <t>P060</t>
        </is>
      </c>
      <c r="B124" s="2338" t="n">
        <v>407</v>
      </c>
      <c r="C124" s="2345" t="inlineStr">
        <is>
          <t>R0100104</t>
        </is>
      </c>
      <c r="D124" s="2345" t="inlineStr">
        <is>
          <t>312 Kew West</t>
        </is>
      </c>
      <c r="E124" s="2345" t="inlineStr">
        <is>
          <t>Aurora</t>
        </is>
      </c>
      <c r="F124" s="2345" t="inlineStr">
        <is>
          <t>CO</t>
        </is>
      </c>
      <c r="G124" s="2345" t="inlineStr">
        <is>
          <t>Industrial</t>
        </is>
      </c>
      <c r="H124" s="2345" t="inlineStr">
        <is>
          <t>Multi-Tenant Industrial 407</t>
        </is>
      </c>
      <c r="I124" s="2345" t="n"/>
      <c r="J124" s="2345" t="n"/>
      <c r="K124" s="2345" t="n">
        <v>2024</v>
      </c>
      <c r="L124" s="2356" t="n">
        <v>239823</v>
      </c>
      <c r="M124" s="2345" t="n"/>
      <c r="N124" s="2356" t="n">
        <v>375845</v>
      </c>
      <c r="O124" s="2356" t="n">
        <v>7287</v>
      </c>
      <c r="P124" s="2356" t="n">
        <v>18575</v>
      </c>
      <c r="Q124" s="2356" t="n">
        <v>816</v>
      </c>
      <c r="R124" s="2345" t="n"/>
      <c r="S124" s="2356" t="n">
        <v>25607</v>
      </c>
      <c r="T124" s="2356" t="n">
        <v>7834</v>
      </c>
      <c r="U124" s="2345" t="n"/>
      <c r="V124" s="2345" t="n"/>
      <c r="W124" s="2345" t="n"/>
      <c r="X124" s="2356" t="n">
        <v>8752</v>
      </c>
      <c r="Y124" s="2356" t="n">
        <v>42009</v>
      </c>
      <c r="Z124" s="2356" t="n">
        <v>2982</v>
      </c>
      <c r="AA124" s="2356" t="n">
        <v>2720</v>
      </c>
      <c r="AB124" s="2356" t="n">
        <v>10994</v>
      </c>
      <c r="AC124" s="2356" t="n">
        <v>16696</v>
      </c>
      <c r="AD124" s="2356" t="n">
        <v>4502</v>
      </c>
      <c r="AE124" s="2345" t="n"/>
      <c r="AF124" s="2356" t="n">
        <v>4502</v>
      </c>
      <c r="AG124" s="2345" t="n"/>
      <c r="AH124" s="2356" t="n">
        <v>69570</v>
      </c>
      <c r="AI124" s="2356" t="n">
        <v>102524</v>
      </c>
      <c r="AJ124" s="2356" t="n">
        <v>172094</v>
      </c>
      <c r="AK124" s="2356" t="n">
        <v>203752</v>
      </c>
      <c r="AL124" s="2345" t="n"/>
      <c r="AM124" s="2345" t="inlineStr">
        <is>
          <t>Actual accrual; SF not confirmed</t>
        </is>
      </c>
    </row>
    <row r="125">
      <c r="A125" s="2345" t="inlineStr">
        <is>
          <t>P061</t>
        </is>
      </c>
      <c r="B125" s="2338" t="n">
        <v>584</v>
      </c>
      <c r="C125" s="2345" t="inlineStr">
        <is>
          <t>R0083935</t>
        </is>
      </c>
      <c r="D125" s="2345" t="inlineStr">
        <is>
          <t>20101 E 36th Ave</t>
        </is>
      </c>
      <c r="E125" s="2345" t="inlineStr">
        <is>
          <t>Aurora</t>
        </is>
      </c>
      <c r="F125" s="2345" t="inlineStr">
        <is>
          <t>CO</t>
        </is>
      </c>
      <c r="G125" s="2345" t="inlineStr">
        <is>
          <t>Industrial</t>
        </is>
      </c>
      <c r="H125" s="2345" t="inlineStr">
        <is>
          <t>Mega Warehouse NNN</t>
        </is>
      </c>
      <c r="I125" s="2345" t="n"/>
      <c r="J125" s="2345" t="n">
        <v>278538</v>
      </c>
      <c r="K125" s="2345" t="n">
        <v>2024</v>
      </c>
      <c r="L125" s="2356" t="n">
        <v>1242512</v>
      </c>
      <c r="M125" s="2345" t="n"/>
      <c r="N125" s="2356" t="n">
        <v>2952901</v>
      </c>
      <c r="O125" s="2345" t="n"/>
      <c r="P125" s="2345" t="n"/>
      <c r="Q125" s="2345" t="n"/>
      <c r="R125" s="2345" t="n"/>
      <c r="S125" s="2345" t="n"/>
      <c r="T125" s="2345" t="n"/>
      <c r="U125" s="2345" t="n"/>
      <c r="V125" s="2345" t="n"/>
      <c r="W125" s="2345" t="n"/>
      <c r="X125" s="2345" t="n"/>
      <c r="Y125" s="2345" t="n"/>
      <c r="Z125" s="2345" t="n"/>
      <c r="AA125" s="2345" t="n"/>
      <c r="AB125" s="2345" t="n"/>
      <c r="AC125" s="2345" t="n"/>
      <c r="AD125" s="2345" t="n"/>
      <c r="AE125" s="2345" t="n"/>
      <c r="AF125" s="2356" t="n">
        <v>195945</v>
      </c>
      <c r="AG125" s="2345" t="n"/>
      <c r="AH125" s="2345" t="n"/>
      <c r="AI125" s="2345" t="n"/>
      <c r="AJ125" s="2345" t="n"/>
      <c r="AK125" s="2345" t="n"/>
      <c r="AL125" s="2345" t="n"/>
      <c r="AM125" s="2345" t="inlineStr">
        <is>
          <t>NNN; partial data; CBRE income statement; tenant RK Industries; rent $4.47/SF NNN; RE tax recovery ~$860k</t>
        </is>
      </c>
    </row>
    <row r="126">
      <c r="A126" s="2345" t="inlineStr">
        <is>
          <t>P062</t>
        </is>
      </c>
      <c r="B126" s="2338" t="n">
        <v>407</v>
      </c>
      <c r="C126" s="2345" t="inlineStr">
        <is>
          <t>R0200721</t>
        </is>
      </c>
      <c r="D126" s="2345" t="inlineStr">
        <is>
          <t>3420 N Lisbon St</t>
        </is>
      </c>
      <c r="E126" s="2345" t="inlineStr">
        <is>
          <t>Aurora</t>
        </is>
      </c>
      <c r="F126" s="2345" t="inlineStr">
        <is>
          <t>CO</t>
        </is>
      </c>
      <c r="G126" s="2345" t="inlineStr">
        <is>
          <t>Industrial</t>
        </is>
      </c>
      <c r="H126" s="2345" t="inlineStr">
        <is>
          <t>Single-Tenant Industrial NNN</t>
        </is>
      </c>
      <c r="I126" s="2345" t="n">
        <v>2019</v>
      </c>
      <c r="J126" s="2345" t="n">
        <v>36212</v>
      </c>
      <c r="K126" s="2345" t="n">
        <v>2023</v>
      </c>
      <c r="L126" s="2356" t="n">
        <v>272278</v>
      </c>
      <c r="M126" s="2345" t="n"/>
      <c r="N126" s="2356" t="n">
        <v>272278</v>
      </c>
      <c r="O126" s="2345" t="n"/>
      <c r="P126" s="2345" t="n"/>
      <c r="Q126" s="2345" t="n"/>
      <c r="R126" s="2345" t="n"/>
      <c r="S126" s="2345" t="n"/>
      <c r="T126" s="2345" t="n"/>
      <c r="U126" s="2345" t="n"/>
      <c r="V126" s="2345" t="n"/>
      <c r="W126" s="2345" t="n"/>
      <c r="X126" s="2345" t="n"/>
      <c r="Y126" s="2345" t="n"/>
      <c r="Z126" s="2345" t="n"/>
      <c r="AA126" s="2345" t="n"/>
      <c r="AB126" s="2345" t="n"/>
      <c r="AC126" s="2345" t="n"/>
      <c r="AD126" s="2345" t="n"/>
      <c r="AE126" s="2345" t="n"/>
      <c r="AF126" s="2345" t="n"/>
      <c r="AG126" s="2345" t="n"/>
      <c r="AH126" s="2345" t="n"/>
      <c r="AI126" s="2345" t="n"/>
      <c r="AJ126" s="2345" t="n"/>
      <c r="AK126" s="2345" t="n"/>
      <c r="AL126" s="2345" t="n"/>
      <c r="AM126" s="2345" t="inlineStr">
        <is>
          <t>NNN absolute; tenant pays all opex; owner income = rent only; $7.52/SF</t>
        </is>
      </c>
    </row>
    <row r="127">
      <c r="A127" s="2345" t="inlineStr">
        <is>
          <t>P062</t>
        </is>
      </c>
      <c r="B127" s="2338" t="n">
        <v>407</v>
      </c>
      <c r="C127" s="2345" t="inlineStr">
        <is>
          <t>R0200721</t>
        </is>
      </c>
      <c r="D127" s="2345" t="inlineStr">
        <is>
          <t>3420 N Lisbon St</t>
        </is>
      </c>
      <c r="E127" s="2345" t="inlineStr">
        <is>
          <t>Aurora</t>
        </is>
      </c>
      <c r="F127" s="2345" t="inlineStr">
        <is>
          <t>CO</t>
        </is>
      </c>
      <c r="G127" s="2345" t="inlineStr">
        <is>
          <t>Industrial</t>
        </is>
      </c>
      <c r="H127" s="2345" t="inlineStr">
        <is>
          <t>Single-Tenant Industrial NNN</t>
        </is>
      </c>
      <c r="I127" s="2345" t="n">
        <v>2019</v>
      </c>
      <c r="J127" s="2345" t="n">
        <v>36212</v>
      </c>
      <c r="K127" s="2345" t="n">
        <v>2024</v>
      </c>
      <c r="L127" s="2356" t="n">
        <v>280448</v>
      </c>
      <c r="M127" s="2345" t="n"/>
      <c r="N127" s="2356" t="n">
        <v>280448</v>
      </c>
      <c r="O127" s="2345" t="n"/>
      <c r="P127" s="2345" t="n"/>
      <c r="Q127" s="2345" t="n"/>
      <c r="R127" s="2345" t="n"/>
      <c r="S127" s="2345" t="n"/>
      <c r="T127" s="2345" t="n"/>
      <c r="U127" s="2345" t="n"/>
      <c r="V127" s="2345" t="n"/>
      <c r="W127" s="2345" t="n"/>
      <c r="X127" s="2345" t="n"/>
      <c r="Y127" s="2345" t="n"/>
      <c r="Z127" s="2345" t="n"/>
      <c r="AA127" s="2345" t="n"/>
      <c r="AB127" s="2345" t="n"/>
      <c r="AC127" s="2345" t="n"/>
      <c r="AD127" s="2345" t="n"/>
      <c r="AE127" s="2345" t="n"/>
      <c r="AF127" s="2345" t="n"/>
      <c r="AG127" s="2345" t="n"/>
      <c r="AH127" s="2345" t="n"/>
      <c r="AI127" s="2345" t="n"/>
      <c r="AJ127" s="2345" t="n"/>
      <c r="AK127" s="2345" t="n"/>
      <c r="AL127" s="2345" t="n"/>
      <c r="AM127" s="2345" t="inlineStr">
        <is>
          <t>NNN absolute; tenant pays all opex; owner income = rent only; $7.75/SF</t>
        </is>
      </c>
    </row>
    <row r="128">
      <c r="A128" s="2345" t="inlineStr">
        <is>
          <t>P063</t>
        </is>
      </c>
      <c r="B128" s="2338" t="n">
        <v>344</v>
      </c>
      <c r="C128" s="2345" t="inlineStr">
        <is>
          <t>R0040581</t>
        </is>
      </c>
      <c r="D128" s="2345" t="inlineStr">
        <is>
          <t>2090 E 104th Ave</t>
        </is>
      </c>
      <c r="E128" s="2345" t="inlineStr">
        <is>
          <t>Thornton</t>
        </is>
      </c>
      <c r="F128" s="2345" t="inlineStr">
        <is>
          <t>CO</t>
        </is>
      </c>
      <c r="G128" s="2345" t="inlineStr">
        <is>
          <t>Office</t>
        </is>
      </c>
      <c r="H128" s="2345" t="inlineStr">
        <is>
          <t>Multi-Tenant Office</t>
        </is>
      </c>
      <c r="I128" s="2345" t="n"/>
      <c r="J128" s="2345" t="n">
        <v>19764</v>
      </c>
      <c r="K128" s="2345" t="n">
        <v>2023</v>
      </c>
      <c r="L128" s="2345" t="n"/>
      <c r="M128" s="2345" t="n"/>
      <c r="N128" s="2345" t="n"/>
      <c r="O128" s="2356" t="n">
        <v>3132</v>
      </c>
      <c r="P128" s="2356" t="n">
        <v>9187</v>
      </c>
      <c r="Q128" s="2345" t="n"/>
      <c r="R128" s="2345" t="n"/>
      <c r="S128" s="2345" t="n"/>
      <c r="T128" s="2345" t="n"/>
      <c r="U128" s="2345" t="n"/>
      <c r="V128" s="2345" t="n"/>
      <c r="W128" s="2345" t="n"/>
      <c r="X128" s="2356" t="n">
        <v>48128</v>
      </c>
      <c r="Y128" s="2356" t="n">
        <v>48128</v>
      </c>
      <c r="Z128" s="2345" t="n"/>
      <c r="AA128" s="2356" t="n">
        <v>9835</v>
      </c>
      <c r="AB128" s="2345" t="n"/>
      <c r="AC128" s="2356" t="n">
        <v>9835</v>
      </c>
      <c r="AD128" s="2345" t="n"/>
      <c r="AE128" s="2345" t="n"/>
      <c r="AF128" s="2356" t="n">
        <v>37547</v>
      </c>
      <c r="AG128" s="2356" t="n">
        <v>8244</v>
      </c>
      <c r="AH128" s="2356" t="n">
        <v>133351</v>
      </c>
      <c r="AI128" s="2356" t="n">
        <v>40716</v>
      </c>
      <c r="AJ128" s="2356" t="n">
        <v>174067</v>
      </c>
      <c r="AK128" s="2356" t="n">
        <v>54413</v>
      </c>
      <c r="AL128" s="2345" t="n"/>
      <c r="AM128" s="2345" t="inlineStr">
        <is>
          <t>Office; expenses only; GRI est. ~$228k at $11.56/SF 100% occ</t>
        </is>
      </c>
    </row>
    <row r="129">
      <c r="A129" s="2345" t="inlineStr">
        <is>
          <t>P063</t>
        </is>
      </c>
      <c r="B129" s="2338" t="n">
        <v>344</v>
      </c>
      <c r="C129" s="2345" t="inlineStr">
        <is>
          <t>R0040581</t>
        </is>
      </c>
      <c r="D129" s="2345" t="inlineStr">
        <is>
          <t>2090 E 104th Ave</t>
        </is>
      </c>
      <c r="E129" s="2345" t="inlineStr">
        <is>
          <t>Thornton</t>
        </is>
      </c>
      <c r="F129" s="2345" t="inlineStr">
        <is>
          <t>CO</t>
        </is>
      </c>
      <c r="G129" s="2345" t="inlineStr">
        <is>
          <t>Office</t>
        </is>
      </c>
      <c r="H129" s="2345" t="inlineStr">
        <is>
          <t>Multi-Tenant Office</t>
        </is>
      </c>
      <c r="I129" s="2345" t="n"/>
      <c r="J129" s="2345" t="n">
        <v>19764</v>
      </c>
      <c r="K129" s="2345" t="n">
        <v>2024</v>
      </c>
      <c r="L129" s="2345" t="n"/>
      <c r="M129" s="2345" t="n"/>
      <c r="N129" s="2345" t="n"/>
      <c r="O129" s="2356" t="n">
        <v>11171</v>
      </c>
      <c r="P129" s="2356" t="n">
        <v>9000</v>
      </c>
      <c r="Q129" s="2345" t="n"/>
      <c r="R129" s="2345" t="n"/>
      <c r="S129" s="2345" t="n"/>
      <c r="T129" s="2345" t="n"/>
      <c r="U129" s="2345" t="n"/>
      <c r="V129" s="2345" t="n"/>
      <c r="W129" s="2345" t="n"/>
      <c r="X129" s="2356" t="n">
        <v>48665</v>
      </c>
      <c r="Y129" s="2356" t="n">
        <v>48665</v>
      </c>
      <c r="Z129" s="2345" t="n"/>
      <c r="AA129" s="2356" t="n">
        <v>11638</v>
      </c>
      <c r="AB129" s="2345" t="n"/>
      <c r="AC129" s="2356" t="n">
        <v>11638</v>
      </c>
      <c r="AD129" s="2345" t="n"/>
      <c r="AE129" s="2345" t="n"/>
      <c r="AF129" s="2356" t="n">
        <v>47748</v>
      </c>
      <c r="AG129" s="2356" t="n">
        <v>6178</v>
      </c>
      <c r="AH129" s="2356" t="n">
        <v>134405</v>
      </c>
      <c r="AI129" s="2356" t="n">
        <v>40064</v>
      </c>
      <c r="AJ129" s="2356" t="n">
        <v>174469</v>
      </c>
      <c r="AK129" s="2356" t="n">
        <v>54011</v>
      </c>
      <c r="AL129" s="2345" t="n"/>
      <c r="AM129" s="2345" t="inlineStr">
        <is>
          <t>Office; expenses only; GRI est. ~$228k</t>
        </is>
      </c>
    </row>
    <row r="130">
      <c r="A130" s="2345" t="inlineStr">
        <is>
          <t>P064</t>
        </is>
      </c>
      <c r="B130" s="2338" t="n">
        <v>344</v>
      </c>
      <c r="C130" s="2345" t="inlineStr">
        <is>
          <t>R0050977</t>
        </is>
      </c>
      <c r="D130" s="2345" t="inlineStr">
        <is>
          <t>9351 Grant St</t>
        </is>
      </c>
      <c r="E130" s="2345" t="inlineStr">
        <is>
          <t>Thornton</t>
        </is>
      </c>
      <c r="F130" s="2345" t="inlineStr">
        <is>
          <t>CO</t>
        </is>
      </c>
      <c r="G130" s="2345" t="inlineStr">
        <is>
          <t>Office</t>
        </is>
      </c>
      <c r="H130" s="2345" t="inlineStr">
        <is>
          <t>Multi-Tenant Office</t>
        </is>
      </c>
      <c r="I130" s="2345" t="n"/>
      <c r="J130" s="2345" t="n"/>
      <c r="K130" s="2345" t="n">
        <v>2023</v>
      </c>
      <c r="L130" s="2356" t="n">
        <v>2011958</v>
      </c>
      <c r="M130" s="2345" t="n"/>
      <c r="N130" s="2356" t="n">
        <v>2239234</v>
      </c>
      <c r="O130" s="2345" t="n"/>
      <c r="P130" s="2345" t="n"/>
      <c r="Q130" s="2345" t="n"/>
      <c r="R130" s="2345" t="n"/>
      <c r="S130" s="2345" t="n"/>
      <c r="T130" s="2345" t="n"/>
      <c r="U130" s="2345" t="n"/>
      <c r="V130" s="2345" t="n"/>
      <c r="W130" s="2345" t="n"/>
      <c r="X130" s="2356" t="n">
        <v>144543</v>
      </c>
      <c r="Y130" s="2356" t="n">
        <v>144543</v>
      </c>
      <c r="Z130" s="2345" t="n"/>
      <c r="AA130" s="2345" t="n"/>
      <c r="AB130" s="2345" t="n"/>
      <c r="AC130" s="2345" t="n"/>
      <c r="AD130" s="2345" t="n"/>
      <c r="AE130" s="2345" t="n"/>
      <c r="AF130" s="2356" t="n">
        <v>240350</v>
      </c>
      <c r="AG130" s="2356" t="n">
        <v>279549</v>
      </c>
      <c r="AH130" s="2356" t="n">
        <v>719555</v>
      </c>
      <c r="AI130" s="2356" t="n">
        <v>497852</v>
      </c>
      <c r="AJ130" s="2356" t="n">
        <v>1217407</v>
      </c>
      <c r="AK130" s="2356" t="n">
        <v>1021827</v>
      </c>
      <c r="AL130" s="2345" t="n"/>
      <c r="AM130" s="2345" t="inlineStr">
        <is>
          <t>Actual P&amp;L; Crown RE Group; RE Tax + Ins combined in $497,852 line; large office property</t>
        </is>
      </c>
    </row>
    <row r="131">
      <c r="A131" s="2345" t="inlineStr">
        <is>
          <t>P065</t>
        </is>
      </c>
      <c r="B131" s="2338" t="n">
        <v>344</v>
      </c>
      <c r="C131" s="2345" t="inlineStr">
        <is>
          <t>R0069041</t>
        </is>
      </c>
      <c r="D131" s="2345" t="inlineStr">
        <is>
          <t>7475 Dakin St (Turnpike Tower)</t>
        </is>
      </c>
      <c r="E131" s="2345" t="inlineStr">
        <is>
          <t>Denver</t>
        </is>
      </c>
      <c r="F131" s="2345" t="inlineStr">
        <is>
          <t>CO</t>
        </is>
      </c>
      <c r="G131" s="2345" t="inlineStr">
        <is>
          <t>Office</t>
        </is>
      </c>
      <c r="H131" s="2345" t="inlineStr">
        <is>
          <t>Multi-Tenant Office</t>
        </is>
      </c>
      <c r="I131" s="2345" t="n"/>
      <c r="J131" s="2345" t="n">
        <v>114843</v>
      </c>
      <c r="K131" s="2345" t="n">
        <v>2023</v>
      </c>
      <c r="L131" s="2345" t="n"/>
      <c r="M131" s="2345" t="n"/>
      <c r="N131" s="2356" t="n">
        <v>618988</v>
      </c>
      <c r="O131" s="2345" t="n"/>
      <c r="P131" s="2345" t="n"/>
      <c r="Q131" s="2345" t="n"/>
      <c r="R131" s="2345" t="n"/>
      <c r="S131" s="2345" t="n"/>
      <c r="T131" s="2345" t="n"/>
      <c r="U131" s="2345" t="n"/>
      <c r="V131" s="2345" t="n"/>
      <c r="W131" s="2345" t="n"/>
      <c r="X131" s="2345" t="n"/>
      <c r="Y131" s="2345" t="n"/>
      <c r="Z131" s="2345" t="n"/>
      <c r="AA131" s="2356" t="n">
        <v>10029</v>
      </c>
      <c r="AB131" s="2345" t="n"/>
      <c r="AC131" s="2345" t="n"/>
      <c r="AD131" s="2345" t="n"/>
      <c r="AE131" s="2345" t="n"/>
      <c r="AF131" s="2345" t="n"/>
      <c r="AG131" s="2345" t="n"/>
      <c r="AH131" s="2356" t="n">
        <v>303578</v>
      </c>
      <c r="AI131" s="2356" t="n">
        <v>262422</v>
      </c>
      <c r="AJ131" s="2356" t="n">
        <v>566000</v>
      </c>
      <c r="AK131" s="2356" t="n">
        <v>53141</v>
      </c>
      <c r="AL131" s="2345" t="n"/>
      <c r="AM131" s="2345" t="inlineStr">
        <is>
          <t>Actual; 87.7% occ; NNN/Modified leases; RE Tax heavy; approx figures</t>
        </is>
      </c>
    </row>
    <row r="132">
      <c r="A132" s="2345" t="inlineStr">
        <is>
          <t>P065</t>
        </is>
      </c>
      <c r="B132" s="2338" t="n">
        <v>344</v>
      </c>
      <c r="C132" s="2345" t="inlineStr">
        <is>
          <t>R0069041</t>
        </is>
      </c>
      <c r="D132" s="2345" t="inlineStr">
        <is>
          <t>7475 Dakin St (Turnpike Tower)</t>
        </is>
      </c>
      <c r="E132" s="2345" t="inlineStr">
        <is>
          <t>Denver</t>
        </is>
      </c>
      <c r="F132" s="2345" t="inlineStr">
        <is>
          <t>CO</t>
        </is>
      </c>
      <c r="G132" s="2345" t="inlineStr">
        <is>
          <t>Office</t>
        </is>
      </c>
      <c r="H132" s="2345" t="inlineStr">
        <is>
          <t>Multi-Tenant Office</t>
        </is>
      </c>
      <c r="I132" s="2345" t="n"/>
      <c r="J132" s="2345" t="n">
        <v>114843</v>
      </c>
      <c r="K132" s="2345" t="n">
        <v>2024</v>
      </c>
      <c r="L132" s="2345" t="n"/>
      <c r="M132" s="2345" t="n"/>
      <c r="N132" s="2356" t="n">
        <v>1353745</v>
      </c>
      <c r="O132" s="2345" t="n"/>
      <c r="P132" s="2345" t="n"/>
      <c r="Q132" s="2345" t="n"/>
      <c r="R132" s="2345" t="n"/>
      <c r="S132" s="2345" t="n"/>
      <c r="T132" s="2345" t="n"/>
      <c r="U132" s="2345" t="n"/>
      <c r="V132" s="2345" t="n"/>
      <c r="W132" s="2345" t="n"/>
      <c r="X132" s="2345" t="n"/>
      <c r="Y132" s="2345" t="n"/>
      <c r="Z132" s="2345" t="n"/>
      <c r="AA132" s="2345" t="n"/>
      <c r="AB132" s="2345" t="n"/>
      <c r="AC132" s="2345" t="n"/>
      <c r="AD132" s="2345" t="n"/>
      <c r="AE132" s="2345" t="n"/>
      <c r="AF132" s="2345" t="n"/>
      <c r="AG132" s="2345" t="n"/>
      <c r="AH132" s="2356" t="n">
        <v>1025000</v>
      </c>
      <c r="AI132" s="2345" t="n"/>
      <c r="AJ132" s="2356" t="n">
        <v>1287000</v>
      </c>
      <c r="AK132" s="2356" t="n">
        <v>66677</v>
      </c>
      <c r="AL132" s="2345" t="n"/>
      <c r="AM132" s="2345" t="inlineStr">
        <is>
          <t>Actual 2024; approx figures; RE Tax est. ~$262k</t>
        </is>
      </c>
    </row>
    <row r="133">
      <c r="A133" s="2345" t="inlineStr">
        <is>
          <t>P066</t>
        </is>
      </c>
      <c r="B133" s="2338" t="n">
        <v>344</v>
      </c>
      <c r="C133" s="2345" t="inlineStr">
        <is>
          <t>R0079409</t>
        </is>
      </c>
      <c r="D133" s="2345" t="inlineStr">
        <is>
          <t>6401 E 72nd Ave</t>
        </is>
      </c>
      <c r="E133" s="2345" t="inlineStr">
        <is>
          <t>Commerce City</t>
        </is>
      </c>
      <c r="F133" s="2345" t="inlineStr">
        <is>
          <t>CO</t>
        </is>
      </c>
      <c r="G133" s="2345" t="inlineStr">
        <is>
          <t>Office</t>
        </is>
      </c>
      <c r="H133" s="2345" t="inlineStr">
        <is>
          <t>Multi-Tenant Office</t>
        </is>
      </c>
      <c r="I133" s="2345" t="n"/>
      <c r="J133" s="2345" t="n">
        <v>8218</v>
      </c>
      <c r="K133" s="2345" t="n">
        <v>2023</v>
      </c>
      <c r="L133" s="2356" t="n">
        <v>96674</v>
      </c>
      <c r="M133" s="2345" t="n"/>
      <c r="N133" s="2356" t="n">
        <v>109164</v>
      </c>
      <c r="O133" s="2356" t="n">
        <v>2384</v>
      </c>
      <c r="P133" s="2356" t="n">
        <v>5400</v>
      </c>
      <c r="Q133" s="2345" t="n"/>
      <c r="R133" s="2345" t="n"/>
      <c r="S133" s="2345" t="n"/>
      <c r="T133" s="2345" t="n"/>
      <c r="U133" s="2345" t="n"/>
      <c r="V133" s="2345" t="n"/>
      <c r="W133" s="2345" t="n"/>
      <c r="X133" s="2356" t="n">
        <v>18169</v>
      </c>
      <c r="Y133" s="2356" t="n">
        <v>18169</v>
      </c>
      <c r="Z133" s="2345" t="n"/>
      <c r="AA133" s="2345" t="n"/>
      <c r="AB133" s="2345" t="n"/>
      <c r="AC133" s="2345" t="n"/>
      <c r="AD133" s="2345" t="n"/>
      <c r="AE133" s="2345" t="n"/>
      <c r="AF133" s="2356" t="n">
        <v>12971</v>
      </c>
      <c r="AG133" s="2356" t="n">
        <v>4012</v>
      </c>
      <c r="AH133" s="2356" t="n">
        <v>39724</v>
      </c>
      <c r="AI133" s="2356" t="n">
        <v>16276</v>
      </c>
      <c r="AJ133" s="2356" t="n">
        <v>56000</v>
      </c>
      <c r="AK133" s="2356" t="n">
        <v>53000</v>
      </c>
      <c r="AL133" s="2345" t="n"/>
      <c r="AM133" s="2345" t="inlineStr">
        <is>
          <t>Actual 2023; 9 tenants small multi-tenant office; approx total OPX/NOI</t>
        </is>
      </c>
    </row>
    <row r="134">
      <c r="A134" s="2345" t="inlineStr">
        <is>
          <t>P067</t>
        </is>
      </c>
      <c r="B134" s="2338" t="n">
        <v>344</v>
      </c>
      <c r="C134" s="2345" t="inlineStr">
        <is>
          <t>R0189338</t>
        </is>
      </c>
      <c r="D134" s="2345" t="inlineStr">
        <is>
          <t>203 Telluride St</t>
        </is>
      </c>
      <c r="E134" s="2345" t="inlineStr">
        <is>
          <t>Aurora</t>
        </is>
      </c>
      <c r="F134" s="2345" t="inlineStr">
        <is>
          <t>CO</t>
        </is>
      </c>
      <c r="G134" s="2345" t="inlineStr">
        <is>
          <t>Office</t>
        </is>
      </c>
      <c r="H134" s="2345" t="inlineStr">
        <is>
          <t>Multi-Tenant Office</t>
        </is>
      </c>
      <c r="I134" s="2345" t="n"/>
      <c r="J134" s="2345" t="n"/>
      <c r="K134" s="2345" t="n">
        <v>2023</v>
      </c>
      <c r="L134" s="2356" t="n">
        <v>326779</v>
      </c>
      <c r="M134" s="2345" t="n"/>
      <c r="N134" s="2356" t="n">
        <v>315661</v>
      </c>
      <c r="O134" s="2345" t="n"/>
      <c r="P134" s="2345" t="n"/>
      <c r="Q134" s="2345" t="n"/>
      <c r="R134" s="2345" t="n"/>
      <c r="S134" s="2345" t="n"/>
      <c r="T134" s="2345" t="n"/>
      <c r="U134" s="2345" t="n"/>
      <c r="V134" s="2345" t="n"/>
      <c r="W134" s="2345" t="n"/>
      <c r="X134" s="2345" t="n"/>
      <c r="Y134" s="2345" t="n"/>
      <c r="Z134" s="2345" t="n"/>
      <c r="AA134" s="2356" t="n">
        <v>16009</v>
      </c>
      <c r="AB134" s="2345" t="n"/>
      <c r="AC134" s="2345" t="n"/>
      <c r="AD134" s="2345" t="n"/>
      <c r="AE134" s="2345" t="n"/>
      <c r="AF134" s="2345" t="n"/>
      <c r="AG134" s="2345" t="n"/>
      <c r="AH134" s="2356" t="n">
        <v>78034</v>
      </c>
      <c r="AI134" s="2356" t="n">
        <v>66966</v>
      </c>
      <c r="AJ134" s="2356" t="n">
        <v>145000</v>
      </c>
      <c r="AK134" s="2356" t="n">
        <v>170661</v>
      </c>
      <c r="AL134" s="2345" t="n"/>
      <c r="AM134" s="2345" t="inlineStr">
        <is>
          <t>Actual 2023; SF not stated; approx total OPX</t>
        </is>
      </c>
    </row>
    <row r="135">
      <c r="A135" s="2345" t="inlineStr">
        <is>
          <t>P067</t>
        </is>
      </c>
      <c r="B135" s="2338" t="n">
        <v>344</v>
      </c>
      <c r="C135" s="2345" t="inlineStr">
        <is>
          <t>R0189338</t>
        </is>
      </c>
      <c r="D135" s="2345" t="inlineStr">
        <is>
          <t>203 Telluride St</t>
        </is>
      </c>
      <c r="E135" s="2345" t="inlineStr">
        <is>
          <t>Aurora</t>
        </is>
      </c>
      <c r="F135" s="2345" t="inlineStr">
        <is>
          <t>CO</t>
        </is>
      </c>
      <c r="G135" s="2345" t="inlineStr">
        <is>
          <t>Office</t>
        </is>
      </c>
      <c r="H135" s="2345" t="inlineStr">
        <is>
          <t>Multi-Tenant Office</t>
        </is>
      </c>
      <c r="I135" s="2345" t="n"/>
      <c r="J135" s="2345" t="n"/>
      <c r="K135" s="2345" t="n">
        <v>2024</v>
      </c>
      <c r="L135" s="2356" t="n">
        <v>357674</v>
      </c>
      <c r="M135" s="2345" t="n"/>
      <c r="N135" s="2356" t="n">
        <v>335977</v>
      </c>
      <c r="O135" s="2356" t="n">
        <v>9791</v>
      </c>
      <c r="P135" s="2356" t="n">
        <v>7884</v>
      </c>
      <c r="Q135" s="2345" t="n"/>
      <c r="R135" s="2345" t="n"/>
      <c r="S135" s="2345" t="n"/>
      <c r="T135" s="2345" t="n"/>
      <c r="U135" s="2345" t="n"/>
      <c r="V135" s="2345" t="n"/>
      <c r="W135" s="2345" t="n"/>
      <c r="X135" s="2356" t="n">
        <v>41510</v>
      </c>
      <c r="Y135" s="2356" t="n">
        <v>41510</v>
      </c>
      <c r="Z135" s="2345" t="n"/>
      <c r="AA135" s="2356" t="n">
        <v>12092</v>
      </c>
      <c r="AB135" s="2345" t="n"/>
      <c r="AC135" s="2345" t="n"/>
      <c r="AD135" s="2345" t="n"/>
      <c r="AE135" s="2345" t="n"/>
      <c r="AF135" s="2356" t="n">
        <v>9302</v>
      </c>
      <c r="AG135" s="2356" t="n">
        <v>10772</v>
      </c>
      <c r="AH135" s="2356" t="n">
        <v>109544</v>
      </c>
      <c r="AI135" s="2356" t="n">
        <v>68307</v>
      </c>
      <c r="AJ135" s="2356" t="n">
        <v>177851</v>
      </c>
      <c r="AK135" s="2356" t="n">
        <v>158126</v>
      </c>
      <c r="AL135" s="2345" t="n"/>
      <c r="AM135" s="2345" t="inlineStr">
        <is>
          <t>Actual 2024; SF not stated</t>
        </is>
      </c>
    </row>
    <row r="136">
      <c r="A136" s="2345" t="inlineStr">
        <is>
          <t>P068</t>
        </is>
      </c>
      <c r="B136" s="2338" t="n">
        <v>344</v>
      </c>
      <c r="C136" s="2345" t="inlineStr">
        <is>
          <t>R0193830</t>
        </is>
      </c>
      <c r="D136" s="2345" t="inlineStr">
        <is>
          <t>Justice Center Office Plaza</t>
        </is>
      </c>
      <c r="E136" s="2345" t="inlineStr">
        <is>
          <t>Denver</t>
        </is>
      </c>
      <c r="F136" s="2345" t="inlineStr">
        <is>
          <t>CO</t>
        </is>
      </c>
      <c r="G136" s="2345" t="inlineStr">
        <is>
          <t>Office</t>
        </is>
      </c>
      <c r="H136" s="2345" t="inlineStr">
        <is>
          <t>Multi-Tenant Office NNN</t>
        </is>
      </c>
      <c r="I136" s="2345" t="n"/>
      <c r="J136" s="2345" t="n">
        <v>41979</v>
      </c>
      <c r="K136" s="2345" t="n">
        <v>2023</v>
      </c>
      <c r="L136" s="2356" t="n">
        <v>975573</v>
      </c>
      <c r="M136" s="2345" t="n"/>
      <c r="N136" s="2356" t="n">
        <v>1351329</v>
      </c>
      <c r="O136" s="2356" t="n">
        <v>30649</v>
      </c>
      <c r="P136" s="2356" t="n">
        <v>86480</v>
      </c>
      <c r="Q136" s="2345" t="n"/>
      <c r="R136" s="2345" t="n"/>
      <c r="S136" s="2345" t="n"/>
      <c r="T136" s="2345" t="n"/>
      <c r="U136" s="2345" t="n"/>
      <c r="V136" s="2345" t="n"/>
      <c r="W136" s="2345" t="n"/>
      <c r="X136" s="2356" t="n">
        <v>136077</v>
      </c>
      <c r="Y136" s="2356" t="n">
        <v>136077</v>
      </c>
      <c r="Z136" s="2345" t="n"/>
      <c r="AA136" s="2345" t="n"/>
      <c r="AB136" s="2345" t="n"/>
      <c r="AC136" s="2345" t="n"/>
      <c r="AD136" s="2345" t="n"/>
      <c r="AE136" s="2345" t="n"/>
      <c r="AF136" s="2356" t="n">
        <v>144650</v>
      </c>
      <c r="AG136" s="2356" t="n">
        <v>24922</v>
      </c>
      <c r="AH136" s="2356" t="n">
        <v>422677</v>
      </c>
      <c r="AI136" s="2356" t="n">
        <v>86236</v>
      </c>
      <c r="AJ136" s="2356" t="n">
        <v>508913</v>
      </c>
      <c r="AK136" s="2356" t="n">
        <v>842416</v>
      </c>
      <c r="AL136" s="2345" t="n"/>
      <c r="AM136" s="2345" t="inlineStr">
        <is>
          <t>Actual accrual; govt tenants; 100% occ NNN; special assessments in Other</t>
        </is>
      </c>
    </row>
    <row r="137">
      <c r="A137" s="2345" t="inlineStr">
        <is>
          <t>P068</t>
        </is>
      </c>
      <c r="B137" s="2338" t="n">
        <v>344</v>
      </c>
      <c r="C137" s="2345" t="inlineStr">
        <is>
          <t>R0193830</t>
        </is>
      </c>
      <c r="D137" s="2345" t="inlineStr">
        <is>
          <t>Justice Center Office Plaza</t>
        </is>
      </c>
      <c r="E137" s="2345" t="inlineStr">
        <is>
          <t>Denver</t>
        </is>
      </c>
      <c r="F137" s="2345" t="inlineStr">
        <is>
          <t>CO</t>
        </is>
      </c>
      <c r="G137" s="2345" t="inlineStr">
        <is>
          <t>Office</t>
        </is>
      </c>
      <c r="H137" s="2345" t="inlineStr">
        <is>
          <t>Multi-Tenant Office NNN</t>
        </is>
      </c>
      <c r="I137" s="2345" t="n"/>
      <c r="J137" s="2345" t="n">
        <v>41979</v>
      </c>
      <c r="K137" s="2345" t="n">
        <v>2024</v>
      </c>
      <c r="L137" s="2356" t="n">
        <v>858704</v>
      </c>
      <c r="M137" s="2345" t="n"/>
      <c r="N137" s="2356" t="n">
        <v>1393201</v>
      </c>
      <c r="O137" s="2356" t="n">
        <v>34798</v>
      </c>
      <c r="P137" s="2356" t="n">
        <v>89439</v>
      </c>
      <c r="Q137" s="2345" t="n"/>
      <c r="R137" s="2345" t="n"/>
      <c r="S137" s="2345" t="n"/>
      <c r="T137" s="2345" t="n"/>
      <c r="U137" s="2345" t="n"/>
      <c r="V137" s="2345" t="n"/>
      <c r="W137" s="2345" t="n"/>
      <c r="X137" s="2356" t="n">
        <v>116522</v>
      </c>
      <c r="Y137" s="2356" t="n">
        <v>116522</v>
      </c>
      <c r="Z137" s="2345" t="n"/>
      <c r="AA137" s="2345" t="n"/>
      <c r="AB137" s="2345" t="n"/>
      <c r="AC137" s="2345" t="n"/>
      <c r="AD137" s="2345" t="n"/>
      <c r="AE137" s="2345" t="n"/>
      <c r="AF137" s="2356" t="n">
        <v>150007</v>
      </c>
      <c r="AG137" s="2356" t="n">
        <v>29708</v>
      </c>
      <c r="AH137" s="2356" t="n">
        <v>425475</v>
      </c>
      <c r="AI137" s="2356" t="n">
        <v>86738</v>
      </c>
      <c r="AJ137" s="2356" t="n">
        <v>512213</v>
      </c>
      <c r="AK137" s="2356" t="n">
        <v>880988</v>
      </c>
      <c r="AL137" s="2345" t="n"/>
      <c r="AM137" s="2345" t="inlineStr">
        <is>
          <t>Actual accrual; govt tenants; 100% occ NNN; special assessments in Other</t>
        </is>
      </c>
    </row>
    <row r="138">
      <c r="A138" s="2345" t="inlineStr">
        <is>
          <t>P069</t>
        </is>
      </c>
      <c r="B138" s="2338" t="n">
        <v>210</v>
      </c>
      <c r="C138" s="2345" t="inlineStr">
        <is>
          <t>R0098223</t>
        </is>
      </c>
      <c r="D138" s="2345" t="inlineStr">
        <is>
          <t>Washington Commerce Center</t>
        </is>
      </c>
      <c r="E138" s="2345" t="inlineStr">
        <is>
          <t>Commerce City</t>
        </is>
      </c>
      <c r="F138" s="2345" t="inlineStr">
        <is>
          <t>CO</t>
        </is>
      </c>
      <c r="G138" s="2345" t="inlineStr">
        <is>
          <t>Office/Industrial</t>
        </is>
      </c>
      <c r="H138" s="2345" t="inlineStr">
        <is>
          <t>Multi-Tenant Office/Industrial</t>
        </is>
      </c>
      <c r="I138" s="2345" t="n"/>
      <c r="J138" s="2345" t="n">
        <v>278538</v>
      </c>
      <c r="K138" s="2345" t="n">
        <v>2023</v>
      </c>
      <c r="L138" s="2356" t="n">
        <v>1636029</v>
      </c>
      <c r="M138" s="2345" t="n"/>
      <c r="N138" s="2356" t="n">
        <v>1610567</v>
      </c>
      <c r="O138" s="2356" t="n">
        <v>5093</v>
      </c>
      <c r="P138" s="2356" t="n">
        <v>21945</v>
      </c>
      <c r="Q138" s="2345" t="n"/>
      <c r="R138" s="2345" t="n"/>
      <c r="S138" s="2345" t="n"/>
      <c r="T138" s="2345" t="n"/>
      <c r="U138" s="2345" t="n"/>
      <c r="V138" s="2345" t="n"/>
      <c r="W138" s="2345" t="n"/>
      <c r="X138" s="2356" t="n">
        <v>256338</v>
      </c>
      <c r="Y138" s="2356" t="n">
        <v>256338</v>
      </c>
      <c r="Z138" s="2345" t="n"/>
      <c r="AA138" s="2356" t="n">
        <v>58025</v>
      </c>
      <c r="AB138" s="2356" t="n">
        <v>3239</v>
      </c>
      <c r="AC138" s="2356" t="n">
        <v>61264</v>
      </c>
      <c r="AD138" s="2345" t="n"/>
      <c r="AE138" s="2345" t="n"/>
      <c r="AF138" s="2356" t="n">
        <v>31915</v>
      </c>
      <c r="AG138" s="2345" t="n"/>
      <c r="AH138" s="2356" t="n">
        <v>375619</v>
      </c>
      <c r="AI138" s="2356" t="n">
        <v>0</v>
      </c>
      <c r="AJ138" s="2356" t="n">
        <v>375619</v>
      </c>
      <c r="AK138" s="2356" t="n">
        <v>76629</v>
      </c>
      <c r="AL138" s="2345" t="n"/>
      <c r="AM138" s="2345" t="inlineStr">
        <is>
          <t>Actual; tenants pay RE tax; high R&amp;M 2023 ($127k major maint); SF est.</t>
        </is>
      </c>
    </row>
    <row r="139">
      <c r="A139" s="2345" t="inlineStr">
        <is>
          <t>P069</t>
        </is>
      </c>
      <c r="B139" s="2338" t="n">
        <v>210</v>
      </c>
      <c r="C139" s="2345" t="inlineStr">
        <is>
          <t>R0098223</t>
        </is>
      </c>
      <c r="D139" s="2345" t="inlineStr">
        <is>
          <t>Washington Commerce Center</t>
        </is>
      </c>
      <c r="E139" s="2345" t="inlineStr">
        <is>
          <t>Commerce City</t>
        </is>
      </c>
      <c r="F139" s="2345" t="inlineStr">
        <is>
          <t>CO</t>
        </is>
      </c>
      <c r="G139" s="2345" t="inlineStr">
        <is>
          <t>Office/Industrial</t>
        </is>
      </c>
      <c r="H139" s="2345" t="inlineStr">
        <is>
          <t>Multi-Tenant Office/Industrial</t>
        </is>
      </c>
      <c r="I139" s="2345" t="n"/>
      <c r="J139" s="2345" t="n">
        <v>278538</v>
      </c>
      <c r="K139" s="2345" t="n">
        <v>2024</v>
      </c>
      <c r="L139" s="2356" t="n">
        <v>1520916</v>
      </c>
      <c r="M139" s="2345" t="n"/>
      <c r="N139" s="2356" t="n">
        <v>1520916</v>
      </c>
      <c r="O139" s="2356" t="n">
        <v>8912</v>
      </c>
      <c r="P139" s="2356" t="n">
        <v>25573</v>
      </c>
      <c r="Q139" s="2345" t="n"/>
      <c r="R139" s="2345" t="n"/>
      <c r="S139" s="2345" t="n"/>
      <c r="T139" s="2345" t="n"/>
      <c r="U139" s="2345" t="n"/>
      <c r="V139" s="2345" t="n"/>
      <c r="W139" s="2345" t="n"/>
      <c r="X139" s="2356" t="n">
        <v>125263</v>
      </c>
      <c r="Y139" s="2356" t="n">
        <v>125263</v>
      </c>
      <c r="Z139" s="2345" t="n"/>
      <c r="AA139" s="2356" t="n">
        <v>58025</v>
      </c>
      <c r="AB139" s="2356" t="n">
        <v>9957</v>
      </c>
      <c r="AC139" s="2356" t="n">
        <v>67982</v>
      </c>
      <c r="AD139" s="2345" t="n"/>
      <c r="AE139" s="2345" t="n"/>
      <c r="AF139" s="2356" t="n">
        <v>31915</v>
      </c>
      <c r="AG139" s="2345" t="n"/>
      <c r="AH139" s="2356" t="n">
        <v>259645</v>
      </c>
      <c r="AI139" s="2356" t="n">
        <v>0</v>
      </c>
      <c r="AJ139" s="2356" t="n">
        <v>259645</v>
      </c>
      <c r="AK139" s="2356" t="n">
        <v>93985</v>
      </c>
      <c r="AL139" s="2345" t="n"/>
      <c r="AM139" s="2345" t="inlineStr">
        <is>
          <t>Actual; tenants pay RE tax; lower R&amp;M 2024; SF est.</t>
        </is>
      </c>
    </row>
    <row r="140">
      <c r="A140" s="2345" t="inlineStr">
        <is>
          <t>P070</t>
        </is>
      </c>
      <c r="B140" s="2338" t="n">
        <v>210</v>
      </c>
      <c r="C140" s="2345" t="inlineStr">
        <is>
          <t>R0084242</t>
        </is>
      </c>
      <c r="D140" s="2345" t="inlineStr">
        <is>
          <t>Upland Dist Ctr I (Bldg 1)</t>
        </is>
      </c>
      <c r="E140" s="2345" t="inlineStr">
        <is>
          <t>Aurora</t>
        </is>
      </c>
      <c r="F140" s="2345" t="inlineStr">
        <is>
          <t>CO</t>
        </is>
      </c>
      <c r="G140" s="2345" t="inlineStr">
        <is>
          <t>Industrial</t>
        </is>
      </c>
      <c r="H140" s="2345" t="inlineStr">
        <is>
          <t>Multi-Tenant Industrial NNN</t>
        </is>
      </c>
      <c r="I140" s="2345" t="n"/>
      <c r="J140" s="2345" t="n"/>
      <c r="K140" s="2345" t="n">
        <v>2024</v>
      </c>
      <c r="L140" s="2356" t="n">
        <v>693913</v>
      </c>
      <c r="M140" s="2345" t="n"/>
      <c r="N140" s="2356" t="n">
        <v>1038740</v>
      </c>
      <c r="O140" s="2356" t="n">
        <v>10142</v>
      </c>
      <c r="P140" s="2356" t="n">
        <v>11589</v>
      </c>
      <c r="Q140" s="2345" t="n"/>
      <c r="R140" s="2345" t="n"/>
      <c r="S140" s="2356" t="n">
        <v>10801</v>
      </c>
      <c r="T140" s="2356" t="n">
        <v>2121</v>
      </c>
      <c r="U140" s="2345" t="n"/>
      <c r="V140" s="2345" t="n"/>
      <c r="W140" s="2345" t="n"/>
      <c r="X140" s="2356" t="n">
        <v>1602</v>
      </c>
      <c r="Y140" s="2356" t="n">
        <v>14524</v>
      </c>
      <c r="Z140" s="2345" t="n"/>
      <c r="AA140" s="2356" t="n">
        <v>10822</v>
      </c>
      <c r="AB140" s="2356" t="n">
        <v>32162</v>
      </c>
      <c r="AC140" s="2356" t="n">
        <v>3096</v>
      </c>
      <c r="AD140" s="2356" t="n">
        <v>10863</v>
      </c>
      <c r="AE140" s="2345" t="n"/>
      <c r="AF140" s="2356" t="n">
        <v>10863</v>
      </c>
      <c r="AG140" s="2345" t="n"/>
      <c r="AH140" s="2356" t="n">
        <v>103843</v>
      </c>
      <c r="AI140" s="2356" t="n">
        <v>285245</v>
      </c>
      <c r="AJ140" s="2356" t="n">
        <v>389088</v>
      </c>
      <c r="AK140" s="2356" t="n">
        <v>649652</v>
      </c>
      <c r="AL140" s="2345" t="n"/>
      <c r="AM140" s="2345" t="inlineStr">
        <is>
          <t>Link Logistics actual accrual; security $3,096 in contract; mgmt non-billable</t>
        </is>
      </c>
    </row>
    <row r="141">
      <c r="A141" s="2345" t="inlineStr">
        <is>
          <t>P070</t>
        </is>
      </c>
      <c r="B141" s="2338" t="n">
        <v>210</v>
      </c>
      <c r="C141" s="2345" t="inlineStr">
        <is>
          <t>R0084242</t>
        </is>
      </c>
      <c r="D141" s="2345" t="inlineStr">
        <is>
          <t>Upland Dist Ctr I (Bldg 1)</t>
        </is>
      </c>
      <c r="E141" s="2345" t="inlineStr">
        <is>
          <t>Aurora</t>
        </is>
      </c>
      <c r="F141" s="2345" t="inlineStr">
        <is>
          <t>CO</t>
        </is>
      </c>
      <c r="G141" s="2345" t="inlineStr">
        <is>
          <t>Industrial</t>
        </is>
      </c>
      <c r="H141" s="2345" t="inlineStr">
        <is>
          <t>Multi-Tenant Industrial NNN</t>
        </is>
      </c>
      <c r="I141" s="2345" t="n"/>
      <c r="J141" s="2345" t="n"/>
      <c r="K141" s="2345" t="n">
        <v>2023</v>
      </c>
      <c r="L141" s="2356" t="n">
        <v>636291</v>
      </c>
      <c r="M141" s="2345" t="n"/>
      <c r="N141" s="2356" t="n">
        <v>1062200</v>
      </c>
      <c r="O141" s="2356" t="n">
        <v>7751</v>
      </c>
      <c r="P141" s="2356" t="n">
        <v>9831</v>
      </c>
      <c r="Q141" s="2345" t="n"/>
      <c r="R141" s="2345" t="n"/>
      <c r="S141" s="2356" t="n">
        <v>6802</v>
      </c>
      <c r="T141" s="2356" t="n">
        <v>2340</v>
      </c>
      <c r="U141" s="2345" t="n"/>
      <c r="V141" s="2345" t="n"/>
      <c r="W141" s="2345" t="n"/>
      <c r="X141" s="2356" t="n">
        <v>1498</v>
      </c>
      <c r="Y141" s="2356" t="n">
        <v>10640</v>
      </c>
      <c r="Z141" s="2345" t="n"/>
      <c r="AA141" s="2356" t="n">
        <v>12695</v>
      </c>
      <c r="AB141" s="2356" t="n">
        <v>15327</v>
      </c>
      <c r="AC141" s="2356" t="n">
        <v>3871</v>
      </c>
      <c r="AD141" s="2356" t="n">
        <v>18104</v>
      </c>
      <c r="AE141" s="2345" t="n"/>
      <c r="AF141" s="2356" t="n">
        <v>18104</v>
      </c>
      <c r="AG141" s="2345" t="n"/>
      <c r="AH141" s="2356" t="n">
        <v>93172</v>
      </c>
      <c r="AI141" s="2356" t="n">
        <v>284308</v>
      </c>
      <c r="AJ141" s="2356" t="n">
        <v>377480</v>
      </c>
      <c r="AK141" s="2356" t="n">
        <v>684720</v>
      </c>
      <c r="AL141" s="2345" t="n"/>
      <c r="AM141" s="2345" t="inlineStr">
        <is>
          <t>Link Logistics actual accrual; security $3,871 in contract; mgmt non-billable</t>
        </is>
      </c>
    </row>
    <row r="142">
      <c r="A142" s="2345" t="inlineStr">
        <is>
          <t>P071</t>
        </is>
      </c>
      <c r="B142" s="2338" t="n">
        <v>210</v>
      </c>
      <c r="C142" s="2345" t="inlineStr">
        <is>
          <t>R0084243</t>
        </is>
      </c>
      <c r="D142" s="2345" t="inlineStr">
        <is>
          <t>Upland Dist Ctr I (Bldg 2)</t>
        </is>
      </c>
      <c r="E142" s="2345" t="inlineStr">
        <is>
          <t>Aurora</t>
        </is>
      </c>
      <c r="F142" s="2345" t="inlineStr">
        <is>
          <t>CO</t>
        </is>
      </c>
      <c r="G142" s="2345" t="inlineStr">
        <is>
          <t>Industrial</t>
        </is>
      </c>
      <c r="H142" s="2345" t="inlineStr">
        <is>
          <t>Multi-Tenant Industrial NNN</t>
        </is>
      </c>
      <c r="I142" s="2345" t="n"/>
      <c r="J142" s="2345" t="n"/>
      <c r="K142" s="2345" t="n">
        <v>2024</v>
      </c>
      <c r="L142" s="2356" t="n">
        <v>559154</v>
      </c>
      <c r="M142" s="2345" t="n"/>
      <c r="N142" s="2356" t="n">
        <v>904777</v>
      </c>
      <c r="O142" s="2356" t="n">
        <v>9318</v>
      </c>
      <c r="P142" s="2356" t="n">
        <v>8966</v>
      </c>
      <c r="Q142" s="2345" t="n"/>
      <c r="R142" s="2345" t="n"/>
      <c r="S142" s="2356" t="n">
        <v>5962</v>
      </c>
      <c r="T142" s="2356" t="n">
        <v>2221</v>
      </c>
      <c r="U142" s="2356" t="n">
        <v>2465</v>
      </c>
      <c r="V142" s="2345" t="n"/>
      <c r="W142" s="2345" t="n"/>
      <c r="X142" s="2356" t="n">
        <v>1589</v>
      </c>
      <c r="Y142" s="2356" t="n">
        <v>12237</v>
      </c>
      <c r="Z142" s="2345" t="n"/>
      <c r="AA142" s="2356" t="n">
        <v>11302</v>
      </c>
      <c r="AB142" s="2356" t="n">
        <v>32413</v>
      </c>
      <c r="AC142" s="2356" t="n">
        <v>3096</v>
      </c>
      <c r="AD142" s="2356" t="n">
        <v>23773</v>
      </c>
      <c r="AE142" s="2345" t="n"/>
      <c r="AF142" s="2356" t="n">
        <v>23773</v>
      </c>
      <c r="AG142" s="2345" t="n"/>
      <c r="AH142" s="2356" t="n">
        <v>130296</v>
      </c>
      <c r="AI142" s="2356" t="n">
        <v>265848</v>
      </c>
      <c r="AJ142" s="2356" t="n">
        <v>396144</v>
      </c>
      <c r="AK142" s="2356" t="n">
        <v>508633</v>
      </c>
      <c r="AL142" s="2345" t="n"/>
      <c r="AM142" s="2345" t="inlineStr">
        <is>
          <t>Link Logistics actual accrual</t>
        </is>
      </c>
    </row>
    <row r="143">
      <c r="A143" s="2345" t="inlineStr">
        <is>
          <t>P071</t>
        </is>
      </c>
      <c r="B143" s="2338" t="n">
        <v>210</v>
      </c>
      <c r="C143" s="2345" t="inlineStr">
        <is>
          <t>R0084243</t>
        </is>
      </c>
      <c r="D143" s="2345" t="inlineStr">
        <is>
          <t>Upland Dist Ctr I (Bldg 2)</t>
        </is>
      </c>
      <c r="E143" s="2345" t="inlineStr">
        <is>
          <t>Aurora</t>
        </is>
      </c>
      <c r="F143" s="2345" t="inlineStr">
        <is>
          <t>CO</t>
        </is>
      </c>
      <c r="G143" s="2345" t="inlineStr">
        <is>
          <t>Industrial</t>
        </is>
      </c>
      <c r="H143" s="2345" t="inlineStr">
        <is>
          <t>Multi-Tenant Industrial NNN</t>
        </is>
      </c>
      <c r="I143" s="2345" t="n"/>
      <c r="J143" s="2345" t="n"/>
      <c r="K143" s="2345" t="n">
        <v>2023</v>
      </c>
      <c r="L143" s="2356" t="n">
        <v>671895</v>
      </c>
      <c r="M143" s="2345" t="n"/>
      <c r="N143" s="2356" t="n">
        <v>1034507</v>
      </c>
      <c r="O143" s="2356" t="n">
        <v>7124</v>
      </c>
      <c r="P143" s="2356" t="n">
        <v>9660</v>
      </c>
      <c r="Q143" s="2345" t="n"/>
      <c r="R143" s="2345" t="n"/>
      <c r="S143" s="2356" t="n">
        <v>5338</v>
      </c>
      <c r="T143" s="2356" t="n">
        <v>2480</v>
      </c>
      <c r="U143" s="2356" t="n">
        <v>875</v>
      </c>
      <c r="V143" s="2345" t="n"/>
      <c r="W143" s="2345" t="n"/>
      <c r="X143" s="2356" t="n">
        <v>1484</v>
      </c>
      <c r="Y143" s="2356" t="n">
        <v>10177</v>
      </c>
      <c r="Z143" s="2345" t="n"/>
      <c r="AA143" s="2356" t="n">
        <v>8120</v>
      </c>
      <c r="AB143" s="2356" t="n">
        <v>15088</v>
      </c>
      <c r="AC143" s="2356" t="n">
        <v>3871</v>
      </c>
      <c r="AD143" s="2356" t="n">
        <v>13983</v>
      </c>
      <c r="AE143" s="2345" t="n"/>
      <c r="AF143" s="2356" t="n">
        <v>13983</v>
      </c>
      <c r="AG143" s="2345" t="n"/>
      <c r="AH143" s="2356" t="n">
        <v>29277</v>
      </c>
      <c r="AI143" s="2356" t="n">
        <v>265936</v>
      </c>
      <c r="AJ143" s="2356" t="n">
        <v>295213</v>
      </c>
      <c r="AK143" s="2356" t="n">
        <v>739294</v>
      </c>
      <c r="AL143" s="2345" t="n"/>
      <c r="AM143" s="2345" t="inlineStr">
        <is>
          <t>Link Logistics actual accrual</t>
        </is>
      </c>
    </row>
    <row r="144">
      <c r="A144" s="2345" t="inlineStr">
        <is>
          <t>P072</t>
        </is>
      </c>
      <c r="B144" s="2338" t="n">
        <v>210</v>
      </c>
      <c r="C144" s="2345" t="inlineStr">
        <is>
          <t>R0084244</t>
        </is>
      </c>
      <c r="D144" s="2345" t="inlineStr">
        <is>
          <t>Upland Dist Ctr I (Bldg 3)</t>
        </is>
      </c>
      <c r="E144" s="2345" t="inlineStr">
        <is>
          <t>Aurora</t>
        </is>
      </c>
      <c r="F144" s="2345" t="inlineStr">
        <is>
          <t>CO</t>
        </is>
      </c>
      <c r="G144" s="2345" t="inlineStr">
        <is>
          <t>Industrial</t>
        </is>
      </c>
      <c r="H144" s="2345" t="inlineStr">
        <is>
          <t>Multi-Tenant Industrial NNN</t>
        </is>
      </c>
      <c r="I144" s="2345" t="n"/>
      <c r="J144" s="2345" t="n"/>
      <c r="K144" s="2345" t="n">
        <v>2023</v>
      </c>
      <c r="L144" s="2356" t="n">
        <v>633240</v>
      </c>
      <c r="M144" s="2345" t="n"/>
      <c r="N144" s="2356" t="n">
        <v>1026818</v>
      </c>
      <c r="O144" s="2356" t="n">
        <v>6101</v>
      </c>
      <c r="P144" s="2356" t="n">
        <v>8518</v>
      </c>
      <c r="Q144" s="2345" t="n"/>
      <c r="R144" s="2345" t="n"/>
      <c r="S144" s="2356" t="n">
        <v>32990</v>
      </c>
      <c r="T144" s="2356" t="n">
        <v>1965</v>
      </c>
      <c r="U144" s="2345" t="n"/>
      <c r="V144" s="2345" t="n"/>
      <c r="W144" s="2345" t="n"/>
      <c r="X144" s="2356" t="n">
        <v>1498</v>
      </c>
      <c r="Y144" s="2356" t="n">
        <v>34453</v>
      </c>
      <c r="Z144" s="2345" t="n"/>
      <c r="AA144" s="2356" t="n">
        <v>11861</v>
      </c>
      <c r="AB144" s="2356" t="n">
        <v>15620</v>
      </c>
      <c r="AC144" s="2356" t="n">
        <v>3871</v>
      </c>
      <c r="AD144" s="2356" t="n">
        <v>5672</v>
      </c>
      <c r="AE144" s="2356" t="n">
        <v>3430</v>
      </c>
      <c r="AF144" s="2356" t="n">
        <v>9102</v>
      </c>
      <c r="AG144" s="2345" t="n"/>
      <c r="AH144" s="2356" t="n">
        <v>107544</v>
      </c>
      <c r="AI144" s="2356" t="n">
        <v>284308</v>
      </c>
      <c r="AJ144" s="2356" t="n">
        <v>391852</v>
      </c>
      <c r="AK144" s="2356" t="n">
        <v>634966</v>
      </c>
      <c r="AL144" s="2345" t="n"/>
      <c r="AM144" s="2345" t="inlineStr">
        <is>
          <t>Link Logistics 2023 only; large warehouse; notable free rent ($111k) and lease-up period</t>
        </is>
      </c>
    </row>
    <row r="145">
      <c r="A145" s="2345" t="inlineStr">
        <is>
          <t>P073</t>
        </is>
      </c>
      <c r="B145" s="2338" t="n">
        <v>210</v>
      </c>
      <c r="C145" s="2345" t="inlineStr">
        <is>
          <t>R0084247</t>
        </is>
      </c>
      <c r="D145" s="2345" t="inlineStr">
        <is>
          <t>13802 E 33rd Place</t>
        </is>
      </c>
      <c r="E145" s="2345" t="inlineStr">
        <is>
          <t>Aurora</t>
        </is>
      </c>
      <c r="F145" s="2345" t="inlineStr">
        <is>
          <t>CO</t>
        </is>
      </c>
      <c r="G145" s="2345" t="inlineStr">
        <is>
          <t>Industrial</t>
        </is>
      </c>
      <c r="H145" s="2345" t="inlineStr">
        <is>
          <t>Multi-Tenant Industrial NNN</t>
        </is>
      </c>
      <c r="I145" s="2345" t="n"/>
      <c r="J145" s="2345" t="n"/>
      <c r="K145" s="2345" t="n">
        <v>2024</v>
      </c>
      <c r="L145" s="2356" t="n">
        <v>318721</v>
      </c>
      <c r="M145" s="2345" t="n"/>
      <c r="N145" s="2356" t="n">
        <v>578332</v>
      </c>
      <c r="O145" s="2356" t="n">
        <v>7156</v>
      </c>
      <c r="P145" s="2356" t="n">
        <v>5471</v>
      </c>
      <c r="Q145" s="2345" t="n"/>
      <c r="R145" s="2345" t="n"/>
      <c r="S145" s="2356" t="n">
        <v>8874</v>
      </c>
      <c r="T145" s="2356" t="n">
        <v>1655</v>
      </c>
      <c r="U145" s="2345" t="n"/>
      <c r="V145" s="2345" t="n"/>
      <c r="W145" s="2345" t="n"/>
      <c r="X145" s="2356" t="n">
        <v>1556</v>
      </c>
      <c r="Y145" s="2356" t="n">
        <v>12085</v>
      </c>
      <c r="Z145" s="2345" t="n"/>
      <c r="AA145" s="2356" t="n">
        <v>9686</v>
      </c>
      <c r="AB145" s="2356" t="n">
        <v>20653</v>
      </c>
      <c r="AC145" s="2356" t="n">
        <v>6987</v>
      </c>
      <c r="AD145" s="2356" t="n">
        <v>10547</v>
      </c>
      <c r="AE145" s="2356" t="n">
        <v>1600</v>
      </c>
      <c r="AF145" s="2356" t="n">
        <v>12147</v>
      </c>
      <c r="AG145" s="2345" t="n"/>
      <c r="AH145" s="2356" t="n">
        <v>91002</v>
      </c>
      <c r="AI145" s="2356" t="n">
        <v>204010</v>
      </c>
      <c r="AJ145" s="2356" t="n">
        <v>295012</v>
      </c>
      <c r="AK145" s="2356" t="n">
        <v>283320</v>
      </c>
      <c r="AL145" s="2345" t="n"/>
      <c r="AM145" s="2345" t="inlineStr">
        <is>
          <t>Link Logistics actual accrual</t>
        </is>
      </c>
    </row>
    <row r="146">
      <c r="A146" s="2345" t="inlineStr">
        <is>
          <t>P073</t>
        </is>
      </c>
      <c r="B146" s="2338" t="n">
        <v>210</v>
      </c>
      <c r="C146" s="2345" t="inlineStr">
        <is>
          <t>R0084247</t>
        </is>
      </c>
      <c r="D146" s="2345" t="inlineStr">
        <is>
          <t>13802 E 33rd Place</t>
        </is>
      </c>
      <c r="E146" s="2345" t="inlineStr">
        <is>
          <t>Aurora</t>
        </is>
      </c>
      <c r="F146" s="2345" t="inlineStr">
        <is>
          <t>CO</t>
        </is>
      </c>
      <c r="G146" s="2345" t="inlineStr">
        <is>
          <t>Industrial</t>
        </is>
      </c>
      <c r="H146" s="2345" t="inlineStr">
        <is>
          <t>Multi-Tenant Industrial NNN</t>
        </is>
      </c>
      <c r="I146" s="2345" t="n"/>
      <c r="J146" s="2345" t="n"/>
      <c r="K146" s="2345" t="n">
        <v>2023</v>
      </c>
      <c r="L146" s="2356" t="n">
        <v>394581</v>
      </c>
      <c r="M146" s="2345" t="n"/>
      <c r="N146" s="2356" t="n">
        <v>671481</v>
      </c>
      <c r="O146" s="2356" t="n">
        <v>6075</v>
      </c>
      <c r="P146" s="2356" t="n">
        <v>5987</v>
      </c>
      <c r="Q146" s="2345" t="n"/>
      <c r="R146" s="2345" t="n"/>
      <c r="S146" s="2356" t="n">
        <v>7762</v>
      </c>
      <c r="T146" s="2356" t="n">
        <v>1575</v>
      </c>
      <c r="U146" s="2345" t="n"/>
      <c r="V146" s="2345" t="n"/>
      <c r="W146" s="2345" t="n"/>
      <c r="X146" s="2356" t="n">
        <v>1452</v>
      </c>
      <c r="Y146" s="2356" t="n">
        <v>10789</v>
      </c>
      <c r="Z146" s="2345" t="n"/>
      <c r="AA146" s="2356" t="n">
        <v>11249</v>
      </c>
      <c r="AB146" s="2356" t="n">
        <v>12318</v>
      </c>
      <c r="AC146" s="2356" t="n">
        <v>6967</v>
      </c>
      <c r="AD146" s="2356" t="n">
        <v>11424</v>
      </c>
      <c r="AE146" s="2356" t="n">
        <v>1898</v>
      </c>
      <c r="AF146" s="2356" t="n">
        <v>13322</v>
      </c>
      <c r="AG146" s="2345" t="n"/>
      <c r="AH146" s="2356" t="n">
        <v>37127</v>
      </c>
      <c r="AI146" s="2356" t="n">
        <v>204497</v>
      </c>
      <c r="AJ146" s="2356" t="n">
        <v>241624</v>
      </c>
      <c r="AK146" s="2356" t="n">
        <v>429857</v>
      </c>
      <c r="AL146" s="2345" t="n"/>
      <c r="AM146" s="2345" t="inlineStr">
        <is>
          <t>Link Logistics actual accrual</t>
        </is>
      </c>
    </row>
    <row r="147">
      <c r="A147" s="2345" t="inlineStr">
        <is>
          <t>P074</t>
        </is>
      </c>
      <c r="B147" s="2338" t="n">
        <v>210</v>
      </c>
      <c r="C147" s="2345" t="inlineStr">
        <is>
          <t>R0084248</t>
        </is>
      </c>
      <c r="D147" s="2345" t="inlineStr">
        <is>
          <t>14002 E 33rd Place</t>
        </is>
      </c>
      <c r="E147" s="2345" t="inlineStr">
        <is>
          <t>Aurora</t>
        </is>
      </c>
      <c r="F147" s="2345" t="inlineStr">
        <is>
          <t>CO</t>
        </is>
      </c>
      <c r="G147" s="2345" t="inlineStr">
        <is>
          <t>Industrial</t>
        </is>
      </c>
      <c r="H147" s="2345" t="inlineStr">
        <is>
          <t>Multi-Tenant Industrial NNN</t>
        </is>
      </c>
      <c r="I147" s="2345" t="n"/>
      <c r="J147" s="2345" t="n"/>
      <c r="K147" s="2345" t="n">
        <v>2024</v>
      </c>
      <c r="L147" s="2356" t="n">
        <v>352733</v>
      </c>
      <c r="M147" s="2345" t="n"/>
      <c r="N147" s="2356" t="n">
        <v>649568</v>
      </c>
      <c r="O147" s="2356" t="n">
        <v>6988</v>
      </c>
      <c r="P147" s="2356" t="n">
        <v>6207</v>
      </c>
      <c r="Q147" s="2345" t="n"/>
      <c r="R147" s="2345" t="n"/>
      <c r="S147" s="2356" t="n">
        <v>16981</v>
      </c>
      <c r="T147" s="2356" t="n">
        <v>1800</v>
      </c>
      <c r="U147" s="2345" t="n"/>
      <c r="V147" s="2345" t="n"/>
      <c r="W147" s="2345" t="n"/>
      <c r="X147" s="2356" t="n">
        <v>1556</v>
      </c>
      <c r="Y147" s="2356" t="n">
        <v>20337</v>
      </c>
      <c r="Z147" s="2345" t="n"/>
      <c r="AA147" s="2356" t="n">
        <v>8036</v>
      </c>
      <c r="AB147" s="2356" t="n">
        <v>22795</v>
      </c>
      <c r="AC147" s="2356" t="n">
        <v>6988</v>
      </c>
      <c r="AD147" s="2356" t="n">
        <v>8875</v>
      </c>
      <c r="AE147" s="2345" t="n"/>
      <c r="AF147" s="2356" t="n">
        <v>8875</v>
      </c>
      <c r="AG147" s="2345" t="n"/>
      <c r="AH147" s="2356" t="n">
        <v>94654</v>
      </c>
      <c r="AI147" s="2356" t="n">
        <v>204010</v>
      </c>
      <c r="AJ147" s="2356" t="n">
        <v>298664</v>
      </c>
      <c r="AK147" s="2356" t="n">
        <v>350904</v>
      </c>
      <c r="AL147" s="2345" t="n"/>
      <c r="AM147" s="2345" t="inlineStr">
        <is>
          <t>Link Logistics actual; 2023 RE tax net $53k refund; 2024 normal rate</t>
        </is>
      </c>
    </row>
    <row r="148">
      <c r="A148" s="2345" t="inlineStr">
        <is>
          <t>P074</t>
        </is>
      </c>
      <c r="B148" s="2338" t="n">
        <v>210</v>
      </c>
      <c r="C148" s="2345" t="inlineStr">
        <is>
          <t>R0084248</t>
        </is>
      </c>
      <c r="D148" s="2345" t="inlineStr">
        <is>
          <t>14002 E 33rd Place</t>
        </is>
      </c>
      <c r="E148" s="2345" t="inlineStr">
        <is>
          <t>Aurora</t>
        </is>
      </c>
      <c r="F148" s="2345" t="inlineStr">
        <is>
          <t>CO</t>
        </is>
      </c>
      <c r="G148" s="2345" t="inlineStr">
        <is>
          <t>Industrial</t>
        </is>
      </c>
      <c r="H148" s="2345" t="inlineStr">
        <is>
          <t>Multi-Tenant Industrial NNN</t>
        </is>
      </c>
      <c r="I148" s="2345" t="n"/>
      <c r="J148" s="2345" t="n"/>
      <c r="K148" s="2345" t="n">
        <v>2023</v>
      </c>
      <c r="L148" s="2356" t="n">
        <v>345583</v>
      </c>
      <c r="M148" s="2345" t="n"/>
      <c r="N148" s="2356" t="n">
        <v>582999</v>
      </c>
      <c r="O148" s="2356" t="n">
        <v>6051</v>
      </c>
      <c r="P148" s="2356" t="n">
        <v>6115</v>
      </c>
      <c r="Q148" s="2345" t="n"/>
      <c r="R148" s="2345" t="n"/>
      <c r="S148" s="2356" t="n">
        <v>4932</v>
      </c>
      <c r="T148" s="2356" t="n">
        <v>1822</v>
      </c>
      <c r="U148" s="2345" t="n"/>
      <c r="V148" s="2345" t="n"/>
      <c r="W148" s="2345" t="n"/>
      <c r="X148" s="2356" t="n">
        <v>1452</v>
      </c>
      <c r="Y148" s="2356" t="n">
        <v>8206</v>
      </c>
      <c r="Z148" s="2345" t="n"/>
      <c r="AA148" s="2356" t="n">
        <v>6275</v>
      </c>
      <c r="AB148" s="2356" t="n">
        <v>13573</v>
      </c>
      <c r="AC148" s="2356" t="n">
        <v>6967</v>
      </c>
      <c r="AD148" s="2356" t="n">
        <v>11933</v>
      </c>
      <c r="AE148" s="2345" t="n"/>
      <c r="AF148" s="2356" t="n">
        <v>11933</v>
      </c>
      <c r="AG148" s="2345" t="n"/>
      <c r="AH148" s="2356" t="n">
        <v>71541</v>
      </c>
      <c r="AI148" s="2356" t="n">
        <v>162088</v>
      </c>
      <c r="AJ148" s="2356" t="n">
        <v>233629</v>
      </c>
      <c r="AK148" s="2356" t="n">
        <v>349370</v>
      </c>
      <c r="AL148" s="2345" t="n"/>
      <c r="AM148" s="2345" t="inlineStr">
        <is>
          <t>Link Logistics actual; 2023 RE tax net $53k refund; 2024 normal rate</t>
        </is>
      </c>
    </row>
    <row r="149">
      <c r="A149" s="2345" t="inlineStr">
        <is>
          <t>P075</t>
        </is>
      </c>
      <c r="B149" s="2338" t="n">
        <v>210</v>
      </c>
      <c r="C149" s="2345" t="inlineStr">
        <is>
          <t>R0084250</t>
        </is>
      </c>
      <c r="D149" s="2345" t="inlineStr">
        <is>
          <t>3250 Abilene Street</t>
        </is>
      </c>
      <c r="E149" s="2345" t="inlineStr">
        <is>
          <t>Aurora</t>
        </is>
      </c>
      <c r="F149" s="2345" t="inlineStr">
        <is>
          <t>CO</t>
        </is>
      </c>
      <c r="G149" s="2345" t="inlineStr">
        <is>
          <t>Industrial</t>
        </is>
      </c>
      <c r="H149" s="2345" t="inlineStr">
        <is>
          <t>Multi-Tenant Industrial NNN</t>
        </is>
      </c>
      <c r="I149" s="2345" t="n"/>
      <c r="J149" s="2345" t="n"/>
      <c r="K149" s="2345" t="n">
        <v>2024</v>
      </c>
      <c r="L149" s="2356" t="n">
        <v>406844</v>
      </c>
      <c r="M149" s="2345" t="n"/>
      <c r="N149" s="2356" t="n">
        <v>797212</v>
      </c>
      <c r="O149" s="2356" t="n">
        <v>45992</v>
      </c>
      <c r="P149" s="2356" t="n">
        <v>6921</v>
      </c>
      <c r="Q149" s="2345" t="n"/>
      <c r="R149" s="2345" t="n"/>
      <c r="S149" s="2356" t="n">
        <v>10380</v>
      </c>
      <c r="T149" s="2356" t="n">
        <v>3470</v>
      </c>
      <c r="U149" s="2356" t="n">
        <v>2000</v>
      </c>
      <c r="V149" s="2345" t="n"/>
      <c r="W149" s="2345" t="n"/>
      <c r="X149" s="2356" t="n">
        <v>1676</v>
      </c>
      <c r="Y149" s="2356" t="n">
        <v>17526</v>
      </c>
      <c r="Z149" s="2345" t="n"/>
      <c r="AA149" s="2356" t="n">
        <v>8417</v>
      </c>
      <c r="AB149" s="2356" t="n">
        <v>30101</v>
      </c>
      <c r="AC149" s="2356" t="n">
        <v>8211</v>
      </c>
      <c r="AD149" s="2356" t="n">
        <v>12042</v>
      </c>
      <c r="AE149" s="2356" t="n">
        <v>3218</v>
      </c>
      <c r="AF149" s="2356" t="n">
        <v>15260</v>
      </c>
      <c r="AG149" s="2345" t="n"/>
      <c r="AH149" s="2356" t="n">
        <v>180865</v>
      </c>
      <c r="AI149" s="2356" t="n">
        <v>410137</v>
      </c>
      <c r="AJ149" s="2356" t="n">
        <v>591002</v>
      </c>
      <c r="AK149" s="2356" t="n">
        <v>206210</v>
      </c>
      <c r="AL149" s="2345" t="n"/>
      <c r="AM149" s="2345" t="inlineStr">
        <is>
          <t>Link Logistics actual; 2024 tenant turnover – NOI depressed; base rent $787k→$407k; 2024 ins inflated by $25k deductible</t>
        </is>
      </c>
    </row>
    <row r="150">
      <c r="A150" s="2345" t="inlineStr">
        <is>
          <t>P075</t>
        </is>
      </c>
      <c r="B150" s="2338" t="n">
        <v>210</v>
      </c>
      <c r="C150" s="2345" t="inlineStr">
        <is>
          <t>R0084250</t>
        </is>
      </c>
      <c r="D150" s="2345" t="inlineStr">
        <is>
          <t>3250 Abilene Street</t>
        </is>
      </c>
      <c r="E150" s="2345" t="inlineStr">
        <is>
          <t>Aurora</t>
        </is>
      </c>
      <c r="F150" s="2345" t="inlineStr">
        <is>
          <t>CO</t>
        </is>
      </c>
      <c r="G150" s="2345" t="inlineStr">
        <is>
          <t>Industrial</t>
        </is>
      </c>
      <c r="H150" s="2345" t="inlineStr">
        <is>
          <t>Multi-Tenant Industrial NNN</t>
        </is>
      </c>
      <c r="I150" s="2345" t="n"/>
      <c r="J150" s="2345" t="n"/>
      <c r="K150" s="2345" t="n">
        <v>2023</v>
      </c>
      <c r="L150" s="2356" t="n">
        <v>787792</v>
      </c>
      <c r="M150" s="2345" t="n"/>
      <c r="N150" s="2356" t="n">
        <v>1333856</v>
      </c>
      <c r="O150" s="2356" t="n">
        <v>12351</v>
      </c>
      <c r="P150" s="2356" t="n">
        <v>13140</v>
      </c>
      <c r="Q150" s="2345" t="n"/>
      <c r="R150" s="2345" t="n"/>
      <c r="S150" s="2356" t="n">
        <v>10370</v>
      </c>
      <c r="T150" s="2356" t="n">
        <v>3061</v>
      </c>
      <c r="U150" s="2356" t="n">
        <v>0</v>
      </c>
      <c r="V150" s="2345" t="n"/>
      <c r="W150" s="2345" t="n"/>
      <c r="X150" s="2356" t="n">
        <v>1572</v>
      </c>
      <c r="Y150" s="2356" t="n">
        <v>15003</v>
      </c>
      <c r="Z150" s="2345" t="n"/>
      <c r="AA150" s="2356" t="n">
        <v>24879</v>
      </c>
      <c r="AB150" s="2356" t="n">
        <v>16871</v>
      </c>
      <c r="AC150" s="2356" t="n">
        <v>7678</v>
      </c>
      <c r="AD150" s="2356" t="n">
        <v>12785</v>
      </c>
      <c r="AE150" s="2345" t="n"/>
      <c r="AF150" s="2356" t="n">
        <v>12785</v>
      </c>
      <c r="AG150" s="2345" t="n"/>
      <c r="AH150" s="2356" t="n">
        <v>123031</v>
      </c>
      <c r="AI150" s="2356" t="n">
        <v>409295</v>
      </c>
      <c r="AJ150" s="2356" t="n">
        <v>532326</v>
      </c>
      <c r="AK150" s="2356" t="n">
        <v>801530</v>
      </c>
      <c r="AL150" s="2345" t="n"/>
      <c r="AM150" s="2345" t="inlineStr">
        <is>
          <t>Link Logistics actual; 2023 stable; 2024 ins inflated by $25k deductible</t>
        </is>
      </c>
    </row>
    <row r="151">
      <c r="A151" s="2345" t="inlineStr">
        <is>
          <t>P076</t>
        </is>
      </c>
      <c r="B151" s="2338" t="n">
        <v>210</v>
      </c>
      <c r="C151" s="2345" t="inlineStr">
        <is>
          <t>R0084253</t>
        </is>
      </c>
      <c r="D151" s="2345" t="inlineStr">
        <is>
          <t>14509 E 33rd Place</t>
        </is>
      </c>
      <c r="E151" s="2345" t="inlineStr">
        <is>
          <t>Aurora</t>
        </is>
      </c>
      <c r="F151" s="2345" t="inlineStr">
        <is>
          <t>CO</t>
        </is>
      </c>
      <c r="G151" s="2345" t="inlineStr">
        <is>
          <t>Industrial</t>
        </is>
      </c>
      <c r="H151" s="2345" t="inlineStr">
        <is>
          <t>Multi-Tenant Industrial NNN</t>
        </is>
      </c>
      <c r="I151" s="2345" t="n"/>
      <c r="J151" s="2345" t="n"/>
      <c r="K151" s="2345" t="n">
        <v>2024</v>
      </c>
      <c r="L151" s="2356" t="n">
        <v>987101</v>
      </c>
      <c r="M151" s="2345" t="n"/>
      <c r="N151" s="2356" t="n">
        <v>1613814</v>
      </c>
      <c r="O151" s="2356" t="n">
        <v>26027</v>
      </c>
      <c r="P151" s="2356" t="n">
        <v>17785</v>
      </c>
      <c r="Q151" s="2345" t="n"/>
      <c r="R151" s="2345" t="n"/>
      <c r="S151" s="2356" t="n">
        <v>9496</v>
      </c>
      <c r="T151" s="2356" t="n">
        <v>2104</v>
      </c>
      <c r="U151" s="2345" t="n"/>
      <c r="V151" s="2345" t="n"/>
      <c r="W151" s="2345" t="n"/>
      <c r="X151" s="2356" t="n">
        <v>1676</v>
      </c>
      <c r="Y151" s="2356" t="n">
        <v>13276</v>
      </c>
      <c r="Z151" s="2345" t="n"/>
      <c r="AA151" s="2356" t="n">
        <v>11885</v>
      </c>
      <c r="AB151" s="2356" t="n">
        <v>37419</v>
      </c>
      <c r="AC151" s="2356" t="n">
        <v>5705</v>
      </c>
      <c r="AD151" s="2356" t="n">
        <v>39182</v>
      </c>
      <c r="AE151" s="2356" t="n">
        <v>1573</v>
      </c>
      <c r="AF151" s="2356" t="n">
        <v>40755</v>
      </c>
      <c r="AG151" s="2345" t="n"/>
      <c r="AH151" s="2356" t="n">
        <v>178810</v>
      </c>
      <c r="AI151" s="2356" t="n">
        <v>442744</v>
      </c>
      <c r="AJ151" s="2356" t="n">
        <v>621554</v>
      </c>
      <c r="AK151" s="2356" t="n">
        <v>992260</v>
      </c>
      <c r="AL151" s="2345" t="n"/>
      <c r="AM151" s="2345" t="inlineStr">
        <is>
          <t>Link Logistics actual; 2023 security includes one-time $54k</t>
        </is>
      </c>
    </row>
    <row r="152">
      <c r="A152" s="2345" t="inlineStr">
        <is>
          <t>P076</t>
        </is>
      </c>
      <c r="B152" s="2338" t="n">
        <v>210</v>
      </c>
      <c r="C152" s="2345" t="inlineStr">
        <is>
          <t>R0084253</t>
        </is>
      </c>
      <c r="D152" s="2345" t="inlineStr">
        <is>
          <t>14509 E 33rd Place</t>
        </is>
      </c>
      <c r="E152" s="2345" t="inlineStr">
        <is>
          <t>Aurora</t>
        </is>
      </c>
      <c r="F152" s="2345" t="inlineStr">
        <is>
          <t>CO</t>
        </is>
      </c>
      <c r="G152" s="2345" t="inlineStr">
        <is>
          <t>Industrial</t>
        </is>
      </c>
      <c r="H152" s="2345" t="inlineStr">
        <is>
          <t>Multi-Tenant Industrial NNN</t>
        </is>
      </c>
      <c r="I152" s="2345" t="n"/>
      <c r="J152" s="2345" t="n"/>
      <c r="K152" s="2345" t="n">
        <v>2023</v>
      </c>
      <c r="L152" s="2356" t="n">
        <v>932587</v>
      </c>
      <c r="M152" s="2345" t="n"/>
      <c r="N152" s="2356" t="n">
        <v>1610926</v>
      </c>
      <c r="O152" s="2356" t="n">
        <v>12903</v>
      </c>
      <c r="P152" s="2356" t="n">
        <v>15271</v>
      </c>
      <c r="Q152" s="2345" t="n"/>
      <c r="R152" s="2345" t="n"/>
      <c r="S152" s="2356" t="n">
        <v>16438</v>
      </c>
      <c r="T152" s="2356" t="n">
        <v>17000</v>
      </c>
      <c r="U152" s="2345" t="n"/>
      <c r="V152" s="2345" t="n"/>
      <c r="W152" s="2345" t="n"/>
      <c r="X152" s="2356" t="n">
        <v>1572</v>
      </c>
      <c r="Y152" s="2356" t="n">
        <v>35010</v>
      </c>
      <c r="Z152" s="2345" t="n"/>
      <c r="AA152" s="2356" t="n">
        <v>11941</v>
      </c>
      <c r="AB152" s="2356" t="n">
        <v>21409</v>
      </c>
      <c r="AC152" s="2356" t="n">
        <v>54490</v>
      </c>
      <c r="AD152" s="2356" t="n">
        <v>34733</v>
      </c>
      <c r="AE152" s="2356" t="n">
        <v>1638</v>
      </c>
      <c r="AF152" s="2356" t="n">
        <v>36371</v>
      </c>
      <c r="AG152" s="2345" t="n"/>
      <c r="AH152" s="2356" t="n">
        <v>211012</v>
      </c>
      <c r="AI152" s="2356" t="n">
        <v>441491</v>
      </c>
      <c r="AJ152" s="2356" t="n">
        <v>652503</v>
      </c>
      <c r="AK152" s="2356" t="n">
        <v>958423</v>
      </c>
      <c r="AL152" s="2345" t="n"/>
      <c r="AM152" s="2345" t="inlineStr">
        <is>
          <t>Link Logistics actual; 2023 security includes one-time $54k</t>
        </is>
      </c>
    </row>
    <row r="153">
      <c r="A153" s="2345" t="inlineStr">
        <is>
          <t>P077</t>
        </is>
      </c>
      <c r="B153" s="2338" t="n">
        <v>210</v>
      </c>
      <c r="C153" s="2345" t="inlineStr">
        <is>
          <t>R0084253</t>
        </is>
      </c>
      <c r="D153" s="2345" t="inlineStr">
        <is>
          <t>14704 E 33rd Place</t>
        </is>
      </c>
      <c r="E153" s="2345" t="inlineStr">
        <is>
          <t>Aurora</t>
        </is>
      </c>
      <c r="F153" s="2345" t="inlineStr">
        <is>
          <t>CO</t>
        </is>
      </c>
      <c r="G153" s="2345" t="inlineStr">
        <is>
          <t>Industrial</t>
        </is>
      </c>
      <c r="H153" s="2345" t="inlineStr">
        <is>
          <t>Multi-Tenant Industrial NNN</t>
        </is>
      </c>
      <c r="I153" s="2345" t="n"/>
      <c r="J153" s="2345" t="n"/>
      <c r="K153" s="2345" t="n">
        <v>2024</v>
      </c>
      <c r="L153" s="2356" t="n">
        <v>977394</v>
      </c>
      <c r="M153" s="2345" t="n"/>
      <c r="N153" s="2356" t="n">
        <v>1537076</v>
      </c>
      <c r="O153" s="2356" t="n">
        <v>12170</v>
      </c>
      <c r="P153" s="2356" t="n">
        <v>17077</v>
      </c>
      <c r="Q153" s="2345" t="n"/>
      <c r="R153" s="2345" t="n"/>
      <c r="S153" s="2356" t="n">
        <v>10377</v>
      </c>
      <c r="T153" s="2356" t="n">
        <v>1760</v>
      </c>
      <c r="U153" s="2356" t="n">
        <v>265</v>
      </c>
      <c r="V153" s="2345" t="n"/>
      <c r="W153" s="2345" t="n"/>
      <c r="X153" s="2356" t="n">
        <v>1636</v>
      </c>
      <c r="Y153" s="2356" t="n">
        <v>13036</v>
      </c>
      <c r="Z153" s="2345" t="n"/>
      <c r="AA153" s="2356" t="n">
        <v>10043</v>
      </c>
      <c r="AB153" s="2356" t="n">
        <v>41626</v>
      </c>
      <c r="AC153" s="2356" t="n">
        <v>5705</v>
      </c>
      <c r="AD153" s="2356" t="n">
        <v>19336</v>
      </c>
      <c r="AE153" s="2356" t="n">
        <v>2462</v>
      </c>
      <c r="AF153" s="2356" t="n">
        <v>21798</v>
      </c>
      <c r="AG153" s="2345" t="n"/>
      <c r="AH153" s="2356" t="n">
        <v>228019</v>
      </c>
      <c r="AI153" s="2356" t="n">
        <v>364330</v>
      </c>
      <c r="AJ153" s="2356" t="n">
        <v>592349</v>
      </c>
      <c r="AK153" s="2356" t="n">
        <v>944727</v>
      </c>
      <c r="AL153" s="2345" t="n"/>
      <c r="AM153" s="2345" t="inlineStr">
        <is>
          <t>Link Logistics 2024; partial vacancy (elec/gas $124k); NOI understated excl vacancy costs</t>
        </is>
      </c>
    </row>
    <row r="154">
      <c r="A154" s="2345" t="inlineStr">
        <is>
          <t>P078</t>
        </is>
      </c>
      <c r="B154" s="2338" t="n">
        <v>210</v>
      </c>
      <c r="C154" s="2345" t="inlineStr">
        <is>
          <t>R0084253</t>
        </is>
      </c>
      <c r="D154" s="2345" t="inlineStr">
        <is>
          <t>14705 E 33rd Place</t>
        </is>
      </c>
      <c r="E154" s="2345" t="inlineStr">
        <is>
          <t>Aurora</t>
        </is>
      </c>
      <c r="F154" s="2345" t="inlineStr">
        <is>
          <t>CO</t>
        </is>
      </c>
      <c r="G154" s="2345" t="inlineStr">
        <is>
          <t>Industrial</t>
        </is>
      </c>
      <c r="H154" s="2345" t="inlineStr">
        <is>
          <t>Multi-Tenant Industrial NNN</t>
        </is>
      </c>
      <c r="I154" s="2345" t="n"/>
      <c r="J154" s="2345" t="n"/>
      <c r="K154" s="2345" t="n">
        <v>2024</v>
      </c>
      <c r="L154" s="2356" t="n">
        <v>436928</v>
      </c>
      <c r="M154" s="2345" t="n"/>
      <c r="N154" s="2356" t="n">
        <v>714461</v>
      </c>
      <c r="O154" s="2356" t="n">
        <v>6456</v>
      </c>
      <c r="P154" s="2356" t="n">
        <v>6962</v>
      </c>
      <c r="Q154" s="2345" t="n"/>
      <c r="R154" s="2345" t="n"/>
      <c r="S154" s="2356" t="n">
        <v>6889</v>
      </c>
      <c r="T154" s="2356" t="n">
        <v>1125</v>
      </c>
      <c r="U154" s="2356" t="n">
        <v>285</v>
      </c>
      <c r="V154" s="2345" t="n"/>
      <c r="W154" s="2345" t="n"/>
      <c r="X154" s="2356" t="n">
        <v>1546</v>
      </c>
      <c r="Y154" s="2356" t="n">
        <v>9845</v>
      </c>
      <c r="Z154" s="2345" t="n"/>
      <c r="AA154" s="2356" t="n">
        <v>6931</v>
      </c>
      <c r="AB154" s="2356" t="n">
        <v>27052</v>
      </c>
      <c r="AC154" s="2356" t="n">
        <v>5705</v>
      </c>
      <c r="AD154" s="2345" t="n"/>
      <c r="AE154" s="2356" t="n">
        <v>929</v>
      </c>
      <c r="AF154" s="2356" t="n">
        <v>929</v>
      </c>
      <c r="AG154" s="2345" t="n"/>
      <c r="AH154" s="2356" t="n">
        <v>77944</v>
      </c>
      <c r="AI154" s="2356" t="n">
        <v>188633</v>
      </c>
      <c r="AJ154" s="2356" t="n">
        <v>266577</v>
      </c>
      <c r="AK154" s="2356" t="n">
        <v>447884</v>
      </c>
      <c r="AL154" s="2345" t="n"/>
      <c r="AM154" s="2345" t="inlineStr">
        <is>
          <t>Link Logistics 2024; partial free rent ($38k); lease-up period</t>
        </is>
      </c>
    </row>
    <row r="155">
      <c r="A155" s="2345" t="inlineStr">
        <is>
          <t>P079</t>
        </is>
      </c>
      <c r="B155" s="2338" t="n">
        <v>584</v>
      </c>
      <c r="C155" s="2345" t="inlineStr">
        <is>
          <t>R0086214</t>
        </is>
      </c>
      <c r="D155" s="2345" t="inlineStr">
        <is>
          <t>Aurora Warehouse (Polar)</t>
        </is>
      </c>
      <c r="E155" s="2345" t="inlineStr">
        <is>
          <t>Aurora</t>
        </is>
      </c>
      <c r="F155" s="2345" t="inlineStr">
        <is>
          <t>CO</t>
        </is>
      </c>
      <c r="G155" s="2345" t="inlineStr">
        <is>
          <t>Industrial</t>
        </is>
      </c>
      <c r="H155" s="2345" t="inlineStr">
        <is>
          <t>Mega Warehouse NNN</t>
        </is>
      </c>
      <c r="I155" s="2345" t="n"/>
      <c r="J155" s="2345" t="n"/>
      <c r="K155" s="2345" t="n">
        <v>2024</v>
      </c>
      <c r="L155" s="2356" t="n">
        <v>3771986</v>
      </c>
      <c r="M155" s="2345" t="n"/>
      <c r="N155" s="2356" t="n">
        <v>7045455</v>
      </c>
      <c r="O155" s="2356" t="n">
        <v>83764</v>
      </c>
      <c r="P155" s="2356" t="n">
        <v>67999</v>
      </c>
      <c r="Q155" s="2345" t="n"/>
      <c r="R155" s="2345" t="n"/>
      <c r="S155" s="2345" t="n"/>
      <c r="T155" s="2345" t="n"/>
      <c r="U155" s="2345" t="n"/>
      <c r="V155" s="2345" t="n"/>
      <c r="W155" s="2345" t="n"/>
      <c r="X155" s="2356" t="n">
        <v>5829</v>
      </c>
      <c r="Y155" s="2356" t="n">
        <v>5829</v>
      </c>
      <c r="Z155" s="2345" t="n"/>
      <c r="AA155" s="2345" t="n"/>
      <c r="AB155" s="2345" t="n"/>
      <c r="AC155" s="2345" t="n"/>
      <c r="AD155" s="2345" t="n"/>
      <c r="AE155" s="2345" t="n"/>
      <c r="AF155" s="2345" t="n"/>
      <c r="AG155" s="2345" t="n"/>
      <c r="AH155" s="2356" t="n">
        <v>381011</v>
      </c>
      <c r="AI155" s="2356" t="n">
        <v>2407392</v>
      </c>
      <c r="AJ155" s="2356" t="n">
        <v>2788403</v>
      </c>
      <c r="AK155" s="2356" t="n">
        <v>4257052</v>
      </c>
      <c r="AL155" s="2345" t="n"/>
      <c r="AM155" s="2345" t="inlineStr">
        <is>
          <t>Link Logistics; very large – RE tax $2.2-2.4M; minimal CAM (near-absolute NNN); SF not confirmed</t>
        </is>
      </c>
    </row>
    <row r="156">
      <c r="A156" s="2345" t="inlineStr">
        <is>
          <t>P079</t>
        </is>
      </c>
      <c r="B156" s="2338" t="n">
        <v>584</v>
      </c>
      <c r="C156" s="2345" t="inlineStr">
        <is>
          <t>R0086214</t>
        </is>
      </c>
      <c r="D156" s="2345" t="inlineStr">
        <is>
          <t>Aurora Warehouse (Polar)</t>
        </is>
      </c>
      <c r="E156" s="2345" t="inlineStr">
        <is>
          <t>Aurora</t>
        </is>
      </c>
      <c r="F156" s="2345" t="inlineStr">
        <is>
          <t>CO</t>
        </is>
      </c>
      <c r="G156" s="2345" t="inlineStr">
        <is>
          <t>Industrial</t>
        </is>
      </c>
      <c r="H156" s="2345" t="inlineStr">
        <is>
          <t>Mega Warehouse NNN</t>
        </is>
      </c>
      <c r="I156" s="2345" t="n"/>
      <c r="J156" s="2345" t="n"/>
      <c r="K156" s="2345" t="n">
        <v>2023</v>
      </c>
      <c r="L156" s="2356" t="n">
        <v>3679986</v>
      </c>
      <c r="M156" s="2345" t="n"/>
      <c r="N156" s="2356" t="n">
        <v>6546351</v>
      </c>
      <c r="O156" s="2356" t="n">
        <v>60105</v>
      </c>
      <c r="P156" s="2356" t="n">
        <v>54144</v>
      </c>
      <c r="Q156" s="2345" t="n"/>
      <c r="R156" s="2345" t="n"/>
      <c r="S156" s="2345" t="n"/>
      <c r="T156" s="2345" t="n"/>
      <c r="U156" s="2345" t="n"/>
      <c r="V156" s="2345" t="n"/>
      <c r="W156" s="2345" t="n"/>
      <c r="X156" s="2356" t="n">
        <v>4184</v>
      </c>
      <c r="Y156" s="2356" t="n">
        <v>4184</v>
      </c>
      <c r="Z156" s="2345" t="n"/>
      <c r="AA156" s="2345" t="n"/>
      <c r="AB156" s="2345" t="n"/>
      <c r="AC156" s="2345" t="n"/>
      <c r="AD156" s="2345" t="n"/>
      <c r="AE156" s="2345" t="n"/>
      <c r="AF156" s="2345" t="n"/>
      <c r="AG156" s="2345" t="n"/>
      <c r="AH156" s="2356" t="n">
        <v>101213</v>
      </c>
      <c r="AI156" s="2356" t="n">
        <v>2175995</v>
      </c>
      <c r="AJ156" s="2356" t="n">
        <v>2277208</v>
      </c>
      <c r="AK156" s="2356" t="n">
        <v>4269143</v>
      </c>
      <c r="AL156" s="2345" t="n"/>
      <c r="AM156" s="2345" t="inlineStr">
        <is>
          <t>Link Logistics; very large – RE tax $2.2-2.4M; minimal CAM (near-absolute NNN); SF not confirmed</t>
        </is>
      </c>
    </row>
    <row r="157">
      <c r="A157" s="2345" t="inlineStr">
        <is>
          <t>P080</t>
        </is>
      </c>
      <c r="B157" s="2338" t="n">
        <v>407</v>
      </c>
      <c r="C157" s="2345" t="inlineStr">
        <is>
          <t>R0194277</t>
        </is>
      </c>
      <c r="D157" s="2345" t="inlineStr">
        <is>
          <t>8251 Quintero St</t>
        </is>
      </c>
      <c r="E157" s="2345" t="inlineStr">
        <is>
          <t>Commerce City</t>
        </is>
      </c>
      <c r="F157" s="2345" t="inlineStr">
        <is>
          <t>CO</t>
        </is>
      </c>
      <c r="G157" s="2345" t="inlineStr">
        <is>
          <t>Industrial</t>
        </is>
      </c>
      <c r="H157" s="2345" t="inlineStr">
        <is>
          <t>Industrial Warehouse NNN</t>
        </is>
      </c>
      <c r="I157" s="2345" t="n"/>
      <c r="J157" s="2345" t="n"/>
      <c r="K157" s="2345" t="n">
        <v>2024</v>
      </c>
      <c r="L157" s="2356" t="n">
        <v>2966529</v>
      </c>
      <c r="M157" s="2345" t="n"/>
      <c r="N157" s="2356" t="n">
        <v>7433451</v>
      </c>
      <c r="O157" s="2356" t="n">
        <v>32539</v>
      </c>
      <c r="P157" s="2356" t="n">
        <v>86633</v>
      </c>
      <c r="Q157" s="2345" t="n"/>
      <c r="R157" s="2345" t="n"/>
      <c r="S157" s="2356" t="n">
        <v>21784</v>
      </c>
      <c r="T157" s="2345" t="n"/>
      <c r="U157" s="2345" t="n"/>
      <c r="V157" s="2345" t="n"/>
      <c r="W157" s="2345" t="n"/>
      <c r="X157" s="2345" t="n"/>
      <c r="Y157" s="2356" t="n">
        <v>21784</v>
      </c>
      <c r="Z157" s="2345" t="n"/>
      <c r="AA157" s="2356" t="n">
        <v>30810</v>
      </c>
      <c r="AB157" s="2356" t="n">
        <v>188483</v>
      </c>
      <c r="AC157" s="2345" t="n"/>
      <c r="AD157" s="2356" t="n">
        <v>29080</v>
      </c>
      <c r="AE157" s="2345" t="n"/>
      <c r="AF157" s="2356" t="n">
        <v>29080</v>
      </c>
      <c r="AG157" s="2345" t="n"/>
      <c r="AH157" s="2356" t="n">
        <v>1433299</v>
      </c>
      <c r="AI157" s="2356" t="n">
        <v>3137254</v>
      </c>
      <c r="AJ157" s="2356" t="n">
        <v>4570553</v>
      </c>
      <c r="AK157" s="2356" t="n">
        <v>2862898</v>
      </c>
      <c r="AL157" s="2345" t="n"/>
      <c r="AM157" s="2345" t="inlineStr">
        <is>
          <t>Becknell Industrial; 2024 EGI/OPX inflated by $967k PY RE tax true-up; normalized NOI ~$2.86M</t>
        </is>
      </c>
    </row>
    <row r="158">
      <c r="A158" s="2345" t="inlineStr">
        <is>
          <t>P080</t>
        </is>
      </c>
      <c r="B158" s="2338" t="n">
        <v>407</v>
      </c>
      <c r="C158" s="2345" t="inlineStr">
        <is>
          <t>R0194277</t>
        </is>
      </c>
      <c r="D158" s="2345" t="inlineStr">
        <is>
          <t>8251 Quintero St</t>
        </is>
      </c>
      <c r="E158" s="2345" t="inlineStr">
        <is>
          <t>Commerce City</t>
        </is>
      </c>
      <c r="F158" s="2345" t="inlineStr">
        <is>
          <t>CO</t>
        </is>
      </c>
      <c r="G158" s="2345" t="inlineStr">
        <is>
          <t>Industrial</t>
        </is>
      </c>
      <c r="H158" s="2345" t="inlineStr">
        <is>
          <t>Industrial Warehouse NNN</t>
        </is>
      </c>
      <c r="I158" s="2345" t="n"/>
      <c r="J158" s="2345" t="n"/>
      <c r="K158" s="2345" t="n">
        <v>2023</v>
      </c>
      <c r="L158" s="2356" t="n">
        <v>2897673</v>
      </c>
      <c r="M158" s="2345" t="n"/>
      <c r="N158" s="2356" t="n">
        <v>5335437</v>
      </c>
      <c r="O158" s="2356" t="n">
        <v>29390</v>
      </c>
      <c r="P158" s="2356" t="n">
        <v>83488</v>
      </c>
      <c r="Q158" s="2345" t="n"/>
      <c r="R158" s="2345" t="n"/>
      <c r="S158" s="2356" t="n">
        <v>35137</v>
      </c>
      <c r="T158" s="2345" t="n"/>
      <c r="U158" s="2345" t="n"/>
      <c r="V158" s="2345" t="n"/>
      <c r="W158" s="2345" t="n"/>
      <c r="X158" s="2345" t="n"/>
      <c r="Y158" s="2356" t="n">
        <v>35137</v>
      </c>
      <c r="Z158" s="2345" t="n"/>
      <c r="AA158" s="2356" t="n">
        <v>33419</v>
      </c>
      <c r="AB158" s="2356" t="n">
        <v>151223</v>
      </c>
      <c r="AC158" s="2345" t="n"/>
      <c r="AD158" s="2356" t="n">
        <v>24034</v>
      </c>
      <c r="AE158" s="2345" t="n"/>
      <c r="AF158" s="2356" t="n">
        <v>24034</v>
      </c>
      <c r="AG158" s="2345" t="n"/>
      <c r="AH158" s="2356" t="n">
        <v>541522</v>
      </c>
      <c r="AI158" s="2356" t="n">
        <v>2045093</v>
      </c>
      <c r="AJ158" s="2356" t="n">
        <v>2586615</v>
      </c>
      <c r="AK158" s="2356" t="n">
        <v>2748822</v>
      </c>
      <c r="AL158" s="2345" t="n"/>
      <c r="AM158" s="2345" t="inlineStr">
        <is>
          <t>Becknell Industrial; actual accrual</t>
        </is>
      </c>
    </row>
    <row r="159">
      <c r="A159" s="2345" t="inlineStr">
        <is>
          <t>P081</t>
        </is>
      </c>
      <c r="B159" s="2338" t="n">
        <v>407</v>
      </c>
      <c r="C159" s="2345" t="inlineStr">
        <is>
          <t>R0198176</t>
        </is>
      </c>
      <c r="D159" s="2345" t="inlineStr">
        <is>
          <t>21800 E 19th Ave</t>
        </is>
      </c>
      <c r="E159" s="2345" t="inlineStr">
        <is>
          <t>Aurora</t>
        </is>
      </c>
      <c r="F159" s="2345" t="inlineStr">
        <is>
          <t>CO</t>
        </is>
      </c>
      <c r="G159" s="2345" t="inlineStr">
        <is>
          <t>Industrial</t>
        </is>
      </c>
      <c r="H159" s="2345" t="inlineStr">
        <is>
          <t>Industrial Warehouse NNN</t>
        </is>
      </c>
      <c r="I159" s="2345" t="n"/>
      <c r="J159" s="2345" t="n"/>
      <c r="K159" s="2345" t="n">
        <v>2024</v>
      </c>
      <c r="L159" s="2356" t="n">
        <v>1502445</v>
      </c>
      <c r="M159" s="2345" t="n"/>
      <c r="N159" s="2356" t="n">
        <v>1698847</v>
      </c>
      <c r="O159" s="2356" t="n">
        <v>18279</v>
      </c>
      <c r="P159" s="2356" t="n">
        <v>45073</v>
      </c>
      <c r="Q159" s="2345" t="n"/>
      <c r="R159" s="2345" t="n"/>
      <c r="S159" s="2356" t="n">
        <v>14583</v>
      </c>
      <c r="T159" s="2345" t="n"/>
      <c r="U159" s="2345" t="n"/>
      <c r="V159" s="2345" t="n"/>
      <c r="W159" s="2345" t="n"/>
      <c r="X159" s="2345" t="n"/>
      <c r="Y159" s="2356" t="n">
        <v>14583</v>
      </c>
      <c r="Z159" s="2345" t="n"/>
      <c r="AA159" s="2356" t="n">
        <v>30156</v>
      </c>
      <c r="AB159" s="2356" t="n">
        <v>117922</v>
      </c>
      <c r="AC159" s="2345" t="n"/>
      <c r="AD159" s="2345" t="n"/>
      <c r="AE159" s="2345" t="n"/>
      <c r="AF159" s="2345" t="n"/>
      <c r="AG159" s="2345" t="n"/>
      <c r="AH159" s="2356" t="n">
        <v>268829</v>
      </c>
      <c r="AI159" s="2356" t="n">
        <v>0</v>
      </c>
      <c r="AJ159" s="2356" t="n">
        <v>268829</v>
      </c>
      <c r="AK159" s="2356" t="n">
        <v>1430018</v>
      </c>
      <c r="AL159" s="2345" t="n"/>
      <c r="AM159" s="2345" t="inlineStr">
        <is>
          <t>Becknell; absolute NNN – tenant pays RE taxes directly; opex = CAM only</t>
        </is>
      </c>
    </row>
    <row r="160">
      <c r="A160" s="2345" t="inlineStr">
        <is>
          <t>P081</t>
        </is>
      </c>
      <c r="B160" s="2338" t="n">
        <v>407</v>
      </c>
      <c r="C160" s="2345" t="inlineStr">
        <is>
          <t>R0198176</t>
        </is>
      </c>
      <c r="D160" s="2345" t="inlineStr">
        <is>
          <t>21800 E 19th Ave</t>
        </is>
      </c>
      <c r="E160" s="2345" t="inlineStr">
        <is>
          <t>Aurora</t>
        </is>
      </c>
      <c r="F160" s="2345" t="inlineStr">
        <is>
          <t>CO</t>
        </is>
      </c>
      <c r="G160" s="2345" t="inlineStr">
        <is>
          <t>Industrial</t>
        </is>
      </c>
      <c r="H160" s="2345" t="inlineStr">
        <is>
          <t>Industrial Warehouse NNN</t>
        </is>
      </c>
      <c r="I160" s="2345" t="n"/>
      <c r="J160" s="2345" t="n"/>
      <c r="K160" s="2345" t="n">
        <v>2023</v>
      </c>
      <c r="L160" s="2356" t="n">
        <v>1458685</v>
      </c>
      <c r="M160" s="2345" t="n"/>
      <c r="N160" s="2356" t="n">
        <v>1647477</v>
      </c>
      <c r="O160" s="2356" t="n">
        <v>15865</v>
      </c>
      <c r="P160" s="2356" t="n">
        <v>43761</v>
      </c>
      <c r="Q160" s="2345" t="n"/>
      <c r="R160" s="2345" t="n"/>
      <c r="S160" s="2356" t="n">
        <v>12850</v>
      </c>
      <c r="T160" s="2345" t="n"/>
      <c r="U160" s="2345" t="n"/>
      <c r="V160" s="2345" t="n"/>
      <c r="W160" s="2345" t="n"/>
      <c r="X160" s="2345" t="n"/>
      <c r="Y160" s="2356" t="n">
        <v>12850</v>
      </c>
      <c r="Z160" s="2345" t="n"/>
      <c r="AA160" s="2356" t="n">
        <v>31555</v>
      </c>
      <c r="AB160" s="2356" t="n">
        <v>112261</v>
      </c>
      <c r="AC160" s="2345" t="n"/>
      <c r="AD160" s="2345" t="n"/>
      <c r="AE160" s="2345" t="n"/>
      <c r="AF160" s="2345" t="n"/>
      <c r="AG160" s="2345" t="n"/>
      <c r="AH160" s="2356" t="n">
        <v>238940</v>
      </c>
      <c r="AI160" s="2356" t="n">
        <v>0</v>
      </c>
      <c r="AJ160" s="2356" t="n">
        <v>238940</v>
      </c>
      <c r="AK160" s="2356" t="n">
        <v>1408537</v>
      </c>
      <c r="AL160" s="2345" t="n"/>
      <c r="AM160" s="2345" t="inlineStr">
        <is>
          <t>Becknell; absolute NNN – tenant pays RE taxes directly; opex = CAM only</t>
        </is>
      </c>
    </row>
    <row r="161">
      <c r="A161" s="2345" t="inlineStr">
        <is>
          <t>P082</t>
        </is>
      </c>
      <c r="B161" s="2338" t="n">
        <v>407</v>
      </c>
      <c r="C161" s="2345" t="inlineStr">
        <is>
          <t>R0201311</t>
        </is>
      </c>
      <c r="D161" s="2345" t="inlineStr">
        <is>
          <t>Ascent Commerce Center Bldg I</t>
        </is>
      </c>
      <c r="E161" s="2345" t="inlineStr">
        <is>
          <t>Aurora</t>
        </is>
      </c>
      <c r="F161" s="2345" t="inlineStr">
        <is>
          <t>CO</t>
        </is>
      </c>
      <c r="G161" s="2345" t="inlineStr">
        <is>
          <t>Industrial</t>
        </is>
      </c>
      <c r="H161" s="2345" t="inlineStr">
        <is>
          <t>Industrial Warehouse NNN</t>
        </is>
      </c>
      <c r="I161" s="2345" t="n"/>
      <c r="J161" s="2345" t="n"/>
      <c r="K161" s="2345" t="n">
        <v>2024</v>
      </c>
      <c r="L161" s="2356" t="n">
        <v>187536</v>
      </c>
      <c r="M161" s="2345" t="n"/>
      <c r="N161" s="2356" t="n">
        <v>335936</v>
      </c>
      <c r="O161" s="2356" t="n">
        <v>185</v>
      </c>
      <c r="P161" s="2356" t="n">
        <v>6539</v>
      </c>
      <c r="Q161" s="2345" t="n"/>
      <c r="R161" s="2345" t="n"/>
      <c r="S161" s="2356" t="n">
        <v>6694</v>
      </c>
      <c r="T161" s="2345" t="n"/>
      <c r="U161" s="2345" t="n"/>
      <c r="V161" s="2345" t="n"/>
      <c r="W161" s="2345" t="n"/>
      <c r="X161" s="2345" t="n"/>
      <c r="Y161" s="2356" t="n">
        <v>6694</v>
      </c>
      <c r="Z161" s="2345" t="n"/>
      <c r="AA161" s="2356" t="n">
        <v>1378</v>
      </c>
      <c r="AB161" s="2356" t="n">
        <v>13095</v>
      </c>
      <c r="AC161" s="2345" t="n"/>
      <c r="AD161" s="2356" t="n">
        <v>52</v>
      </c>
      <c r="AE161" s="2356" t="n">
        <v>6714</v>
      </c>
      <c r="AF161" s="2356" t="n">
        <v>6766</v>
      </c>
      <c r="AG161" s="2345" t="n"/>
      <c r="AH161" s="2356" t="n">
        <v>42252</v>
      </c>
      <c r="AI161" s="2356" t="n">
        <v>100794</v>
      </c>
      <c r="AJ161" s="2356" t="n">
        <v>143046</v>
      </c>
      <c r="AK161" s="2356" t="n">
        <v>181918</v>
      </c>
      <c r="AL161" s="2345" t="n"/>
      <c r="AM161" s="2345" t="inlineStr">
        <is>
          <t>Ambrose; Q4 2024 ONLY (Oct–Dec, 3 months); lease-up/stabilizing; DO NOT use for annual PSF</t>
        </is>
      </c>
    </row>
    <row r="162">
      <c r="A162" s="2345" t="inlineStr">
        <is>
          <t>P083</t>
        </is>
      </c>
      <c r="B162" s="2338" t="n">
        <v>407</v>
      </c>
      <c r="C162" s="2345" t="inlineStr">
        <is>
          <t>R0201311</t>
        </is>
      </c>
      <c r="D162" s="2345" t="inlineStr">
        <is>
          <t>Ascent Commerce Center Bldg II</t>
        </is>
      </c>
      <c r="E162" s="2345" t="inlineStr">
        <is>
          <t>Aurora</t>
        </is>
      </c>
      <c r="F162" s="2345" t="inlineStr">
        <is>
          <t>CO</t>
        </is>
      </c>
      <c r="G162" s="2345" t="inlineStr">
        <is>
          <t>Industrial</t>
        </is>
      </c>
      <c r="H162" s="2345" t="inlineStr">
        <is>
          <t>Industrial Warehouse NNN</t>
        </is>
      </c>
      <c r="I162" s="2345" t="n"/>
      <c r="J162" s="2345" t="n"/>
      <c r="K162" s="2345" t="n">
        <v>2024</v>
      </c>
      <c r="L162" s="2356" t="n">
        <v>143974</v>
      </c>
      <c r="M162" s="2345" t="n"/>
      <c r="N162" s="2356" t="n">
        <v>314952</v>
      </c>
      <c r="O162" s="2356" t="n">
        <v>375</v>
      </c>
      <c r="P162" s="2356" t="n">
        <v>6224</v>
      </c>
      <c r="Q162" s="2345" t="n"/>
      <c r="R162" s="2345" t="n"/>
      <c r="S162" s="2356" t="n">
        <v>13434</v>
      </c>
      <c r="T162" s="2345" t="n"/>
      <c r="U162" s="2345" t="n"/>
      <c r="V162" s="2345" t="n"/>
      <c r="W162" s="2345" t="n"/>
      <c r="X162" s="2345" t="n"/>
      <c r="Y162" s="2356" t="n">
        <v>13434</v>
      </c>
      <c r="Z162" s="2345" t="n"/>
      <c r="AA162" s="2356" t="n">
        <v>1877</v>
      </c>
      <c r="AB162" s="2356" t="n">
        <v>25288</v>
      </c>
      <c r="AC162" s="2345" t="n"/>
      <c r="AD162" s="2356" t="n">
        <v>104</v>
      </c>
      <c r="AE162" s="2356" t="n">
        <v>11552</v>
      </c>
      <c r="AF162" s="2356" t="n">
        <v>11656</v>
      </c>
      <c r="AG162" s="2345" t="n"/>
      <c r="AH162" s="2356" t="n">
        <v>70908</v>
      </c>
      <c r="AI162" s="2356" t="n">
        <v>203797</v>
      </c>
      <c r="AJ162" s="2356" t="n">
        <v>274705</v>
      </c>
      <c r="AK162" s="2356" t="n">
        <v>22624</v>
      </c>
      <c r="AL162" s="2345" t="n"/>
      <c r="AM162" s="2345" t="inlineStr">
        <is>
          <t>Ambrose; Q4 2024 ONLY (Oct–Dec, 3 months); lease-up/stabilizing; DO NOT use for annual PSF</t>
        </is>
      </c>
    </row>
    <row r="163">
      <c r="A163" s="2345" t="inlineStr">
        <is>
          <t>P084</t>
        </is>
      </c>
      <c r="B163" s="2338" t="n">
        <v>407</v>
      </c>
      <c r="C163" s="2345" t="inlineStr">
        <is>
          <t>R0201311</t>
        </is>
      </c>
      <c r="D163" s="2345" t="inlineStr">
        <is>
          <t>Ascent Commerce Center Bldg III</t>
        </is>
      </c>
      <c r="E163" s="2345" t="inlineStr">
        <is>
          <t>Aurora</t>
        </is>
      </c>
      <c r="F163" s="2345" t="inlineStr">
        <is>
          <t>CO</t>
        </is>
      </c>
      <c r="G163" s="2345" t="inlineStr">
        <is>
          <t>Industrial</t>
        </is>
      </c>
      <c r="H163" s="2345" t="inlineStr">
        <is>
          <t>Industrial Warehouse NNN</t>
        </is>
      </c>
      <c r="I163" s="2345" t="n"/>
      <c r="J163" s="2345" t="n"/>
      <c r="K163" s="2345" t="n">
        <v>2024</v>
      </c>
      <c r="L163" s="2356" t="n">
        <v>49334</v>
      </c>
      <c r="M163" s="2345" t="n"/>
      <c r="N163" s="2356" t="n">
        <v>85139</v>
      </c>
      <c r="O163" s="2356" t="n">
        <v>153</v>
      </c>
      <c r="P163" s="2356" t="n">
        <v>5032</v>
      </c>
      <c r="Q163" s="2345" t="n"/>
      <c r="R163" s="2345" t="n"/>
      <c r="S163" s="2356" t="n">
        <v>10772</v>
      </c>
      <c r="T163" s="2345" t="n"/>
      <c r="U163" s="2345" t="n"/>
      <c r="V163" s="2345" t="n"/>
      <c r="W163" s="2345" t="n"/>
      <c r="X163" s="2345" t="n"/>
      <c r="Y163" s="2356" t="n">
        <v>10772</v>
      </c>
      <c r="Z163" s="2345" t="n"/>
      <c r="AA163" s="2356" t="n">
        <v>949</v>
      </c>
      <c r="AB163" s="2356" t="n">
        <v>10894</v>
      </c>
      <c r="AC163" s="2345" t="n"/>
      <c r="AD163" s="2356" t="n">
        <v>207</v>
      </c>
      <c r="AE163" s="2356" t="n">
        <v>8484</v>
      </c>
      <c r="AF163" s="2356" t="n">
        <v>8691</v>
      </c>
      <c r="AG163" s="2345" t="n"/>
      <c r="AH163" s="2356" t="n">
        <v>57603</v>
      </c>
      <c r="AI163" s="2356" t="n">
        <v>83077</v>
      </c>
      <c r="AJ163" s="2356" t="n">
        <v>140680</v>
      </c>
      <c r="AK163" s="2356" t="n">
        <v>-69674</v>
      </c>
      <c r="AL163" s="2345" t="n"/>
      <c r="AM163" s="2345" t="inlineStr">
        <is>
          <t>Ambrose; Q4 2024 ONLY (Oct–Dec, 3 months); lease-up/stabilizing; DO NOT use for annual PSF</t>
        </is>
      </c>
    </row>
    <row r="164">
      <c r="A164" s="2345" t="inlineStr">
        <is>
          <t>P085</t>
        </is>
      </c>
      <c r="B164" s="2338" t="n">
        <v>210</v>
      </c>
      <c r="C164" s="2345" t="inlineStr">
        <is>
          <t>R0093018</t>
        </is>
      </c>
      <c r="D164" s="2345" t="inlineStr">
        <is>
          <t>3350 Peoria St</t>
        </is>
      </c>
      <c r="E164" s="2345" t="inlineStr">
        <is>
          <t>Denver</t>
        </is>
      </c>
      <c r="F164" s="2345" t="inlineStr">
        <is>
          <t>CO</t>
        </is>
      </c>
      <c r="G164" s="2345" t="inlineStr">
        <is>
          <t>Industrial</t>
        </is>
      </c>
      <c r="H164" s="2345" t="inlineStr">
        <is>
          <t>Office/Industrial Flex</t>
        </is>
      </c>
      <c r="I164" s="2345" t="n"/>
      <c r="J164" s="2345" t="n">
        <v>33057</v>
      </c>
      <c r="K164" s="2345" t="n">
        <v>2024</v>
      </c>
      <c r="L164" s="2345" t="n"/>
      <c r="M164" s="2345" t="n"/>
      <c r="N164" s="2356" t="n">
        <v>388335</v>
      </c>
      <c r="O164" s="2356" t="n">
        <v>27979</v>
      </c>
      <c r="P164" s="2356" t="n">
        <v>15595</v>
      </c>
      <c r="Q164" s="2345" t="n"/>
      <c r="R164" s="2345" t="n"/>
      <c r="S164" s="2345" t="n"/>
      <c r="T164" s="2345" t="n"/>
      <c r="U164" s="2356" t="n">
        <v>8229</v>
      </c>
      <c r="V164" s="2345" t="n"/>
      <c r="W164" s="2345" t="n"/>
      <c r="X164" s="2356" t="n">
        <v>91284</v>
      </c>
      <c r="Y164" s="2345" t="n"/>
      <c r="Z164" s="2345" t="n"/>
      <c r="AA164" s="2356" t="n">
        <v>4573</v>
      </c>
      <c r="AB164" s="2356" t="n">
        <v>2505</v>
      </c>
      <c r="AC164" s="2356" t="n">
        <v>52966</v>
      </c>
      <c r="AD164" s="2345" t="n"/>
      <c r="AE164" s="2345" t="n"/>
      <c r="AF164" s="2356" t="n">
        <v>53314</v>
      </c>
      <c r="AG164" s="2345" t="n"/>
      <c r="AH164" s="2356" t="n">
        <v>247389</v>
      </c>
      <c r="AI164" s="2345" t="n"/>
      <c r="AJ164" s="2356" t="n">
        <v>247389</v>
      </c>
      <c r="AK164" s="2356" t="n">
        <v>140946</v>
      </c>
      <c r="AL164" s="2345" t="n"/>
      <c r="AM164" s="2345" t="inlineStr">
        <is>
          <t>Owner P&amp;L 2024; RE taxes not broken out separately; contracts incl HVAC $8,229/alarm $9,124/landscape $4,573/snow $2,505</t>
        </is>
      </c>
    </row>
    <row r="165">
      <c r="A165" s="2345" t="inlineStr">
        <is>
          <t>P086</t>
        </is>
      </c>
      <c r="B165" s="2338" t="n">
        <v>406</v>
      </c>
      <c r="C165" s="2345" t="inlineStr">
        <is>
          <t>R0210684</t>
        </is>
      </c>
      <c r="D165" s="2345" t="inlineStr">
        <is>
          <t>14200 E Moncrieff Place</t>
        </is>
      </c>
      <c r="E165" s="2345" t="inlineStr">
        <is>
          <t>Aurora</t>
        </is>
      </c>
      <c r="F165" s="2345" t="inlineStr">
        <is>
          <t>CO</t>
        </is>
      </c>
      <c r="G165" s="2345" t="inlineStr">
        <is>
          <t>Industrial</t>
        </is>
      </c>
      <c r="H165" s="2345" t="inlineStr">
        <is>
          <t>Industrial Warehouse</t>
        </is>
      </c>
      <c r="I165" s="2345" t="n">
        <v>1980</v>
      </c>
      <c r="J165" s="2345" t="n">
        <v>233808</v>
      </c>
      <c r="K165" s="2345" t="n">
        <v>2023</v>
      </c>
      <c r="L165" s="2345" t="n"/>
      <c r="M165" s="2345" t="n"/>
      <c r="N165" s="2356" t="n">
        <v>2012921</v>
      </c>
      <c r="O165" s="2356" t="n">
        <v>12170</v>
      </c>
      <c r="P165" s="2356" t="n">
        <v>39036</v>
      </c>
      <c r="Q165" s="2345" t="n"/>
      <c r="R165" s="2345" t="n"/>
      <c r="S165" s="2345" t="n"/>
      <c r="T165" s="2345" t="n"/>
      <c r="U165" s="2345" t="n"/>
      <c r="V165" s="2345" t="n"/>
      <c r="W165" s="2345" t="n"/>
      <c r="X165" s="2356" t="n">
        <v>43894</v>
      </c>
      <c r="Y165" s="2356" t="n">
        <v>43894</v>
      </c>
      <c r="Z165" s="2345" t="n"/>
      <c r="AA165" s="2356" t="n">
        <v>12324</v>
      </c>
      <c r="AB165" s="2356" t="n">
        <v>32256</v>
      </c>
      <c r="AC165" s="2356" t="n">
        <v>50799</v>
      </c>
      <c r="AD165" s="2356" t="n">
        <v>28587</v>
      </c>
      <c r="AE165" s="2345" t="n"/>
      <c r="AF165" s="2356" t="n">
        <v>28587</v>
      </c>
      <c r="AG165" s="2345" t="n"/>
      <c r="AH165" s="2356" t="n">
        <v>184120</v>
      </c>
      <c r="AI165" s="2356" t="n">
        <v>608865</v>
      </c>
      <c r="AJ165" s="2356" t="n">
        <v>792985</v>
      </c>
      <c r="AK165" s="2356" t="n">
        <v>1219936</v>
      </c>
      <c r="AL165" s="2345" t="n"/>
      <c r="AM165" s="2345" t="inlineStr">
        <is>
          <t>Owner P&amp;L 2023; large industrial 233,808 SF; 1980 YOC; landscape $12,324/snow $32,256 in CAM</t>
        </is>
      </c>
    </row>
    <row r="166">
      <c r="A166" s="2345" t="inlineStr">
        <is>
          <t>P086</t>
        </is>
      </c>
      <c r="B166" s="2338" t="n">
        <v>406</v>
      </c>
      <c r="C166" s="2345" t="inlineStr">
        <is>
          <t>R0210684</t>
        </is>
      </c>
      <c r="D166" s="2345" t="inlineStr">
        <is>
          <t>14200 E Moncrieff Place</t>
        </is>
      </c>
      <c r="E166" s="2345" t="inlineStr">
        <is>
          <t>Aurora</t>
        </is>
      </c>
      <c r="F166" s="2345" t="inlineStr">
        <is>
          <t>CO</t>
        </is>
      </c>
      <c r="G166" s="2345" t="inlineStr">
        <is>
          <t>Industrial</t>
        </is>
      </c>
      <c r="H166" s="2345" t="inlineStr">
        <is>
          <t>Industrial Warehouse</t>
        </is>
      </c>
      <c r="I166" s="2345" t="n">
        <v>1980</v>
      </c>
      <c r="J166" s="2345" t="n">
        <v>233808</v>
      </c>
      <c r="K166" s="2345" t="n">
        <v>2024</v>
      </c>
      <c r="L166" s="2345" t="n"/>
      <c r="M166" s="2345" t="n"/>
      <c r="N166" s="2356" t="n">
        <v>2041933</v>
      </c>
      <c r="O166" s="2345" t="n"/>
      <c r="P166" s="2345" t="n"/>
      <c r="Q166" s="2345" t="n"/>
      <c r="R166" s="2345" t="n"/>
      <c r="S166" s="2345" t="n"/>
      <c r="T166" s="2345" t="n"/>
      <c r="U166" s="2345" t="n"/>
      <c r="V166" s="2345" t="n"/>
      <c r="W166" s="2345" t="n"/>
      <c r="X166" s="2345" t="n"/>
      <c r="Y166" s="2345" t="n"/>
      <c r="Z166" s="2345" t="n"/>
      <c r="AA166" s="2345" t="n"/>
      <c r="AB166" s="2345" t="n"/>
      <c r="AC166" s="2345" t="n"/>
      <c r="AD166" s="2345" t="n"/>
      <c r="AE166" s="2345" t="n"/>
      <c r="AF166" s="2345" t="n"/>
      <c r="AG166" s="2345" t="n"/>
      <c r="AH166" s="2345" t="n"/>
      <c r="AI166" s="2345" t="n"/>
      <c r="AJ166" s="2356" t="n">
        <v>835113</v>
      </c>
      <c r="AK166" s="2356" t="n">
        <v>1206819</v>
      </c>
      <c r="AL166" s="2345" t="n"/>
      <c r="AM166" s="2345" t="inlineStr">
        <is>
          <t>Owner P&amp;L 2024; total OPX only – line items not fully detailed for 2024</t>
        </is>
      </c>
    </row>
    <row r="167">
      <c r="A167" s="2345" t="inlineStr">
        <is>
          <t>P087</t>
        </is>
      </c>
      <c r="B167" s="2338" t="n">
        <v>407</v>
      </c>
      <c r="C167" s="2345" t="inlineStr">
        <is>
          <t>R0102985</t>
        </is>
      </c>
      <c r="D167" s="2345" t="inlineStr">
        <is>
          <t>5861 Tennyson St</t>
        </is>
      </c>
      <c r="E167" s="2345" t="inlineStr">
        <is>
          <t>Arvada</t>
        </is>
      </c>
      <c r="F167" s="2345" t="inlineStr">
        <is>
          <t>CO</t>
        </is>
      </c>
      <c r="G167" s="2345" t="inlineStr">
        <is>
          <t>Industrial</t>
        </is>
      </c>
      <c r="H167" s="2345" t="inlineStr">
        <is>
          <t>Industrial NNN</t>
        </is>
      </c>
      <c r="I167" s="2345" t="n">
        <v>2000</v>
      </c>
      <c r="J167" s="2345" t="n">
        <v>80640</v>
      </c>
      <c r="K167" s="2345" t="n">
        <v>2023</v>
      </c>
      <c r="L167" s="2356" t="n">
        <v>503016</v>
      </c>
      <c r="M167" s="2345" t="n"/>
      <c r="N167" s="2345" t="n"/>
      <c r="O167" s="2345" t="n"/>
      <c r="P167" s="2345" t="n"/>
      <c r="Q167" s="2345" t="n"/>
      <c r="R167" s="2345" t="n"/>
      <c r="S167" s="2345" t="n"/>
      <c r="T167" s="2345" t="n"/>
      <c r="U167" s="2345" t="n"/>
      <c r="V167" s="2345" t="n"/>
      <c r="W167" s="2345" t="n"/>
      <c r="X167" s="2345" t="n"/>
      <c r="Y167" s="2345" t="n"/>
      <c r="Z167" s="2345" t="n"/>
      <c r="AA167" s="2345" t="n"/>
      <c r="AB167" s="2345" t="n"/>
      <c r="AC167" s="2345" t="n"/>
      <c r="AD167" s="2345" t="n"/>
      <c r="AE167" s="2345" t="n"/>
      <c r="AF167" s="2345" t="n"/>
      <c r="AG167" s="2345" t="n"/>
      <c r="AH167" s="2356" t="n">
        <v>16587</v>
      </c>
      <c r="AI167" s="2345" t="n"/>
      <c r="AJ167" s="2356" t="n">
        <v>16587</v>
      </c>
      <c r="AK167" s="2356" t="n">
        <v>486429</v>
      </c>
      <c r="AL167" s="2345" t="n"/>
      <c r="AM167" s="2345" t="inlineStr">
        <is>
          <t>NNN; landlord expenses only; tenant pays RE taxes; 2023</t>
        </is>
      </c>
    </row>
    <row r="168">
      <c r="A168" s="2345" t="inlineStr">
        <is>
          <t>P087</t>
        </is>
      </c>
      <c r="B168" s="2338" t="n">
        <v>407</v>
      </c>
      <c r="C168" s="2345" t="inlineStr">
        <is>
          <t>R0102985</t>
        </is>
      </c>
      <c r="D168" s="2345" t="inlineStr">
        <is>
          <t>5861 Tennyson St</t>
        </is>
      </c>
      <c r="E168" s="2345" t="inlineStr">
        <is>
          <t>Arvada</t>
        </is>
      </c>
      <c r="F168" s="2345" t="inlineStr">
        <is>
          <t>CO</t>
        </is>
      </c>
      <c r="G168" s="2345" t="inlineStr">
        <is>
          <t>Industrial</t>
        </is>
      </c>
      <c r="H168" s="2345" t="inlineStr">
        <is>
          <t>Industrial NNN</t>
        </is>
      </c>
      <c r="I168" s="2345" t="n">
        <v>2000</v>
      </c>
      <c r="J168" s="2345" t="n">
        <v>80640</v>
      </c>
      <c r="K168" s="2345" t="n">
        <v>2024</v>
      </c>
      <c r="L168" s="2356" t="n">
        <v>513072</v>
      </c>
      <c r="M168" s="2345" t="n"/>
      <c r="N168" s="2345" t="n"/>
      <c r="O168" s="2345" t="n"/>
      <c r="P168" s="2345" t="n"/>
      <c r="Q168" s="2345" t="n"/>
      <c r="R168" s="2345" t="n"/>
      <c r="S168" s="2345" t="n"/>
      <c r="T168" s="2345" t="n"/>
      <c r="U168" s="2345" t="n"/>
      <c r="V168" s="2345" t="n"/>
      <c r="W168" s="2345" t="n"/>
      <c r="X168" s="2345" t="n"/>
      <c r="Y168" s="2345" t="n"/>
      <c r="Z168" s="2345" t="n"/>
      <c r="AA168" s="2345" t="n"/>
      <c r="AB168" s="2345" t="n"/>
      <c r="AC168" s="2345" t="n"/>
      <c r="AD168" s="2345" t="n"/>
      <c r="AE168" s="2345" t="n"/>
      <c r="AF168" s="2345" t="n"/>
      <c r="AG168" s="2345" t="n"/>
      <c r="AH168" s="2356" t="n">
        <v>15492</v>
      </c>
      <c r="AI168" s="2345" t="n"/>
      <c r="AJ168" s="2356" t="n">
        <v>15492</v>
      </c>
      <c r="AK168" s="2356" t="n">
        <v>497580</v>
      </c>
      <c r="AL168" s="2345" t="n"/>
      <c r="AM168" s="2345" t="inlineStr">
        <is>
          <t>NNN; landlord expenses only; tenant pays RE taxes; 2024</t>
        </is>
      </c>
    </row>
    <row r="169">
      <c r="A169" s="2345" t="inlineStr">
        <is>
          <t>P088</t>
        </is>
      </c>
      <c r="B169" s="2338" t="n">
        <v>210</v>
      </c>
      <c r="C169" s="2345" t="inlineStr">
        <is>
          <t>R0090973</t>
        </is>
      </c>
      <c r="D169" s="2345" t="inlineStr">
        <is>
          <t>3975 E 56th Ave</t>
        </is>
      </c>
      <c r="E169" s="2345" t="inlineStr">
        <is>
          <t>Commerce City</t>
        </is>
      </c>
      <c r="F169" s="2345" t="inlineStr">
        <is>
          <t>CO</t>
        </is>
      </c>
      <c r="G169" s="2345" t="inlineStr">
        <is>
          <t>Industrial</t>
        </is>
      </c>
      <c r="H169" s="2345" t="inlineStr">
        <is>
          <t>Multi-Tenant Industrial</t>
        </is>
      </c>
      <c r="I169" s="2345" t="n"/>
      <c r="J169" s="2345" t="n">
        <v>42299</v>
      </c>
      <c r="K169" s="2345" t="n">
        <v>2024</v>
      </c>
      <c r="L169" s="2345" t="n"/>
      <c r="M169" s="2345" t="n"/>
      <c r="N169" s="2356" t="n">
        <v>391669</v>
      </c>
      <c r="O169" s="2345" t="n"/>
      <c r="P169" s="2345" t="n"/>
      <c r="Q169" s="2345" t="n"/>
      <c r="R169" s="2345" t="n"/>
      <c r="S169" s="2345" t="n"/>
      <c r="T169" s="2345" t="n"/>
      <c r="U169" s="2345" t="n"/>
      <c r="V169" s="2345" t="n"/>
      <c r="W169" s="2345" t="n"/>
      <c r="X169" s="2345" t="n"/>
      <c r="Y169" s="2345" t="n"/>
      <c r="Z169" s="2345" t="n"/>
      <c r="AA169" s="2345" t="n"/>
      <c r="AB169" s="2345" t="n"/>
      <c r="AC169" s="2345" t="n"/>
      <c r="AD169" s="2345" t="n"/>
      <c r="AE169" s="2345" t="n"/>
      <c r="AF169" s="2345" t="n"/>
      <c r="AG169" s="2345" t="n"/>
      <c r="AH169" s="2356" t="n">
        <v>31334</v>
      </c>
      <c r="AI169" s="2345" t="n"/>
      <c r="AJ169" s="2356" t="n">
        <v>31334</v>
      </c>
      <c r="AK169" s="2356" t="n">
        <v>360335</v>
      </c>
      <c r="AL169" s="2345" t="n"/>
      <c r="AM169" s="2345" t="inlineStr">
        <is>
          <t>Sand Creek Business Park; owner P&amp;L 2024; limited line-item detail</t>
        </is>
      </c>
    </row>
    <row r="170">
      <c r="A170" s="2345" t="inlineStr">
        <is>
          <t>P089</t>
        </is>
      </c>
      <c r="B170" s="2338" t="n">
        <v>407</v>
      </c>
      <c r="C170" s="2345" t="inlineStr">
        <is>
          <t>R0180951</t>
        </is>
      </c>
      <c r="D170" s="2345" t="inlineStr">
        <is>
          <t>(Address TBD – R0180951)</t>
        </is>
      </c>
      <c r="E170" s="2345" t="inlineStr">
        <is>
          <t>Adams County</t>
        </is>
      </c>
      <c r="F170" s="2345" t="inlineStr">
        <is>
          <t>CO</t>
        </is>
      </c>
      <c r="G170" s="2345" t="inlineStr">
        <is>
          <t>Industrial</t>
        </is>
      </c>
      <c r="H170" s="2345" t="inlineStr">
        <is>
          <t>Industrial NNN</t>
        </is>
      </c>
      <c r="I170" s="2345" t="n">
        <v>2016</v>
      </c>
      <c r="J170" s="2345" t="n">
        <v>122106</v>
      </c>
      <c r="K170" s="2345" t="n">
        <v>2023</v>
      </c>
      <c r="L170" s="2345" t="n"/>
      <c r="M170" s="2345" t="n"/>
      <c r="N170" s="2345" t="n"/>
      <c r="O170" s="2356" t="n">
        <v>7435</v>
      </c>
      <c r="P170" s="2345" t="n"/>
      <c r="Q170" s="2345" t="n"/>
      <c r="R170" s="2345" t="n"/>
      <c r="S170" s="2345" t="n"/>
      <c r="T170" s="2345" t="n"/>
      <c r="U170" s="2345" t="n"/>
      <c r="V170" s="2345" t="n"/>
      <c r="W170" s="2345" t="n"/>
      <c r="X170" s="2345" t="n"/>
      <c r="Y170" s="2345" t="n"/>
      <c r="Z170" s="2345" t="n"/>
      <c r="AA170" s="2345" t="n"/>
      <c r="AB170" s="2345" t="n"/>
      <c r="AC170" s="2356" t="n">
        <v>50680</v>
      </c>
      <c r="AD170" s="2356" t="n">
        <v>58541</v>
      </c>
      <c r="AE170" s="2345" t="n"/>
      <c r="AF170" s="2356" t="n">
        <v>58541</v>
      </c>
      <c r="AG170" s="2345" t="n"/>
      <c r="AH170" s="2345" t="n"/>
      <c r="AI170" s="2356" t="n">
        <v>394774</v>
      </c>
      <c r="AJ170" s="2356" t="n">
        <v>511430</v>
      </c>
      <c r="AK170" s="2345" t="n"/>
      <c r="AL170" s="2345" t="n"/>
      <c r="AM170" s="2345" t="inlineStr">
        <is>
          <t>NNN; landlord expenses only from WH Expenses 2026; 2016 YOC; 2023: RE Tax $394,774/Ins $7,435/Utils $58,541/CAM $50,680</t>
        </is>
      </c>
    </row>
    <row r="171">
      <c r="A171" s="2345" t="inlineStr">
        <is>
          <t>P089</t>
        </is>
      </c>
      <c r="B171" s="2338" t="n">
        <v>407</v>
      </c>
      <c r="C171" s="2345" t="inlineStr">
        <is>
          <t>R0180951</t>
        </is>
      </c>
      <c r="D171" s="2345" t="inlineStr">
        <is>
          <t>(Address TBD – R0180951)</t>
        </is>
      </c>
      <c r="E171" s="2345" t="inlineStr">
        <is>
          <t>Adams County</t>
        </is>
      </c>
      <c r="F171" s="2345" t="inlineStr">
        <is>
          <t>CO</t>
        </is>
      </c>
      <c r="G171" s="2345" t="inlineStr">
        <is>
          <t>Industrial</t>
        </is>
      </c>
      <c r="H171" s="2345" t="inlineStr">
        <is>
          <t>Industrial NNN</t>
        </is>
      </c>
      <c r="I171" s="2345" t="n">
        <v>2016</v>
      </c>
      <c r="J171" s="2345" t="n">
        <v>122106</v>
      </c>
      <c r="K171" s="2345" t="n">
        <v>2024</v>
      </c>
      <c r="L171" s="2345" t="n"/>
      <c r="M171" s="2345" t="n"/>
      <c r="N171" s="2345" t="n"/>
      <c r="O171" s="2356" t="n">
        <v>7635</v>
      </c>
      <c r="P171" s="2345" t="n"/>
      <c r="Q171" s="2345" t="n"/>
      <c r="R171" s="2345" t="n"/>
      <c r="S171" s="2345" t="n"/>
      <c r="T171" s="2345" t="n"/>
      <c r="U171" s="2345" t="n"/>
      <c r="V171" s="2345" t="n"/>
      <c r="W171" s="2345" t="n"/>
      <c r="X171" s="2345" t="n"/>
      <c r="Y171" s="2345" t="n"/>
      <c r="Z171" s="2345" t="n"/>
      <c r="AA171" s="2345" t="n"/>
      <c r="AB171" s="2345" t="n"/>
      <c r="AC171" s="2356" t="n">
        <v>64465</v>
      </c>
      <c r="AD171" s="2356" t="n">
        <v>58541</v>
      </c>
      <c r="AE171" s="2345" t="n"/>
      <c r="AF171" s="2356" t="n">
        <v>58541</v>
      </c>
      <c r="AG171" s="2345" t="n"/>
      <c r="AH171" s="2345" t="n"/>
      <c r="AI171" s="2356" t="n">
        <v>532140</v>
      </c>
      <c r="AJ171" s="2356" t="n">
        <v>662781</v>
      </c>
      <c r="AK171" s="2345" t="n"/>
      <c r="AL171" s="2345" t="n"/>
      <c r="AM171" s="2345" t="inlineStr">
        <is>
          <t>NNN; landlord expenses only from WH Expenses 2026; 2024: RE Tax $532,140/Ins $7,635/Utils $58,541/CAM $64,465</t>
        </is>
      </c>
    </row>
    <row r="172">
      <c r="A172" s="2345" t="inlineStr">
        <is>
          <t>P090</t>
        </is>
      </c>
      <c r="B172" s="2338" t="n">
        <v>407</v>
      </c>
      <c r="C172" s="2345" t="inlineStr">
        <is>
          <t>R0110351</t>
        </is>
      </c>
      <c r="D172" s="2345" t="inlineStr">
        <is>
          <t>(Address TBD – R0110351)</t>
        </is>
      </c>
      <c r="E172" s="2345" t="inlineStr">
        <is>
          <t>Adams County</t>
        </is>
      </c>
      <c r="F172" s="2345" t="inlineStr">
        <is>
          <t>CO</t>
        </is>
      </c>
      <c r="G172" s="2345" t="inlineStr">
        <is>
          <t>Industrial</t>
        </is>
      </c>
      <c r="H172" s="2345" t="inlineStr">
        <is>
          <t>Industrial NNN</t>
        </is>
      </c>
      <c r="I172" s="2345" t="n">
        <v>2000</v>
      </c>
      <c r="J172" s="2345" t="n">
        <v>85200</v>
      </c>
      <c r="K172" s="2345" t="n">
        <v>2023</v>
      </c>
      <c r="L172" s="2345" t="n"/>
      <c r="M172" s="2345" t="n"/>
      <c r="N172" s="2345" t="n"/>
      <c r="O172" s="2356" t="n">
        <v>20559</v>
      </c>
      <c r="P172" s="2345" t="n"/>
      <c r="Q172" s="2345" t="n"/>
      <c r="R172" s="2345" t="n"/>
      <c r="S172" s="2345" t="n"/>
      <c r="T172" s="2345" t="n"/>
      <c r="U172" s="2345" t="n"/>
      <c r="V172" s="2345" t="n"/>
      <c r="W172" s="2345" t="n"/>
      <c r="X172" s="2345" t="n"/>
      <c r="Y172" s="2345" t="n"/>
      <c r="Z172" s="2345" t="n"/>
      <c r="AA172" s="2345" t="n"/>
      <c r="AB172" s="2345" t="n"/>
      <c r="AC172" s="2356" t="n">
        <v>18539</v>
      </c>
      <c r="AD172" s="2345" t="n"/>
      <c r="AE172" s="2345" t="n"/>
      <c r="AF172" s="2345" t="n"/>
      <c r="AG172" s="2345" t="n"/>
      <c r="AH172" s="2345" t="n"/>
      <c r="AI172" s="2356" t="n">
        <v>305241</v>
      </c>
      <c r="AJ172" s="2356" t="n">
        <v>344339</v>
      </c>
      <c r="AK172" s="2345" t="n"/>
      <c r="AL172" s="2345" t="n"/>
      <c r="AM172" s="2345" t="inlineStr">
        <is>
          <t>NNN; landlord expenses only from WH Expenses 2026; 2000 YOC; 2023: RE Tax $305,241/Ins $20,559/CAM $18,539</t>
        </is>
      </c>
    </row>
    <row r="173">
      <c r="A173" s="2345" t="inlineStr">
        <is>
          <t>P090</t>
        </is>
      </c>
      <c r="B173" s="2338" t="n">
        <v>407</v>
      </c>
      <c r="C173" s="2345" t="inlineStr">
        <is>
          <t>R0110351</t>
        </is>
      </c>
      <c r="D173" s="2345" t="inlineStr">
        <is>
          <t>(Address TBD – R0110351)</t>
        </is>
      </c>
      <c r="E173" s="2345" t="inlineStr">
        <is>
          <t>Adams County</t>
        </is>
      </c>
      <c r="F173" s="2345" t="inlineStr">
        <is>
          <t>CO</t>
        </is>
      </c>
      <c r="G173" s="2345" t="inlineStr">
        <is>
          <t>Industrial</t>
        </is>
      </c>
      <c r="H173" s="2345" t="inlineStr">
        <is>
          <t>Industrial NNN</t>
        </is>
      </c>
      <c r="I173" s="2345" t="n">
        <v>2000</v>
      </c>
      <c r="J173" s="2345" t="n">
        <v>85200</v>
      </c>
      <c r="K173" s="2345" t="n">
        <v>2024</v>
      </c>
      <c r="L173" s="2345" t="n"/>
      <c r="M173" s="2345" t="n"/>
      <c r="N173" s="2345" t="n"/>
      <c r="O173" s="2356" t="n">
        <v>25578</v>
      </c>
      <c r="P173" s="2345" t="n"/>
      <c r="Q173" s="2345" t="n"/>
      <c r="R173" s="2345" t="n"/>
      <c r="S173" s="2345" t="n"/>
      <c r="T173" s="2345" t="n"/>
      <c r="U173" s="2345" t="n"/>
      <c r="V173" s="2345" t="n"/>
      <c r="W173" s="2345" t="n"/>
      <c r="X173" s="2345" t="n"/>
      <c r="Y173" s="2345" t="n"/>
      <c r="Z173" s="2345" t="n"/>
      <c r="AA173" s="2345" t="n"/>
      <c r="AB173" s="2345" t="n"/>
      <c r="AC173" s="2356" t="n">
        <v>21372</v>
      </c>
      <c r="AD173" s="2345" t="n"/>
      <c r="AE173" s="2345" t="n"/>
      <c r="AF173" s="2345" t="n"/>
      <c r="AG173" s="2345" t="n"/>
      <c r="AH173" s="2345" t="n"/>
      <c r="AI173" s="2356" t="n">
        <v>331811</v>
      </c>
      <c r="AJ173" s="2356" t="n">
        <v>378761</v>
      </c>
      <c r="AK173" s="2345" t="n"/>
      <c r="AL173" s="2345" t="n"/>
      <c r="AM173" s="2345" t="inlineStr">
        <is>
          <t>NNN; landlord expenses only from WH Expenses 2026; 2024: RE Tax $331,811/Ins $25,578/CAM $21,372</t>
        </is>
      </c>
    </row>
    <row r="174">
      <c r="A174" s="2345" t="inlineStr">
        <is>
          <t>P091</t>
        </is>
      </c>
      <c r="B174" s="2338" t="n">
        <v>584</v>
      </c>
      <c r="C174" s="2345" t="inlineStr">
        <is>
          <t>R0198530</t>
        </is>
      </c>
      <c r="D174" s="2345" t="inlineStr">
        <is>
          <t>(Address TBD – R0198530)</t>
        </is>
      </c>
      <c r="E174" s="2345" t="inlineStr">
        <is>
          <t>Adams County</t>
        </is>
      </c>
      <c r="F174" s="2345" t="inlineStr">
        <is>
          <t>CO</t>
        </is>
      </c>
      <c r="G174" s="2345" t="inlineStr">
        <is>
          <t>Industrial</t>
        </is>
      </c>
      <c r="H174" s="2345" t="inlineStr">
        <is>
          <t>Industrial Mega-Warehouse NNN</t>
        </is>
      </c>
      <c r="I174" s="2345" t="n">
        <v>2019</v>
      </c>
      <c r="J174" s="2345" t="n">
        <v>555867</v>
      </c>
      <c r="K174" s="2345" t="n">
        <v>2024</v>
      </c>
      <c r="L174" s="2345" t="n"/>
      <c r="M174" s="2345" t="n"/>
      <c r="N174" s="2345" t="n"/>
      <c r="O174" s="2356" t="n">
        <v>86084</v>
      </c>
      <c r="P174" s="2356" t="n">
        <v>64029</v>
      </c>
      <c r="Q174" s="2345" t="n"/>
      <c r="R174" s="2345" t="n"/>
      <c r="S174" s="2345" t="n"/>
      <c r="T174" s="2345" t="n"/>
      <c r="U174" s="2345" t="n"/>
      <c r="V174" s="2345" t="n"/>
      <c r="W174" s="2345" t="n"/>
      <c r="X174" s="2345" t="n"/>
      <c r="Y174" s="2345" t="n"/>
      <c r="Z174" s="2345" t="n"/>
      <c r="AA174" s="2345" t="n"/>
      <c r="AB174" s="2345" t="n"/>
      <c r="AC174" s="2345" t="n"/>
      <c r="AD174" s="2345" t="n"/>
      <c r="AE174" s="2345" t="n"/>
      <c r="AF174" s="2345" t="n"/>
      <c r="AG174" s="2345" t="n"/>
      <c r="AH174" s="2345" t="n"/>
      <c r="AI174" s="2356" t="n">
        <v>2160792</v>
      </c>
      <c r="AJ174" s="2356" t="n">
        <v>2310905</v>
      </c>
      <c r="AK174" s="2345" t="n"/>
      <c r="AL174" s="2345" t="n"/>
      <c r="AM174" s="2345" t="inlineStr">
        <is>
          <t>Mega-warehouse 555,867 SF; NNN; landlord only: RE Tax $2,160,792/Ins $86,084/Mgmt $64,029; 2019 YOC</t>
        </is>
      </c>
    </row>
    <row r="175">
      <c r="A175" s="2345" t="inlineStr">
        <is>
          <t>P092</t>
        </is>
      </c>
      <c r="B175" s="2338" t="n">
        <v>447</v>
      </c>
      <c r="C175" s="2345" t="inlineStr">
        <is>
          <t>R0180834</t>
        </is>
      </c>
      <c r="D175" s="2345" t="inlineStr">
        <is>
          <t>(Address TBD – R0180834)</t>
        </is>
      </c>
      <c r="E175" s="2345" t="inlineStr">
        <is>
          <t>Adams County</t>
        </is>
      </c>
      <c r="F175" s="2345" t="inlineStr">
        <is>
          <t>CO</t>
        </is>
      </c>
      <c r="G175" s="2345" t="inlineStr">
        <is>
          <t>Industrial</t>
        </is>
      </c>
      <c r="H175" s="2345" t="inlineStr">
        <is>
          <t>Cold Storage/Mega-Warehouse NNN</t>
        </is>
      </c>
      <c r="I175" s="2345" t="n">
        <v>2012</v>
      </c>
      <c r="J175" s="2345" t="n">
        <v>550031</v>
      </c>
      <c r="K175" s="2345" t="n">
        <v>2024</v>
      </c>
      <c r="L175" s="2345" t="n"/>
      <c r="M175" s="2345" t="n"/>
      <c r="N175" s="2345" t="n"/>
      <c r="O175" s="2356" t="n">
        <v>77117</v>
      </c>
      <c r="P175" s="2356" t="n">
        <v>138053</v>
      </c>
      <c r="Q175" s="2345" t="n"/>
      <c r="R175" s="2345" t="n"/>
      <c r="S175" s="2345" t="n"/>
      <c r="T175" s="2345" t="n"/>
      <c r="U175" s="2345" t="n"/>
      <c r="V175" s="2345" t="n"/>
      <c r="W175" s="2345" t="n"/>
      <c r="X175" s="2345" t="n"/>
      <c r="Y175" s="2345" t="n"/>
      <c r="Z175" s="2345" t="n"/>
      <c r="AA175" s="2345" t="n"/>
      <c r="AB175" s="2345" t="n"/>
      <c r="AC175" s="2345" t="n"/>
      <c r="AD175" s="2345" t="n"/>
      <c r="AE175" s="2345" t="n"/>
      <c r="AF175" s="2345" t="n"/>
      <c r="AG175" s="2345" t="n"/>
      <c r="AH175" s="2345" t="n"/>
      <c r="AI175" s="2356" t="n">
        <v>2118655</v>
      </c>
      <c r="AJ175" s="2356" t="n">
        <v>2333825</v>
      </c>
      <c r="AK175" s="2345" t="n"/>
      <c r="AL175" s="2345" t="n"/>
      <c r="AM175" s="2345" t="inlineStr">
        <is>
          <t>Cold storage/mega-WH 550,031 SF; NNN; landlord only: RE Tax $2,118,655/Ins $77,117/Mgmt $138,053; 2012 YOC</t>
        </is>
      </c>
    </row>
    <row r="176">
      <c r="A176" s="2345" t="inlineStr">
        <is>
          <t>P093</t>
        </is>
      </c>
      <c r="B176" s="2338" t="n">
        <v>407</v>
      </c>
      <c r="C176" s="2345" t="inlineStr">
        <is>
          <t>R0114792</t>
        </is>
      </c>
      <c r="D176" s="2345" t="inlineStr">
        <is>
          <t>(Address TBD – R0114792)</t>
        </is>
      </c>
      <c r="E176" s="2345" t="inlineStr">
        <is>
          <t>Adams County</t>
        </is>
      </c>
      <c r="F176" s="2345" t="inlineStr">
        <is>
          <t>CO</t>
        </is>
      </c>
      <c r="G176" s="2345" t="inlineStr">
        <is>
          <t>Industrial</t>
        </is>
      </c>
      <c r="H176" s="2345" t="inlineStr">
        <is>
          <t>Industrial NNN</t>
        </is>
      </c>
      <c r="I176" s="2345" t="n">
        <v>1998</v>
      </c>
      <c r="J176" s="2345" t="n">
        <v>64501</v>
      </c>
      <c r="K176" s="2345" t="n">
        <v>2023</v>
      </c>
      <c r="L176" s="2345" t="n"/>
      <c r="M176" s="2345" t="n"/>
      <c r="N176" s="2345" t="n"/>
      <c r="O176" s="2356" t="n">
        <v>9589</v>
      </c>
      <c r="P176" s="2356" t="n">
        <v>23542</v>
      </c>
      <c r="Q176" s="2345" t="n"/>
      <c r="R176" s="2345" t="n"/>
      <c r="S176" s="2345" t="n"/>
      <c r="T176" s="2345" t="n"/>
      <c r="U176" s="2345" t="n"/>
      <c r="V176" s="2345" t="n"/>
      <c r="W176" s="2345" t="n"/>
      <c r="X176" s="2345" t="n"/>
      <c r="Y176" s="2345" t="n"/>
      <c r="Z176" s="2345" t="n"/>
      <c r="AA176" s="2345" t="n"/>
      <c r="AB176" s="2345" t="n"/>
      <c r="AC176" s="2345" t="n"/>
      <c r="AD176" s="2345" t="n"/>
      <c r="AE176" s="2345" t="n"/>
      <c r="AF176" s="2345" t="n"/>
      <c r="AG176" s="2345" t="n"/>
      <c r="AH176" s="2345" t="n"/>
      <c r="AI176" s="2356" t="n">
        <v>201248</v>
      </c>
      <c r="AJ176" s="2356" t="n">
        <v>234379</v>
      </c>
      <c r="AK176" s="2345" t="n"/>
      <c r="AL176" s="2345" t="n"/>
      <c r="AM176" s="2345" t="inlineStr">
        <is>
          <t>NNN; landlord only: RE Tax $201,248/Ins $9,589/Mgmt $23,542; 1998 YOC</t>
        </is>
      </c>
    </row>
    <row r="177">
      <c r="A177" s="2345" t="inlineStr">
        <is>
          <t>P093</t>
        </is>
      </c>
      <c r="B177" s="2338" t="n">
        <v>407</v>
      </c>
      <c r="C177" s="2345" t="inlineStr">
        <is>
          <t>R0114792</t>
        </is>
      </c>
      <c r="D177" s="2345" t="inlineStr">
        <is>
          <t>(Address TBD – R0114792)</t>
        </is>
      </c>
      <c r="E177" s="2345" t="inlineStr">
        <is>
          <t>Adams County</t>
        </is>
      </c>
      <c r="F177" s="2345" t="inlineStr">
        <is>
          <t>CO</t>
        </is>
      </c>
      <c r="G177" s="2345" t="inlineStr">
        <is>
          <t>Industrial</t>
        </is>
      </c>
      <c r="H177" s="2345" t="inlineStr">
        <is>
          <t>Industrial NNN</t>
        </is>
      </c>
      <c r="I177" s="2345" t="n">
        <v>1998</v>
      </c>
      <c r="J177" s="2345" t="n">
        <v>64501</v>
      </c>
      <c r="K177" s="2345" t="n">
        <v>2024</v>
      </c>
      <c r="L177" s="2345" t="n"/>
      <c r="M177" s="2345" t="n"/>
      <c r="N177" s="2345" t="n"/>
      <c r="O177" s="2356" t="n">
        <v>7536</v>
      </c>
      <c r="P177" s="2356" t="n">
        <v>23889</v>
      </c>
      <c r="Q177" s="2345" t="n"/>
      <c r="R177" s="2345" t="n"/>
      <c r="S177" s="2345" t="n"/>
      <c r="T177" s="2345" t="n"/>
      <c r="U177" s="2345" t="n"/>
      <c r="V177" s="2345" t="n"/>
      <c r="W177" s="2345" t="n"/>
      <c r="X177" s="2345" t="n"/>
      <c r="Y177" s="2345" t="n"/>
      <c r="Z177" s="2345" t="n"/>
      <c r="AA177" s="2345" t="n"/>
      <c r="AB177" s="2345" t="n"/>
      <c r="AC177" s="2345" t="n"/>
      <c r="AD177" s="2345" t="n"/>
      <c r="AE177" s="2345" t="n"/>
      <c r="AF177" s="2345" t="n"/>
      <c r="AG177" s="2345" t="n"/>
      <c r="AH177" s="2345" t="n"/>
      <c r="AI177" s="2356" t="n">
        <v>244551</v>
      </c>
      <c r="AJ177" s="2356" t="n">
        <v>275976</v>
      </c>
      <c r="AK177" s="2345" t="n"/>
      <c r="AL177" s="2345" t="n"/>
      <c r="AM177" s="2345" t="inlineStr">
        <is>
          <t>NNN; landlord only: RE Tax $244,551/Ins $7,536/Mgmt $23,889</t>
        </is>
      </c>
    </row>
    <row r="178">
      <c r="A178" s="2345" t="inlineStr">
        <is>
          <t>P027</t>
        </is>
      </c>
      <c r="B178" s="2338" t="n">
        <v>407</v>
      </c>
      <c r="C178" s="2345" t="inlineStr">
        <is>
          <t>R0132030</t>
        </is>
      </c>
      <c r="D178" s="2345" t="inlineStr">
        <is>
          <t>(R0132030)</t>
        </is>
      </c>
      <c r="E178" s="2345" t="inlineStr">
        <is>
          <t>Adams County</t>
        </is>
      </c>
      <c r="F178" s="2345" t="inlineStr">
        <is>
          <t>CO</t>
        </is>
      </c>
      <c r="G178" s="2345" t="inlineStr">
        <is>
          <t>Industrial</t>
        </is>
      </c>
      <c r="H178" s="2345" t="inlineStr">
        <is>
          <t>Industrial NNN</t>
        </is>
      </c>
      <c r="I178" s="2345" t="n"/>
      <c r="J178" s="2345" t="n">
        <v>200094</v>
      </c>
      <c r="K178" s="2345" t="n">
        <v>2024</v>
      </c>
      <c r="L178" s="2345" t="n"/>
      <c r="M178" s="2345" t="n"/>
      <c r="N178" s="2345" t="n"/>
      <c r="O178" s="2356" t="n">
        <v>26308</v>
      </c>
      <c r="P178" s="2356" t="n">
        <v>48882</v>
      </c>
      <c r="Q178" s="2345" t="n"/>
      <c r="R178" s="2345" t="n"/>
      <c r="S178" s="2345" t="n"/>
      <c r="T178" s="2345" t="n"/>
      <c r="U178" s="2345" t="n"/>
      <c r="V178" s="2345" t="n"/>
      <c r="W178" s="2345" t="n"/>
      <c r="X178" s="2345" t="n"/>
      <c r="Y178" s="2345" t="n"/>
      <c r="Z178" s="2345" t="n"/>
      <c r="AA178" s="2345" t="n"/>
      <c r="AB178" s="2345" t="n"/>
      <c r="AC178" s="2356" t="n">
        <v>80298</v>
      </c>
      <c r="AD178" s="2356" t="n">
        <v>64237</v>
      </c>
      <c r="AE178" s="2345" t="n"/>
      <c r="AF178" s="2356" t="n">
        <v>64237</v>
      </c>
      <c r="AG178" s="2345" t="n"/>
      <c r="AH178" s="2345" t="n"/>
      <c r="AI178" s="2356" t="n">
        <v>440287</v>
      </c>
      <c r="AJ178" s="2356" t="n">
        <v>659712</v>
      </c>
      <c r="AK178" s="2345" t="n"/>
      <c r="AL178" s="2345" t="n"/>
      <c r="AM178" s="2345" t="inlineStr">
        <is>
          <t>NNN; WH Expenses 2026 landlord data: RE Tax $440,287/Ins $26,308/Utils $64,237/Mgmt $48,882/CAM $80,298</t>
        </is>
      </c>
    </row>
    <row r="179">
      <c r="A179" s="2345" t="inlineStr">
        <is>
          <t>P028</t>
        </is>
      </c>
      <c r="B179" s="2338" t="n">
        <v>407</v>
      </c>
      <c r="C179" s="2345" t="inlineStr">
        <is>
          <t>R0084040</t>
        </is>
      </c>
      <c r="D179" s="2345" t="inlineStr">
        <is>
          <t>(R0084040)</t>
        </is>
      </c>
      <c r="E179" s="2345" t="inlineStr">
        <is>
          <t>Adams County</t>
        </is>
      </c>
      <c r="F179" s="2345" t="inlineStr">
        <is>
          <t>CO</t>
        </is>
      </c>
      <c r="G179" s="2345" t="inlineStr">
        <is>
          <t>Industrial</t>
        </is>
      </c>
      <c r="H179" s="2345" t="inlineStr">
        <is>
          <t>Industrial NNN</t>
        </is>
      </c>
      <c r="I179" s="2345" t="n"/>
      <c r="J179" s="2345" t="n"/>
      <c r="K179" s="2345" t="n">
        <v>2024</v>
      </c>
      <c r="L179" s="2345" t="n"/>
      <c r="M179" s="2345" t="n"/>
      <c r="N179" s="2345" t="n"/>
      <c r="O179" s="2356" t="n">
        <v>24025</v>
      </c>
      <c r="P179" s="2356" t="n">
        <v>65817</v>
      </c>
      <c r="Q179" s="2345" t="n"/>
      <c r="R179" s="2345" t="n"/>
      <c r="S179" s="2345" t="n"/>
      <c r="T179" s="2345" t="n"/>
      <c r="U179" s="2345" t="n"/>
      <c r="V179" s="2345" t="n"/>
      <c r="W179" s="2345" t="n"/>
      <c r="X179" s="2345" t="n"/>
      <c r="Y179" s="2345" t="n"/>
      <c r="Z179" s="2345" t="n"/>
      <c r="AA179" s="2345" t="n"/>
      <c r="AB179" s="2345" t="n"/>
      <c r="AC179" s="2356" t="n">
        <v>128840</v>
      </c>
      <c r="AD179" s="2356" t="n">
        <v>69481</v>
      </c>
      <c r="AE179" s="2345" t="n"/>
      <c r="AF179" s="2356" t="n">
        <v>69481</v>
      </c>
      <c r="AG179" s="2345" t="n"/>
      <c r="AH179" s="2345" t="n"/>
      <c r="AI179" s="2356" t="n">
        <v>598274</v>
      </c>
      <c r="AJ179" s="2356" t="n">
        <v>886437</v>
      </c>
      <c r="AK179" s="2345" t="n"/>
      <c r="AL179" s="2345" t="n"/>
      <c r="AM179" s="2345" t="inlineStr">
        <is>
          <t>NNN; WH Expenses 2026 landlord data: RE Tax $598,274/Ins $24,025/Utils $69,481/Mgmt $65,817/CAM $128,840</t>
        </is>
      </c>
    </row>
    <row r="180">
      <c r="A180" s="2345" t="inlineStr">
        <is>
          <t>P034</t>
        </is>
      </c>
      <c r="B180" s="2338" t="n">
        <v>407</v>
      </c>
      <c r="C180" s="2345" t="inlineStr">
        <is>
          <t>R0172865</t>
        </is>
      </c>
      <c r="D180" s="2345" t="inlineStr">
        <is>
          <t>(R0172865)</t>
        </is>
      </c>
      <c r="E180" s="2345" t="inlineStr">
        <is>
          <t>Adams County</t>
        </is>
      </c>
      <c r="F180" s="2345" t="inlineStr">
        <is>
          <t>CO</t>
        </is>
      </c>
      <c r="G180" s="2345" t="inlineStr">
        <is>
          <t>Industrial</t>
        </is>
      </c>
      <c r="H180" s="2345" t="inlineStr">
        <is>
          <t>Industrial NNN</t>
        </is>
      </c>
      <c r="I180" s="2345" t="n"/>
      <c r="J180" s="2345" t="n">
        <v>215461</v>
      </c>
      <c r="K180" s="2345" t="n">
        <v>2024</v>
      </c>
      <c r="L180" s="2345" t="n"/>
      <c r="M180" s="2345" t="n"/>
      <c r="N180" s="2345" t="n"/>
      <c r="O180" s="2356" t="n">
        <v>30832</v>
      </c>
      <c r="P180" s="2356" t="n">
        <v>71321</v>
      </c>
      <c r="Q180" s="2345" t="n"/>
      <c r="R180" s="2345" t="n"/>
      <c r="S180" s="2345" t="n"/>
      <c r="T180" s="2345" t="n"/>
      <c r="U180" s="2345" t="n"/>
      <c r="V180" s="2345" t="n"/>
      <c r="W180" s="2345" t="n"/>
      <c r="X180" s="2345" t="n"/>
      <c r="Y180" s="2345" t="n"/>
      <c r="Z180" s="2345" t="n"/>
      <c r="AA180" s="2345" t="n"/>
      <c r="AB180" s="2345" t="n"/>
      <c r="AC180" s="2356" t="n">
        <v>127177</v>
      </c>
      <c r="AD180" s="2356" t="n">
        <v>101924</v>
      </c>
      <c r="AE180" s="2345" t="n"/>
      <c r="AF180" s="2356" t="n">
        <v>101924</v>
      </c>
      <c r="AG180" s="2345" t="n"/>
      <c r="AH180" s="2345" t="n"/>
      <c r="AI180" s="2356" t="n">
        <v>564450</v>
      </c>
      <c r="AJ180" s="2356" t="n">
        <v>895704</v>
      </c>
      <c r="AK180" s="2345" t="n"/>
      <c r="AL180" s="2345" t="n"/>
      <c r="AM180" s="2345" t="inlineStr">
        <is>
          <t>NNN; WH Expenses 2026 landlord data: RE Tax $564,450/Ins $30,832/Utils $101,924/Mgmt $71,321/CAM $127,177</t>
        </is>
      </c>
    </row>
    <row r="181">
      <c r="A181" s="2345" t="inlineStr">
        <is>
          <t>P036</t>
        </is>
      </c>
      <c r="B181" s="2338" t="n">
        <v>407</v>
      </c>
      <c r="C181" s="2345" t="inlineStr">
        <is>
          <t>R0172868</t>
        </is>
      </c>
      <c r="D181" s="2345" t="inlineStr">
        <is>
          <t>(R0172868)</t>
        </is>
      </c>
      <c r="E181" s="2345" t="inlineStr">
        <is>
          <t>Adams County</t>
        </is>
      </c>
      <c r="F181" s="2345" t="inlineStr">
        <is>
          <t>CO</t>
        </is>
      </c>
      <c r="G181" s="2345" t="inlineStr">
        <is>
          <t>Industrial</t>
        </is>
      </c>
      <c r="H181" s="2345" t="inlineStr">
        <is>
          <t>Industrial NNN</t>
        </is>
      </c>
      <c r="I181" s="2345" t="n"/>
      <c r="J181" s="2345" t="n">
        <v>200000</v>
      </c>
      <c r="K181" s="2345" t="n">
        <v>2024</v>
      </c>
      <c r="L181" s="2345" t="n"/>
      <c r="M181" s="2345" t="n"/>
      <c r="N181" s="2345" t="n"/>
      <c r="O181" s="2356" t="n">
        <v>30594</v>
      </c>
      <c r="P181" s="2356" t="n">
        <v>36085</v>
      </c>
      <c r="Q181" s="2345" t="n"/>
      <c r="R181" s="2345" t="n"/>
      <c r="S181" s="2345" t="n"/>
      <c r="T181" s="2345" t="n"/>
      <c r="U181" s="2345" t="n"/>
      <c r="V181" s="2345" t="n"/>
      <c r="W181" s="2345" t="n"/>
      <c r="X181" s="2345" t="n"/>
      <c r="Y181" s="2345" t="n"/>
      <c r="Z181" s="2345" t="n"/>
      <c r="AA181" s="2345" t="n"/>
      <c r="AB181" s="2345" t="n"/>
      <c r="AC181" s="2356" t="n">
        <v>95792</v>
      </c>
      <c r="AD181" s="2345" t="n"/>
      <c r="AE181" s="2345" t="n"/>
      <c r="AF181" s="2345" t="n"/>
      <c r="AG181" s="2345" t="n"/>
      <c r="AH181" s="2345" t="n"/>
      <c r="AI181" s="2356" t="n">
        <v>608209</v>
      </c>
      <c r="AJ181" s="2356" t="n">
        <v>770680</v>
      </c>
      <c r="AK181" s="2345" t="n"/>
      <c r="AL181" s="2345" t="n"/>
      <c r="AM181" s="2345" t="inlineStr">
        <is>
          <t>NNN; WH Expenses 2026 landlord data: RE Tax $608,209/Ins $30,594/Mgmt $36,085/CAM $95,792</t>
        </is>
      </c>
    </row>
    <row r="182">
      <c r="A182" s="2345" t="inlineStr">
        <is>
          <t>P061</t>
        </is>
      </c>
      <c r="B182" s="2338" t="n">
        <v>584</v>
      </c>
      <c r="C182" s="2345" t="inlineStr">
        <is>
          <t>R0083935</t>
        </is>
      </c>
      <c r="D182" s="2345" t="inlineStr">
        <is>
          <t>(R0083935)</t>
        </is>
      </c>
      <c r="E182" s="2345" t="inlineStr">
        <is>
          <t>Adams County</t>
        </is>
      </c>
      <c r="F182" s="2345" t="inlineStr">
        <is>
          <t>CO</t>
        </is>
      </c>
      <c r="G182" s="2345" t="inlineStr">
        <is>
          <t>Industrial</t>
        </is>
      </c>
      <c r="H182" s="2345" t="inlineStr">
        <is>
          <t>Industrial NNN</t>
        </is>
      </c>
      <c r="I182" s="2345" t="n"/>
      <c r="J182" s="2345" t="n">
        <v>277690</v>
      </c>
      <c r="K182" s="2345" t="n">
        <v>2024</v>
      </c>
      <c r="L182" s="2345" t="n"/>
      <c r="M182" s="2345" t="n"/>
      <c r="N182" s="2345" t="n"/>
      <c r="O182" s="2356" t="n">
        <v>80849</v>
      </c>
      <c r="P182" s="2356" t="n">
        <v>172937</v>
      </c>
      <c r="Q182" s="2345" t="n"/>
      <c r="R182" s="2345" t="n"/>
      <c r="S182" s="2345" t="n"/>
      <c r="T182" s="2345" t="n"/>
      <c r="U182" s="2345" t="n"/>
      <c r="V182" s="2345" t="n"/>
      <c r="W182" s="2345" t="n"/>
      <c r="X182" s="2345" t="n"/>
      <c r="Y182" s="2345" t="n"/>
      <c r="Z182" s="2345" t="n"/>
      <c r="AA182" s="2345" t="n"/>
      <c r="AB182" s="2345" t="n"/>
      <c r="AC182" s="2356" t="n">
        <v>282651</v>
      </c>
      <c r="AD182" s="2356" t="n">
        <v>195945</v>
      </c>
      <c r="AE182" s="2345" t="n"/>
      <c r="AF182" s="2356" t="n">
        <v>195945</v>
      </c>
      <c r="AG182" s="2345" t="n"/>
      <c r="AH182" s="2345" t="n"/>
      <c r="AI182" s="2356" t="n">
        <v>788195</v>
      </c>
      <c r="AJ182" s="2356" t="n">
        <v>1520577</v>
      </c>
      <c r="AK182" s="2345" t="n"/>
      <c r="AL182" s="2345" t="n"/>
      <c r="AM182" s="2345" t="inlineStr">
        <is>
          <t>NNN; WH Expenses 2026 landlord data 2024; ranges used (midpoints): RE Tax ~$788k/Ins ~$81k/Utils $195,945/Mgmt $172,937/CAM ~$283k</t>
        </is>
      </c>
    </row>
    <row r="183">
      <c r="A183" s="2345" t="inlineStr">
        <is>
          <t>P069</t>
        </is>
      </c>
      <c r="B183" s="2338" t="n">
        <v>210</v>
      </c>
      <c r="C183" s="2345" t="inlineStr">
        <is>
          <t>R0098223</t>
        </is>
      </c>
      <c r="D183" s="2345" t="inlineStr">
        <is>
          <t>(R0098223)</t>
        </is>
      </c>
      <c r="E183" s="2345" t="inlineStr">
        <is>
          <t>Adams County</t>
        </is>
      </c>
      <c r="F183" s="2345" t="inlineStr">
        <is>
          <t>CO</t>
        </is>
      </c>
      <c r="G183" s="2345" t="inlineStr">
        <is>
          <t>Industrial</t>
        </is>
      </c>
      <c r="H183" s="2345" t="inlineStr">
        <is>
          <t>Industrial</t>
        </is>
      </c>
      <c r="I183" s="2345" t="n"/>
      <c r="J183" s="2345" t="n"/>
      <c r="K183" s="2345" t="n">
        <v>2023</v>
      </c>
      <c r="L183" s="2345" t="n"/>
      <c r="M183" s="2345" t="n"/>
      <c r="N183" s="2345" t="n"/>
      <c r="O183" s="2345" t="n"/>
      <c r="P183" s="2345" t="n"/>
      <c r="Q183" s="2345" t="n"/>
      <c r="R183" s="2345" t="n"/>
      <c r="S183" s="2345" t="n"/>
      <c r="T183" s="2345" t="n"/>
      <c r="U183" s="2345" t="n"/>
      <c r="V183" s="2345" t="n"/>
      <c r="W183" s="2345" t="n"/>
      <c r="X183" s="2345" t="n"/>
      <c r="Y183" s="2345" t="n"/>
      <c r="Z183" s="2345" t="n"/>
      <c r="AA183" s="2345" t="n"/>
      <c r="AB183" s="2345" t="n"/>
      <c r="AC183" s="2345" t="n"/>
      <c r="AD183" s="2345" t="n"/>
      <c r="AE183" s="2345" t="n"/>
      <c r="AF183" s="2345" t="n"/>
      <c r="AG183" s="2345" t="n"/>
      <c r="AH183" s="2345" t="n"/>
      <c r="AI183" s="2345" t="n"/>
      <c r="AJ183" s="2345" t="n"/>
      <c r="AK183" s="2356" t="n">
        <v>951113</v>
      </c>
      <c r="AL183" s="2345" t="n"/>
      <c r="AM183" s="2345" t="inlineStr">
        <is>
          <t>CORRECTED: previous entry had wrong NOI ($76,629). Correct 2023 NOI = $951,113 per WH Expenses 2026</t>
        </is>
      </c>
    </row>
    <row r="184">
      <c r="A184" s="2345" t="inlineStr">
        <is>
          <t>P069</t>
        </is>
      </c>
      <c r="B184" s="2338" t="n">
        <v>210</v>
      </c>
      <c r="C184" s="2345" t="inlineStr">
        <is>
          <t>R0098223</t>
        </is>
      </c>
      <c r="D184" s="2345" t="inlineStr">
        <is>
          <t>(R0098223)</t>
        </is>
      </c>
      <c r="E184" s="2345" t="inlineStr">
        <is>
          <t>Adams County</t>
        </is>
      </c>
      <c r="F184" s="2345" t="inlineStr">
        <is>
          <t>CO</t>
        </is>
      </c>
      <c r="G184" s="2345" t="inlineStr">
        <is>
          <t>Industrial</t>
        </is>
      </c>
      <c r="H184" s="2345" t="inlineStr">
        <is>
          <t>Industrial</t>
        </is>
      </c>
      <c r="I184" s="2345" t="n"/>
      <c r="J184" s="2345" t="n"/>
      <c r="K184" s="2345" t="n">
        <v>2024</v>
      </c>
      <c r="L184" s="2345" t="n"/>
      <c r="M184" s="2345" t="n"/>
      <c r="N184" s="2345" t="n"/>
      <c r="O184" s="2345" t="n"/>
      <c r="P184" s="2345" t="n"/>
      <c r="Q184" s="2345" t="n"/>
      <c r="R184" s="2345" t="n"/>
      <c r="S184" s="2345" t="n"/>
      <c r="T184" s="2345" t="n"/>
      <c r="U184" s="2345" t="n"/>
      <c r="V184" s="2345" t="n"/>
      <c r="W184" s="2345" t="n"/>
      <c r="X184" s="2345" t="n"/>
      <c r="Y184" s="2345" t="n"/>
      <c r="Z184" s="2345" t="n"/>
      <c r="AA184" s="2345" t="n"/>
      <c r="AB184" s="2345" t="n"/>
      <c r="AC184" s="2345" t="n"/>
      <c r="AD184" s="2345" t="n"/>
      <c r="AE184" s="2345" t="n"/>
      <c r="AF184" s="2345" t="n"/>
      <c r="AG184" s="2345" t="n"/>
      <c r="AH184" s="2345" t="n"/>
      <c r="AI184" s="2345" t="n"/>
      <c r="AJ184" s="2345" t="n"/>
      <c r="AK184" s="2356" t="n">
        <v>1005999</v>
      </c>
      <c r="AL184" s="2345" t="n"/>
      <c r="AM184" s="2345" t="inlineStr">
        <is>
          <t>New 2024 row from WH Expenses 2026; NOI $1,005,999</t>
        </is>
      </c>
    </row>
    <row r="185">
      <c r="A185" s="2345" t="inlineStr">
        <is>
          <t>P094</t>
        </is>
      </c>
      <c r="B185" s="2338" t="n">
        <v>407</v>
      </c>
      <c r="C185" s="2345" t="inlineStr">
        <is>
          <t>R0104122</t>
        </is>
      </c>
      <c r="D185" s="2345" t="inlineStr">
        <is>
          <t>550 W 53rd Pl</t>
        </is>
      </c>
      <c r="E185" s="2345" t="inlineStr">
        <is>
          <t>Denver</t>
        </is>
      </c>
      <c r="F185" s="2345" t="inlineStr">
        <is>
          <t>CO</t>
        </is>
      </c>
      <c r="G185" s="2345" t="inlineStr">
        <is>
          <t>Industrial</t>
        </is>
      </c>
      <c r="H185" s="2345" t="inlineStr">
        <is>
          <t>Distribution Warehouse</t>
        </is>
      </c>
      <c r="I185" s="2345" t="n">
        <v>1971</v>
      </c>
      <c r="J185" s="2345" t="n">
        <v>127900</v>
      </c>
      <c r="K185" s="2345" t="n">
        <v>2024</v>
      </c>
      <c r="L185" s="2356" t="n">
        <v>831350</v>
      </c>
      <c r="M185" s="2345" t="n"/>
      <c r="N185" s="2356" t="n">
        <v>781469</v>
      </c>
      <c r="O185" s="2345" t="n"/>
      <c r="P185" s="2345" t="n"/>
      <c r="Q185" s="2345" t="n"/>
      <c r="R185" s="2345" t="n"/>
      <c r="S185" s="2345" t="n"/>
      <c r="T185" s="2345" t="n"/>
      <c r="U185" s="2345" t="n"/>
      <c r="V185" s="2345" t="n"/>
      <c r="W185" s="2345" t="n"/>
      <c r="X185" s="2345" t="n"/>
      <c r="Y185" s="2345" t="n"/>
      <c r="Z185" s="2345" t="n"/>
      <c r="AA185" s="2345" t="n"/>
      <c r="AB185" s="2345" t="n"/>
      <c r="AC185" s="2345" t="n"/>
      <c r="AD185" s="2345" t="n"/>
      <c r="AE185" s="2345" t="n"/>
      <c r="AF185" s="2345" t="n"/>
      <c r="AG185" s="2345" t="n"/>
      <c r="AH185" s="2356" t="n">
        <v>62518</v>
      </c>
      <c r="AI185" s="2345" t="n"/>
      <c r="AJ185" s="2356" t="n">
        <v>62518</v>
      </c>
      <c r="AK185" s="2356" t="n">
        <v>718951</v>
      </c>
      <c r="AL185" s="2345" t="n"/>
      <c r="AM185" s="2345" t="inlineStr">
        <is>
          <t>Appraiser income approach (CBOE 2024 abatement); market rent $6.50/SF; vac 6%; OPX 5% + reserves 3%; 6.00% OAR; value $11,985,000</t>
        </is>
      </c>
    </row>
    <row r="186">
      <c r="A186" s="2345" t="inlineStr">
        <is>
          <t>P095</t>
        </is>
      </c>
      <c r="B186" s="2338" t="n">
        <v>386</v>
      </c>
      <c r="C186" s="2345" t="inlineStr">
        <is>
          <t>R0086010</t>
        </is>
      </c>
      <c r="D186" s="2345" t="inlineStr">
        <is>
          <t>15413 E 18th Ave</t>
        </is>
      </c>
      <c r="E186" s="2345" t="inlineStr">
        <is>
          <t>Aurora</t>
        </is>
      </c>
      <c r="F186" s="2345" t="inlineStr">
        <is>
          <t>CO</t>
        </is>
      </c>
      <c r="G186" s="2345" t="inlineStr">
        <is>
          <t>Self-Storage</t>
        </is>
      </c>
      <c r="H186" s="2345" t="inlineStr">
        <is>
          <t>Self-Storage</t>
        </is>
      </c>
      <c r="I186" s="2345" t="n">
        <v>1984</v>
      </c>
      <c r="J186" s="2345" t="n">
        <v>63989</v>
      </c>
      <c r="K186" s="2345" t="n">
        <v>2024</v>
      </c>
      <c r="L186" s="2356" t="n">
        <v>963336</v>
      </c>
      <c r="M186" s="2356" t="n">
        <v>12500</v>
      </c>
      <c r="N186" s="2356" t="n">
        <v>831336</v>
      </c>
      <c r="O186" s="2345" t="n"/>
      <c r="P186" s="2345" t="n"/>
      <c r="Q186" s="2345" t="n"/>
      <c r="R186" s="2345" t="n"/>
      <c r="S186" s="2345" t="n"/>
      <c r="T186" s="2345" t="n"/>
      <c r="U186" s="2345" t="n"/>
      <c r="V186" s="2345" t="n"/>
      <c r="W186" s="2345" t="n"/>
      <c r="X186" s="2345" t="n"/>
      <c r="Y186" s="2345" t="n"/>
      <c r="Z186" s="2345" t="n"/>
      <c r="AA186" s="2345" t="n"/>
      <c r="AB186" s="2345" t="n"/>
      <c r="AC186" s="2345" t="n"/>
      <c r="AD186" s="2345" t="n"/>
      <c r="AE186" s="2345" t="n"/>
      <c r="AF186" s="2345" t="n"/>
      <c r="AG186" s="2345" t="n"/>
      <c r="AH186" s="2356" t="n">
        <v>166267</v>
      </c>
      <c r="AI186" s="2345" t="n"/>
      <c r="AJ186" s="2356" t="n">
        <v>199520</v>
      </c>
      <c r="AK186" s="2356" t="n">
        <v>631815</v>
      </c>
      <c r="AL186" s="2356" t="n">
        <v>33253</v>
      </c>
      <c r="AM186" s="2345" t="inlineStr">
        <is>
          <t>Appraiser pro forma (AXG CBOE 2024); NRA 57,754 SF; market rent $1.39/mo/SF NRA; vac 15%; OPX 20% EGI; reserves 4%; 7.90% loaded cap; value $8,000,000</t>
        </is>
      </c>
    </row>
    <row r="187">
      <c r="A187" s="2345" t="inlineStr">
        <is>
          <t>P096</t>
        </is>
      </c>
      <c r="B187" s="2338" t="n">
        <v>407</v>
      </c>
      <c r="C187" s="2345" t="inlineStr">
        <is>
          <t>R0083917</t>
        </is>
      </c>
      <c r="D187" s="2345" t="inlineStr">
        <is>
          <t>14701 E 38th Ave</t>
        </is>
      </c>
      <c r="E187" s="2345" t="inlineStr">
        <is>
          <t>Aurora</t>
        </is>
      </c>
      <c r="F187" s="2345" t="inlineStr">
        <is>
          <t>CO</t>
        </is>
      </c>
      <c r="G187" s="2345" t="inlineStr">
        <is>
          <t>Industrial</t>
        </is>
      </c>
      <c r="H187" s="2345" t="inlineStr">
        <is>
          <t>Industrial Owner-User</t>
        </is>
      </c>
      <c r="I187" s="2345" t="n"/>
      <c r="J187" s="2345" t="n">
        <v>117280</v>
      </c>
      <c r="K187" s="2345" t="n">
        <v>2024</v>
      </c>
      <c r="L187" s="2345" t="n"/>
      <c r="M187" s="2345" t="n"/>
      <c r="N187" s="2345" t="n"/>
      <c r="O187" s="2356" t="n">
        <v>56500</v>
      </c>
      <c r="P187" s="2356" t="n">
        <v>452446</v>
      </c>
      <c r="Q187" s="2345" t="n"/>
      <c r="R187" s="2345" t="n"/>
      <c r="S187" s="2345" t="n"/>
      <c r="T187" s="2345" t="n"/>
      <c r="U187" s="2345" t="n"/>
      <c r="V187" s="2345" t="n"/>
      <c r="W187" s="2345" t="n"/>
      <c r="X187" s="2356" t="n">
        <v>219534</v>
      </c>
      <c r="Y187" s="2356" t="n">
        <v>219534</v>
      </c>
      <c r="Z187" s="2356" t="n">
        <v>13813</v>
      </c>
      <c r="AA187" s="2356" t="n">
        <v>4696</v>
      </c>
      <c r="AB187" s="2345" t="n"/>
      <c r="AC187" s="2356" t="n">
        <v>18509</v>
      </c>
      <c r="AD187" s="2345" t="n"/>
      <c r="AE187" s="2345" t="n"/>
      <c r="AF187" s="2356" t="n">
        <v>371508</v>
      </c>
      <c r="AG187" s="2345" t="n"/>
      <c r="AH187" s="2356" t="n">
        <v>1118497</v>
      </c>
      <c r="AI187" s="2345" t="n"/>
      <c r="AJ187" s="2356" t="n">
        <v>1118497</v>
      </c>
      <c r="AK187" s="2345" t="n"/>
      <c r="AL187" s="2345" t="n"/>
      <c r="AM187" s="2345" t="inlineStr">
        <is>
          <t>I&amp;E Survey 2024; owner-user; CAUTION: expenses likely include non-RE business costs (mgmt $452k + utils $372k very high); 117,280 SF</t>
        </is>
      </c>
    </row>
    <row r="188">
      <c r="A188" s="2345" t="inlineStr">
        <is>
          <t>P097</t>
        </is>
      </c>
      <c r="B188" s="2338" t="n">
        <v>210</v>
      </c>
      <c r="C188" s="2345" t="inlineStr">
        <is>
          <t>R0137586</t>
        </is>
      </c>
      <c r="D188" s="2345" t="inlineStr">
        <is>
          <t>7273-7285 E 96th Ave</t>
        </is>
      </c>
      <c r="E188" s="2345" t="inlineStr">
        <is>
          <t>Commerce City</t>
        </is>
      </c>
      <c r="F188" s="2345" t="inlineStr">
        <is>
          <t>CO</t>
        </is>
      </c>
      <c r="G188" s="2345" t="inlineStr">
        <is>
          <t>Industrial</t>
        </is>
      </c>
      <c r="H188" s="2345" t="inlineStr">
        <is>
          <t>Multi-Tenant Industrial</t>
        </is>
      </c>
      <c r="I188" s="2345" t="n"/>
      <c r="J188" s="2345" t="n">
        <v>57200</v>
      </c>
      <c r="K188" s="2345" t="n">
        <v>2023</v>
      </c>
      <c r="L188" s="2356" t="n">
        <v>803900</v>
      </c>
      <c r="M188" s="2345" t="n"/>
      <c r="N188" s="2345" t="n"/>
      <c r="O188" s="2356" t="n">
        <v>12548</v>
      </c>
      <c r="P188" s="2356" t="n">
        <v>56144</v>
      </c>
      <c r="Q188" s="2345" t="n"/>
      <c r="R188" s="2345" t="n"/>
      <c r="S188" s="2345" t="n"/>
      <c r="T188" s="2345" t="n"/>
      <c r="U188" s="2345" t="n"/>
      <c r="V188" s="2345" t="n"/>
      <c r="W188" s="2345" t="n"/>
      <c r="X188" s="2356" t="n">
        <v>39723</v>
      </c>
      <c r="Y188" s="2356" t="n">
        <v>39723</v>
      </c>
      <c r="Z188" s="2356" t="n">
        <v>22410</v>
      </c>
      <c r="AA188" s="2356" t="n">
        <v>1470</v>
      </c>
      <c r="AB188" s="2345" t="n"/>
      <c r="AC188" s="2356" t="n">
        <v>23880</v>
      </c>
      <c r="AD188" s="2345" t="n"/>
      <c r="AE188" s="2356" t="n">
        <v>6687</v>
      </c>
      <c r="AF188" s="2356" t="n">
        <v>6687</v>
      </c>
      <c r="AG188" s="2345" t="n"/>
      <c r="AH188" s="2356" t="n">
        <v>138802</v>
      </c>
      <c r="AI188" s="2345" t="n"/>
      <c r="AJ188" s="2356" t="n">
        <v>138802</v>
      </c>
      <c r="AK188" s="2345" t="n"/>
      <c r="AL188" s="2345" t="n"/>
      <c r="AM188" s="2345" t="inlineStr">
        <is>
          <t>I&amp;E Survey 2023; modified lease; 57,200 SF; total expenses approx (excludes RE taxes not reported)</t>
        </is>
      </c>
    </row>
    <row r="189">
      <c r="A189" s="2345" t="inlineStr">
        <is>
          <t>P098</t>
        </is>
      </c>
      <c r="B189" s="2338" t="n">
        <v>210</v>
      </c>
      <c r="C189" s="2345" t="inlineStr">
        <is>
          <t>R0187010</t>
        </is>
      </c>
      <c r="D189" s="2345" t="inlineStr">
        <is>
          <t>8020 Steele St</t>
        </is>
      </c>
      <c r="E189" s="2345" t="inlineStr">
        <is>
          <t>Denver</t>
        </is>
      </c>
      <c r="F189" s="2345" t="inlineStr">
        <is>
          <t>CO</t>
        </is>
      </c>
      <c r="G189" s="2345" t="inlineStr">
        <is>
          <t>Industrial</t>
        </is>
      </c>
      <c r="H189" s="2345" t="inlineStr">
        <is>
          <t>Industrial Modified Gross</t>
        </is>
      </c>
      <c r="I189" s="2345" t="n"/>
      <c r="J189" s="2345" t="n">
        <v>70000</v>
      </c>
      <c r="K189" s="2345" t="n">
        <v>2024</v>
      </c>
      <c r="L189" s="2356" t="n">
        <v>539000</v>
      </c>
      <c r="M189" s="2345" t="n"/>
      <c r="N189" s="2345" t="n"/>
      <c r="O189" s="2345" t="n"/>
      <c r="P189" s="2356" t="n">
        <v>16170</v>
      </c>
      <c r="Q189" s="2345" t="n"/>
      <c r="R189" s="2345" t="n"/>
      <c r="S189" s="2345" t="n"/>
      <c r="T189" s="2345" t="n"/>
      <c r="U189" s="2345" t="n"/>
      <c r="V189" s="2345" t="n"/>
      <c r="W189" s="2345" t="n"/>
      <c r="X189" s="2356" t="n">
        <v>3600</v>
      </c>
      <c r="Y189" s="2356" t="n">
        <v>3600</v>
      </c>
      <c r="Z189" s="2345" t="n"/>
      <c r="AA189" s="2356" t="n">
        <v>4000</v>
      </c>
      <c r="AB189" s="2345" t="n"/>
      <c r="AC189" s="2356" t="n">
        <v>4000</v>
      </c>
      <c r="AD189" s="2345" t="n"/>
      <c r="AE189" s="2345" t="n"/>
      <c r="AF189" s="2345" t="n"/>
      <c r="AG189" s="2345" t="n"/>
      <c r="AH189" s="2356" t="n">
        <v>23770</v>
      </c>
      <c r="AI189" s="2345" t="n"/>
      <c r="AJ189" s="2356" t="n">
        <v>23770</v>
      </c>
      <c r="AK189" s="2345" t="n"/>
      <c r="AL189" s="2345" t="n"/>
      <c r="AM189" s="2345" t="inlineStr">
        <is>
          <t>I&amp;E Survey 2024; modified gross; owner pays ins/R&amp;M/mgmt only; tenant pays utils/trash; 70,000 SF; partial expense data</t>
        </is>
      </c>
    </row>
    <row r="190">
      <c r="A190" s="2345" t="inlineStr">
        <is>
          <t>P099</t>
        </is>
      </c>
      <c r="B190" s="2338" t="n">
        <v>210</v>
      </c>
      <c r="C190" s="2345" t="inlineStr">
        <is>
          <t>R0111914</t>
        </is>
      </c>
      <c r="D190" s="2345" t="inlineStr">
        <is>
          <t>1963 Jasper St</t>
        </is>
      </c>
      <c r="E190" s="2345" t="inlineStr">
        <is>
          <t>Aurora</t>
        </is>
      </c>
      <c r="F190" s="2345" t="inlineStr">
        <is>
          <t>CO</t>
        </is>
      </c>
      <c r="G190" s="2345" t="inlineStr">
        <is>
          <t>Industrial</t>
        </is>
      </c>
      <c r="H190" s="2345" t="inlineStr">
        <is>
          <t>Multi-Tenant Industrial Gross</t>
        </is>
      </c>
      <c r="I190" s="2345" t="n"/>
      <c r="J190" s="2345" t="n">
        <v>33574</v>
      </c>
      <c r="K190" s="2345" t="n">
        <v>2024</v>
      </c>
      <c r="L190" s="2356" t="n">
        <v>330000</v>
      </c>
      <c r="M190" s="2345" t="n"/>
      <c r="N190" s="2356" t="n">
        <v>330000</v>
      </c>
      <c r="O190" s="2356" t="n">
        <v>8310</v>
      </c>
      <c r="P190" s="2356" t="n">
        <v>16500</v>
      </c>
      <c r="Q190" s="2345" t="n"/>
      <c r="R190" s="2345" t="n"/>
      <c r="S190" s="2345" t="n"/>
      <c r="T190" s="2345" t="n"/>
      <c r="U190" s="2345" t="n"/>
      <c r="V190" s="2345" t="n"/>
      <c r="W190" s="2345" t="n"/>
      <c r="X190" s="2356" t="n">
        <v>18881</v>
      </c>
      <c r="Y190" s="2356" t="n">
        <v>18881</v>
      </c>
      <c r="Z190" s="2356" t="n">
        <v>9900</v>
      </c>
      <c r="AA190" s="2356" t="n">
        <v>11300</v>
      </c>
      <c r="AB190" s="2345" t="n"/>
      <c r="AC190" s="2356" t="n">
        <v>21200</v>
      </c>
      <c r="AD190" s="2345" t="n"/>
      <c r="AE190" s="2356" t="n">
        <v>11540</v>
      </c>
      <c r="AF190" s="2356" t="n">
        <v>11540</v>
      </c>
      <c r="AG190" s="2345" t="n"/>
      <c r="AH190" s="2356" t="n">
        <v>76431</v>
      </c>
      <c r="AI190" s="2345" t="n"/>
      <c r="AJ190" s="2356" t="n">
        <v>76431</v>
      </c>
      <c r="AK190" s="2356" t="n">
        <v>253569</v>
      </c>
      <c r="AL190" s="2345" t="n"/>
      <c r="AM190" s="2345" t="inlineStr">
        <is>
          <t>I&amp;E Survey 2024; gross lease (tenant pays gas/elec); approx NOI = GRI minus owner expenses; 33,574 SF</t>
        </is>
      </c>
    </row>
    <row r="191">
      <c r="A191" s="2345" t="inlineStr">
        <is>
          <t>P100</t>
        </is>
      </c>
      <c r="B191" s="2338" t="n">
        <v>1332</v>
      </c>
      <c r="C191" s="2345" t="inlineStr">
        <is>
          <t>R0111965</t>
        </is>
      </c>
      <c r="D191" s="2345" t="inlineStr">
        <is>
          <t>12101 Grant St</t>
        </is>
      </c>
      <c r="E191" s="2345" t="inlineStr">
        <is>
          <t>Thornton</t>
        </is>
      </c>
      <c r="F191" s="2345" t="inlineStr">
        <is>
          <t>CO</t>
        </is>
      </c>
      <c r="G191" s="2345" t="inlineStr">
        <is>
          <t>Hospitality</t>
        </is>
      </c>
      <c r="H191" s="2345" t="inlineStr">
        <is>
          <t>Hotel Limited Service</t>
        </is>
      </c>
      <c r="I191" s="2345" t="n">
        <v>1998</v>
      </c>
      <c r="J191" s="2345" t="n"/>
      <c r="K191" s="2345" t="n">
        <v>2024</v>
      </c>
      <c r="L191" s="2356" t="n">
        <v>3007421</v>
      </c>
      <c r="M191" s="2345" t="n"/>
      <c r="N191" s="2356" t="n">
        <v>3007421</v>
      </c>
      <c r="O191" s="2356" t="n">
        <v>45111</v>
      </c>
      <c r="P191" s="2345" t="n"/>
      <c r="Q191" s="2345" t="n"/>
      <c r="R191" s="2345" t="n"/>
      <c r="S191" s="2345" t="n"/>
      <c r="T191" s="2345" t="n"/>
      <c r="U191" s="2345" t="n"/>
      <c r="V191" s="2345" t="n"/>
      <c r="W191" s="2345" t="n"/>
      <c r="X191" s="2345" t="n"/>
      <c r="Y191" s="2345" t="n"/>
      <c r="Z191" s="2345" t="n"/>
      <c r="AA191" s="2345" t="n"/>
      <c r="AB191" s="2345" t="n"/>
      <c r="AC191" s="2345" t="n"/>
      <c r="AD191" s="2345" t="n"/>
      <c r="AE191" s="2345" t="n"/>
      <c r="AF191" s="2345" t="n"/>
      <c r="AG191" s="2356" t="n">
        <v>1975907</v>
      </c>
      <c r="AH191" s="2356" t="n">
        <v>2143856</v>
      </c>
      <c r="AI191" s="2345" t="n"/>
      <c r="AJ191" s="2356" t="n">
        <v>2143856</v>
      </c>
      <c r="AK191" s="2356" t="n">
        <v>863565</v>
      </c>
      <c r="AL191" s="2345" t="n"/>
      <c r="AM191" s="2345" t="inlineStr">
        <is>
          <t>Appraiser Rushmore income approach (AXG CBOE 2024); 100 rooms; ADR $115; occ 70%; RevPAR $80.50; loaded cap 11.30%; RE prop value ~$7.49M. Total Revenue breakout: Rooms+F&amp;B+Other</t>
        </is>
      </c>
    </row>
    <row r="192">
      <c r="A192" s="2345" t="inlineStr">
        <is>
          <t>P101</t>
        </is>
      </c>
      <c r="B192" s="2338" t="n">
        <v>332</v>
      </c>
      <c r="C192" s="2345" t="inlineStr">
        <is>
          <t>R0202410</t>
        </is>
      </c>
      <c r="D192" s="2345" t="inlineStr">
        <is>
          <t>2556 Oswego St</t>
        </is>
      </c>
      <c r="E192" s="2345" t="inlineStr">
        <is>
          <t>Aurora</t>
        </is>
      </c>
      <c r="F192" s="2345" t="inlineStr">
        <is>
          <t>CO</t>
        </is>
      </c>
      <c r="G192" s="2345" t="inlineStr">
        <is>
          <t>Hospitality</t>
        </is>
      </c>
      <c r="H192" s="2345" t="inlineStr">
        <is>
          <t>Hotel Full Service</t>
        </is>
      </c>
      <c r="I192" s="2345" t="n">
        <v>2023</v>
      </c>
      <c r="J192" s="2345" t="n"/>
      <c r="K192" s="2345" t="n">
        <v>2024</v>
      </c>
      <c r="L192" s="2356" t="n">
        <v>11899487</v>
      </c>
      <c r="M192" s="2345" t="n"/>
      <c r="N192" s="2356" t="n">
        <v>11899487</v>
      </c>
      <c r="O192" s="2356" t="n">
        <v>154693</v>
      </c>
      <c r="P192" s="2345" t="n"/>
      <c r="Q192" s="2345" t="n"/>
      <c r="R192" s="2345" t="n"/>
      <c r="S192" s="2345" t="n"/>
      <c r="T192" s="2345" t="n"/>
      <c r="U192" s="2345" t="n"/>
      <c r="V192" s="2345" t="n"/>
      <c r="W192" s="2345" t="n"/>
      <c r="X192" s="2345" t="n"/>
      <c r="Y192" s="2345" t="n"/>
      <c r="Z192" s="2345" t="n"/>
      <c r="AA192" s="2345" t="n"/>
      <c r="AB192" s="2345" t="n"/>
      <c r="AC192" s="2345" t="n"/>
      <c r="AD192" s="2345" t="n"/>
      <c r="AE192" s="2345" t="n"/>
      <c r="AF192" s="2345" t="n"/>
      <c r="AG192" s="2356" t="n">
        <v>8760469</v>
      </c>
      <c r="AH192" s="2356" t="n">
        <v>8915468</v>
      </c>
      <c r="AI192" s="2345" t="n"/>
      <c r="AJ192" s="2356" t="n">
        <v>9391447</v>
      </c>
      <c r="AK192" s="2356" t="n">
        <v>2984019</v>
      </c>
      <c r="AL192" s="2356" t="n">
        <v>475979</v>
      </c>
      <c r="AM192" s="2345" t="inlineStr">
        <is>
          <t>Appraiser Rushmore income approach (AXG CBOE 2024); 227 rooms; built 2023; ADR $140; occ 70%; RevPAR $98; loaded cap 12.45%; RE value ~$23.47M (less FF&amp;E)</t>
        </is>
      </c>
    </row>
    <row r="193">
      <c r="A193" s="2345" t="inlineStr">
        <is>
          <t>P102</t>
        </is>
      </c>
      <c r="B193" s="2338" t="n">
        <v>332</v>
      </c>
      <c r="C193" s="2345" t="inlineStr">
        <is>
          <t>R0024498</t>
        </is>
      </c>
      <c r="D193" s="2345" t="inlineStr">
        <is>
          <t>83 E 120th Ave</t>
        </is>
      </c>
      <c r="E193" s="2345" t="inlineStr">
        <is>
          <t>Thornton</t>
        </is>
      </c>
      <c r="F193" s="2345" t="inlineStr">
        <is>
          <t>CO</t>
        </is>
      </c>
      <c r="G193" s="2345" t="inlineStr">
        <is>
          <t>Hospitality</t>
        </is>
      </c>
      <c r="H193" s="2345" t="inlineStr">
        <is>
          <t>Hotel Full Service</t>
        </is>
      </c>
      <c r="I193" s="2345" t="n">
        <v>1984</v>
      </c>
      <c r="J193" s="2345" t="n">
        <v>114796</v>
      </c>
      <c r="K193" s="2345" t="n">
        <v>2024</v>
      </c>
      <c r="L193" s="2356" t="n">
        <v>7626796</v>
      </c>
      <c r="M193" s="2345" t="n"/>
      <c r="N193" s="2356" t="n">
        <v>7626796</v>
      </c>
      <c r="O193" s="2356" t="n">
        <v>99148</v>
      </c>
      <c r="P193" s="2345" t="n"/>
      <c r="Q193" s="2345" t="n"/>
      <c r="R193" s="2345" t="n"/>
      <c r="S193" s="2345" t="n"/>
      <c r="T193" s="2345" t="n"/>
      <c r="U193" s="2345" t="n"/>
      <c r="V193" s="2345" t="n"/>
      <c r="W193" s="2345" t="n"/>
      <c r="X193" s="2345" t="n"/>
      <c r="Y193" s="2345" t="n"/>
      <c r="Z193" s="2345" t="n"/>
      <c r="AA193" s="2345" t="n"/>
      <c r="AB193" s="2345" t="n"/>
      <c r="AC193" s="2345" t="n"/>
      <c r="AD193" s="2345" t="n"/>
      <c r="AE193" s="2345" t="n"/>
      <c r="AF193" s="2345" t="n"/>
      <c r="AG193" s="2356" t="n">
        <v>5596452</v>
      </c>
      <c r="AH193" s="2356" t="n">
        <v>5901380</v>
      </c>
      <c r="AI193" s="2345" t="n"/>
      <c r="AJ193" s="2356" t="n">
        <v>6206452</v>
      </c>
      <c r="AK193" s="2356" t="n">
        <v>1725416</v>
      </c>
      <c r="AL193" s="2356" t="n">
        <v>305072</v>
      </c>
      <c r="AM193" s="2345" t="inlineStr">
        <is>
          <t>Appraiser Rushmore income approach (AXG CBOE 2024); 137 rooms; 114,796 SF; 2 bldgs; 1984 YOC; ADR $142; occ 70%; loaded cap 10.56%; RE value $15.78M (less FF&amp;E); STR data: occ ~73%, ADR ~$147-161</t>
        </is>
      </c>
    </row>
    <row r="194">
      <c r="A194" s="2345" t="inlineStr">
        <is>
          <t>P103</t>
        </is>
      </c>
      <c r="B194" s="2338" t="n">
        <v>407</v>
      </c>
      <c r="C194" s="2345" t="inlineStr">
        <is>
          <t>R0075212</t>
        </is>
      </c>
      <c r="D194" s="2345" t="inlineStr">
        <is>
          <t>10500 Havana Ct</t>
        </is>
      </c>
      <c r="E194" s="2345" t="inlineStr">
        <is>
          <t>Commerce City</t>
        </is>
      </c>
      <c r="F194" s="2345" t="inlineStr">
        <is>
          <t>CO</t>
        </is>
      </c>
      <c r="G194" s="2345" t="inlineStr">
        <is>
          <t>Industrial</t>
        </is>
      </c>
      <c r="H194" s="2345" t="inlineStr">
        <is>
          <t>Industrial NNN</t>
        </is>
      </c>
      <c r="I194" s="2345" t="n"/>
      <c r="J194" s="2345" t="n">
        <v>30000</v>
      </c>
      <c r="K194" s="2345" t="n">
        <v>2024</v>
      </c>
      <c r="L194" s="2356" t="n">
        <v>252000</v>
      </c>
      <c r="M194" s="2345" t="n"/>
      <c r="N194" s="2345" t="n"/>
      <c r="O194" s="2356" t="n">
        <v>22704</v>
      </c>
      <c r="P194" s="2356" t="n">
        <v>9500</v>
      </c>
      <c r="Q194" s="2345" t="n"/>
      <c r="R194" s="2345" t="n"/>
      <c r="S194" s="2345" t="n"/>
      <c r="T194" s="2345" t="n"/>
      <c r="U194" s="2345" t="n"/>
      <c r="V194" s="2345" t="n"/>
      <c r="W194" s="2345" t="n"/>
      <c r="X194" s="2356" t="n">
        <v>10941</v>
      </c>
      <c r="Y194" s="2356" t="n">
        <v>10941</v>
      </c>
      <c r="Z194" s="2356" t="n">
        <v>3493</v>
      </c>
      <c r="AA194" s="2356" t="n">
        <v>6910</v>
      </c>
      <c r="AB194" s="2345" t="n"/>
      <c r="AC194" s="2356" t="n">
        <v>10403</v>
      </c>
      <c r="AD194" s="2345" t="n"/>
      <c r="AE194" s="2356" t="n">
        <v>1956</v>
      </c>
      <c r="AF194" s="2356" t="n">
        <v>1956</v>
      </c>
      <c r="AG194" s="2345" t="n"/>
      <c r="AH194" s="2356" t="n">
        <v>55504</v>
      </c>
      <c r="AI194" s="2345" t="n"/>
      <c r="AJ194" s="2356" t="n">
        <v>55504</v>
      </c>
      <c r="AK194" s="2345" t="n"/>
      <c r="AL194" s="2345" t="n"/>
      <c r="AM194" s="2345" t="inlineStr">
        <is>
          <t>I&amp;E Survey 2024; NNN lease; owner-reported; 30,000 SF; no NOI computed (no EGI reported)</t>
        </is>
      </c>
    </row>
    <row r="195">
      <c r="A195" s="2345" t="inlineStr">
        <is>
          <t>P089</t>
        </is>
      </c>
      <c r="B195" s="2338" t="n">
        <v>407</v>
      </c>
      <c r="C195" s="2345" t="inlineStr">
        <is>
          <t>R0180951</t>
        </is>
      </c>
      <c r="D195" s="2345" t="inlineStr">
        <is>
          <t>21200 E 36th Dr</t>
        </is>
      </c>
      <c r="E195" s="2345" t="inlineStr">
        <is>
          <t>Aurora</t>
        </is>
      </c>
      <c r="F195" s="2345" t="inlineStr">
        <is>
          <t>CO</t>
        </is>
      </c>
      <c r="G195" s="2345" t="inlineStr">
        <is>
          <t>Industrial</t>
        </is>
      </c>
      <c r="H195" s="2345" t="inlineStr">
        <is>
          <t>Industrial NNN</t>
        </is>
      </c>
      <c r="I195" s="2345" t="n">
        <v>2016</v>
      </c>
      <c r="J195" s="2345" t="n">
        <v>122106</v>
      </c>
      <c r="K195" s="2345" t="n">
        <v>2024</v>
      </c>
      <c r="L195" s="2345" t="n"/>
      <c r="M195" s="2345" t="n"/>
      <c r="N195" s="2345" t="n"/>
      <c r="O195" s="2356" t="n">
        <v>7635</v>
      </c>
      <c r="P195" s="2345" t="n"/>
      <c r="Q195" s="2345" t="n"/>
      <c r="R195" s="2345" t="n"/>
      <c r="S195" s="2345" t="n"/>
      <c r="T195" s="2345" t="n"/>
      <c r="U195" s="2345" t="n"/>
      <c r="V195" s="2345" t="n"/>
      <c r="W195" s="2345" t="n"/>
      <c r="X195" s="2356" t="n">
        <v>38871</v>
      </c>
      <c r="Y195" s="2356" t="n">
        <v>38871</v>
      </c>
      <c r="Z195" s="2356" t="n">
        <v>13785</v>
      </c>
      <c r="AA195" s="2356" t="n">
        <v>11809</v>
      </c>
      <c r="AB195" s="2345" t="n"/>
      <c r="AC195" s="2356" t="n">
        <v>25594</v>
      </c>
      <c r="AD195" s="2356" t="n">
        <v>58541</v>
      </c>
      <c r="AE195" s="2345" t="n"/>
      <c r="AF195" s="2356" t="n">
        <v>58541</v>
      </c>
      <c r="AG195" s="2345" t="n"/>
      <c r="AH195" s="2345" t="n"/>
      <c r="AI195" s="2356" t="n">
        <v>532140</v>
      </c>
      <c r="AJ195" s="2356" t="n">
        <v>662781</v>
      </c>
      <c r="AK195" s="2345" t="n"/>
      <c r="AL195" s="2345" t="n"/>
      <c r="AM195" s="2345" t="inlineStr">
        <is>
          <t>MT.xlsx 2024 survey — DETAIL UPDATE for R0180951; R&amp;M $38,871/Grd Maint $11,809/Snow-Trash $13,785 additional breakdown (matches WH Expenses totals)</t>
        </is>
      </c>
    </row>
    <row r="196">
      <c r="A196" t="inlineStr">
        <is>
          <t>P104</t>
        </is>
      </c>
      <c r="B196" s="2338" t="n">
        <v>210</v>
      </c>
      <c r="C196" t="inlineStr">
        <is>
          <t>R0226379</t>
        </is>
      </c>
      <c r="D196" t="inlineStr">
        <is>
          <t>26100 E 68th Ave</t>
        </is>
      </c>
      <c r="E196" t="inlineStr">
        <is>
          <t>Aurora</t>
        </is>
      </c>
      <c r="F196" t="inlineStr">
        <is>
          <t>CO</t>
        </is>
      </c>
      <c r="G196" t="inlineStr">
        <is>
          <t>Industrial</t>
        </is>
      </c>
      <c r="H196" t="inlineStr">
        <is>
          <t>Industrial Multi-Tenant</t>
        </is>
      </c>
      <c r="J196" t="n">
        <v>187720</v>
      </c>
      <c r="K196" t="n">
        <v>2024</v>
      </c>
      <c r="L196" t="n">
        <v>1379735.79</v>
      </c>
      <c r="M196" t="n">
        <v>1145329.3</v>
      </c>
      <c r="N196" t="n">
        <v>2525065.09</v>
      </c>
      <c r="O196" t="n">
        <v>176616.01</v>
      </c>
      <c r="P196" t="n">
        <v>113481.13</v>
      </c>
      <c r="S196" t="n">
        <v>17075.9</v>
      </c>
      <c r="T196" t="n">
        <v>2503.95</v>
      </c>
      <c r="V196" t="n">
        <v>5930.82</v>
      </c>
      <c r="W196" t="n">
        <v>13699.17</v>
      </c>
      <c r="X196" t="n">
        <v>16241.98</v>
      </c>
      <c r="Y196" t="n">
        <v>55451.82</v>
      </c>
      <c r="AA196" t="n">
        <v>9292.15</v>
      </c>
      <c r="AB196" t="n">
        <v>32179.95</v>
      </c>
      <c r="AC196" t="n">
        <v>68623.09999999999</v>
      </c>
      <c r="AD196" t="n">
        <v>29263.75</v>
      </c>
      <c r="AE196" t="n">
        <v>11425.16</v>
      </c>
      <c r="AF196" t="n">
        <v>40688.91</v>
      </c>
      <c r="AG196" t="n">
        <v>4476.68</v>
      </c>
      <c r="AH196" t="n">
        <v>592603.42</v>
      </c>
      <c r="AI196" t="n">
        <v>681745.35</v>
      </c>
      <c r="AJ196" t="n">
        <v>1274348.77</v>
      </c>
      <c r="AK196" t="n">
        <v>1250716.32</v>
      </c>
      <c r="AM196" t="inlineStr">
        <is>
          <t>2024 actuals; CAM reimb + TBB structure; TBBs (178,730.57) included in Total OPX; RE Taxes include Metro District (179,316.74); Mgmt = CAM Mgmt + non-recov mgmt; Landscape+Snow+Security+Sweeping in Contract Svcs; SF unknown</t>
        </is>
      </c>
    </row>
    <row r="197">
      <c r="A197" t="inlineStr">
        <is>
          <t>P104</t>
        </is>
      </c>
      <c r="B197" s="2338" t="n">
        <v>210</v>
      </c>
      <c r="C197" t="inlineStr">
        <is>
          <t>R0226379</t>
        </is>
      </c>
      <c r="D197" t="inlineStr">
        <is>
          <t>26100 E 68th Ave</t>
        </is>
      </c>
      <c r="E197" t="inlineStr">
        <is>
          <t>Aurora</t>
        </is>
      </c>
      <c r="F197" t="inlineStr">
        <is>
          <t>CO</t>
        </is>
      </c>
      <c r="G197" t="inlineStr">
        <is>
          <t>Industrial</t>
        </is>
      </c>
      <c r="H197" t="inlineStr">
        <is>
          <t>Industrial Multi-Tenant</t>
        </is>
      </c>
      <c r="J197" t="n">
        <v>187720</v>
      </c>
      <c r="K197" t="n">
        <v>2023</v>
      </c>
      <c r="L197" t="n">
        <v>1185113.75</v>
      </c>
      <c r="M197" t="n">
        <v>1132267.35</v>
      </c>
      <c r="N197" t="n">
        <v>2317381.1</v>
      </c>
      <c r="O197" t="n">
        <v>116967.52</v>
      </c>
      <c r="P197" t="n">
        <v>106274.14</v>
      </c>
      <c r="S197" t="n">
        <v>3365.97</v>
      </c>
      <c r="T197" t="n">
        <v>4470.25</v>
      </c>
      <c r="V197" t="n">
        <v>27567.8</v>
      </c>
      <c r="W197" t="n">
        <v>17386.24</v>
      </c>
      <c r="X197" t="n">
        <v>15567.46</v>
      </c>
      <c r="Y197" t="n">
        <v>68357.72</v>
      </c>
      <c r="AA197" t="n">
        <v>10701.13</v>
      </c>
      <c r="AB197" t="n">
        <v>28242.53</v>
      </c>
      <c r="AC197" t="n">
        <v>91036.76999999999</v>
      </c>
      <c r="AD197" t="n">
        <v>25899.28</v>
      </c>
      <c r="AE197" t="n">
        <v>11031.13</v>
      </c>
      <c r="AF197" t="n">
        <v>36930.41</v>
      </c>
      <c r="AG197" t="n">
        <v>9341.34</v>
      </c>
      <c r="AH197" t="n">
        <v>540838.58</v>
      </c>
      <c r="AI197" t="n">
        <v>659137.36</v>
      </c>
      <c r="AJ197" t="n">
        <v>1199975.94</v>
      </c>
      <c r="AK197" t="n">
        <v>1117405.16</v>
      </c>
      <c r="AM197"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H2"/>
    <mergeCell ref="A1:AH1"/>
  </mergeCell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AM197"/>
  <sheetViews>
    <sheetView workbookViewId="0">
      <pane xSplit="11" ySplit="3" topLeftCell="L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12" customWidth="1" style="1449" min="12" max="12"/>
    <col width="9" customWidth="1" style="1449" min="13" max="13"/>
    <col width="11.28515625" customWidth="1" style="1449" min="14" max="14"/>
    <col width="9" customWidth="1" style="1449" min="15" max="38"/>
    <col width="45" customWidth="1" style="1449" min="39" max="39"/>
  </cols>
  <sheetData>
    <row r="1" ht="20.1" customHeight="1" s="1449">
      <c r="A1" s="1724" t="inlineStr">
        <is>
          <t>COMMERCIAL PROPERTY EXPENSE DATABASE - PSF SUMMARY  ($/SF)</t>
        </is>
      </c>
    </row>
    <row r="2" ht="14.1" customHeight="1" s="1449">
      <c r="A2" s="1725" t="inlineStr">
        <is>
          <t>Figures in $/SF of building area  |  Rows with no BldgSF show raw dollar amounts flagged [NO SF]  |  Text/ID fields copied from Expense Database</t>
        </is>
      </c>
    </row>
    <row r="3" ht="32.1" customHeight="1" s="1449">
      <c r="A3" s="2357" t="inlineStr">
        <is>
          <t>Prop ID</t>
        </is>
      </c>
      <c r="B3" s="2336" t="inlineStr">
        <is>
          <t>Occ Code</t>
        </is>
      </c>
      <c r="C3" s="2357" t="inlineStr">
        <is>
          <t>Account #</t>
        </is>
      </c>
      <c r="D3" s="2357" t="inlineStr">
        <is>
          <t>Address</t>
        </is>
      </c>
      <c r="E3" s="2357" t="inlineStr">
        <is>
          <t>City</t>
        </is>
      </c>
      <c r="F3" s="2357" t="inlineStr">
        <is>
          <t>State</t>
        </is>
      </c>
      <c r="G3" s="2357" t="inlineStr">
        <is>
          <t>Prop Type</t>
        </is>
      </c>
      <c r="H3" s="2357" t="inlineStr">
        <is>
          <t>Subtype</t>
        </is>
      </c>
      <c r="I3" s="2357" t="inlineStr">
        <is>
          <t>Year Built</t>
        </is>
      </c>
      <c r="J3" s="2357" t="inlineStr">
        <is>
          <t>Bldg SF</t>
        </is>
      </c>
      <c r="K3" s="2357" t="inlineStr">
        <is>
          <t>Year</t>
        </is>
      </c>
      <c r="L3" s="2357" t="inlineStr">
        <is>
          <t>Gross Rental Income</t>
        </is>
      </c>
      <c r="M3" s="2357" t="inlineStr">
        <is>
          <t>Other Income</t>
        </is>
      </c>
      <c r="N3" s="2357" t="inlineStr">
        <is>
          <t>EGI</t>
        </is>
      </c>
      <c r="O3" s="2357" t="inlineStr">
        <is>
          <t>Insurance</t>
        </is>
      </c>
      <c r="P3" s="2357" t="inlineStr">
        <is>
          <t>Mgmt/Admin</t>
        </is>
      </c>
      <c r="Q3" s="2357" t="inlineStr">
        <is>
          <t>Plumbing R&amp;M</t>
        </is>
      </c>
      <c r="R3" s="2357" t="inlineStr">
        <is>
          <t>Electrical R&amp;M</t>
        </is>
      </c>
      <c r="S3" s="2357" t="inlineStr">
        <is>
          <t>Exterior R&amp;M</t>
        </is>
      </c>
      <c r="T3" s="2357" t="inlineStr">
        <is>
          <t>Fire/Life Safety R&amp;M</t>
        </is>
      </c>
      <c r="U3" s="2357" t="inlineStr">
        <is>
          <t>HVAC R&amp;M</t>
        </is>
      </c>
      <c r="V3" s="2357" t="inlineStr">
        <is>
          <t>Interior Unit R&amp;M</t>
        </is>
      </c>
      <c r="W3" s="2357" t="inlineStr">
        <is>
          <t>Interior Common R&amp;M</t>
        </is>
      </c>
      <c r="X3" s="2357" t="inlineStr">
        <is>
          <t>General Maint &amp; Repairs</t>
        </is>
      </c>
      <c r="Y3" s="2357" t="inlineStr">
        <is>
          <t>Total R&amp;M</t>
        </is>
      </c>
      <c r="Z3" s="2357" t="inlineStr">
        <is>
          <t>Trash</t>
        </is>
      </c>
      <c r="AA3" s="2357" t="inlineStr">
        <is>
          <t>Landscape</t>
        </is>
      </c>
      <c r="AB3" s="2357" t="inlineStr">
        <is>
          <t>Snow Removal</t>
        </is>
      </c>
      <c r="AC3" s="2357" t="inlineStr">
        <is>
          <t>Total Contract Svcs</t>
        </is>
      </c>
      <c r="AD3" s="2357" t="inlineStr">
        <is>
          <t>Water &amp; Sewer</t>
        </is>
      </c>
      <c r="AE3" s="2357" t="inlineStr">
        <is>
          <t>Electric</t>
        </is>
      </c>
      <c r="AF3" s="2357" t="inlineStr">
        <is>
          <t>Total Utilities</t>
        </is>
      </c>
      <c r="AG3" s="2357" t="inlineStr">
        <is>
          <t>Other/Admin (Misc)</t>
        </is>
      </c>
      <c r="AH3" s="2357" t="inlineStr">
        <is>
          <t>Total OPX excl RE Taxes</t>
        </is>
      </c>
      <c r="AI3" s="2357" t="inlineStr">
        <is>
          <t>Real Estate Taxes</t>
        </is>
      </c>
      <c r="AJ3" s="2357" t="inlineStr">
        <is>
          <t>Total OPX incl RE Taxes</t>
        </is>
      </c>
      <c r="AK3" s="2357" t="inlineStr">
        <is>
          <t>NOI</t>
        </is>
      </c>
      <c r="AL3" s="2357" t="inlineStr">
        <is>
          <t>CapEx (non-op)</t>
        </is>
      </c>
      <c r="AM3" s="2357" t="inlineStr">
        <is>
          <t>Notes</t>
        </is>
      </c>
    </row>
    <row r="4" ht="14.1" customHeight="1" s="1449">
      <c r="A4" s="2358" t="inlineStr">
        <is>
          <t>P001</t>
        </is>
      </c>
      <c r="B4" s="2338" t="n">
        <v>407</v>
      </c>
      <c r="C4" s="2358" t="inlineStr">
        <is>
          <t>R0157664</t>
        </is>
      </c>
      <c r="D4" s="2358" t="inlineStr">
        <is>
          <t>6045 E. 76th Avenue</t>
        </is>
      </c>
      <c r="E4" s="2358" t="inlineStr">
        <is>
          <t>Commerce City</t>
        </is>
      </c>
      <c r="F4" s="2358" t="inlineStr">
        <is>
          <t>CO</t>
        </is>
      </c>
      <c r="G4" s="2358" t="inlineStr">
        <is>
          <t>Light Industrial</t>
        </is>
      </c>
      <c r="H4" s="2358" t="inlineStr">
        <is>
          <t>Distribution Warehouse</t>
        </is>
      </c>
      <c r="I4" s="2359" t="n">
        <v>1988</v>
      </c>
      <c r="J4" s="2359" t="n">
        <v>21000</v>
      </c>
      <c r="K4" s="2359" t="n">
        <v>2021</v>
      </c>
      <c r="L4" s="2360" t="n">
        <v>13.465</v>
      </c>
      <c r="M4" s="2360" t="n">
        <v>0.3034</v>
      </c>
      <c r="N4" s="2360" t="n">
        <v>13.7684</v>
      </c>
      <c r="O4" s="2360" t="n">
        <v>0.233</v>
      </c>
      <c r="P4" s="2360" t="n">
        <v>0</v>
      </c>
      <c r="Q4" s="2360" t="n">
        <v>0.0545</v>
      </c>
      <c r="R4" s="2360" t="n">
        <v>0</v>
      </c>
      <c r="S4" s="2360" t="n">
        <v>0.0095</v>
      </c>
      <c r="T4" s="2360" t="n">
        <v>0</v>
      </c>
      <c r="U4" s="2360" t="n">
        <v>0.0133</v>
      </c>
      <c r="V4" s="2360" t="n">
        <v>0.0403</v>
      </c>
      <c r="W4" s="2360" t="n">
        <v>0.1392</v>
      </c>
      <c r="X4" s="2360" t="n">
        <v>0</v>
      </c>
      <c r="Y4" s="2360" t="n">
        <v>0.2567</v>
      </c>
      <c r="Z4" s="2360" t="n">
        <v>0.3195</v>
      </c>
      <c r="AA4" s="2360" t="n">
        <v>0.1845</v>
      </c>
      <c r="AB4" s="2360" t="n">
        <v>0.0414</v>
      </c>
      <c r="AC4" s="2360" t="n">
        <v>0.5455</v>
      </c>
      <c r="AD4" s="2360" t="n">
        <v>0.1593</v>
      </c>
      <c r="AE4" s="2360" t="n">
        <v>0.0309</v>
      </c>
      <c r="AF4" s="2360" t="n">
        <v>0.1901</v>
      </c>
      <c r="AG4" s="2360" t="n">
        <v>0.0363</v>
      </c>
      <c r="AH4" s="2360" t="n">
        <v>1.2626</v>
      </c>
      <c r="AI4" s="2360" t="n">
        <v>2.2983</v>
      </c>
      <c r="AJ4" s="2360" t="n">
        <v>3.5609</v>
      </c>
      <c r="AK4" s="2360" t="n">
        <v>10.2075</v>
      </c>
      <c r="AL4" s="2360" t="n">
        <v>0.1258</v>
      </c>
      <c r="AM4" s="2361" t="inlineStr">
        <is>
          <t>2021: other income = damages $2,392 + misc $3,863 + interest $117</t>
        </is>
      </c>
    </row>
    <row r="5" ht="14.1" customHeight="1" s="1449">
      <c r="A5" s="2339" t="inlineStr">
        <is>
          <t>P001</t>
        </is>
      </c>
      <c r="B5" s="2338" t="n">
        <v>407</v>
      </c>
      <c r="C5" s="2339" t="inlineStr">
        <is>
          <t>R0157664</t>
        </is>
      </c>
      <c r="D5" s="2339" t="inlineStr">
        <is>
          <t>6045 E. 76th Avenue</t>
        </is>
      </c>
      <c r="E5" s="2339" t="inlineStr">
        <is>
          <t>Commerce City</t>
        </is>
      </c>
      <c r="F5" s="2339" t="inlineStr">
        <is>
          <t>CO</t>
        </is>
      </c>
      <c r="G5" s="2339" t="inlineStr">
        <is>
          <t>Light Industrial</t>
        </is>
      </c>
      <c r="H5" s="2339" t="inlineStr">
        <is>
          <t>Distribution Warehouse</t>
        </is>
      </c>
      <c r="I5" s="2362" t="n">
        <v>1988</v>
      </c>
      <c r="J5" s="2362" t="n">
        <v>21000</v>
      </c>
      <c r="K5" s="2362" t="n">
        <v>2022</v>
      </c>
      <c r="L5" s="2363" t="n">
        <v>12.1901</v>
      </c>
      <c r="M5" s="2363" t="n">
        <v>0.1429</v>
      </c>
      <c r="N5" s="2363" t="n">
        <v>12.333</v>
      </c>
      <c r="O5" s="2363" t="n">
        <v>0.2512</v>
      </c>
      <c r="P5" s="2363" t="n">
        <v>0</v>
      </c>
      <c r="Q5" s="2363" t="n">
        <v>0.196</v>
      </c>
      <c r="R5" s="2363" t="n">
        <v>0.0291</v>
      </c>
      <c r="S5" s="2363" t="n">
        <v>0.1111</v>
      </c>
      <c r="T5" s="2363" t="n">
        <v>0</v>
      </c>
      <c r="U5" s="2363" t="n">
        <v>0</v>
      </c>
      <c r="V5" s="2363" t="n">
        <v>0</v>
      </c>
      <c r="W5" s="2363" t="n">
        <v>0.0371</v>
      </c>
      <c r="X5" s="2363" t="n">
        <v>0</v>
      </c>
      <c r="Y5" s="2363" t="n">
        <v>0.3733</v>
      </c>
      <c r="Z5" s="2363" t="n">
        <v>0.3954</v>
      </c>
      <c r="AA5" s="2363" t="n">
        <v>0.2038</v>
      </c>
      <c r="AB5" s="2363" t="n">
        <v>0</v>
      </c>
      <c r="AC5" s="2363" t="n">
        <v>0.5992</v>
      </c>
      <c r="AD5" s="2363" t="n">
        <v>0.1449</v>
      </c>
      <c r="AE5" s="2363" t="n">
        <v>0.0423</v>
      </c>
      <c r="AF5" s="2363" t="n">
        <v>0.1872</v>
      </c>
      <c r="AG5" s="2363" t="n">
        <v>0.0314</v>
      </c>
      <c r="AH5" s="2363" t="n">
        <v>1.4423</v>
      </c>
      <c r="AI5" s="2363" t="n">
        <v>3.1478</v>
      </c>
      <c r="AJ5" s="2363" t="n">
        <v>4.5902</v>
      </c>
      <c r="AK5" s="2363" t="n">
        <v>7.7428</v>
      </c>
      <c r="AL5" s="2363" t="n">
        <v>0.2758</v>
      </c>
      <c r="AM5" s="2364" t="inlineStr">
        <is>
          <t>2022: other income = damages $500 + misc $2,500; CapEx unit interior</t>
        </is>
      </c>
    </row>
    <row r="6" ht="14.1" customHeight="1" s="1449">
      <c r="A6" s="2358" t="inlineStr">
        <is>
          <t>P001</t>
        </is>
      </c>
      <c r="B6" s="2338" t="n">
        <v>407</v>
      </c>
      <c r="C6" s="2358" t="inlineStr">
        <is>
          <t>R0157664</t>
        </is>
      </c>
      <c r="D6" s="2358" t="inlineStr">
        <is>
          <t>6045 E. 76th Avenue</t>
        </is>
      </c>
      <c r="E6" s="2358" t="inlineStr">
        <is>
          <t>Commerce City</t>
        </is>
      </c>
      <c r="F6" s="2358" t="inlineStr">
        <is>
          <t>CO</t>
        </is>
      </c>
      <c r="G6" s="2358" t="inlineStr">
        <is>
          <t>Light Industrial</t>
        </is>
      </c>
      <c r="H6" s="2358" t="inlineStr">
        <is>
          <t>Distribution Warehouse</t>
        </is>
      </c>
      <c r="I6" s="2359" t="n">
        <v>1988</v>
      </c>
      <c r="J6" s="2359" t="n">
        <v>21000</v>
      </c>
      <c r="K6" s="2359" t="n">
        <v>2023</v>
      </c>
      <c r="L6" s="2360" t="n">
        <v>12.2</v>
      </c>
      <c r="M6" s="2360" t="n">
        <v>0</v>
      </c>
      <c r="N6" s="2360" t="n">
        <v>12.2</v>
      </c>
      <c r="O6" s="2360" t="n">
        <v>0.2794</v>
      </c>
      <c r="P6" s="2360" t="n">
        <v>0.0381</v>
      </c>
      <c r="Q6" s="2360" t="n">
        <v>0.0521</v>
      </c>
      <c r="R6" s="2360" t="n">
        <v>0.0471</v>
      </c>
      <c r="S6" s="2360" t="n">
        <v>0</v>
      </c>
      <c r="T6" s="2360" t="n">
        <v>0.1843</v>
      </c>
      <c r="U6" s="2360" t="n">
        <v>0.0229</v>
      </c>
      <c r="V6" s="2360" t="n">
        <v>0.0294</v>
      </c>
      <c r="W6" s="2360" t="n">
        <v>0</v>
      </c>
      <c r="X6" s="2360" t="n">
        <v>0.0229</v>
      </c>
      <c r="Y6" s="2360" t="n">
        <v>0.3587</v>
      </c>
      <c r="Z6" s="2360" t="n">
        <v>0.4553</v>
      </c>
      <c r="AA6" s="2360" t="n">
        <v>0.1048</v>
      </c>
      <c r="AB6" s="2360" t="n">
        <v>0.1333</v>
      </c>
      <c r="AC6" s="2360" t="n">
        <v>0.6934</v>
      </c>
      <c r="AD6" s="2360" t="n">
        <v>0.3387</v>
      </c>
      <c r="AE6" s="2360" t="n">
        <v>0.0362</v>
      </c>
      <c r="AF6" s="2360" t="n">
        <v>0.3749</v>
      </c>
      <c r="AG6" s="2360" t="n">
        <v>0.0285</v>
      </c>
      <c r="AH6" s="2360" t="n">
        <v>1.5216</v>
      </c>
      <c r="AI6" s="2360" t="n">
        <v>2.8565</v>
      </c>
      <c r="AJ6" s="2360" t="n">
        <v>4.378</v>
      </c>
      <c r="AK6" s="2360" t="n">
        <v>7.822</v>
      </c>
      <c r="AL6" s="2360" t="n">
        <v>0</v>
      </c>
      <c r="AM6" s="2361" t="n"/>
    </row>
    <row r="7" ht="14.1" customHeight="1" s="1449">
      <c r="A7" s="2339" t="inlineStr">
        <is>
          <t>P001</t>
        </is>
      </c>
      <c r="B7" s="2338" t="n">
        <v>407</v>
      </c>
      <c r="C7" s="2339" t="inlineStr">
        <is>
          <t>R0157664</t>
        </is>
      </c>
      <c r="D7" s="2339" t="inlineStr">
        <is>
          <t>6045 E. 76th Avenue</t>
        </is>
      </c>
      <c r="E7" s="2339" t="inlineStr">
        <is>
          <t>Commerce City</t>
        </is>
      </c>
      <c r="F7" s="2339" t="inlineStr">
        <is>
          <t>CO</t>
        </is>
      </c>
      <c r="G7" s="2339" t="inlineStr">
        <is>
          <t>Light Industrial</t>
        </is>
      </c>
      <c r="H7" s="2339" t="inlineStr">
        <is>
          <t>Distribution Warehouse</t>
        </is>
      </c>
      <c r="I7" s="2362" t="n">
        <v>1988</v>
      </c>
      <c r="J7" s="2362" t="n">
        <v>21000</v>
      </c>
      <c r="K7" s="2362" t="n">
        <v>2024</v>
      </c>
      <c r="L7" s="2363" t="n">
        <v>10.93</v>
      </c>
      <c r="M7" s="2363" t="n">
        <v>0</v>
      </c>
      <c r="N7" s="2363" t="n">
        <v>10.93</v>
      </c>
      <c r="O7" s="2363" t="n">
        <v>0.08740000000000001</v>
      </c>
      <c r="P7" s="2363" t="n">
        <v>0.07480000000000001</v>
      </c>
      <c r="Q7" s="2363" t="n">
        <v>0</v>
      </c>
      <c r="R7" s="2363" t="n">
        <v>0</v>
      </c>
      <c r="S7" s="2363" t="n">
        <v>0.381</v>
      </c>
      <c r="T7" s="2363" t="n">
        <v>0.3952</v>
      </c>
      <c r="U7" s="2363" t="n">
        <v>0</v>
      </c>
      <c r="V7" s="2363" t="n">
        <v>0.0083</v>
      </c>
      <c r="W7" s="2363" t="n">
        <v>0</v>
      </c>
      <c r="X7" s="2363" t="n">
        <v>0.039</v>
      </c>
      <c r="Y7" s="2363" t="n">
        <v>0.8236</v>
      </c>
      <c r="Z7" s="2363" t="n">
        <v>0.4048</v>
      </c>
      <c r="AA7" s="2363" t="n">
        <v>0.1595</v>
      </c>
      <c r="AB7" s="2363" t="n">
        <v>0.05</v>
      </c>
      <c r="AC7" s="2363" t="n">
        <v>0.6143</v>
      </c>
      <c r="AD7" s="2363" t="n">
        <v>0.1638</v>
      </c>
      <c r="AE7" s="2363" t="n">
        <v>0.0339</v>
      </c>
      <c r="AF7" s="2363" t="n">
        <v>0.1977</v>
      </c>
      <c r="AG7" s="2363" t="n">
        <v>0.0286</v>
      </c>
      <c r="AH7" s="2363" t="n">
        <v>1.8167</v>
      </c>
      <c r="AI7" s="2363" t="n">
        <v>3.3048</v>
      </c>
      <c r="AJ7" s="2363" t="n">
        <v>5.1216</v>
      </c>
      <c r="AK7" s="2363" t="n">
        <v>5.8085</v>
      </c>
      <c r="AL7" s="2363" t="n">
        <v>0</v>
      </c>
      <c r="AM7" s="2364" t="n"/>
    </row>
    <row r="8" ht="14.1" customHeight="1" s="1449">
      <c r="A8" s="2365" t="inlineStr">
        <is>
          <t>P002</t>
        </is>
      </c>
      <c r="B8" s="2338" t="n">
        <v>344</v>
      </c>
      <c r="C8" s="2365" t="inlineStr">
        <is>
          <t>Unknown</t>
        </is>
      </c>
      <c r="D8" s="2365" t="inlineStr">
        <is>
          <t>13659 E. 104th Ave</t>
        </is>
      </c>
      <c r="E8" s="2365" t="inlineStr">
        <is>
          <t>Adams County</t>
        </is>
      </c>
      <c r="F8" s="2365" t="inlineStr">
        <is>
          <t>CO</t>
        </is>
      </c>
      <c r="G8" s="2365" t="inlineStr">
        <is>
          <t>Office/Commercial</t>
        </is>
      </c>
      <c r="H8" s="2365" t="inlineStr">
        <is>
          <t>Multi-tenant</t>
        </is>
      </c>
      <c r="I8" s="2366" t="n"/>
      <c r="J8" s="2366" t="n"/>
      <c r="K8" s="2366" t="n">
        <v>2023</v>
      </c>
      <c r="L8" s="2365" t="n"/>
      <c r="M8" s="2365" t="n"/>
      <c r="N8" s="2367" t="n">
        <v>258808</v>
      </c>
      <c r="O8" s="2367" t="n">
        <v>3292</v>
      </c>
      <c r="P8" s="2367" t="n">
        <v>18539</v>
      </c>
      <c r="Q8" s="2365" t="n"/>
      <c r="R8" s="2365" t="n"/>
      <c r="S8" s="2365" t="n"/>
      <c r="T8" s="2365" t="n"/>
      <c r="U8" s="2365" t="n"/>
      <c r="V8" s="2365" t="n"/>
      <c r="W8" s="2365" t="n"/>
      <c r="X8" s="2367" t="n">
        <v>24750</v>
      </c>
      <c r="Y8" s="2367" t="n">
        <v>24750</v>
      </c>
      <c r="Z8" s="2365" t="n"/>
      <c r="AA8" s="2367" t="n">
        <v>13331</v>
      </c>
      <c r="AB8" s="2365" t="n"/>
      <c r="AC8" s="2367" t="n">
        <v>13331</v>
      </c>
      <c r="AD8" s="2365" t="n"/>
      <c r="AE8" s="2365" t="n"/>
      <c r="AF8" s="2367" t="n">
        <v>3990</v>
      </c>
      <c r="AG8" s="2367" t="n">
        <v>11264</v>
      </c>
      <c r="AH8" s="2367" t="n">
        <v>75327</v>
      </c>
      <c r="AI8" s="2367" t="n">
        <v>51707</v>
      </c>
      <c r="AJ8" s="2367" t="n">
        <v>127034</v>
      </c>
      <c r="AK8" s="2367" t="n">
        <v>131774</v>
      </c>
      <c r="AL8" s="2365" t="n"/>
      <c r="AM8" s="2368" t="inlineStr">
        <is>
          <t>[NO SF] Insurance: $3,292; Mgmt fee $13,242 + asset mgmt $5,297; Professional svcs $11,264; actuals from BAA operating statement</t>
        </is>
      </c>
    </row>
    <row r="9" ht="14.1" customHeight="1" s="1449">
      <c r="A9" s="2365" t="inlineStr">
        <is>
          <t>P002</t>
        </is>
      </c>
      <c r="B9" s="2338" t="n">
        <v>344</v>
      </c>
      <c r="C9" s="2365" t="inlineStr">
        <is>
          <t>Unknown</t>
        </is>
      </c>
      <c r="D9" s="2365" t="inlineStr">
        <is>
          <t>13659 E. 104th Ave</t>
        </is>
      </c>
      <c r="E9" s="2365" t="inlineStr">
        <is>
          <t>Adams County</t>
        </is>
      </c>
      <c r="F9" s="2365" t="inlineStr">
        <is>
          <t>CO</t>
        </is>
      </c>
      <c r="G9" s="2365" t="inlineStr">
        <is>
          <t>Office/Commercial</t>
        </is>
      </c>
      <c r="H9" s="2365" t="inlineStr">
        <is>
          <t>Multi-tenant</t>
        </is>
      </c>
      <c r="I9" s="2366" t="n"/>
      <c r="J9" s="2366" t="n"/>
      <c r="K9" s="2366" t="n">
        <v>2024</v>
      </c>
      <c r="L9" s="2365" t="n"/>
      <c r="M9" s="2365" t="n"/>
      <c r="N9" s="2367" t="n">
        <v>264959</v>
      </c>
      <c r="O9" s="2367" t="n">
        <v>7442</v>
      </c>
      <c r="P9" s="2367" t="n">
        <v>18228</v>
      </c>
      <c r="Q9" s="2365" t="n"/>
      <c r="R9" s="2365" t="n"/>
      <c r="S9" s="2365" t="n"/>
      <c r="T9" s="2365" t="n"/>
      <c r="U9" s="2365" t="n"/>
      <c r="V9" s="2365" t="n"/>
      <c r="W9" s="2365" t="n"/>
      <c r="X9" s="2367" t="n">
        <v>37394</v>
      </c>
      <c r="Y9" s="2367" t="n">
        <v>37394</v>
      </c>
      <c r="Z9" s="2365" t="n"/>
      <c r="AA9" s="2367" t="n">
        <v>11888</v>
      </c>
      <c r="AB9" s="2365" t="n"/>
      <c r="AC9" s="2367" t="n">
        <v>11888</v>
      </c>
      <c r="AD9" s="2365" t="n"/>
      <c r="AE9" s="2365" t="n"/>
      <c r="AF9" s="2367" t="n">
        <v>5290</v>
      </c>
      <c r="AG9" s="2367" t="n">
        <v>13341</v>
      </c>
      <c r="AH9" s="2367" t="n">
        <v>93583</v>
      </c>
      <c r="AI9" s="2367" t="n">
        <v>44649</v>
      </c>
      <c r="AJ9" s="2367" t="n">
        <v>138232</v>
      </c>
      <c r="AK9" s="2367" t="n">
        <v>126727</v>
      </c>
      <c r="AL9" s="2365" t="n"/>
      <c r="AM9" s="2368" t="inlineStr">
        <is>
          <t>[NO SF] Insurance $7,442; Mgmt fee $13,020 + asset mgmt $5,208; Prof svcs $13,341; Utilities: gas/elec $1,091 + water/sewer $4,199</t>
        </is>
      </c>
    </row>
    <row r="10" ht="14.1" customHeight="1" s="1449">
      <c r="A10" s="2365" t="inlineStr">
        <is>
          <t>P003</t>
        </is>
      </c>
      <c r="B10" s="2338" t="n">
        <v>344</v>
      </c>
      <c r="C10" s="2365" t="inlineStr">
        <is>
          <t>R0024063</t>
        </is>
      </c>
      <c r="D10" s="2365" t="inlineStr">
        <is>
          <t>Park Centre - Wells Fargo Bldg</t>
        </is>
      </c>
      <c r="E10" s="2365" t="inlineStr">
        <is>
          <t>Westminster</t>
        </is>
      </c>
      <c r="F10" s="2365" t="inlineStr">
        <is>
          <t>CO</t>
        </is>
      </c>
      <c r="G10" s="2365" t="inlineStr">
        <is>
          <t>Office</t>
        </is>
      </c>
      <c r="H10" s="2365" t="inlineStr">
        <is>
          <t>Class B Multi-tenant</t>
        </is>
      </c>
      <c r="I10" s="2366" t="n"/>
      <c r="J10" s="2366" t="n">
        <v>49479</v>
      </c>
      <c r="K10" s="2366" t="n">
        <v>2023</v>
      </c>
      <c r="L10" s="2369" t="n">
        <v>20.5729</v>
      </c>
      <c r="M10" s="2369" t="n">
        <v>1.8912</v>
      </c>
      <c r="N10" s="2369" t="n">
        <v>22.4641</v>
      </c>
      <c r="O10" s="2365" t="n"/>
      <c r="P10" s="2365" t="n"/>
      <c r="Q10" s="2365" t="n"/>
      <c r="R10" s="2365" t="n"/>
      <c r="S10" s="2365" t="n"/>
      <c r="T10" s="2365" t="n"/>
      <c r="U10" s="2365" t="n"/>
      <c r="V10" s="2365" t="n"/>
      <c r="W10" s="2365" t="n"/>
      <c r="X10" s="2365" t="n"/>
      <c r="Y10" s="2365" t="n"/>
      <c r="Z10" s="2365" t="n"/>
      <c r="AA10" s="2365" t="n"/>
      <c r="AB10" s="2365" t="n"/>
      <c r="AC10" s="2365" t="n"/>
      <c r="AD10" s="2365" t="n"/>
      <c r="AE10" s="2365" t="n"/>
      <c r="AF10" s="2365" t="n"/>
      <c r="AG10" s="2365" t="n"/>
      <c r="AH10" s="2369" t="n">
        <v>9.165100000000001</v>
      </c>
      <c r="AI10" s="2369" t="n">
        <v>3.7364</v>
      </c>
      <c r="AJ10" s="2369" t="n">
        <v>12.9015</v>
      </c>
      <c r="AK10" s="2369" t="n">
        <v>9.5626</v>
      </c>
      <c r="AL10" s="2365" t="n"/>
      <c r="AM10" s="2368" t="inlineStr">
        <is>
          <t>Westfield managed; recoveries $49,658 + other $43,917 = $93,575; OpEx BT per PROFORMA REVISED.xlsx</t>
        </is>
      </c>
    </row>
    <row r="11" ht="14.1" customHeight="1" s="1449">
      <c r="A11" s="2365" t="inlineStr">
        <is>
          <t>P003</t>
        </is>
      </c>
      <c r="B11" s="2338" t="n">
        <v>344</v>
      </c>
      <c r="C11" s="2365" t="inlineStr">
        <is>
          <t>R0024063</t>
        </is>
      </c>
      <c r="D11" s="2365" t="inlineStr">
        <is>
          <t>Park Centre - Wells Fargo Bldg</t>
        </is>
      </c>
      <c r="E11" s="2365" t="inlineStr">
        <is>
          <t>Westminster</t>
        </is>
      </c>
      <c r="F11" s="2365" t="inlineStr">
        <is>
          <t>CO</t>
        </is>
      </c>
      <c r="G11" s="2365" t="inlineStr">
        <is>
          <t>Office</t>
        </is>
      </c>
      <c r="H11" s="2365" t="inlineStr">
        <is>
          <t>Class B Multi-tenant</t>
        </is>
      </c>
      <c r="I11" s="2366" t="n"/>
      <c r="J11" s="2366" t="n">
        <v>49479</v>
      </c>
      <c r="K11" s="2366" t="n">
        <v>2024</v>
      </c>
      <c r="L11" s="2369" t="n">
        <v>19.0796</v>
      </c>
      <c r="M11" s="2369" t="n">
        <v>1.5757</v>
      </c>
      <c r="N11" s="2369" t="n">
        <v>20.6553</v>
      </c>
      <c r="O11" s="2365" t="n"/>
      <c r="P11" s="2365" t="n"/>
      <c r="Q11" s="2365" t="n"/>
      <c r="R11" s="2365" t="n"/>
      <c r="S11" s="2365" t="n"/>
      <c r="T11" s="2365" t="n"/>
      <c r="U11" s="2365" t="n"/>
      <c r="V11" s="2365" t="n"/>
      <c r="W11" s="2365" t="n"/>
      <c r="X11" s="2365" t="n"/>
      <c r="Y11" s="2365" t="n"/>
      <c r="Z11" s="2365" t="n"/>
      <c r="AA11" s="2365" t="n"/>
      <c r="AB11" s="2365" t="n"/>
      <c r="AC11" s="2365" t="n"/>
      <c r="AD11" s="2365" t="n"/>
      <c r="AE11" s="2365" t="n"/>
      <c r="AF11" s="2365" t="n"/>
      <c r="AG11" s="2365" t="n"/>
      <c r="AH11" s="2369" t="n">
        <v>9.867599999999999</v>
      </c>
      <c r="AI11" s="2369" t="n">
        <v>3.6292</v>
      </c>
      <c r="AJ11" s="2369" t="n">
        <v>13.4968</v>
      </c>
      <c r="AK11" s="2369" t="n">
        <v>7.1585</v>
      </c>
      <c r="AL11" s="2365" t="n"/>
      <c r="AM11" s="2368" t="inlineStr">
        <is>
          <t>Recoveries $21,696 + other $56,266; OpEx BT per PROFORMA REVISED.xlsx; NOI decline reflects higher vacancy</t>
        </is>
      </c>
    </row>
    <row r="12" ht="14.1" customHeight="1" s="1449">
      <c r="A12" s="2358" t="inlineStr">
        <is>
          <t>P004</t>
        </is>
      </c>
      <c r="B12" s="2338" t="n">
        <v>412</v>
      </c>
      <c r="C12" s="2358" t="inlineStr">
        <is>
          <t>R0050221</t>
        </is>
      </c>
      <c r="D12" s="2358" t="inlineStr">
        <is>
          <t>8860 Federal Blvd</t>
        </is>
      </c>
      <c r="E12" s="2358" t="inlineStr">
        <is>
          <t>Adams County</t>
        </is>
      </c>
      <c r="F12" s="2358" t="inlineStr">
        <is>
          <t>CO</t>
        </is>
      </c>
      <c r="G12" s="2358" t="inlineStr">
        <is>
          <t>Retail</t>
        </is>
      </c>
      <c r="H12" s="2358" t="inlineStr">
        <is>
          <t>Strip/Multi-tenant</t>
        </is>
      </c>
      <c r="I12" s="2359" t="n"/>
      <c r="J12" s="2359" t="n">
        <v>65850</v>
      </c>
      <c r="K12" s="2359" t="n">
        <v>2023</v>
      </c>
      <c r="L12" s="2358" t="n"/>
      <c r="M12" s="2358" t="n"/>
      <c r="N12" s="2360" t="n">
        <v>8.6678</v>
      </c>
      <c r="O12" s="2358" t="n"/>
      <c r="P12" s="2358" t="n"/>
      <c r="Q12" s="2358" t="n"/>
      <c r="R12" s="2358" t="n"/>
      <c r="S12" s="2358" t="n"/>
      <c r="T12" s="2358" t="n"/>
      <c r="U12" s="2358" t="n"/>
      <c r="V12" s="2358" t="n"/>
      <c r="W12" s="2358" t="n"/>
      <c r="X12" s="2358" t="n"/>
      <c r="Y12" s="2358" t="n"/>
      <c r="Z12" s="2358" t="n"/>
      <c r="AA12" s="2358" t="n"/>
      <c r="AB12" s="2358" t="n"/>
      <c r="AC12" s="2358" t="n"/>
      <c r="AD12" s="2358" t="n"/>
      <c r="AE12" s="2358" t="n"/>
      <c r="AF12" s="2358" t="n"/>
      <c r="AG12" s="2358" t="n"/>
      <c r="AH12" s="2358" t="n"/>
      <c r="AI12" s="2360" t="n">
        <v>1.1238</v>
      </c>
      <c r="AJ12" s="2360" t="n">
        <v>4.0992</v>
      </c>
      <c r="AK12" s="2360" t="n">
        <v>4.5686</v>
      </c>
      <c r="AL12" s="2358" t="n"/>
      <c r="AM12" s="2361" t="inlineStr">
        <is>
          <t>RE Tax estimated ~$74k (2023 not detailed); Total OpEx per actuals submission; NOI confirmed</t>
        </is>
      </c>
    </row>
    <row r="13" ht="14.1" customHeight="1" s="1449">
      <c r="A13" s="2339" t="inlineStr">
        <is>
          <t>P004</t>
        </is>
      </c>
      <c r="B13" s="2338" t="n">
        <v>412</v>
      </c>
      <c r="C13" s="2339" t="inlineStr">
        <is>
          <t>R0050221</t>
        </is>
      </c>
      <c r="D13" s="2339" t="inlineStr">
        <is>
          <t>8860 Federal Blvd</t>
        </is>
      </c>
      <c r="E13" s="2339" t="inlineStr">
        <is>
          <t>Adams County</t>
        </is>
      </c>
      <c r="F13" s="2339" t="inlineStr">
        <is>
          <t>CO</t>
        </is>
      </c>
      <c r="G13" s="2339" t="inlineStr">
        <is>
          <t>Retail</t>
        </is>
      </c>
      <c r="H13" s="2339" t="inlineStr">
        <is>
          <t>Strip/Multi-tenant</t>
        </is>
      </c>
      <c r="I13" s="2362" t="n"/>
      <c r="J13" s="2362" t="n">
        <v>65850</v>
      </c>
      <c r="K13" s="2362" t="n">
        <v>2024</v>
      </c>
      <c r="L13" s="2339" t="n"/>
      <c r="M13" s="2339" t="n"/>
      <c r="N13" s="2363" t="n">
        <v>8.926600000000001</v>
      </c>
      <c r="O13" s="2363" t="n">
        <v>0.7779</v>
      </c>
      <c r="P13" s="2339" t="n"/>
      <c r="Q13" s="2339" t="n"/>
      <c r="R13" s="2339" t="n"/>
      <c r="S13" s="2339" t="n"/>
      <c r="T13" s="2339" t="n"/>
      <c r="U13" s="2339" t="n"/>
      <c r="V13" s="2339" t="n"/>
      <c r="W13" s="2339" t="n"/>
      <c r="X13" s="2363" t="n">
        <v>0.4392</v>
      </c>
      <c r="Y13" s="2363" t="n">
        <v>0.4392</v>
      </c>
      <c r="Z13" s="2363" t="n">
        <v>0.2667</v>
      </c>
      <c r="AA13" s="2363" t="n">
        <v>0.0304</v>
      </c>
      <c r="AB13" s="2363" t="n">
        <v>0.0529</v>
      </c>
      <c r="AC13" s="2363" t="n">
        <v>0.35</v>
      </c>
      <c r="AD13" s="2363" t="n">
        <v>0.1958</v>
      </c>
      <c r="AE13" s="2363" t="n">
        <v>0.1081</v>
      </c>
      <c r="AF13" s="2363" t="n">
        <v>0.3039</v>
      </c>
      <c r="AG13" s="2363" t="n">
        <v>0.1667</v>
      </c>
      <c r="AH13" s="2363" t="n">
        <v>2.4196</v>
      </c>
      <c r="AI13" s="2363" t="n">
        <v>1.6016</v>
      </c>
      <c r="AJ13" s="2363" t="n">
        <v>4.0212</v>
      </c>
      <c r="AK13" s="2363" t="n">
        <v>4.9054</v>
      </c>
      <c r="AL13" s="2339" t="n"/>
      <c r="AM13" s="2364" t="inlineStr">
        <is>
          <t>Detailed 2024 actuals; R&amp;M includes CAM component $261; insurance unusually high at $51,223; drainage/lighting included in Other</t>
        </is>
      </c>
    </row>
    <row r="14" ht="14.1" customHeight="1" s="1449">
      <c r="A14" s="2365" t="inlineStr">
        <is>
          <t>P005</t>
        </is>
      </c>
      <c r="B14" s="2338" t="n">
        <v>344</v>
      </c>
      <c r="C14" s="2365" t="inlineStr">
        <is>
          <t>R0050977</t>
        </is>
      </c>
      <c r="D14" s="2365" t="inlineStr">
        <is>
          <t>9351 Grant St (Horizon Terrace)</t>
        </is>
      </c>
      <c r="E14" s="2365" t="inlineStr">
        <is>
          <t>Thornton</t>
        </is>
      </c>
      <c r="F14" s="2365" t="inlineStr">
        <is>
          <t>CO</t>
        </is>
      </c>
      <c r="G14" s="2365" t="inlineStr">
        <is>
          <t>Office</t>
        </is>
      </c>
      <c r="H14" s="2365" t="inlineStr">
        <is>
          <t>Class B Multi-story</t>
        </is>
      </c>
      <c r="I14" s="2366" t="n"/>
      <c r="J14" s="2366" t="n">
        <v>91646</v>
      </c>
      <c r="K14" s="2366" t="n">
        <v>2023</v>
      </c>
      <c r="L14" s="2369" t="n">
        <v>21.9536</v>
      </c>
      <c r="M14" s="2369" t="n">
        <v>2.4799</v>
      </c>
      <c r="N14" s="2369" t="n">
        <v>24.4335</v>
      </c>
      <c r="O14" s="2369" t="n">
        <v>0.2665</v>
      </c>
      <c r="P14" s="2369" t="n">
        <v>1.4405</v>
      </c>
      <c r="Q14" s="2365" t="n"/>
      <c r="R14" s="2365" t="n"/>
      <c r="S14" s="2365" t="n"/>
      <c r="T14" s="2365" t="n"/>
      <c r="U14" s="2365" t="n"/>
      <c r="V14" s="2365" t="n"/>
      <c r="W14" s="2365" t="n"/>
      <c r="X14" s="2369" t="n">
        <v>1.5772</v>
      </c>
      <c r="Y14" s="2369" t="n">
        <v>1.5772</v>
      </c>
      <c r="Z14" s="2365" t="n"/>
      <c r="AA14" s="2369" t="n">
        <v>1.1869</v>
      </c>
      <c r="AB14" s="2369" t="n">
        <v>0.7112000000000001</v>
      </c>
      <c r="AC14" s="2369" t="n">
        <v>2.9825</v>
      </c>
      <c r="AD14" s="2369" t="n">
        <v>0.1611</v>
      </c>
      <c r="AE14" s="2369" t="n">
        <v>2.4615</v>
      </c>
      <c r="AF14" s="2369" t="n">
        <v>2.6226</v>
      </c>
      <c r="AG14" s="2369" t="n">
        <v>0.3593</v>
      </c>
      <c r="AH14" s="2369" t="n">
        <v>9.229100000000001</v>
      </c>
      <c r="AI14" s="2369" t="n">
        <v>4.0592</v>
      </c>
      <c r="AJ14" s="2369" t="n">
        <v>13.2884</v>
      </c>
      <c r="AK14" s="2369" t="n">
        <v>11.1451</v>
      </c>
      <c r="AL14" s="2365" t="n"/>
      <c r="AM14" s="2368" t="inlineStr">
        <is>
          <t>Full-service office: janitorial $164,559 in contract total; security/life safety $29,726 in Other; landscape incl snow $65,183; 2023 actuals confirmed</t>
        </is>
      </c>
    </row>
    <row r="15" ht="14.1" customHeight="1" s="1449">
      <c r="A15" s="2365" t="inlineStr">
        <is>
          <t>P005</t>
        </is>
      </c>
      <c r="B15" s="2338" t="n">
        <v>344</v>
      </c>
      <c r="C15" s="2365" t="inlineStr">
        <is>
          <t>R0050977</t>
        </is>
      </c>
      <c r="D15" s="2365" t="inlineStr">
        <is>
          <t>9351 Grant St (Horizon Terrace)</t>
        </is>
      </c>
      <c r="E15" s="2365" t="inlineStr">
        <is>
          <t>Thornton</t>
        </is>
      </c>
      <c r="F15" s="2365" t="inlineStr">
        <is>
          <t>CO</t>
        </is>
      </c>
      <c r="G15" s="2365" t="inlineStr">
        <is>
          <t>Office</t>
        </is>
      </c>
      <c r="H15" s="2365" t="inlineStr">
        <is>
          <t>Class B Multi-story</t>
        </is>
      </c>
      <c r="I15" s="2366" t="n"/>
      <c r="J15" s="2366" t="n">
        <v>91646</v>
      </c>
      <c r="K15" s="2366" t="n">
        <v>2024</v>
      </c>
      <c r="L15" s="2369" t="n">
        <v>22.3966</v>
      </c>
      <c r="M15" s="2369" t="n">
        <v>2.9417</v>
      </c>
      <c r="N15" s="2369" t="n">
        <v>25.3383</v>
      </c>
      <c r="O15" s="2369" t="n">
        <v>0.2648</v>
      </c>
      <c r="P15" s="2369" t="n">
        <v>1.6305</v>
      </c>
      <c r="Q15" s="2365" t="n"/>
      <c r="R15" s="2365" t="n"/>
      <c r="S15" s="2365" t="n"/>
      <c r="T15" s="2365" t="n"/>
      <c r="U15" s="2365" t="n"/>
      <c r="V15" s="2365" t="n"/>
      <c r="W15" s="2365" t="n"/>
      <c r="X15" s="2369" t="n">
        <v>1.6418</v>
      </c>
      <c r="Y15" s="2369" t="n">
        <v>1.6418</v>
      </c>
      <c r="Z15" s="2365" t="n"/>
      <c r="AA15" s="2369" t="n">
        <v>1.1913</v>
      </c>
      <c r="AB15" s="2365" t="n"/>
      <c r="AC15" s="2369" t="n">
        <v>2.8658</v>
      </c>
      <c r="AD15" s="2365" t="n"/>
      <c r="AE15" s="2365" t="n"/>
      <c r="AF15" s="2369" t="n">
        <v>2.5334</v>
      </c>
      <c r="AG15" s="2369" t="n">
        <v>0.4083</v>
      </c>
      <c r="AH15" s="2369" t="n">
        <v>9.3445</v>
      </c>
      <c r="AI15" s="2369" t="n">
        <v>4.5128</v>
      </c>
      <c r="AJ15" s="2369" t="n">
        <v>13.8574</v>
      </c>
      <c r="AK15" s="2369" t="n">
        <v>11.4809</v>
      </c>
      <c r="AL15" s="2365" t="n"/>
      <c r="AM15" s="2368" t="inlineStr">
        <is>
          <t>2024 actuals; janitorial $153,462 in contract total; security $32,603 in Other; sales/use tax $4,813 in Other</t>
        </is>
      </c>
    </row>
    <row r="16" ht="14.1" customHeight="1" s="1449">
      <c r="A16" s="2365" t="inlineStr">
        <is>
          <t>P006</t>
        </is>
      </c>
      <c r="B16" s="2338" t="n">
        <v>210</v>
      </c>
      <c r="C16" s="2365" t="inlineStr">
        <is>
          <t>R0062937</t>
        </is>
      </c>
      <c r="D16" s="2365" t="inlineStr">
        <is>
          <t>8670 Wolff Ct (Sheridan Park 8)</t>
        </is>
      </c>
      <c r="E16" s="2365" t="inlineStr">
        <is>
          <t>Westminster</t>
        </is>
      </c>
      <c r="F16" s="2365" t="inlineStr">
        <is>
          <t>CO</t>
        </is>
      </c>
      <c r="G16" s="2365" t="inlineStr">
        <is>
          <t>Office/Flex</t>
        </is>
      </c>
      <c r="H16" s="2365" t="inlineStr">
        <is>
          <t>Multi-tenant</t>
        </is>
      </c>
      <c r="I16" s="2366" t="n"/>
      <c r="J16" s="2366" t="n">
        <v>37078</v>
      </c>
      <c r="K16" s="2366" t="n">
        <v>2020</v>
      </c>
      <c r="L16" s="2365" t="n"/>
      <c r="M16" s="2365" t="n"/>
      <c r="N16" s="2365" t="n"/>
      <c r="O16" s="2369" t="n">
        <v>0.1558</v>
      </c>
      <c r="P16" s="2369" t="n">
        <v>0.5259</v>
      </c>
      <c r="Q16" s="2365" t="n"/>
      <c r="R16" s="2365" t="n"/>
      <c r="S16" s="2365" t="n"/>
      <c r="T16" s="2365" t="n"/>
      <c r="U16" s="2365" t="n"/>
      <c r="V16" s="2365" t="n"/>
      <c r="W16" s="2365" t="n"/>
      <c r="X16" s="2365" t="n"/>
      <c r="Y16" s="2365" t="n"/>
      <c r="Z16" s="2365" t="n"/>
      <c r="AA16" s="2365" t="n"/>
      <c r="AB16" s="2365" t="n"/>
      <c r="AC16" s="2369" t="n">
        <v>3.6056</v>
      </c>
      <c r="AD16" s="2365" t="n"/>
      <c r="AE16" s="2365" t="n"/>
      <c r="AF16" s="2369" t="n">
        <v>3.1372</v>
      </c>
      <c r="AG16" s="2365" t="n"/>
      <c r="AH16" s="2369" t="n">
        <v>7.4245</v>
      </c>
      <c r="AI16" s="2369" t="n">
        <v>2.3924</v>
      </c>
      <c r="AJ16" s="2369" t="n">
        <v>9.8169</v>
      </c>
      <c r="AK16" s="2365" t="n"/>
      <c r="AL16" s="2365" t="n"/>
      <c r="AM16" s="2368" t="inlineStr">
        <is>
          <t>Income not available; expense-only from DYCO CAM history; CAM in contract total</t>
        </is>
      </c>
    </row>
    <row r="17" ht="14.1" customHeight="1" s="1449">
      <c r="A17" s="2365" t="inlineStr">
        <is>
          <t>P006</t>
        </is>
      </c>
      <c r="B17" s="2338" t="n">
        <v>210</v>
      </c>
      <c r="C17" s="2365" t="inlineStr">
        <is>
          <t>R0062937</t>
        </is>
      </c>
      <c r="D17" s="2365" t="inlineStr">
        <is>
          <t>8670 Wolff Ct (Sheridan Park 8)</t>
        </is>
      </c>
      <c r="E17" s="2365" t="inlineStr">
        <is>
          <t>Westminster</t>
        </is>
      </c>
      <c r="F17" s="2365" t="inlineStr">
        <is>
          <t>CO</t>
        </is>
      </c>
      <c r="G17" s="2365" t="inlineStr">
        <is>
          <t>Office/Flex</t>
        </is>
      </c>
      <c r="H17" s="2365" t="inlineStr">
        <is>
          <t>Multi-tenant</t>
        </is>
      </c>
      <c r="I17" s="2366" t="n"/>
      <c r="J17" s="2366" t="n">
        <v>37078</v>
      </c>
      <c r="K17" s="2366" t="n">
        <v>2021</v>
      </c>
      <c r="L17" s="2365" t="n"/>
      <c r="M17" s="2365" t="n"/>
      <c r="N17" s="2365" t="n"/>
      <c r="O17" s="2369" t="n">
        <v>0.1841</v>
      </c>
      <c r="P17" s="2369" t="n">
        <v>0.4855</v>
      </c>
      <c r="Q17" s="2365" t="n"/>
      <c r="R17" s="2365" t="n"/>
      <c r="S17" s="2365" t="n"/>
      <c r="T17" s="2365" t="n"/>
      <c r="U17" s="2365" t="n"/>
      <c r="V17" s="2365" t="n"/>
      <c r="W17" s="2365" t="n"/>
      <c r="X17" s="2365" t="n"/>
      <c r="Y17" s="2365" t="n"/>
      <c r="Z17" s="2365" t="n"/>
      <c r="AA17" s="2365" t="n"/>
      <c r="AB17" s="2365" t="n"/>
      <c r="AC17" s="2369" t="n">
        <v>2.8189</v>
      </c>
      <c r="AD17" s="2365" t="n"/>
      <c r="AE17" s="2365" t="n"/>
      <c r="AF17" s="2369" t="n">
        <v>2.9359</v>
      </c>
      <c r="AG17" s="2365" t="n"/>
      <c r="AH17" s="2369" t="n">
        <v>6.4243</v>
      </c>
      <c r="AI17" s="2369" t="n">
        <v>2.2709</v>
      </c>
      <c r="AJ17" s="2369" t="n">
        <v>8.6952</v>
      </c>
      <c r="AK17" s="2365" t="n"/>
      <c r="AL17" s="2365" t="n"/>
      <c r="AM17" s="2368" t="inlineStr">
        <is>
          <t>Income not available; expense-only from DYCO CAM history</t>
        </is>
      </c>
    </row>
    <row r="18" ht="14.1" customHeight="1" s="1449">
      <c r="A18" s="2365" t="inlineStr">
        <is>
          <t>P006</t>
        </is>
      </c>
      <c r="B18" s="2338" t="n">
        <v>210</v>
      </c>
      <c r="C18" s="2365" t="inlineStr">
        <is>
          <t>R0062937</t>
        </is>
      </c>
      <c r="D18" s="2365" t="inlineStr">
        <is>
          <t>8670 Wolff Ct (Sheridan Park 8)</t>
        </is>
      </c>
      <c r="E18" s="2365" t="inlineStr">
        <is>
          <t>Westminster</t>
        </is>
      </c>
      <c r="F18" s="2365" t="inlineStr">
        <is>
          <t>CO</t>
        </is>
      </c>
      <c r="G18" s="2365" t="inlineStr">
        <is>
          <t>Office/Flex</t>
        </is>
      </c>
      <c r="H18" s="2365" t="inlineStr">
        <is>
          <t>Multi-tenant</t>
        </is>
      </c>
      <c r="I18" s="2366" t="n"/>
      <c r="J18" s="2366" t="n">
        <v>37078</v>
      </c>
      <c r="K18" s="2366" t="n">
        <v>2022</v>
      </c>
      <c r="L18" s="2365" t="n"/>
      <c r="M18" s="2365" t="n"/>
      <c r="N18" s="2365" t="n"/>
      <c r="O18" s="2369" t="n">
        <v>0.2122</v>
      </c>
      <c r="P18" s="2369" t="n">
        <v>0.5651</v>
      </c>
      <c r="Q18" s="2365" t="n"/>
      <c r="R18" s="2365" t="n"/>
      <c r="S18" s="2365" t="n"/>
      <c r="T18" s="2365" t="n"/>
      <c r="U18" s="2365" t="n"/>
      <c r="V18" s="2365" t="n"/>
      <c r="W18" s="2365" t="n"/>
      <c r="X18" s="2365" t="n"/>
      <c r="Y18" s="2365" t="n"/>
      <c r="Z18" s="2365" t="n"/>
      <c r="AA18" s="2365" t="n"/>
      <c r="AB18" s="2365" t="n"/>
      <c r="AC18" s="2369" t="n">
        <v>3.0261</v>
      </c>
      <c r="AD18" s="2365" t="n"/>
      <c r="AE18" s="2365" t="n"/>
      <c r="AF18" s="2369" t="n">
        <v>3.0198</v>
      </c>
      <c r="AG18" s="2365" t="n"/>
      <c r="AH18" s="2369" t="n">
        <v>6.8231</v>
      </c>
      <c r="AI18" s="2369" t="n">
        <v>3.6987</v>
      </c>
      <c r="AJ18" s="2369" t="n">
        <v>10.5219</v>
      </c>
      <c r="AK18" s="2365" t="n"/>
      <c r="AL18" s="2365" t="n"/>
      <c r="AM18" s="2368" t="inlineStr">
        <is>
          <t>Income not available; expense-only from DYCO CAM history; RE Tax jumped from $84k to $137k (reval year)</t>
        </is>
      </c>
    </row>
    <row r="19" ht="14.1" customHeight="1" s="1449">
      <c r="A19" s="2365" t="inlineStr">
        <is>
          <t>P006</t>
        </is>
      </c>
      <c r="B19" s="2338" t="n">
        <v>210</v>
      </c>
      <c r="C19" s="2365" t="inlineStr">
        <is>
          <t>R0062937</t>
        </is>
      </c>
      <c r="D19" s="2365" t="inlineStr">
        <is>
          <t>8670 Wolff Ct (Sheridan Park 8)</t>
        </is>
      </c>
      <c r="E19" s="2365" t="inlineStr">
        <is>
          <t>Westminster</t>
        </is>
      </c>
      <c r="F19" s="2365" t="inlineStr">
        <is>
          <t>CO</t>
        </is>
      </c>
      <c r="G19" s="2365" t="inlineStr">
        <is>
          <t>Office/Flex</t>
        </is>
      </c>
      <c r="H19" s="2365" t="inlineStr">
        <is>
          <t>Multi-tenant</t>
        </is>
      </c>
      <c r="I19" s="2366" t="n"/>
      <c r="J19" s="2366" t="n">
        <v>37078</v>
      </c>
      <c r="K19" s="2366" t="n">
        <v>2023</v>
      </c>
      <c r="L19" s="2365" t="n"/>
      <c r="M19" s="2365" t="n"/>
      <c r="N19" s="2365" t="n"/>
      <c r="O19" s="2369" t="n">
        <v>0.2334</v>
      </c>
      <c r="P19" s="2369" t="n">
        <v>0.4855</v>
      </c>
      <c r="Q19" s="2365" t="n"/>
      <c r="R19" s="2365" t="n"/>
      <c r="S19" s="2365" t="n"/>
      <c r="T19" s="2365" t="n"/>
      <c r="U19" s="2365" t="n"/>
      <c r="V19" s="2365" t="n"/>
      <c r="W19" s="2365" t="n"/>
      <c r="X19" s="2365" t="n"/>
      <c r="Y19" s="2365" t="n"/>
      <c r="Z19" s="2365" t="n"/>
      <c r="AA19" s="2365" t="n"/>
      <c r="AB19" s="2365" t="n"/>
      <c r="AC19" s="2369" t="n">
        <v>3.1419</v>
      </c>
      <c r="AD19" s="2365" t="n"/>
      <c r="AE19" s="2365" t="n"/>
      <c r="AF19" s="2369" t="n">
        <v>3.018</v>
      </c>
      <c r="AG19" s="2365" t="n"/>
      <c r="AH19" s="2369" t="n">
        <v>6.8788</v>
      </c>
      <c r="AI19" s="2369" t="n">
        <v>3.554</v>
      </c>
      <c r="AJ19" s="2369" t="n">
        <v>10.4328</v>
      </c>
      <c r="AK19" s="2365" t="n"/>
      <c r="AL19" s="2365" t="n"/>
      <c r="AM19" s="2368" t="inlineStr">
        <is>
          <t>Income not available; 2023 YTD annualized per DYCO</t>
        </is>
      </c>
    </row>
    <row r="20" ht="14.1" customHeight="1" s="1449">
      <c r="A20" s="2365" t="inlineStr">
        <is>
          <t>P006</t>
        </is>
      </c>
      <c r="B20" s="2338" t="n">
        <v>210</v>
      </c>
      <c r="C20" s="2365" t="inlineStr">
        <is>
          <t>R0062937</t>
        </is>
      </c>
      <c r="D20" s="2365" t="inlineStr">
        <is>
          <t>8670 Wolff Ct (Sheridan Park 8)</t>
        </is>
      </c>
      <c r="E20" s="2365" t="inlineStr">
        <is>
          <t>Westminster</t>
        </is>
      </c>
      <c r="F20" s="2365" t="inlineStr">
        <is>
          <t>CO</t>
        </is>
      </c>
      <c r="G20" s="2365" t="inlineStr">
        <is>
          <t>Office/Flex</t>
        </is>
      </c>
      <c r="H20" s="2365" t="inlineStr">
        <is>
          <t>Multi-tenant</t>
        </is>
      </c>
      <c r="I20" s="2366" t="n"/>
      <c r="J20" s="2366" t="n">
        <v>37078</v>
      </c>
      <c r="K20" s="2366" t="n">
        <v>2024</v>
      </c>
      <c r="L20" s="2365" t="n"/>
      <c r="M20" s="2365" t="n"/>
      <c r="N20" s="2365" t="n"/>
      <c r="O20" s="2369" t="n">
        <v>0.2334</v>
      </c>
      <c r="P20" s="2369" t="n">
        <v>0.5826</v>
      </c>
      <c r="Q20" s="2365" t="n"/>
      <c r="R20" s="2365" t="n"/>
      <c r="S20" s="2365" t="n"/>
      <c r="T20" s="2365" t="n"/>
      <c r="U20" s="2365" t="n"/>
      <c r="V20" s="2365" t="n"/>
      <c r="W20" s="2365" t="n"/>
      <c r="X20" s="2365" t="n"/>
      <c r="Y20" s="2365" t="n"/>
      <c r="Z20" s="2365" t="n"/>
      <c r="AA20" s="2365" t="n"/>
      <c r="AB20" s="2365" t="n"/>
      <c r="AC20" s="2369" t="n">
        <v>3.7703</v>
      </c>
      <c r="AD20" s="2365" t="n"/>
      <c r="AE20" s="2365" t="n"/>
      <c r="AF20" s="2369" t="n">
        <v>3.6217</v>
      </c>
      <c r="AG20" s="2365" t="n"/>
      <c r="AH20" s="2369" t="n">
        <v>8.2079</v>
      </c>
      <c r="AI20" s="2369" t="n">
        <v>3.554</v>
      </c>
      <c r="AJ20" s="2369" t="n">
        <v>11.7619</v>
      </c>
      <c r="AK20" s="2365" t="n"/>
      <c r="AL20" s="2365" t="n"/>
      <c r="AM20" s="2368" t="inlineStr">
        <is>
          <t>Income not available; 2024 actuals per DYCO CAM history</t>
        </is>
      </c>
    </row>
    <row r="21" ht="14.1" customHeight="1" s="1449">
      <c r="A21" s="2365" t="inlineStr">
        <is>
          <t>P007</t>
        </is>
      </c>
      <c r="B21" s="2338" t="n">
        <v>341</v>
      </c>
      <c r="C21" s="2365" t="inlineStr">
        <is>
          <t>R0062944</t>
        </is>
      </c>
      <c r="D21" s="2365" t="inlineStr">
        <is>
          <t>8787 (medical office complex)</t>
        </is>
      </c>
      <c r="E21" s="2365" t="inlineStr">
        <is>
          <t>Adams County</t>
        </is>
      </c>
      <c r="F21" s="2365" t="inlineStr">
        <is>
          <t>CO</t>
        </is>
      </c>
      <c r="G21" s="2365" t="inlineStr">
        <is>
          <t>Medical Office</t>
        </is>
      </c>
      <c r="H21" s="2365" t="inlineStr">
        <is>
          <t>Multi-tenant</t>
        </is>
      </c>
      <c r="I21" s="2366" t="n"/>
      <c r="J21" s="2366" t="n">
        <v>19430</v>
      </c>
      <c r="K21" s="2366" t="n">
        <v>2023</v>
      </c>
      <c r="L21" s="2365" t="n"/>
      <c r="M21" s="2365" t="n"/>
      <c r="N21" s="2369" t="n">
        <v>20.2681</v>
      </c>
      <c r="O21" s="2369" t="n">
        <v>0.4882</v>
      </c>
      <c r="P21" s="2369" t="n">
        <v>0.525</v>
      </c>
      <c r="Q21" s="2365" t="n"/>
      <c r="R21" s="2365" t="n"/>
      <c r="S21" s="2365" t="n"/>
      <c r="T21" s="2365" t="n"/>
      <c r="U21" s="2369" t="n">
        <v>1.1125</v>
      </c>
      <c r="V21" s="2365" t="n"/>
      <c r="W21" s="2365" t="n"/>
      <c r="X21" s="2369" t="n">
        <v>1.365</v>
      </c>
      <c r="Y21" s="2369" t="n">
        <v>1.365</v>
      </c>
      <c r="Z21" s="2369" t="n">
        <v>0.1046</v>
      </c>
      <c r="AA21" s="2369" t="n">
        <v>0.6014</v>
      </c>
      <c r="AB21" s="2369" t="n">
        <v>0.3262</v>
      </c>
      <c r="AC21" s="2369" t="n">
        <v>1.0322</v>
      </c>
      <c r="AD21" s="2369" t="n">
        <v>0.3942</v>
      </c>
      <c r="AE21" s="2369" t="n">
        <v>1.9391</v>
      </c>
      <c r="AF21" s="2369" t="n">
        <v>2.3333</v>
      </c>
      <c r="AG21" s="2369" t="n">
        <v>0.9338</v>
      </c>
      <c r="AH21" s="2369" t="n">
        <v>7.7898</v>
      </c>
      <c r="AI21" s="2369" t="n">
        <v>2.7482</v>
      </c>
      <c r="AJ21" s="2369" t="n">
        <v>10.5379</v>
      </c>
      <c r="AK21" s="2369" t="n">
        <v>9.7302</v>
      </c>
      <c r="AL21" s="2365" t="n"/>
      <c r="AM21" s="2368" t="inlineStr">
        <is>
          <t>HVAC maint $21,615 included in R&amp;M; janitorial $16,418 in Other; professional svcs $1,726 in Other; 2023 actuals</t>
        </is>
      </c>
    </row>
    <row r="22" ht="14.1" customHeight="1" s="1449">
      <c r="A22" s="2365" t="inlineStr">
        <is>
          <t>P007</t>
        </is>
      </c>
      <c r="B22" s="2338" t="n">
        <v>341</v>
      </c>
      <c r="C22" s="2365" t="inlineStr">
        <is>
          <t>R0062944</t>
        </is>
      </c>
      <c r="D22" s="2365" t="inlineStr">
        <is>
          <t>8787 (medical office complex)</t>
        </is>
      </c>
      <c r="E22" s="2365" t="inlineStr">
        <is>
          <t>Adams County</t>
        </is>
      </c>
      <c r="F22" s="2365" t="inlineStr">
        <is>
          <t>CO</t>
        </is>
      </c>
      <c r="G22" s="2365" t="inlineStr">
        <is>
          <t>Medical Office</t>
        </is>
      </c>
      <c r="H22" s="2365" t="inlineStr">
        <is>
          <t>Multi-tenant</t>
        </is>
      </c>
      <c r="I22" s="2366" t="n"/>
      <c r="J22" s="2366" t="n">
        <v>19430</v>
      </c>
      <c r="K22" s="2366" t="n">
        <v>2024</v>
      </c>
      <c r="L22" s="2365" t="n"/>
      <c r="M22" s="2365" t="n"/>
      <c r="N22" s="2369" t="n">
        <v>20.0976</v>
      </c>
      <c r="O22" s="2369" t="n">
        <v>0.7185</v>
      </c>
      <c r="P22" s="2369" t="n">
        <v>1.9878</v>
      </c>
      <c r="Q22" s="2365" t="n"/>
      <c r="R22" s="2365" t="n"/>
      <c r="S22" s="2365" t="n"/>
      <c r="T22" s="2365" t="n"/>
      <c r="U22" s="2369" t="n">
        <v>0.6725</v>
      </c>
      <c r="V22" s="2365" t="n"/>
      <c r="W22" s="2365" t="n"/>
      <c r="X22" s="2369" t="n">
        <v>1.3296</v>
      </c>
      <c r="Y22" s="2369" t="n">
        <v>1.3296</v>
      </c>
      <c r="Z22" s="2369" t="n">
        <v>0.1008</v>
      </c>
      <c r="AA22" s="2369" t="n">
        <v>0.8078</v>
      </c>
      <c r="AB22" s="2369" t="n">
        <v>0.3029</v>
      </c>
      <c r="AC22" s="2369" t="n">
        <v>1.2115</v>
      </c>
      <c r="AD22" s="2369" t="n">
        <v>0.3305</v>
      </c>
      <c r="AE22" s="2369" t="n">
        <v>1.7022</v>
      </c>
      <c r="AF22" s="2369" t="n">
        <v>2.0327</v>
      </c>
      <c r="AG22" s="2369" t="n">
        <v>0.8246</v>
      </c>
      <c r="AH22" s="2369" t="n">
        <v>8.777100000000001</v>
      </c>
      <c r="AI22" s="2369" t="n">
        <v>3.2527</v>
      </c>
      <c r="AJ22" s="2369" t="n">
        <v>12.0299</v>
      </c>
      <c r="AK22" s="2369" t="n">
        <v>8.0678</v>
      </c>
      <c r="AL22" s="2365" t="n"/>
      <c r="AM22" s="2368" t="inlineStr">
        <is>
          <t>Mgmt = CAM portion $10,600 + non-CAM $28,022; janitorial $16,022 in Other; HVAC $13,067 in R&amp;M; 2024 actuals</t>
        </is>
      </c>
    </row>
    <row r="23" ht="14.1" customHeight="1" s="1449">
      <c r="A23" s="2339" t="inlineStr">
        <is>
          <t>P008</t>
        </is>
      </c>
      <c r="B23" s="2338" t="n">
        <v>210</v>
      </c>
      <c r="C23" s="2339" t="inlineStr">
        <is>
          <t>R0070622</t>
        </is>
      </c>
      <c r="D23" s="2339" t="inlineStr">
        <is>
          <t>460-550 E. 76th Ave (WPC Corporate)</t>
        </is>
      </c>
      <c r="E23" s="2339" t="inlineStr">
        <is>
          <t>Adams County</t>
        </is>
      </c>
      <c r="F23" s="2339" t="inlineStr">
        <is>
          <t>CO</t>
        </is>
      </c>
      <c r="G23" s="2339" t="inlineStr">
        <is>
          <t>Industrial</t>
        </is>
      </c>
      <c r="H23" s="2339" t="inlineStr">
        <is>
          <t>Distribution/Flex Multi-tenant</t>
        </is>
      </c>
      <c r="I23" s="2362" t="n"/>
      <c r="J23" s="2362" t="n">
        <v>330935</v>
      </c>
      <c r="K23" s="2362" t="n">
        <v>2024</v>
      </c>
      <c r="L23" s="2339" t="n"/>
      <c r="M23" s="2339" t="n"/>
      <c r="N23" s="2363" t="n">
        <v>8.311400000000001</v>
      </c>
      <c r="O23" s="2339" t="n"/>
      <c r="P23" s="2339" t="n"/>
      <c r="Q23" s="2339" t="n"/>
      <c r="R23" s="2339" t="n"/>
      <c r="S23" s="2339" t="n"/>
      <c r="T23" s="2339" t="n"/>
      <c r="U23" s="2339" t="n"/>
      <c r="V23" s="2339" t="n"/>
      <c r="W23" s="2339" t="n"/>
      <c r="X23" s="2339" t="n"/>
      <c r="Y23" s="2339" t="n"/>
      <c r="Z23" s="2339" t="n"/>
      <c r="AA23" s="2339" t="n"/>
      <c r="AB23" s="2339" t="n"/>
      <c r="AC23" s="2339" t="n"/>
      <c r="AD23" s="2339" t="n"/>
      <c r="AE23" s="2339" t="n"/>
      <c r="AF23" s="2339" t="n"/>
      <c r="AG23" s="2339" t="n"/>
      <c r="AH23" s="2339" t="n"/>
      <c r="AI23" s="2339" t="n"/>
      <c r="AJ23" s="2363" t="n">
        <v>4.0444</v>
      </c>
      <c r="AK23" s="2363" t="n">
        <v>4.267</v>
      </c>
      <c r="AL23" s="2339" t="n"/>
      <c r="AM23" s="2364" t="inlineStr">
        <is>
          <t>2024 only; total OPX derived (EGI - NOI); limited line-item detail from scanned actuals; large multi-tenant industrial complex</t>
        </is>
      </c>
    </row>
    <row r="24" ht="14.1" customHeight="1" s="1449">
      <c r="A24" s="2358" t="inlineStr">
        <is>
          <t>P009</t>
        </is>
      </c>
      <c r="B24" s="2338" t="n">
        <v>407</v>
      </c>
      <c r="C24" s="2358" t="inlineStr">
        <is>
          <t>R0075212</t>
        </is>
      </c>
      <c r="D24" s="2358" t="inlineStr">
        <is>
          <t>10500 Havana Court</t>
        </is>
      </c>
      <c r="E24" s="2358" t="inlineStr">
        <is>
          <t>Adams County</t>
        </is>
      </c>
      <c r="F24" s="2358" t="inlineStr">
        <is>
          <t>CO</t>
        </is>
      </c>
      <c r="G24" s="2358" t="inlineStr">
        <is>
          <t>Industrial</t>
        </is>
      </c>
      <c r="H24" s="2358" t="inlineStr">
        <is>
          <t>NNN Single-tenant</t>
        </is>
      </c>
      <c r="I24" s="2359" t="n"/>
      <c r="J24" s="2359" t="n"/>
      <c r="K24" s="2359" t="n">
        <v>2023</v>
      </c>
      <c r="L24" s="2358" t="n"/>
      <c r="M24" s="2358" t="n"/>
      <c r="N24" s="2370" t="n">
        <v>332759</v>
      </c>
      <c r="O24" s="2370" t="n">
        <v>22784</v>
      </c>
      <c r="P24" s="2370" t="n">
        <v>4000</v>
      </c>
      <c r="Q24" s="2358" t="n"/>
      <c r="R24" s="2358" t="n"/>
      <c r="S24" s="2358" t="n"/>
      <c r="T24" s="2358" t="n"/>
      <c r="U24" s="2358" t="n"/>
      <c r="V24" s="2358" t="n"/>
      <c r="W24" s="2358" t="n"/>
      <c r="X24" s="2370" t="n">
        <v>12804</v>
      </c>
      <c r="Y24" s="2370" t="n">
        <v>12804</v>
      </c>
      <c r="Z24" s="2358" t="n"/>
      <c r="AA24" s="2370" t="n">
        <v>6910</v>
      </c>
      <c r="AB24" s="2370" t="n">
        <v>1800</v>
      </c>
      <c r="AC24" s="2370" t="n">
        <v>8710</v>
      </c>
      <c r="AD24" s="2370" t="n">
        <v>2209</v>
      </c>
      <c r="AE24" s="2370" t="n">
        <v>1956</v>
      </c>
      <c r="AF24" s="2370" t="n">
        <v>4165</v>
      </c>
      <c r="AG24" s="2370" t="n">
        <v>8397</v>
      </c>
      <c r="AH24" s="2370" t="n">
        <v>127005</v>
      </c>
      <c r="AI24" s="2370" t="n">
        <v>60552</v>
      </c>
      <c r="AJ24" s="2370" t="n">
        <v>187557</v>
      </c>
      <c r="AK24" s="2370" t="n">
        <v>265550</v>
      </c>
      <c r="AL24" s="2358" t="n"/>
      <c r="AM24" s="2361" t="inlineStr">
        <is>
          <t>[NO SF] NNN; P&amp;L excludes depreciation ($68,209) and mortgage interest ($60,714) from NOI calc; acctg/legal/bank/dues in Other; 2023 actuals</t>
        </is>
      </c>
    </row>
    <row r="25" ht="14.1" customHeight="1" s="1449">
      <c r="A25" s="2339" t="inlineStr">
        <is>
          <t>P009</t>
        </is>
      </c>
      <c r="B25" s="2338" t="n">
        <v>407</v>
      </c>
      <c r="C25" s="2339" t="inlineStr">
        <is>
          <t>R0075212</t>
        </is>
      </c>
      <c r="D25" s="2339" t="inlineStr">
        <is>
          <t>10500 Havana Court</t>
        </is>
      </c>
      <c r="E25" s="2339" t="inlineStr">
        <is>
          <t>Adams County</t>
        </is>
      </c>
      <c r="F25" s="2339" t="inlineStr">
        <is>
          <t>CO</t>
        </is>
      </c>
      <c r="G25" s="2339" t="inlineStr">
        <is>
          <t>Industrial</t>
        </is>
      </c>
      <c r="H25" s="2339" t="inlineStr">
        <is>
          <t>NNN Single-tenant</t>
        </is>
      </c>
      <c r="I25" s="2362" t="n"/>
      <c r="J25" s="2362" t="n"/>
      <c r="K25" s="2362" t="n">
        <v>2024</v>
      </c>
      <c r="L25" s="2339" t="n"/>
      <c r="M25" s="2339" t="n"/>
      <c r="N25" s="2371" t="n">
        <v>359583</v>
      </c>
      <c r="O25" s="2371" t="n">
        <v>27489</v>
      </c>
      <c r="P25" s="2371" t="n">
        <v>6000</v>
      </c>
      <c r="Q25" s="2339" t="n"/>
      <c r="R25" s="2339" t="n"/>
      <c r="S25" s="2339" t="n"/>
      <c r="T25" s="2339" t="n"/>
      <c r="U25" s="2339" t="n"/>
      <c r="V25" s="2339" t="n"/>
      <c r="W25" s="2339" t="n"/>
      <c r="X25" s="2371" t="n">
        <v>9601</v>
      </c>
      <c r="Y25" s="2371" t="n">
        <v>9601</v>
      </c>
      <c r="Z25" s="2339" t="n"/>
      <c r="AA25" s="2371" t="n">
        <v>3045</v>
      </c>
      <c r="AB25" s="2371" t="n">
        <v>1960</v>
      </c>
      <c r="AC25" s="2371" t="n">
        <v>5005</v>
      </c>
      <c r="AD25" s="2371" t="n">
        <v>3555</v>
      </c>
      <c r="AE25" s="2371" t="n">
        <v>1567</v>
      </c>
      <c r="AF25" s="2371" t="n">
        <v>5122</v>
      </c>
      <c r="AG25" s="2371" t="n">
        <v>10035</v>
      </c>
      <c r="AH25" s="2371" t="n">
        <v>69350</v>
      </c>
      <c r="AI25" s="2371" t="n">
        <v>101114</v>
      </c>
      <c r="AJ25" s="2371" t="n">
        <v>170464</v>
      </c>
      <c r="AK25" s="2371" t="n">
        <v>290993</v>
      </c>
      <c r="AL25" s="2339" t="n"/>
      <c r="AM25" s="2364" t="inlineStr">
        <is>
          <t>[NO SF] NNN; depreciation ($52,109) and mortgage interest ($58,574) excluded from NOI; Other includes acctg, dues, inspections; 2024 actuals</t>
        </is>
      </c>
    </row>
    <row r="26" ht="14.1" customHeight="1" s="1449">
      <c r="A26" s="2358" t="inlineStr">
        <is>
          <t>P010</t>
        </is>
      </c>
      <c r="B26" s="2338" t="n">
        <v>210</v>
      </c>
      <c r="C26" s="2358" t="inlineStr">
        <is>
          <t>R0098225</t>
        </is>
      </c>
      <c r="D26" s="2358" t="inlineStr">
        <is>
          <t>Broadway Business Center (7040B Broadway)</t>
        </is>
      </c>
      <c r="E26" s="2358" t="inlineStr">
        <is>
          <t>Denver</t>
        </is>
      </c>
      <c r="F26" s="2358" t="inlineStr">
        <is>
          <t>CO</t>
        </is>
      </c>
      <c r="G26" s="2358" t="inlineStr">
        <is>
          <t>Flex/Industrial</t>
        </is>
      </c>
      <c r="H26" s="2358" t="inlineStr">
        <is>
          <t>Multi-tenant CAM</t>
        </is>
      </c>
      <c r="I26" s="2359" t="n"/>
      <c r="J26" s="2359" t="n">
        <v>105000</v>
      </c>
      <c r="K26" s="2359" t="n">
        <v>2023</v>
      </c>
      <c r="L26" s="2360" t="n">
        <v>7.0284</v>
      </c>
      <c r="M26" s="2360" t="n">
        <v>4.8451</v>
      </c>
      <c r="N26" s="2360" t="n">
        <v>11.8736</v>
      </c>
      <c r="O26" s="2360" t="n">
        <v>0.4657</v>
      </c>
      <c r="P26" s="2360" t="n">
        <v>0.9933999999999999</v>
      </c>
      <c r="Q26" s="2358" t="n"/>
      <c r="R26" s="2358" t="n"/>
      <c r="S26" s="2358" t="n"/>
      <c r="T26" s="2358" t="n"/>
      <c r="U26" s="2358" t="n"/>
      <c r="V26" s="2358" t="n"/>
      <c r="W26" s="2358" t="n"/>
      <c r="X26" s="2360" t="n">
        <v>0.6328</v>
      </c>
      <c r="Y26" s="2360" t="n">
        <v>0.6328</v>
      </c>
      <c r="Z26" s="2360" t="n">
        <v>0.4669</v>
      </c>
      <c r="AA26" s="2360" t="n">
        <v>0.2172</v>
      </c>
      <c r="AB26" s="2360" t="n">
        <v>0.5585</v>
      </c>
      <c r="AC26" s="2360" t="n">
        <v>1.2425</v>
      </c>
      <c r="AD26" s="2360" t="n">
        <v>0.5097</v>
      </c>
      <c r="AE26" s="2358" t="n"/>
      <c r="AF26" s="2360" t="n">
        <v>0.7223000000000001</v>
      </c>
      <c r="AG26" s="2358" t="n"/>
      <c r="AH26" s="2360" t="n">
        <v>4.6141</v>
      </c>
      <c r="AI26" s="2360" t="n">
        <v>2.1859</v>
      </c>
      <c r="AJ26" s="2360" t="n">
        <v>6.8</v>
      </c>
      <c r="AK26" s="2360" t="n">
        <v>5.0762</v>
      </c>
      <c r="AL26" s="2358" t="n"/>
      <c r="AM26" s="2361" t="inlineStr">
        <is>
          <t>CAM recovery structure; mgmt = prop mgmt fee $50,590 + recoverable mgmt $53,721; snow in contract; 2023 actuals; NOI estimated</t>
        </is>
      </c>
    </row>
    <row r="27" ht="14.1" customHeight="1" s="1449">
      <c r="A27" s="2339" t="inlineStr">
        <is>
          <t>P010</t>
        </is>
      </c>
      <c r="B27" s="2338" t="n">
        <v>210</v>
      </c>
      <c r="C27" s="2339" t="inlineStr">
        <is>
          <t>R0098225</t>
        </is>
      </c>
      <c r="D27" s="2339" t="inlineStr">
        <is>
          <t>Broadway Business Center (7040B Broadway)</t>
        </is>
      </c>
      <c r="E27" s="2339" t="inlineStr">
        <is>
          <t>Denver</t>
        </is>
      </c>
      <c r="F27" s="2339" t="inlineStr">
        <is>
          <t>CO</t>
        </is>
      </c>
      <c r="G27" s="2339" t="inlineStr">
        <is>
          <t>Flex/Industrial</t>
        </is>
      </c>
      <c r="H27" s="2339" t="inlineStr">
        <is>
          <t>Multi-tenant CAM</t>
        </is>
      </c>
      <c r="I27" s="2362" t="n"/>
      <c r="J27" s="2362" t="n">
        <v>105000</v>
      </c>
      <c r="K27" s="2362" t="n">
        <v>2024</v>
      </c>
      <c r="L27" s="2363" t="n">
        <v>8.597899999999999</v>
      </c>
      <c r="M27" s="2363" t="n">
        <v>7.4693</v>
      </c>
      <c r="N27" s="2363" t="n">
        <v>16.0672</v>
      </c>
      <c r="O27" s="2363" t="n">
        <v>0.481</v>
      </c>
      <c r="P27" s="2363" t="n">
        <v>1.1752</v>
      </c>
      <c r="Q27" s="2339" t="n"/>
      <c r="R27" s="2339" t="n"/>
      <c r="S27" s="2339" t="n"/>
      <c r="T27" s="2339" t="n"/>
      <c r="U27" s="2339" t="n"/>
      <c r="V27" s="2339" t="n"/>
      <c r="W27" s="2339" t="n"/>
      <c r="X27" s="2363" t="n">
        <v>0.7155</v>
      </c>
      <c r="Y27" s="2363" t="n">
        <v>0.7155</v>
      </c>
      <c r="Z27" s="2363" t="n">
        <v>0.5619</v>
      </c>
      <c r="AA27" s="2363" t="n">
        <v>0.1728</v>
      </c>
      <c r="AB27" s="2363" t="n">
        <v>0.4984</v>
      </c>
      <c r="AC27" s="2363" t="n">
        <v>1.233</v>
      </c>
      <c r="AD27" s="2363" t="n">
        <v>0.8304</v>
      </c>
      <c r="AE27" s="2339" t="n"/>
      <c r="AF27" s="2363" t="n">
        <v>0.9542</v>
      </c>
      <c r="AG27" s="2339" t="n"/>
      <c r="AH27" s="2363" t="n">
        <v>4.7875</v>
      </c>
      <c r="AI27" s="2363" t="n">
        <v>5.1839</v>
      </c>
      <c r="AJ27" s="2363" t="n">
        <v>9.971399999999999</v>
      </c>
      <c r="AK27" s="2363" t="n">
        <v>6.0952</v>
      </c>
      <c r="AL27" s="2339" t="n"/>
      <c r="AM27" s="2364" t="inlineStr">
        <is>
          <t>2024 RE Tax inflated by $111,314 prior-yr catchup; normalized tax ~$425k; parking lot $52,328 in snow/contract; NOI estimated</t>
        </is>
      </c>
    </row>
    <row r="28" ht="14.1" customHeight="1" s="1449">
      <c r="A28" s="2358" t="inlineStr">
        <is>
          <t>P011</t>
        </is>
      </c>
      <c r="B28" s="2338" t="n">
        <v>210</v>
      </c>
      <c r="C28" s="2358" t="inlineStr">
        <is>
          <t>R0103767</t>
        </is>
      </c>
      <c r="D28" s="2358" t="inlineStr">
        <is>
          <t>5650 Washington St (Washington Business Park)</t>
        </is>
      </c>
      <c r="E28" s="2358" t="inlineStr">
        <is>
          <t>Adams County</t>
        </is>
      </c>
      <c r="F28" s="2358" t="inlineStr">
        <is>
          <t>CO</t>
        </is>
      </c>
      <c r="G28" s="2358" t="inlineStr">
        <is>
          <t>Industrial/Flex</t>
        </is>
      </c>
      <c r="H28" s="2358" t="inlineStr">
        <is>
          <t>Multi-tenant</t>
        </is>
      </c>
      <c r="I28" s="2359" t="n"/>
      <c r="J28" s="2359" t="n"/>
      <c r="K28" s="2359" t="n">
        <v>2022</v>
      </c>
      <c r="L28" s="2358" t="n"/>
      <c r="M28" s="2358" t="n"/>
      <c r="N28" s="2370" t="n">
        <v>502006</v>
      </c>
      <c r="O28" s="2370" t="n">
        <v>16872</v>
      </c>
      <c r="P28" s="2370" t="n">
        <v>54025</v>
      </c>
      <c r="Q28" s="2358" t="n"/>
      <c r="R28" s="2358" t="n"/>
      <c r="S28" s="2358" t="n"/>
      <c r="T28" s="2358" t="n"/>
      <c r="U28" s="2358" t="n"/>
      <c r="V28" s="2358" t="n"/>
      <c r="W28" s="2358" t="n"/>
      <c r="X28" s="2370" t="n">
        <v>71762</v>
      </c>
      <c r="Y28" s="2370" t="n">
        <v>71762</v>
      </c>
      <c r="Z28" s="2358" t="n"/>
      <c r="AA28" s="2370" t="n">
        <v>6528</v>
      </c>
      <c r="AB28" s="2358" t="n"/>
      <c r="AC28" s="2370" t="n">
        <v>6528</v>
      </c>
      <c r="AD28" s="2370" t="n">
        <v>4858</v>
      </c>
      <c r="AE28" s="2370" t="n">
        <v>525</v>
      </c>
      <c r="AF28" s="2370" t="n">
        <v>5383</v>
      </c>
      <c r="AG28" s="2358" t="n"/>
      <c r="AH28" s="2370" t="n">
        <v>209625</v>
      </c>
      <c r="AI28" s="2370" t="n">
        <v>64792</v>
      </c>
      <c r="AJ28" s="2370" t="n">
        <v>274417</v>
      </c>
      <c r="AK28" s="2370" t="n">
        <v>227649</v>
      </c>
      <c r="AL28" s="2358" t="n"/>
      <c r="AM28" s="2361" t="inlineStr">
        <is>
          <t>[NO SF] Mgmt fee $54,025 (2022 only ? not in later years); R&amp;M = bldg maint + repairs + HVAC + plumbing; water/gas from operating stmt</t>
        </is>
      </c>
    </row>
    <row r="29" ht="14.1" customHeight="1" s="1449">
      <c r="A29" s="2339" t="inlineStr">
        <is>
          <t>P011</t>
        </is>
      </c>
      <c r="B29" s="2338" t="n">
        <v>210</v>
      </c>
      <c r="C29" s="2339" t="inlineStr">
        <is>
          <t>R0103767</t>
        </is>
      </c>
      <c r="D29" s="2339" t="inlineStr">
        <is>
          <t>5650 Washington St (Washington Business Park)</t>
        </is>
      </c>
      <c r="E29" s="2339" t="inlineStr">
        <is>
          <t>Adams County</t>
        </is>
      </c>
      <c r="F29" s="2339" t="inlineStr">
        <is>
          <t>CO</t>
        </is>
      </c>
      <c r="G29" s="2339" t="inlineStr">
        <is>
          <t>Industrial/Flex</t>
        </is>
      </c>
      <c r="H29" s="2339" t="inlineStr">
        <is>
          <t>Multi-tenant</t>
        </is>
      </c>
      <c r="I29" s="2362" t="n"/>
      <c r="J29" s="2362" t="n"/>
      <c r="K29" s="2362" t="n">
        <v>2023</v>
      </c>
      <c r="L29" s="2339" t="n"/>
      <c r="M29" s="2339" t="n"/>
      <c r="N29" s="2371" t="n">
        <v>532468</v>
      </c>
      <c r="O29" s="2371" t="n">
        <v>15442</v>
      </c>
      <c r="P29" s="2339" t="n"/>
      <c r="Q29" s="2339" t="n"/>
      <c r="R29" s="2339" t="n"/>
      <c r="S29" s="2339" t="n"/>
      <c r="T29" s="2339" t="n"/>
      <c r="U29" s="2339" t="n"/>
      <c r="V29" s="2339" t="n"/>
      <c r="W29" s="2339" t="n"/>
      <c r="X29" s="2371" t="n">
        <v>83293</v>
      </c>
      <c r="Y29" s="2371" t="n">
        <v>83293</v>
      </c>
      <c r="Z29" s="2339" t="n"/>
      <c r="AA29" s="2371" t="n">
        <v>6029</v>
      </c>
      <c r="AB29" s="2339" t="n"/>
      <c r="AC29" s="2371" t="n">
        <v>6029</v>
      </c>
      <c r="AD29" s="2371" t="n">
        <v>6487</v>
      </c>
      <c r="AE29" s="2339" t="n"/>
      <c r="AF29" s="2371" t="n">
        <v>6487</v>
      </c>
      <c r="AG29" s="2339" t="n"/>
      <c r="AH29" s="2371" t="n">
        <v>141304</v>
      </c>
      <c r="AI29" s="2371" t="n">
        <v>63133</v>
      </c>
      <c r="AJ29" s="2371" t="n">
        <v>204437</v>
      </c>
      <c r="AK29" s="2371" t="n">
        <v>328030</v>
      </c>
      <c r="AL29" s="2339" t="n"/>
      <c r="AM29" s="2364" t="inlineStr">
        <is>
          <t>[NO SF] No mgmt fee in 2023; R&amp;M higher due to building repairs; gas negligible per statement; 2023 actuals</t>
        </is>
      </c>
    </row>
    <row r="30" ht="14.1" customHeight="1" s="1449">
      <c r="A30" s="2358" t="inlineStr">
        <is>
          <t>P011</t>
        </is>
      </c>
      <c r="B30" s="2338" t="n">
        <v>210</v>
      </c>
      <c r="C30" s="2358" t="inlineStr">
        <is>
          <t>R0103767</t>
        </is>
      </c>
      <c r="D30" s="2358" t="inlineStr">
        <is>
          <t>5650 Washington St (Washington Business Park)</t>
        </is>
      </c>
      <c r="E30" s="2358" t="inlineStr">
        <is>
          <t>Adams County</t>
        </is>
      </c>
      <c r="F30" s="2358" t="inlineStr">
        <is>
          <t>CO</t>
        </is>
      </c>
      <c r="G30" s="2358" t="inlineStr">
        <is>
          <t>Industrial/Flex</t>
        </is>
      </c>
      <c r="H30" s="2358" t="inlineStr">
        <is>
          <t>Multi-tenant</t>
        </is>
      </c>
      <c r="I30" s="2359" t="n"/>
      <c r="J30" s="2359" t="n"/>
      <c r="K30" s="2359" t="n">
        <v>2024</v>
      </c>
      <c r="L30" s="2358" t="n"/>
      <c r="M30" s="2358" t="n"/>
      <c r="N30" s="2370" t="n">
        <v>517234</v>
      </c>
      <c r="O30" s="2370" t="n">
        <v>20795</v>
      </c>
      <c r="P30" s="2358" t="n"/>
      <c r="Q30" s="2358" t="n"/>
      <c r="R30" s="2358" t="n"/>
      <c r="S30" s="2358" t="n"/>
      <c r="T30" s="2358" t="n"/>
      <c r="U30" s="2358" t="n"/>
      <c r="V30" s="2358" t="n"/>
      <c r="W30" s="2358" t="n"/>
      <c r="X30" s="2370" t="n">
        <v>32385</v>
      </c>
      <c r="Y30" s="2370" t="n">
        <v>32385</v>
      </c>
      <c r="Z30" s="2358" t="n"/>
      <c r="AA30" s="2370" t="n">
        <v>4814</v>
      </c>
      <c r="AB30" s="2358" t="n"/>
      <c r="AC30" s="2370" t="n">
        <v>4814</v>
      </c>
      <c r="AD30" s="2370" t="n">
        <v>5690</v>
      </c>
      <c r="AE30" s="2358" t="n"/>
      <c r="AF30" s="2370" t="n">
        <v>5690</v>
      </c>
      <c r="AG30" s="2358" t="n"/>
      <c r="AH30" s="2358" t="n"/>
      <c r="AI30" s="2358" t="n"/>
      <c r="AJ30" s="2370" t="n">
        <v>331645</v>
      </c>
      <c r="AK30" s="2370" t="n">
        <v>185389</v>
      </c>
      <c r="AL30" s="2358" t="n"/>
      <c r="AM30" s="2361" t="inlineStr">
        <is>
          <t>[NO SF] RE Tax not separately identified in 2024 column of operating stmt; total OPX from actuals; NOI confirmed</t>
        </is>
      </c>
    </row>
    <row r="31" ht="14.1" customHeight="1" s="1449">
      <c r="A31" s="2365" t="inlineStr">
        <is>
          <t>P012</t>
        </is>
      </c>
      <c r="B31" s="2338" t="n">
        <v>344</v>
      </c>
      <c r="C31" s="2365" t="inlineStr">
        <is>
          <t>R0124385</t>
        </is>
      </c>
      <c r="D31" s="2365" t="inlineStr">
        <is>
          <t>Unknown (Tax District 555)</t>
        </is>
      </c>
      <c r="E31" s="2365" t="inlineStr">
        <is>
          <t>Adams County</t>
        </is>
      </c>
      <c r="F31" s="2365" t="inlineStr">
        <is>
          <t>CO</t>
        </is>
      </c>
      <c r="G31" s="2365" t="inlineStr">
        <is>
          <t>Office</t>
        </is>
      </c>
      <c r="H31" s="2365" t="inlineStr">
        <is>
          <t>Multi-tenant</t>
        </is>
      </c>
      <c r="I31" s="2366" t="n"/>
      <c r="J31" s="2366" t="n">
        <v>20170</v>
      </c>
      <c r="K31" s="2366" t="n">
        <v>2023</v>
      </c>
      <c r="L31" s="2365" t="n"/>
      <c r="M31" s="2365" t="n"/>
      <c r="N31" s="2369" t="n">
        <v>13.6708</v>
      </c>
      <c r="O31" s="2365" t="n"/>
      <c r="P31" s="2365" t="n"/>
      <c r="Q31" s="2365" t="n"/>
      <c r="R31" s="2365" t="n"/>
      <c r="S31" s="2365" t="n"/>
      <c r="T31" s="2365" t="n"/>
      <c r="U31" s="2365" t="n"/>
      <c r="V31" s="2365" t="n"/>
      <c r="W31" s="2365" t="n"/>
      <c r="X31" s="2365" t="n"/>
      <c r="Y31" s="2365" t="n"/>
      <c r="Z31" s="2365" t="n"/>
      <c r="AA31" s="2365" t="n"/>
      <c r="AB31" s="2365" t="n"/>
      <c r="AC31" s="2365" t="n"/>
      <c r="AD31" s="2365" t="n"/>
      <c r="AE31" s="2365" t="n"/>
      <c r="AF31" s="2365" t="n"/>
      <c r="AG31" s="2365" t="n"/>
      <c r="AH31" s="2369" t="n">
        <v>5.3592</v>
      </c>
      <c r="AI31" s="2369" t="n">
        <v>2.2399</v>
      </c>
      <c r="AJ31" s="2369" t="n">
        <v>7.5992</v>
      </c>
      <c r="AK31" s="2369" t="n">
        <v>8.3116</v>
      </c>
      <c r="AL31" s="2365" t="n"/>
      <c r="AM31" s="2368" t="inlineStr">
        <is>
          <t>Limited line-item detail; totals from PROFORMA BASIS FOR OFFER.xlsx actuals section</t>
        </is>
      </c>
    </row>
    <row r="32" ht="14.1" customHeight="1" s="1449">
      <c r="A32" s="2365" t="inlineStr">
        <is>
          <t>P012</t>
        </is>
      </c>
      <c r="B32" s="2338" t="n">
        <v>344</v>
      </c>
      <c r="C32" s="2365" t="inlineStr">
        <is>
          <t>R0124385</t>
        </is>
      </c>
      <c r="D32" s="2365" t="inlineStr">
        <is>
          <t>Unknown (Tax District 555)</t>
        </is>
      </c>
      <c r="E32" s="2365" t="inlineStr">
        <is>
          <t>Adams County</t>
        </is>
      </c>
      <c r="F32" s="2365" t="inlineStr">
        <is>
          <t>CO</t>
        </is>
      </c>
      <c r="G32" s="2365" t="inlineStr">
        <is>
          <t>Office</t>
        </is>
      </c>
      <c r="H32" s="2365" t="inlineStr">
        <is>
          <t>Multi-tenant</t>
        </is>
      </c>
      <c r="I32" s="2366" t="n"/>
      <c r="J32" s="2366" t="n">
        <v>20170</v>
      </c>
      <c r="K32" s="2366" t="n">
        <v>2024</v>
      </c>
      <c r="L32" s="2365" t="n"/>
      <c r="M32" s="2365" t="n"/>
      <c r="N32" s="2369" t="n">
        <v>14.802</v>
      </c>
      <c r="O32" s="2365" t="n"/>
      <c r="P32" s="2365" t="n"/>
      <c r="Q32" s="2365" t="n"/>
      <c r="R32" s="2365" t="n"/>
      <c r="S32" s="2365" t="n"/>
      <c r="T32" s="2365" t="n"/>
      <c r="U32" s="2365" t="n"/>
      <c r="V32" s="2365" t="n"/>
      <c r="W32" s="2365" t="n"/>
      <c r="X32" s="2365" t="n"/>
      <c r="Y32" s="2365" t="n"/>
      <c r="Z32" s="2365" t="n"/>
      <c r="AA32" s="2365" t="n"/>
      <c r="AB32" s="2365" t="n"/>
      <c r="AC32" s="2365" t="n"/>
      <c r="AD32" s="2365" t="n"/>
      <c r="AE32" s="2365" t="n"/>
      <c r="AF32" s="2365" t="n"/>
      <c r="AG32" s="2365" t="n"/>
      <c r="AH32" s="2369" t="n">
        <v>6.3208</v>
      </c>
      <c r="AI32" s="2369" t="n">
        <v>2.1665</v>
      </c>
      <c r="AJ32" s="2369" t="n">
        <v>9.1814</v>
      </c>
      <c r="AK32" s="2369" t="n">
        <v>8.481199999999999</v>
      </c>
      <c r="AL32" s="2365" t="n"/>
      <c r="AM32" s="2368" t="inlineStr">
        <is>
          <t>CapEx $14,000 non-recurring excluded from OPX; limited line-item detail</t>
        </is>
      </c>
    </row>
    <row r="33" ht="14.1" customHeight="1" s="1449">
      <c r="A33" s="2365" t="inlineStr">
        <is>
          <t>P013</t>
        </is>
      </c>
      <c r="B33" s="2338" t="n">
        <v>353</v>
      </c>
      <c r="C33" s="2365" t="inlineStr">
        <is>
          <t>R0169176</t>
        </is>
      </c>
      <c r="D33" s="2365" t="inlineStr">
        <is>
          <t>Unknown (new const., opened Oct 2023)</t>
        </is>
      </c>
      <c r="E33" s="2365" t="inlineStr">
        <is>
          <t>Adams County</t>
        </is>
      </c>
      <c r="F33" s="2365" t="inlineStr">
        <is>
          <t>CO</t>
        </is>
      </c>
      <c r="G33" s="2365" t="inlineStr">
        <is>
          <t>Retail/Office</t>
        </is>
      </c>
      <c r="H33" s="2365" t="inlineStr">
        <is>
          <t>Multi-tenant</t>
        </is>
      </c>
      <c r="I33" s="2366" t="n">
        <v>2023</v>
      </c>
      <c r="J33" s="2366" t="n"/>
      <c r="K33" s="2366" t="n">
        <v>2023</v>
      </c>
      <c r="L33" s="2367" t="n">
        <v>270793</v>
      </c>
      <c r="M33" s="2367" t="n">
        <v>258323</v>
      </c>
      <c r="N33" s="2367" t="n">
        <v>524533</v>
      </c>
      <c r="O33" s="2367" t="n">
        <v>16865</v>
      </c>
      <c r="P33" s="2367" t="n">
        <v>26496</v>
      </c>
      <c r="Q33" s="2365" t="n"/>
      <c r="R33" s="2365" t="n"/>
      <c r="S33" s="2365" t="n"/>
      <c r="T33" s="2365" t="n"/>
      <c r="U33" s="2365" t="n"/>
      <c r="V33" s="2365" t="n"/>
      <c r="W33" s="2365" t="n"/>
      <c r="X33" s="2367" t="n">
        <v>50972</v>
      </c>
      <c r="Y33" s="2367" t="n">
        <v>50972</v>
      </c>
      <c r="Z33" s="2365" t="n"/>
      <c r="AA33" s="2367" t="n">
        <v>7543</v>
      </c>
      <c r="AB33" s="2365" t="n"/>
      <c r="AC33" s="2367" t="n">
        <v>7543</v>
      </c>
      <c r="AD33" s="2367" t="n">
        <v>4602</v>
      </c>
      <c r="AE33" s="2367" t="n">
        <v>51467</v>
      </c>
      <c r="AF33" s="2367" t="n">
        <v>56069</v>
      </c>
      <c r="AG33" s="2365" t="n"/>
      <c r="AH33" s="2367" t="n">
        <v>157946</v>
      </c>
      <c r="AI33" s="2367" t="n">
        <v>125577</v>
      </c>
      <c r="AJ33" s="2367" t="n">
        <v>283523</v>
      </c>
      <c r="AK33" s="2367" t="n">
        <v>241009</v>
      </c>
      <c r="AL33" s="2365" t="n"/>
      <c r="AM33" s="2368" t="inlineStr">
        <is>
          <t>[NO SF] 2023 partial year (opened Oct 2023); RE Tax high for new construction; gas $3,877 + elec $47,590 in utilities</t>
        </is>
      </c>
    </row>
    <row r="34" ht="14.1" customHeight="1" s="1449">
      <c r="A34" s="2365" t="inlineStr">
        <is>
          <t>P013</t>
        </is>
      </c>
      <c r="B34" s="2338" t="n">
        <v>353</v>
      </c>
      <c r="C34" s="2365" t="inlineStr">
        <is>
          <t>R0169176</t>
        </is>
      </c>
      <c r="D34" s="2365" t="inlineStr">
        <is>
          <t>Unknown (new const., opened Oct 2023)</t>
        </is>
      </c>
      <c r="E34" s="2365" t="inlineStr">
        <is>
          <t>Adams County</t>
        </is>
      </c>
      <c r="F34" s="2365" t="inlineStr">
        <is>
          <t>CO</t>
        </is>
      </c>
      <c r="G34" s="2365" t="inlineStr">
        <is>
          <t>Retail/Office</t>
        </is>
      </c>
      <c r="H34" s="2365" t="inlineStr">
        <is>
          <t>Multi-tenant</t>
        </is>
      </c>
      <c r="I34" s="2366" t="n">
        <v>2023</v>
      </c>
      <c r="J34" s="2366" t="n"/>
      <c r="K34" s="2366" t="n">
        <v>2024</v>
      </c>
      <c r="L34" s="2367" t="n">
        <v>260040</v>
      </c>
      <c r="M34" s="2367" t="n">
        <v>337015</v>
      </c>
      <c r="N34" s="2367" t="n">
        <v>597056</v>
      </c>
      <c r="O34" s="2367" t="n">
        <v>12437</v>
      </c>
      <c r="P34" s="2367" t="n">
        <v>26717</v>
      </c>
      <c r="Q34" s="2365" t="n"/>
      <c r="R34" s="2365" t="n"/>
      <c r="S34" s="2365" t="n"/>
      <c r="T34" s="2365" t="n"/>
      <c r="U34" s="2365" t="n"/>
      <c r="V34" s="2365" t="n"/>
      <c r="W34" s="2365" t="n"/>
      <c r="X34" s="2367" t="n">
        <v>36931</v>
      </c>
      <c r="Y34" s="2367" t="n">
        <v>36931</v>
      </c>
      <c r="Z34" s="2365" t="n"/>
      <c r="AA34" s="2367" t="n">
        <v>27159</v>
      </c>
      <c r="AB34" s="2365" t="n"/>
      <c r="AC34" s="2367" t="n">
        <v>27159</v>
      </c>
      <c r="AD34" s="2367" t="n">
        <v>5043</v>
      </c>
      <c r="AE34" s="2367" t="n">
        <v>54230</v>
      </c>
      <c r="AF34" s="2367" t="n">
        <v>59273</v>
      </c>
      <c r="AG34" s="2365" t="n"/>
      <c r="AH34" s="2367" t="n">
        <v>162518</v>
      </c>
      <c r="AI34" s="2367" t="n">
        <v>156074</v>
      </c>
      <c r="AJ34" s="2367" t="n">
        <v>318592</v>
      </c>
      <c r="AK34" s="2367" t="n">
        <v>278464</v>
      </c>
      <c r="AL34" s="2365" t="n"/>
      <c r="AM34" s="2368" t="inlineStr">
        <is>
          <t>[NO SF] Tax consultant $11,515 added to RE Tax line; HOA/exterior maint $27,159 in landscape; recoveries $336,319 + other $696</t>
        </is>
      </c>
    </row>
    <row r="35" ht="14.1" customHeight="1" s="1449">
      <c r="A35" s="2339" t="inlineStr">
        <is>
          <t>P014</t>
        </is>
      </c>
      <c r="B35" s="2338" t="n">
        <v>407</v>
      </c>
      <c r="C35" s="2339" t="inlineStr">
        <is>
          <t>R0198530</t>
        </is>
      </c>
      <c r="D35" s="2339" t="inlineStr">
        <is>
          <t>Amazon DEN7 Distribution Center</t>
        </is>
      </c>
      <c r="E35" s="2339" t="inlineStr">
        <is>
          <t>Aurora</t>
        </is>
      </c>
      <c r="F35" s="2339" t="inlineStr">
        <is>
          <t>CO</t>
        </is>
      </c>
      <c r="G35" s="2339" t="inlineStr">
        <is>
          <t>Industrial/Distribution</t>
        </is>
      </c>
      <c r="H35" s="2339" t="inlineStr">
        <is>
          <t>Single-tenant NNN</t>
        </is>
      </c>
      <c r="I35" s="2362" t="n"/>
      <c r="J35" s="2362" t="n">
        <v>555840</v>
      </c>
      <c r="K35" s="2362" t="n">
        <v>2023</v>
      </c>
      <c r="L35" s="2363" t="n">
        <v>5.6192</v>
      </c>
      <c r="M35" s="2339" t="n"/>
      <c r="N35" s="2363" t="n">
        <v>5.6192</v>
      </c>
      <c r="O35" s="2363" t="n">
        <v>0.1549</v>
      </c>
      <c r="P35" s="2363" t="n">
        <v>0.1124</v>
      </c>
      <c r="Q35" s="2339" t="n"/>
      <c r="R35" s="2339" t="n"/>
      <c r="S35" s="2339" t="n"/>
      <c r="T35" s="2339" t="n"/>
      <c r="U35" s="2339" t="n"/>
      <c r="V35" s="2339" t="n"/>
      <c r="W35" s="2339" t="n"/>
      <c r="X35" s="2339" t="n"/>
      <c r="Y35" s="2339" t="n"/>
      <c r="Z35" s="2339" t="n"/>
      <c r="AA35" s="2339" t="n"/>
      <c r="AB35" s="2339" t="n"/>
      <c r="AC35" s="2363" t="n">
        <v>0.0402</v>
      </c>
      <c r="AD35" s="2339" t="n"/>
      <c r="AE35" s="2339" t="n"/>
      <c r="AF35" s="2363" t="n">
        <v>0.002</v>
      </c>
      <c r="AG35" s="2339" t="n"/>
      <c r="AH35" s="2363" t="n">
        <v>0.3551</v>
      </c>
      <c r="AI35" s="2363" t="n">
        <v>2.9096</v>
      </c>
      <c r="AJ35" s="2363" t="n">
        <v>3.2647</v>
      </c>
      <c r="AK35" s="2339" t="n"/>
      <c r="AL35" s="2339" t="n"/>
      <c r="AM35" s="2364" t="inlineStr">
        <is>
          <t>NNN ? expenses = LL CAM billed to Amazon tenant; RE Tax $1.617M dominates; base rent $3.12M; 2023 CAM reconciliation</t>
        </is>
      </c>
    </row>
    <row r="36" ht="14.1" customHeight="1" s="1449">
      <c r="A36" s="2358" t="inlineStr">
        <is>
          <t>P014</t>
        </is>
      </c>
      <c r="B36" s="2338" t="n">
        <v>407</v>
      </c>
      <c r="C36" s="2358" t="inlineStr">
        <is>
          <t>R0198530</t>
        </is>
      </c>
      <c r="D36" s="2358" t="inlineStr">
        <is>
          <t>Amazon DEN7 Distribution Center</t>
        </is>
      </c>
      <c r="E36" s="2358" t="inlineStr">
        <is>
          <t>Aurora</t>
        </is>
      </c>
      <c r="F36" s="2358" t="inlineStr">
        <is>
          <t>CO</t>
        </is>
      </c>
      <c r="G36" s="2358" t="inlineStr">
        <is>
          <t>Industrial/Distribution</t>
        </is>
      </c>
      <c r="H36" s="2358" t="inlineStr">
        <is>
          <t>Single-tenant NNN</t>
        </is>
      </c>
      <c r="I36" s="2359" t="n"/>
      <c r="J36" s="2359" t="n">
        <v>555840</v>
      </c>
      <c r="K36" s="2359" t="n">
        <v>2024</v>
      </c>
      <c r="L36" s="2360" t="n">
        <v>5.7597</v>
      </c>
      <c r="M36" s="2358" t="n"/>
      <c r="N36" s="2360" t="n">
        <v>5.7597</v>
      </c>
      <c r="O36" s="2360" t="n">
        <v>0.1616</v>
      </c>
      <c r="P36" s="2360" t="n">
        <v>0.1152</v>
      </c>
      <c r="Q36" s="2358" t="n"/>
      <c r="R36" s="2358" t="n"/>
      <c r="S36" s="2358" t="n"/>
      <c r="T36" s="2358" t="n"/>
      <c r="U36" s="2358" t="n"/>
      <c r="V36" s="2358" t="n"/>
      <c r="W36" s="2358" t="n"/>
      <c r="X36" s="2358" t="n"/>
      <c r="Y36" s="2358" t="n"/>
      <c r="Z36" s="2358" t="n"/>
      <c r="AA36" s="2358" t="n"/>
      <c r="AB36" s="2360" t="n">
        <v>0.0038</v>
      </c>
      <c r="AC36" s="2360" t="n">
        <v>0.0314</v>
      </c>
      <c r="AD36" s="2358" t="n"/>
      <c r="AE36" s="2358" t="n"/>
      <c r="AF36" s="2360" t="n">
        <v>0.0036</v>
      </c>
      <c r="AG36" s="2358" t="n"/>
      <c r="AH36" s="2360" t="n">
        <v>0.2783</v>
      </c>
      <c r="AI36" s="2360" t="n">
        <v>3.8893</v>
      </c>
      <c r="AJ36" s="2360" t="n">
        <v>4.1677</v>
      </c>
      <c r="AK36" s="2358" t="n"/>
      <c r="AL36" s="2358" t="n"/>
      <c r="AM36" s="2361" t="inlineStr">
        <is>
          <t>NNN; RE Tax $2.162M = $3.89/SF reflecting Adams County assessment increase (+34% YOY); 2024 CAM reconciliation</t>
        </is>
      </c>
    </row>
    <row r="37" ht="14.1" customHeight="1" s="1449">
      <c r="A37" s="2339" t="inlineStr">
        <is>
          <t>P015</t>
        </is>
      </c>
      <c r="B37" s="2338" t="n">
        <v>407</v>
      </c>
      <c r="C37" s="2339" t="inlineStr">
        <is>
          <t>R0180894</t>
        </is>
      </c>
      <c r="D37" s="2339" t="inlineStr">
        <is>
          <t>1910 N Gun Club Rd</t>
        </is>
      </c>
      <c r="E37" s="2339" t="inlineStr">
        <is>
          <t>Aurora</t>
        </is>
      </c>
      <c r="F37" s="2339" t="inlineStr">
        <is>
          <t>CO</t>
        </is>
      </c>
      <c r="G37" s="2339" t="inlineStr">
        <is>
          <t>Industrial</t>
        </is>
      </c>
      <c r="H37" s="2339" t="inlineStr">
        <is>
          <t>Distribution Warehouse Multi-Tenant NNN</t>
        </is>
      </c>
      <c r="I37" s="2362" t="n">
        <v>2019</v>
      </c>
      <c r="J37" s="2362" t="n">
        <v>163386</v>
      </c>
      <c r="K37" s="2362" t="n">
        <v>2023</v>
      </c>
      <c r="L37" s="2363" t="n">
        <v>12.829</v>
      </c>
      <c r="M37" s="2339" t="n"/>
      <c r="N37" s="2363" t="n">
        <v>12.829</v>
      </c>
      <c r="O37" s="2363" t="n">
        <v>0.2491</v>
      </c>
      <c r="P37" s="2363" t="n">
        <v>0.3371</v>
      </c>
      <c r="Q37" s="2339" t="n"/>
      <c r="R37" s="2339" t="n"/>
      <c r="S37" s="2339" t="n"/>
      <c r="T37" s="2339" t="n"/>
      <c r="U37" s="2339" t="n"/>
      <c r="V37" s="2339" t="n"/>
      <c r="W37" s="2339" t="n"/>
      <c r="X37" s="2339" t="n"/>
      <c r="Y37" s="2363" t="n">
        <v>0.0395</v>
      </c>
      <c r="Z37" s="2339" t="n"/>
      <c r="AA37" s="2363" t="n">
        <v>0.0888</v>
      </c>
      <c r="AB37" s="2363" t="n">
        <v>0.3394</v>
      </c>
      <c r="AC37" s="2339" t="n"/>
      <c r="AD37" s="2339" t="n"/>
      <c r="AE37" s="2339" t="n"/>
      <c r="AF37" s="2363" t="n">
        <v>0.2688</v>
      </c>
      <c r="AG37" s="2363" t="n">
        <v>0.9762</v>
      </c>
      <c r="AH37" s="2363" t="n">
        <v>2.3251</v>
      </c>
      <c r="AI37" s="2363" t="n">
        <v>5.6528</v>
      </c>
      <c r="AJ37" s="2363" t="n">
        <v>7.9779</v>
      </c>
      <c r="AK37" s="2363" t="n">
        <v>4.8512</v>
      </c>
      <c r="AL37" s="2339" t="n"/>
      <c r="AM37" s="2364" t="inlineStr">
        <is>
          <t>Actual accrual; security $159,500 in Other</t>
        </is>
      </c>
    </row>
    <row r="38" ht="14.1" customHeight="1" s="1449">
      <c r="A38" s="2358" t="inlineStr">
        <is>
          <t>P015</t>
        </is>
      </c>
      <c r="B38" s="2338" t="n">
        <v>407</v>
      </c>
      <c r="C38" s="2358" t="inlineStr">
        <is>
          <t>R0180894</t>
        </is>
      </c>
      <c r="D38" s="2358" t="inlineStr">
        <is>
          <t>1910 N Gun Club Rd</t>
        </is>
      </c>
      <c r="E38" s="2358" t="inlineStr">
        <is>
          <t>Aurora</t>
        </is>
      </c>
      <c r="F38" s="2358" t="inlineStr">
        <is>
          <t>CO</t>
        </is>
      </c>
      <c r="G38" s="2358" t="inlineStr">
        <is>
          <t>Industrial</t>
        </is>
      </c>
      <c r="H38" s="2358" t="inlineStr">
        <is>
          <t>Distribution Warehouse Multi-Tenant NNN</t>
        </is>
      </c>
      <c r="I38" s="2359" t="n">
        <v>2019</v>
      </c>
      <c r="J38" s="2359" t="n">
        <v>163386</v>
      </c>
      <c r="K38" s="2359" t="n">
        <v>2024</v>
      </c>
      <c r="L38" s="2360" t="n">
        <v>13.1836</v>
      </c>
      <c r="M38" s="2358" t="n"/>
      <c r="N38" s="2360" t="n">
        <v>13.1836</v>
      </c>
      <c r="O38" s="2360" t="n">
        <v>0.2943</v>
      </c>
      <c r="P38" s="2360" t="n">
        <v>0.4581</v>
      </c>
      <c r="Q38" s="2358" t="n"/>
      <c r="R38" s="2358" t="n"/>
      <c r="S38" s="2358" t="n"/>
      <c r="T38" s="2358" t="n"/>
      <c r="U38" s="2358" t="n"/>
      <c r="V38" s="2358" t="n"/>
      <c r="W38" s="2358" t="n"/>
      <c r="X38" s="2358" t="n"/>
      <c r="Y38" s="2360" t="n">
        <v>0.0322</v>
      </c>
      <c r="Z38" s="2358" t="n"/>
      <c r="AA38" s="2360" t="n">
        <v>0.0822</v>
      </c>
      <c r="AB38" s="2360" t="n">
        <v>0.2856</v>
      </c>
      <c r="AC38" s="2358" t="n"/>
      <c r="AD38" s="2358" t="n"/>
      <c r="AE38" s="2358" t="n"/>
      <c r="AF38" s="2360" t="n">
        <v>0.3299</v>
      </c>
      <c r="AG38" s="2360" t="n">
        <v>0.8113</v>
      </c>
      <c r="AH38" s="2360" t="n">
        <v>2.4145</v>
      </c>
      <c r="AI38" s="2360" t="n">
        <v>5.5843</v>
      </c>
      <c r="AJ38" s="2360" t="n">
        <v>7.9988</v>
      </c>
      <c r="AK38" s="2360" t="n">
        <v>5.1848</v>
      </c>
      <c r="AL38" s="2358" t="n"/>
      <c r="AM38" s="2361" t="inlineStr">
        <is>
          <t>Actual accrual; security $132,552 in Other</t>
        </is>
      </c>
    </row>
    <row r="39" ht="14.1" customHeight="1" s="1449">
      <c r="A39" s="2339" t="inlineStr">
        <is>
          <t>P016</t>
        </is>
      </c>
      <c r="B39" s="2338" t="n">
        <v>584</v>
      </c>
      <c r="C39" s="2339" t="inlineStr">
        <is>
          <t>R0212546/R0212547</t>
        </is>
      </c>
      <c r="D39" s="2339" t="inlineStr">
        <is>
          <t>2780 N Tower Rd</t>
        </is>
      </c>
      <c r="E39" s="2339" t="inlineStr">
        <is>
          <t>Aurora</t>
        </is>
      </c>
      <c r="F39" s="2339" t="inlineStr">
        <is>
          <t>CO</t>
        </is>
      </c>
      <c r="G39" s="2339" t="inlineStr">
        <is>
          <t>Industrial</t>
        </is>
      </c>
      <c r="H39" s="2339" t="inlineStr">
        <is>
          <t>Mega Warehouse NNN</t>
        </is>
      </c>
      <c r="I39" s="2362" t="n">
        <v>1983</v>
      </c>
      <c r="J39" s="2362" t="n">
        <v>384953</v>
      </c>
      <c r="K39" s="2362" t="n">
        <v>2024</v>
      </c>
      <c r="L39" s="2339" t="n"/>
      <c r="M39" s="2339" t="n"/>
      <c r="N39" s="2339" t="n"/>
      <c r="O39" s="2339" t="n"/>
      <c r="P39" s="2339" t="n"/>
      <c r="Q39" s="2339" t="n"/>
      <c r="R39" s="2339" t="n"/>
      <c r="S39" s="2339" t="n"/>
      <c r="T39" s="2339" t="n"/>
      <c r="U39" s="2339" t="n"/>
      <c r="V39" s="2339" t="n"/>
      <c r="W39" s="2339" t="n"/>
      <c r="X39" s="2339" t="n"/>
      <c r="Y39" s="2339" t="n"/>
      <c r="Z39" s="2339" t="n"/>
      <c r="AA39" s="2339" t="n"/>
      <c r="AB39" s="2339" t="n"/>
      <c r="AC39" s="2339" t="n"/>
      <c r="AD39" s="2339" t="n"/>
      <c r="AE39" s="2339" t="n"/>
      <c r="AF39" s="2339" t="n"/>
      <c r="AG39" s="2339" t="n"/>
      <c r="AH39" s="2339" t="n"/>
      <c r="AI39" s="2339" t="n"/>
      <c r="AJ39" s="2339" t="n"/>
      <c r="AK39" s="2339" t="n"/>
      <c r="AL39" s="2339" t="n"/>
      <c r="AM39" s="2364" t="inlineStr">
        <is>
          <t>County proforma only; limited line-item detail available</t>
        </is>
      </c>
    </row>
    <row r="40" ht="14.1" customHeight="1" s="1449">
      <c r="A40" s="2358" t="inlineStr">
        <is>
          <t>P017</t>
        </is>
      </c>
      <c r="B40" s="2338" t="n">
        <v>210</v>
      </c>
      <c r="C40" s="2358" t="inlineStr">
        <is>
          <t>R0098098</t>
        </is>
      </c>
      <c r="D40" s="2358" t="inlineStr">
        <is>
          <t>1445 E 68th Ave</t>
        </is>
      </c>
      <c r="E40" s="2358" t="inlineStr">
        <is>
          <t>Denver</t>
        </is>
      </c>
      <c r="F40" s="2358" t="inlineStr">
        <is>
          <t>CO</t>
        </is>
      </c>
      <c r="G40" s="2358" t="inlineStr">
        <is>
          <t>Industrial</t>
        </is>
      </c>
      <c r="H40" s="2358" t="inlineStr">
        <is>
          <t>Industrial Office Mix</t>
        </is>
      </c>
      <c r="I40" s="2359" t="n">
        <v>1972</v>
      </c>
      <c r="J40" s="2359" t="n">
        <v>63348</v>
      </c>
      <c r="K40" s="2359" t="n">
        <v>2024</v>
      </c>
      <c r="L40" s="2358" t="n"/>
      <c r="M40" s="2358" t="n"/>
      <c r="N40" s="2358" t="n"/>
      <c r="O40" s="2358" t="n"/>
      <c r="P40" s="2358" t="n"/>
      <c r="Q40" s="2358" t="n"/>
      <c r="R40" s="2358" t="n"/>
      <c r="S40" s="2358" t="n"/>
      <c r="T40" s="2358" t="n"/>
      <c r="U40" s="2358" t="n"/>
      <c r="V40" s="2358" t="n"/>
      <c r="W40" s="2358" t="n"/>
      <c r="X40" s="2358" t="n"/>
      <c r="Y40" s="2358" t="n"/>
      <c r="Z40" s="2358" t="n"/>
      <c r="AA40" s="2358" t="n"/>
      <c r="AB40" s="2358" t="n"/>
      <c r="AC40" s="2358" t="n"/>
      <c r="AD40" s="2358" t="n"/>
      <c r="AE40" s="2358" t="n"/>
      <c r="AF40" s="2358" t="n"/>
      <c r="AG40" s="2358" t="n"/>
      <c r="AH40" s="2358" t="n"/>
      <c r="AI40" s="2358" t="n"/>
      <c r="AJ40" s="2358" t="n"/>
      <c r="AK40" s="2358" t="n"/>
      <c r="AL40" s="2358" t="n"/>
      <c r="AM40" s="2361" t="inlineStr">
        <is>
          <t>County proforma 2024; YOC 1972/2006/2023 additions</t>
        </is>
      </c>
    </row>
    <row r="41" ht="14.1" customHeight="1" s="1449">
      <c r="A41" s="2339" t="inlineStr">
        <is>
          <t>P018</t>
        </is>
      </c>
      <c r="B41" s="2338" t="n">
        <v>406</v>
      </c>
      <c r="C41" s="2339" t="inlineStr">
        <is>
          <t>R0103783</t>
        </is>
      </c>
      <c r="D41" s="2339" t="inlineStr">
        <is>
          <t>2031 E 58th Ave</t>
        </is>
      </c>
      <c r="E41" s="2339" t="inlineStr">
        <is>
          <t>Denver</t>
        </is>
      </c>
      <c r="F41" s="2339" t="inlineStr">
        <is>
          <t>CO</t>
        </is>
      </c>
      <c r="G41" s="2339" t="inlineStr">
        <is>
          <t>Industrial</t>
        </is>
      </c>
      <c r="H41" s="2339" t="inlineStr">
        <is>
          <t>Storage Warehouse / Mod Office NNN</t>
        </is>
      </c>
      <c r="I41" s="2362" t="n">
        <v>2004</v>
      </c>
      <c r="J41" s="2362" t="n">
        <v>18720</v>
      </c>
      <c r="K41" s="2362" t="n">
        <v>2024</v>
      </c>
      <c r="L41" s="2363" t="n">
        <v>13.2904</v>
      </c>
      <c r="M41" s="2339" t="n"/>
      <c r="N41" s="2363" t="n">
        <v>16.0225</v>
      </c>
      <c r="O41" s="2363" t="n">
        <v>0.2061</v>
      </c>
      <c r="P41" s="2339" t="n"/>
      <c r="Q41" s="2339" t="n"/>
      <c r="R41" s="2339" t="n"/>
      <c r="S41" s="2339" t="n"/>
      <c r="T41" s="2339" t="n"/>
      <c r="U41" s="2339" t="n"/>
      <c r="V41" s="2339" t="n"/>
      <c r="W41" s="2339" t="n"/>
      <c r="X41" s="2339" t="n"/>
      <c r="Y41" s="2339" t="n"/>
      <c r="Z41" s="2339" t="n"/>
      <c r="AA41" s="2339" t="n"/>
      <c r="AB41" s="2339" t="n"/>
      <c r="AC41" s="2363" t="n">
        <v>0.1296</v>
      </c>
      <c r="AD41" s="2339" t="n"/>
      <c r="AE41" s="2339" t="n"/>
      <c r="AF41" s="2339" t="n"/>
      <c r="AG41" s="2339" t="n"/>
      <c r="AH41" s="2363" t="n">
        <v>0.3357</v>
      </c>
      <c r="AI41" s="2363" t="n">
        <v>2.3964</v>
      </c>
      <c r="AJ41" s="2363" t="n">
        <v>2.7321</v>
      </c>
      <c r="AK41" s="2363" t="n">
        <v>13.2904</v>
      </c>
      <c r="AL41" s="2339" t="n"/>
      <c r="AM41" s="2364" t="inlineStr">
        <is>
          <t>NNN billed charges; EGI = base rent + NNN pass-throughs</t>
        </is>
      </c>
    </row>
    <row r="42" ht="14.1" customHeight="1" s="1449">
      <c r="A42" s="2358" t="inlineStr">
        <is>
          <t>P018</t>
        </is>
      </c>
      <c r="B42" s="2338" t="n">
        <v>406</v>
      </c>
      <c r="C42" s="2358" t="inlineStr">
        <is>
          <t>R0103783</t>
        </is>
      </c>
      <c r="D42" s="2358" t="inlineStr">
        <is>
          <t>2031 E 58th Ave</t>
        </is>
      </c>
      <c r="E42" s="2358" t="inlineStr">
        <is>
          <t>Denver</t>
        </is>
      </c>
      <c r="F42" s="2358" t="inlineStr">
        <is>
          <t>CO</t>
        </is>
      </c>
      <c r="G42" s="2358" t="inlineStr">
        <is>
          <t>Industrial</t>
        </is>
      </c>
      <c r="H42" s="2358" t="inlineStr">
        <is>
          <t>Storage Warehouse / Mod Office NNN</t>
        </is>
      </c>
      <c r="I42" s="2359" t="n">
        <v>2004</v>
      </c>
      <c r="J42" s="2359" t="n">
        <v>18720</v>
      </c>
      <c r="K42" s="2359" t="n">
        <v>2023</v>
      </c>
      <c r="L42" s="2360" t="n">
        <v>13.0298</v>
      </c>
      <c r="M42" s="2358" t="n"/>
      <c r="N42" s="2360" t="n">
        <v>15.7619</v>
      </c>
      <c r="O42" s="2360" t="n">
        <v>0.2061</v>
      </c>
      <c r="P42" s="2358" t="n"/>
      <c r="Q42" s="2358" t="n"/>
      <c r="R42" s="2358" t="n"/>
      <c r="S42" s="2358" t="n"/>
      <c r="T42" s="2358" t="n"/>
      <c r="U42" s="2358" t="n"/>
      <c r="V42" s="2358" t="n"/>
      <c r="W42" s="2358" t="n"/>
      <c r="X42" s="2358" t="n"/>
      <c r="Y42" s="2358" t="n"/>
      <c r="Z42" s="2358" t="n"/>
      <c r="AA42" s="2358" t="n"/>
      <c r="AB42" s="2358" t="n"/>
      <c r="AC42" s="2360" t="n">
        <v>0.1296</v>
      </c>
      <c r="AD42" s="2358" t="n"/>
      <c r="AE42" s="2358" t="n"/>
      <c r="AF42" s="2358" t="n"/>
      <c r="AG42" s="2358" t="n"/>
      <c r="AH42" s="2360" t="n">
        <v>0.3357</v>
      </c>
      <c r="AI42" s="2360" t="n">
        <v>2.3964</v>
      </c>
      <c r="AJ42" s="2360" t="n">
        <v>2.7321</v>
      </c>
      <c r="AK42" s="2360" t="n">
        <v>13.0298</v>
      </c>
      <c r="AL42" s="2358" t="n"/>
      <c r="AM42" s="2361" t="inlineStr">
        <is>
          <t>NNN billed charges; EGI = base rent + NNN pass-throughs</t>
        </is>
      </c>
    </row>
    <row r="43" ht="14.1" customHeight="1" s="1449">
      <c r="A43" s="2339" t="inlineStr">
        <is>
          <t>P019</t>
        </is>
      </c>
      <c r="B43" s="2338" t="n">
        <v>407</v>
      </c>
      <c r="C43" s="2339" t="inlineStr">
        <is>
          <t>R0210402/R0210403</t>
        </is>
      </c>
      <c r="D43" s="2339" t="inlineStr">
        <is>
          <t>17190 E 85th Ave</t>
        </is>
      </c>
      <c r="E43" s="2339" t="inlineStr">
        <is>
          <t>Commerce City</t>
        </is>
      </c>
      <c r="F43" s="2339" t="inlineStr">
        <is>
          <t>CO</t>
        </is>
      </c>
      <c r="G43" s="2339" t="inlineStr">
        <is>
          <t>Industrial</t>
        </is>
      </c>
      <c r="H43" s="2339" t="inlineStr">
        <is>
          <t>Industrial Warehouse NNN</t>
        </is>
      </c>
      <c r="I43" s="2362" t="n">
        <v>2021</v>
      </c>
      <c r="J43" s="2362" t="n">
        <v>329940</v>
      </c>
      <c r="K43" s="2362" t="n">
        <v>2024</v>
      </c>
      <c r="L43" s="2339" t="n"/>
      <c r="M43" s="2339" t="n"/>
      <c r="N43" s="2339" t="n"/>
      <c r="O43" s="2339" t="n"/>
      <c r="P43" s="2339" t="n"/>
      <c r="Q43" s="2339" t="n"/>
      <c r="R43" s="2339" t="n"/>
      <c r="S43" s="2339" t="n"/>
      <c r="T43" s="2339" t="n"/>
      <c r="U43" s="2339" t="n"/>
      <c r="V43" s="2339" t="n"/>
      <c r="W43" s="2339" t="n"/>
      <c r="X43" s="2339" t="n"/>
      <c r="Y43" s="2339" t="n"/>
      <c r="Z43" s="2339" t="n"/>
      <c r="AA43" s="2339" t="n"/>
      <c r="AB43" s="2339" t="n"/>
      <c r="AC43" s="2339" t="n"/>
      <c r="AD43" s="2339" t="n"/>
      <c r="AE43" s="2339" t="n"/>
      <c r="AF43" s="2339" t="n"/>
      <c r="AG43" s="2339" t="n"/>
      <c r="AH43" s="2339" t="n"/>
      <c r="AI43" s="2339" t="n"/>
      <c r="AJ43" s="2339" t="n"/>
      <c r="AK43" s="2339" t="n"/>
      <c r="AL43" s="2339" t="n"/>
      <c r="AM43" s="2364" t="inlineStr">
        <is>
          <t>Petitioner proforma 2024/25; limited line-item detail</t>
        </is>
      </c>
    </row>
    <row r="44" ht="14.1" customHeight="1" s="1449">
      <c r="A44" s="2358" t="inlineStr">
        <is>
          <t>P020</t>
        </is>
      </c>
      <c r="B44" s="2338" t="n">
        <v>584</v>
      </c>
      <c r="C44" s="2358" t="inlineStr">
        <is>
          <t>R0209679</t>
        </is>
      </c>
      <c r="D44" s="2358" t="inlineStr">
        <is>
          <t>17501 E 84th Ave</t>
        </is>
      </c>
      <c r="E44" s="2358" t="inlineStr">
        <is>
          <t>Commerce City</t>
        </is>
      </c>
      <c r="F44" s="2358" t="inlineStr">
        <is>
          <t>CO</t>
        </is>
      </c>
      <c r="G44" s="2358" t="inlineStr">
        <is>
          <t>Industrial</t>
        </is>
      </c>
      <c r="H44" s="2358" t="inlineStr">
        <is>
          <t>Mega Warehouse / Distribution Center NNN (Lowe's)</t>
        </is>
      </c>
      <c r="I44" s="2359" t="n">
        <v>2021</v>
      </c>
      <c r="J44" s="2359" t="n">
        <v>999780</v>
      </c>
      <c r="K44" s="2359" t="n">
        <v>2023</v>
      </c>
      <c r="L44" s="2360" t="n">
        <v>12.3992</v>
      </c>
      <c r="M44" s="2358" t="n"/>
      <c r="N44" s="2360" t="n">
        <v>12.3992</v>
      </c>
      <c r="O44" s="2360" t="n">
        <v>0.1505</v>
      </c>
      <c r="P44" s="2360" t="n">
        <v>0.1005</v>
      </c>
      <c r="Q44" s="2358" t="n"/>
      <c r="R44" s="2358" t="n"/>
      <c r="S44" s="2358" t="n"/>
      <c r="T44" s="2358" t="n"/>
      <c r="U44" s="2358" t="n"/>
      <c r="V44" s="2358" t="n"/>
      <c r="W44" s="2358" t="n"/>
      <c r="X44" s="2358" t="n"/>
      <c r="Y44" s="2360" t="n">
        <v>0.0533</v>
      </c>
      <c r="Z44" s="2358" t="n"/>
      <c r="AA44" s="2360" t="n">
        <v>0.0508</v>
      </c>
      <c r="AB44" s="2360" t="n">
        <v>0.1178</v>
      </c>
      <c r="AC44" s="2358" t="n"/>
      <c r="AD44" s="2358" t="n"/>
      <c r="AE44" s="2358" t="n"/>
      <c r="AF44" s="2358" t="n"/>
      <c r="AG44" s="2360" t="n">
        <v>0.008399999999999999</v>
      </c>
      <c r="AH44" s="2360" t="n">
        <v>1.355</v>
      </c>
      <c r="AI44" s="2360" t="n">
        <v>4.9234</v>
      </c>
      <c r="AJ44" s="2360" t="n">
        <v>8.2796</v>
      </c>
      <c r="AK44" s="2360" t="n">
        <v>4.1196</v>
      </c>
      <c r="AL44" s="2358" t="n"/>
      <c r="AM44" s="2361" t="inlineStr">
        <is>
          <t>Actual accrual; 2023 NOI inflated ~$2.8M by prior-yr RE tax adj; security in Other</t>
        </is>
      </c>
    </row>
    <row r="45" ht="14.1" customHeight="1" s="1449">
      <c r="A45" s="2339" t="inlineStr">
        <is>
          <t>P020</t>
        </is>
      </c>
      <c r="B45" s="2338" t="n">
        <v>584</v>
      </c>
      <c r="C45" s="2339" t="inlineStr">
        <is>
          <t>R0209679</t>
        </is>
      </c>
      <c r="D45" s="2339" t="inlineStr">
        <is>
          <t>17501 E 84th Ave</t>
        </is>
      </c>
      <c r="E45" s="2339" t="inlineStr">
        <is>
          <t>Commerce City</t>
        </is>
      </c>
      <c r="F45" s="2339" t="inlineStr">
        <is>
          <t>CO</t>
        </is>
      </c>
      <c r="G45" s="2339" t="inlineStr">
        <is>
          <t>Industrial</t>
        </is>
      </c>
      <c r="H45" s="2339" t="inlineStr">
        <is>
          <t>Mega Warehouse / Distribution Center NNN (Lowe's)</t>
        </is>
      </c>
      <c r="I45" s="2362" t="n">
        <v>2021</v>
      </c>
      <c r="J45" s="2362" t="n">
        <v>999780</v>
      </c>
      <c r="K45" s="2362" t="n">
        <v>2024</v>
      </c>
      <c r="L45" s="2363" t="n">
        <v>10.003</v>
      </c>
      <c r="M45" s="2339" t="n"/>
      <c r="N45" s="2363" t="n">
        <v>10.003</v>
      </c>
      <c r="O45" s="2363" t="n">
        <v>0.172</v>
      </c>
      <c r="P45" s="2363" t="n">
        <v>0.1016</v>
      </c>
      <c r="Q45" s="2339" t="n"/>
      <c r="R45" s="2339" t="n"/>
      <c r="S45" s="2339" t="n"/>
      <c r="T45" s="2339" t="n"/>
      <c r="U45" s="2339" t="n"/>
      <c r="V45" s="2339" t="n"/>
      <c r="W45" s="2339" t="n"/>
      <c r="X45" s="2339" t="n"/>
      <c r="Y45" s="2363" t="n">
        <v>0.1205</v>
      </c>
      <c r="Z45" s="2339" t="n"/>
      <c r="AA45" s="2363" t="n">
        <v>0.0378</v>
      </c>
      <c r="AB45" s="2363" t="n">
        <v>0.1319</v>
      </c>
      <c r="AC45" s="2339" t="n"/>
      <c r="AD45" s="2339" t="n"/>
      <c r="AE45" s="2339" t="n"/>
      <c r="AF45" s="2339" t="n"/>
      <c r="AG45" s="2363" t="n">
        <v>0.0308</v>
      </c>
      <c r="AH45" s="2363" t="n">
        <v>0.7976</v>
      </c>
      <c r="AI45" s="2363" t="n">
        <v>4.9977</v>
      </c>
      <c r="AJ45" s="2363" t="n">
        <v>5.7953</v>
      </c>
      <c r="AK45" s="2363" t="n">
        <v>4.2077</v>
      </c>
      <c r="AL45" s="2339" t="n"/>
      <c r="AM45" s="2364" t="inlineStr">
        <is>
          <t>Actual accrual; security $30,799 in Other</t>
        </is>
      </c>
    </row>
    <row r="46" ht="14.1" customHeight="1" s="1449">
      <c r="A46" s="2358" t="inlineStr">
        <is>
          <t>P021</t>
        </is>
      </c>
      <c r="B46" s="2338" t="n">
        <v>210</v>
      </c>
      <c r="C46" s="2358" t="inlineStr">
        <is>
          <t>R0091931</t>
        </is>
      </c>
      <c r="D46" s="2358" t="inlineStr">
        <is>
          <t>6300 E. 58th Ave</t>
        </is>
      </c>
      <c r="E46" s="2358" t="inlineStr">
        <is>
          <t>Commerce City</t>
        </is>
      </c>
      <c r="F46" s="2358" t="inlineStr">
        <is>
          <t>CO</t>
        </is>
      </c>
      <c r="G46" s="2358" t="inlineStr">
        <is>
          <t>Industrial</t>
        </is>
      </c>
      <c r="H46" s="2358" t="inlineStr">
        <is>
          <t>Multi-Tenant Industrial/Flex</t>
        </is>
      </c>
      <c r="I46" s="2359" t="n">
        <v>1999</v>
      </c>
      <c r="J46" s="2359" t="n">
        <v>90000</v>
      </c>
      <c r="K46" s="2359" t="n">
        <v>2023</v>
      </c>
      <c r="L46" s="2360" t="n">
        <v>10.5459</v>
      </c>
      <c r="M46" s="2358" t="n"/>
      <c r="N46" s="2360" t="n">
        <v>13.7594</v>
      </c>
      <c r="O46" s="2360" t="n">
        <v>0.176</v>
      </c>
      <c r="P46" s="2360" t="n">
        <v>0.516</v>
      </c>
      <c r="Q46" s="2360" t="n">
        <v>0.0441</v>
      </c>
      <c r="R46" s="2358" t="n"/>
      <c r="S46" s="2360" t="n">
        <v>0.3032</v>
      </c>
      <c r="T46" s="2360" t="n">
        <v>0.0731</v>
      </c>
      <c r="U46" s="2358" t="n"/>
      <c r="V46" s="2358" t="n"/>
      <c r="W46" s="2358" t="n"/>
      <c r="X46" s="2360" t="n">
        <v>0.2579</v>
      </c>
      <c r="Y46" s="2360" t="n">
        <v>0.6783</v>
      </c>
      <c r="Z46" s="2360" t="n">
        <v>0.0103</v>
      </c>
      <c r="AA46" s="2360" t="n">
        <v>0.0531</v>
      </c>
      <c r="AB46" s="2360" t="n">
        <v>0.1252</v>
      </c>
      <c r="AC46" s="2360" t="n">
        <v>0.1886</v>
      </c>
      <c r="AD46" s="2360" t="n">
        <v>0.1574</v>
      </c>
      <c r="AE46" s="2360" t="n">
        <v>0.0621</v>
      </c>
      <c r="AF46" s="2360" t="n">
        <v>0.2196</v>
      </c>
      <c r="AG46" s="2358" t="n"/>
      <c r="AH46" s="2360" t="n">
        <v>1.8054</v>
      </c>
      <c r="AI46" s="2360" t="n">
        <v>3.1511</v>
      </c>
      <c r="AJ46" s="2360" t="n">
        <v>4.9565</v>
      </c>
      <c r="AK46" s="2360" t="n">
        <v>8.802899999999999</v>
      </c>
      <c r="AL46" s="2358" t="n"/>
      <c r="AM46" s="2361" t="inlineStr">
        <is>
          <t>Actual accrual; parking sweep in Trash; admin fees in Mgmt</t>
        </is>
      </c>
    </row>
    <row r="47" ht="14.1" customHeight="1" s="1449">
      <c r="A47" s="2339" t="inlineStr">
        <is>
          <t>P021</t>
        </is>
      </c>
      <c r="B47" s="2338" t="n">
        <v>210</v>
      </c>
      <c r="C47" s="2339" t="inlineStr">
        <is>
          <t>R0091931</t>
        </is>
      </c>
      <c r="D47" s="2339" t="inlineStr">
        <is>
          <t>6300 E. 58th Ave</t>
        </is>
      </c>
      <c r="E47" s="2339" t="inlineStr">
        <is>
          <t>Commerce City</t>
        </is>
      </c>
      <c r="F47" s="2339" t="inlineStr">
        <is>
          <t>CO</t>
        </is>
      </c>
      <c r="G47" s="2339" t="inlineStr">
        <is>
          <t>Industrial</t>
        </is>
      </c>
      <c r="H47" s="2339" t="inlineStr">
        <is>
          <t>Multi-Tenant Industrial/Flex</t>
        </is>
      </c>
      <c r="I47" s="2362" t="n">
        <v>1999</v>
      </c>
      <c r="J47" s="2362" t="n">
        <v>90000</v>
      </c>
      <c r="K47" s="2362" t="n">
        <v>2024</v>
      </c>
      <c r="L47" s="2363" t="n">
        <v>10.1323</v>
      </c>
      <c r="M47" s="2339" t="n"/>
      <c r="N47" s="2363" t="n">
        <v>14.5242</v>
      </c>
      <c r="O47" s="2363" t="n">
        <v>0.1757</v>
      </c>
      <c r="P47" s="2363" t="n">
        <v>0.725</v>
      </c>
      <c r="Q47" s="2363" t="n">
        <v>0.0069</v>
      </c>
      <c r="R47" s="2339" t="n"/>
      <c r="S47" s="2363" t="n">
        <v>0.3996</v>
      </c>
      <c r="T47" s="2363" t="n">
        <v>0.08699999999999999</v>
      </c>
      <c r="U47" s="2339" t="n"/>
      <c r="V47" s="2339" t="n"/>
      <c r="W47" s="2339" t="n"/>
      <c r="X47" s="2363" t="n">
        <v>0.2445</v>
      </c>
      <c r="Y47" s="2363" t="n">
        <v>0.738</v>
      </c>
      <c r="Z47" s="2363" t="n">
        <v>0.0131</v>
      </c>
      <c r="AA47" s="2363" t="n">
        <v>0.0496</v>
      </c>
      <c r="AB47" s="2363" t="n">
        <v>0.1661</v>
      </c>
      <c r="AC47" s="2363" t="n">
        <v>0.2288</v>
      </c>
      <c r="AD47" s="2363" t="n">
        <v>0.1748</v>
      </c>
      <c r="AE47" s="2363" t="n">
        <v>0.06370000000000001</v>
      </c>
      <c r="AF47" s="2363" t="n">
        <v>0.2385</v>
      </c>
      <c r="AG47" s="2339" t="n"/>
      <c r="AH47" s="2363" t="n">
        <v>1.7609</v>
      </c>
      <c r="AI47" s="2363" t="n">
        <v>3.2332</v>
      </c>
      <c r="AJ47" s="2363" t="n">
        <v>4.9941</v>
      </c>
      <c r="AK47" s="2363" t="n">
        <v>9.3636</v>
      </c>
      <c r="AL47" s="2339" t="n"/>
      <c r="AM47" s="2364" t="inlineStr">
        <is>
          <t>Actual accrual; snow $14,953 also listed under ext R&amp;M; security/admin in ext maint</t>
        </is>
      </c>
    </row>
    <row r="48" ht="14.1" customHeight="1" s="1449">
      <c r="A48" s="2358" t="inlineStr">
        <is>
          <t>P022</t>
        </is>
      </c>
      <c r="B48" s="2338" t="n">
        <v>210</v>
      </c>
      <c r="C48" s="2358" t="inlineStr">
        <is>
          <t>R0111559</t>
        </is>
      </c>
      <c r="D48" s="2358" t="inlineStr">
        <is>
          <t>3590 N. Himalaya Rd (Bldg 6)</t>
        </is>
      </c>
      <c r="E48" s="2358" t="inlineStr">
        <is>
          <t>Aurora</t>
        </is>
      </c>
      <c r="F48" s="2358" t="inlineStr">
        <is>
          <t>CO</t>
        </is>
      </c>
      <c r="G48" s="2358" t="inlineStr">
        <is>
          <t>Industrial</t>
        </is>
      </c>
      <c r="H48" s="2358" t="inlineStr">
        <is>
          <t>Multi-Tenant Industrial/Flex NNN</t>
        </is>
      </c>
      <c r="I48" s="2359" t="n"/>
      <c r="J48" s="2359" t="n"/>
      <c r="K48" s="2359" t="n">
        <v>2024</v>
      </c>
      <c r="L48" s="2370" t="n">
        <v>548918</v>
      </c>
      <c r="M48" s="2358" t="n"/>
      <c r="N48" s="2370" t="n">
        <v>766859</v>
      </c>
      <c r="O48" s="2370" t="n">
        <v>23025</v>
      </c>
      <c r="P48" s="2358" t="n"/>
      <c r="Q48" s="2358" t="n"/>
      <c r="R48" s="2358" t="n"/>
      <c r="S48" s="2358" t="n"/>
      <c r="T48" s="2358" t="n"/>
      <c r="U48" s="2358" t="n"/>
      <c r="V48" s="2358" t="n"/>
      <c r="W48" s="2358" t="n"/>
      <c r="X48" s="2358" t="n"/>
      <c r="Y48" s="2358" t="n"/>
      <c r="Z48" s="2358" t="n"/>
      <c r="AA48" s="2358" t="n"/>
      <c r="AB48" s="2358" t="n"/>
      <c r="AC48" s="2358" t="n"/>
      <c r="AD48" s="2370" t="n">
        <v>7986</v>
      </c>
      <c r="AE48" s="2370" t="n">
        <v>33669</v>
      </c>
      <c r="AF48" s="2370" t="n">
        <v>41655</v>
      </c>
      <c r="AG48" s="2358" t="n"/>
      <c r="AH48" s="2358" t="n"/>
      <c r="AI48" s="2370" t="n">
        <v>129107</v>
      </c>
      <c r="AJ48" s="2370" t="n">
        <v>250157</v>
      </c>
      <c r="AK48" s="2370" t="n">
        <v>374789</v>
      </c>
      <c r="AL48" s="2358" t="n"/>
      <c r="AM48" s="2361" t="inlineStr">
        <is>
          <t>[NO SF] 2024 only – 2023 was transitional vacancy year; SF not confirmed; approx figures</t>
        </is>
      </c>
    </row>
    <row r="49" ht="14.1" customHeight="1" s="1449">
      <c r="A49" s="2339" t="inlineStr">
        <is>
          <t>P023</t>
        </is>
      </c>
      <c r="B49" s="2338" t="n">
        <v>407</v>
      </c>
      <c r="C49" s="2339" t="inlineStr">
        <is>
          <t>R0191098</t>
        </is>
      </c>
      <c r="D49" s="2339" t="inlineStr">
        <is>
          <t>19754 E. 35th Dr (Bldg 4)</t>
        </is>
      </c>
      <c r="E49" s="2339" t="inlineStr">
        <is>
          <t>Aurora</t>
        </is>
      </c>
      <c r="F49" s="2339" t="inlineStr">
        <is>
          <t>CO</t>
        </is>
      </c>
      <c r="G49" s="2339" t="inlineStr">
        <is>
          <t>Industrial</t>
        </is>
      </c>
      <c r="H49" s="2339" t="inlineStr">
        <is>
          <t>Single-Tenant Industrial NNN</t>
        </is>
      </c>
      <c r="I49" s="2362" t="n"/>
      <c r="J49" s="2362" t="n">
        <v>155033</v>
      </c>
      <c r="K49" s="2362" t="n">
        <v>2023</v>
      </c>
      <c r="L49" s="2363" t="n">
        <v>6.2562</v>
      </c>
      <c r="M49" s="2339" t="n"/>
      <c r="N49" s="2363" t="n">
        <v>6.246</v>
      </c>
      <c r="O49" s="2363" t="n">
        <v>0.1319</v>
      </c>
      <c r="P49" s="2363" t="n">
        <v>0.1932</v>
      </c>
      <c r="Q49" s="2339" t="n"/>
      <c r="R49" s="2339" t="n"/>
      <c r="S49" s="2339" t="n"/>
      <c r="T49" s="2339" t="n"/>
      <c r="U49" s="2339" t="n"/>
      <c r="V49" s="2339" t="n"/>
      <c r="W49" s="2339" t="n"/>
      <c r="X49" s="2339" t="n"/>
      <c r="Y49" s="2339" t="n"/>
      <c r="Z49" s="2339" t="n"/>
      <c r="AA49" s="2363" t="n">
        <v>0.0257</v>
      </c>
      <c r="AB49" s="2339" t="n"/>
      <c r="AC49" s="2339" t="n"/>
      <c r="AD49" s="2363" t="n">
        <v>0.2449</v>
      </c>
      <c r="AE49" s="2363" t="n">
        <v>0.0885</v>
      </c>
      <c r="AF49" s="2363" t="n">
        <v>0.3334</v>
      </c>
      <c r="AG49" s="2339" t="n"/>
      <c r="AH49" s="2363" t="n">
        <v>1.9053</v>
      </c>
      <c r="AI49" s="2363" t="n">
        <v>0.5968</v>
      </c>
      <c r="AJ49" s="2363" t="n">
        <v>2.5021</v>
      </c>
      <c r="AK49" s="2363" t="n">
        <v>3.7439</v>
      </c>
      <c r="AL49" s="2339" t="n"/>
      <c r="AM49" s="2364" t="inlineStr">
        <is>
          <t>NNN; tenant pays most R&amp;M directly; Quality Custom Distribution lease thru 12/31/2029</t>
        </is>
      </c>
    </row>
    <row r="50" ht="14.1" customHeight="1" s="1449">
      <c r="A50" s="2358" t="inlineStr">
        <is>
          <t>P023</t>
        </is>
      </c>
      <c r="B50" s="2338" t="n">
        <v>407</v>
      </c>
      <c r="C50" s="2358" t="inlineStr">
        <is>
          <t>R0191098</t>
        </is>
      </c>
      <c r="D50" s="2358" t="inlineStr">
        <is>
          <t>19754 E. 35th Dr (Bldg 4)</t>
        </is>
      </c>
      <c r="E50" s="2358" t="inlineStr">
        <is>
          <t>Aurora</t>
        </is>
      </c>
      <c r="F50" s="2358" t="inlineStr">
        <is>
          <t>CO</t>
        </is>
      </c>
      <c r="G50" s="2358" t="inlineStr">
        <is>
          <t>Industrial</t>
        </is>
      </c>
      <c r="H50" s="2358" t="inlineStr">
        <is>
          <t>Single-Tenant Industrial NNN</t>
        </is>
      </c>
      <c r="I50" s="2359" t="n"/>
      <c r="J50" s="2359" t="n">
        <v>155033</v>
      </c>
      <c r="K50" s="2359" t="n">
        <v>2024</v>
      </c>
      <c r="L50" s="2360" t="n">
        <v>6.5223</v>
      </c>
      <c r="M50" s="2358" t="n"/>
      <c r="N50" s="2360" t="n">
        <v>6.5223</v>
      </c>
      <c r="O50" s="2360" t="n">
        <v>0.183</v>
      </c>
      <c r="P50" s="2360" t="n">
        <v>0.1894</v>
      </c>
      <c r="Q50" s="2358" t="n"/>
      <c r="R50" s="2358" t="n"/>
      <c r="S50" s="2358" t="n"/>
      <c r="T50" s="2358" t="n"/>
      <c r="U50" s="2358" t="n"/>
      <c r="V50" s="2358" t="n"/>
      <c r="W50" s="2358" t="n"/>
      <c r="X50" s="2358" t="n"/>
      <c r="Y50" s="2358" t="n"/>
      <c r="Z50" s="2358" t="n"/>
      <c r="AA50" s="2358" t="n"/>
      <c r="AB50" s="2358" t="n"/>
      <c r="AC50" s="2358" t="n"/>
      <c r="AD50" s="2360" t="n">
        <v>0.2365</v>
      </c>
      <c r="AE50" s="2360" t="n">
        <v>0.1764</v>
      </c>
      <c r="AF50" s="2360" t="n">
        <v>0.4129</v>
      </c>
      <c r="AG50" s="2358" t="n"/>
      <c r="AH50" s="2360" t="n">
        <v>1.7082</v>
      </c>
      <c r="AI50" s="2360" t="n">
        <v>0.7799</v>
      </c>
      <c r="AJ50" s="2360" t="n">
        <v>2.4881</v>
      </c>
      <c r="AK50" s="2360" t="n">
        <v>4.0342</v>
      </c>
      <c r="AL50" s="2358" t="n"/>
      <c r="AM50" s="2361" t="inlineStr">
        <is>
          <t>NNN; tenant pays most R&amp;M directly</t>
        </is>
      </c>
    </row>
    <row r="51" ht="14.1" customHeight="1" s="1449">
      <c r="A51" s="2339" t="inlineStr">
        <is>
          <t>P024</t>
        </is>
      </c>
      <c r="B51" s="2338" t="n">
        <v>407</v>
      </c>
      <c r="C51" s="2339" t="inlineStr">
        <is>
          <t>R0111560</t>
        </is>
      </c>
      <c r="D51" s="2339" t="inlineStr">
        <is>
          <t>20320 E. 36th Dr (Bldg 7)</t>
        </is>
      </c>
      <c r="E51" s="2339" t="inlineStr">
        <is>
          <t>Aurora</t>
        </is>
      </c>
      <c r="F51" s="2339" t="inlineStr">
        <is>
          <t>CO</t>
        </is>
      </c>
      <c r="G51" s="2339" t="inlineStr">
        <is>
          <t>Industrial</t>
        </is>
      </c>
      <c r="H51" s="2339" t="inlineStr">
        <is>
          <t>Single-Tenant Industrial NNN</t>
        </is>
      </c>
      <c r="I51" s="2362" t="n"/>
      <c r="J51" s="2362" t="n">
        <v>200000</v>
      </c>
      <c r="K51" s="2362" t="n">
        <v>2023</v>
      </c>
      <c r="L51" s="2363" t="n">
        <v>6.9558</v>
      </c>
      <c r="M51" s="2339" t="n"/>
      <c r="N51" s="2363" t="n">
        <v>6.7858</v>
      </c>
      <c r="O51" s="2363" t="n">
        <v>0.02</v>
      </c>
      <c r="P51" s="2339" t="n"/>
      <c r="Q51" s="2339" t="n"/>
      <c r="R51" s="2339" t="n"/>
      <c r="S51" s="2339" t="n"/>
      <c r="T51" s="2339" t="n"/>
      <c r="U51" s="2339" t="n"/>
      <c r="V51" s="2339" t="n"/>
      <c r="W51" s="2339" t="n"/>
      <c r="X51" s="2339" t="n"/>
      <c r="Y51" s="2339" t="n"/>
      <c r="Z51" s="2339" t="n"/>
      <c r="AA51" s="2339" t="n"/>
      <c r="AB51" s="2339" t="n"/>
      <c r="AC51" s="2339" t="n"/>
      <c r="AD51" s="2339" t="n"/>
      <c r="AE51" s="2363" t="n">
        <v>0.0121</v>
      </c>
      <c r="AF51" s="2363" t="n">
        <v>0.0121</v>
      </c>
      <c r="AG51" s="2339" t="n"/>
      <c r="AH51" s="2363" t="n">
        <v>1.179</v>
      </c>
      <c r="AI51" s="2363" t="n">
        <v>0.0174</v>
      </c>
      <c r="AJ51" s="2363" t="n">
        <v>1.1964</v>
      </c>
      <c r="AK51" s="2363" t="n">
        <v>5.5895</v>
      </c>
      <c r="AL51" s="2339" t="n"/>
      <c r="AM51" s="2364" t="inlineStr">
        <is>
          <t>FedEx NNN thru 4/30/2024; tenant pays nearly all expenses; 2024 excluded (lease expiry vacancy)</t>
        </is>
      </c>
    </row>
    <row r="52" ht="14.1" customHeight="1" s="1449">
      <c r="A52" s="2358" t="inlineStr">
        <is>
          <t>P025</t>
        </is>
      </c>
      <c r="B52" s="2338" t="n">
        <v>210</v>
      </c>
      <c r="C52" s="2358" t="inlineStr">
        <is>
          <t>R0191099</t>
        </is>
      </c>
      <c r="D52" s="2358" t="inlineStr">
        <is>
          <t>3559 N. Himalaya Rd (Bldg 5)</t>
        </is>
      </c>
      <c r="E52" s="2358" t="inlineStr">
        <is>
          <t>Aurora</t>
        </is>
      </c>
      <c r="F52" s="2358" t="inlineStr">
        <is>
          <t>CO</t>
        </is>
      </c>
      <c r="G52" s="2358" t="inlineStr">
        <is>
          <t>Industrial</t>
        </is>
      </c>
      <c r="H52" s="2358" t="inlineStr">
        <is>
          <t>Multi-Tenant Industrial NNN</t>
        </is>
      </c>
      <c r="I52" s="2359" t="n"/>
      <c r="J52" s="2359" t="n">
        <v>159047</v>
      </c>
      <c r="K52" s="2359" t="n">
        <v>2023</v>
      </c>
      <c r="L52" s="2358" t="n"/>
      <c r="M52" s="2358" t="n"/>
      <c r="N52" s="2360" t="n">
        <v>13.4944</v>
      </c>
      <c r="O52" s="2358" t="n"/>
      <c r="P52" s="2360" t="n">
        <v>0.0367</v>
      </c>
      <c r="Q52" s="2358" t="n"/>
      <c r="R52" s="2358" t="n"/>
      <c r="S52" s="2358" t="n"/>
      <c r="T52" s="2358" t="n"/>
      <c r="U52" s="2358" t="n"/>
      <c r="V52" s="2358" t="n"/>
      <c r="W52" s="2358" t="n"/>
      <c r="X52" s="2358" t="n"/>
      <c r="Y52" s="2358" t="n"/>
      <c r="Z52" s="2358" t="n"/>
      <c r="AA52" s="2358" t="n"/>
      <c r="AB52" s="2360" t="n">
        <v>0.0177</v>
      </c>
      <c r="AC52" s="2358" t="n"/>
      <c r="AD52" s="2358" t="n"/>
      <c r="AE52" s="2358" t="n"/>
      <c r="AF52" s="2358" t="n"/>
      <c r="AG52" s="2358" t="n"/>
      <c r="AH52" s="2358" t="n"/>
      <c r="AI52" s="2358" t="n"/>
      <c r="AJ52" s="2360" t="n">
        <v>6.3824</v>
      </c>
      <c r="AK52" s="2360" t="n">
        <v>7.112</v>
      </c>
      <c r="AL52" s="2358" t="n"/>
      <c r="AM52" s="2361" t="inlineStr">
        <is>
          <t>Multi-tenant NNN; limited expense detail available; approx figures</t>
        </is>
      </c>
    </row>
    <row r="53" ht="14.1" customHeight="1" s="1449">
      <c r="A53" s="2339" t="inlineStr">
        <is>
          <t>P025</t>
        </is>
      </c>
      <c r="B53" s="2338" t="n">
        <v>210</v>
      </c>
      <c r="C53" s="2339" t="inlineStr">
        <is>
          <t>R0191099</t>
        </is>
      </c>
      <c r="D53" s="2339" t="inlineStr">
        <is>
          <t>3559 N. Himalaya Rd (Bldg 5)</t>
        </is>
      </c>
      <c r="E53" s="2339" t="inlineStr">
        <is>
          <t>Aurora</t>
        </is>
      </c>
      <c r="F53" s="2339" t="inlineStr">
        <is>
          <t>CO</t>
        </is>
      </c>
      <c r="G53" s="2339" t="inlineStr">
        <is>
          <t>Industrial</t>
        </is>
      </c>
      <c r="H53" s="2339" t="inlineStr">
        <is>
          <t>Multi-Tenant Industrial NNN</t>
        </is>
      </c>
      <c r="I53" s="2362" t="n"/>
      <c r="J53" s="2362" t="n">
        <v>159047</v>
      </c>
      <c r="K53" s="2362" t="n">
        <v>2024</v>
      </c>
      <c r="L53" s="2339" t="n"/>
      <c r="M53" s="2339" t="n"/>
      <c r="N53" s="2363" t="n">
        <v>13.507</v>
      </c>
      <c r="O53" s="2339" t="n"/>
      <c r="P53" s="2339" t="n"/>
      <c r="Q53" s="2339" t="n"/>
      <c r="R53" s="2339" t="n"/>
      <c r="S53" s="2339" t="n"/>
      <c r="T53" s="2339" t="n"/>
      <c r="U53" s="2339" t="n"/>
      <c r="V53" s="2339" t="n"/>
      <c r="W53" s="2339" t="n"/>
      <c r="X53" s="2339" t="n"/>
      <c r="Y53" s="2339" t="n"/>
      <c r="Z53" s="2339" t="n"/>
      <c r="AA53" s="2339" t="n"/>
      <c r="AB53" s="2363" t="n">
        <v>0.0177</v>
      </c>
      <c r="AC53" s="2339" t="n"/>
      <c r="AD53" s="2339" t="n"/>
      <c r="AE53" s="2339" t="n"/>
      <c r="AF53" s="2339" t="n"/>
      <c r="AG53" s="2339" t="n"/>
      <c r="AH53" s="2339" t="n"/>
      <c r="AI53" s="2339" t="n"/>
      <c r="AJ53" s="2363" t="n">
        <v>7.3989</v>
      </c>
      <c r="AK53" s="2363" t="n">
        <v>6.1082</v>
      </c>
      <c r="AL53" s="2339" t="n"/>
      <c r="AM53" s="2364" t="inlineStr">
        <is>
          <t>Multi-tenant NNN; limited expense detail available; approx figures</t>
        </is>
      </c>
    </row>
    <row r="54" ht="14.1" customHeight="1" s="1449">
      <c r="A54" s="2358" t="inlineStr">
        <is>
          <t>P026</t>
        </is>
      </c>
      <c r="B54" s="2338" t="n">
        <v>406</v>
      </c>
      <c r="C54" s="2358" t="inlineStr">
        <is>
          <t>R0092667</t>
        </is>
      </c>
      <c r="D54" s="2358" t="inlineStr">
        <is>
          <t>4901 Locust St</t>
        </is>
      </c>
      <c r="E54" s="2358" t="inlineStr">
        <is>
          <t>Commerce City</t>
        </is>
      </c>
      <c r="F54" s="2358" t="inlineStr">
        <is>
          <t>CO</t>
        </is>
      </c>
      <c r="G54" s="2358" t="inlineStr">
        <is>
          <t>Industrial</t>
        </is>
      </c>
      <c r="H54" s="2358" t="inlineStr">
        <is>
          <t>Industrial Warehouse</t>
        </is>
      </c>
      <c r="I54" s="2359" t="n"/>
      <c r="J54" s="2359" t="n">
        <v>29512</v>
      </c>
      <c r="K54" s="2359" t="n">
        <v>2024</v>
      </c>
      <c r="L54" s="2358" t="n"/>
      <c r="M54" s="2358" t="n"/>
      <c r="N54" s="2360" t="n">
        <v>14.2131</v>
      </c>
      <c r="O54" s="2360" t="n">
        <v>0.15</v>
      </c>
      <c r="P54" s="2360" t="n">
        <v>0.3553</v>
      </c>
      <c r="Q54" s="2358" t="n"/>
      <c r="R54" s="2358" t="n"/>
      <c r="S54" s="2358" t="n"/>
      <c r="T54" s="2358" t="n"/>
      <c r="U54" s="2358" t="n"/>
      <c r="V54" s="2358" t="n"/>
      <c r="W54" s="2358" t="n"/>
      <c r="X54" s="2360" t="n">
        <v>0.55</v>
      </c>
      <c r="Y54" s="2360" t="n">
        <v>0.55</v>
      </c>
      <c r="Z54" s="2358" t="n"/>
      <c r="AA54" s="2358" t="n"/>
      <c r="AB54" s="2358" t="n"/>
      <c r="AC54" s="2358" t="n"/>
      <c r="AD54" s="2358" t="n"/>
      <c r="AE54" s="2358" t="n"/>
      <c r="AF54" s="2360" t="n">
        <v>0.25</v>
      </c>
      <c r="AG54" s="2360" t="n">
        <v>0.5</v>
      </c>
      <c r="AH54" s="2360" t="n">
        <v>2.0053</v>
      </c>
      <c r="AI54" s="2360" t="n">
        <v>3.315</v>
      </c>
      <c r="AJ54" s="2360" t="n">
        <v>5.3203</v>
      </c>
      <c r="AK54" s="2360" t="n">
        <v>8.892799999999999</v>
      </c>
      <c r="AL54" s="2360" t="n">
        <v>0.2</v>
      </c>
      <c r="AM54" s="2361" t="inlineStr">
        <is>
          <t>Newmark stabilized proforma 6/30/2024; cap rate 7.00%; not actual historical</t>
        </is>
      </c>
    </row>
    <row r="55" ht="14.1" customHeight="1" s="1449">
      <c r="A55" s="2339" t="inlineStr">
        <is>
          <t>P022</t>
        </is>
      </c>
      <c r="B55" s="2338" t="n">
        <v>210</v>
      </c>
      <c r="C55" s="2339" t="inlineStr">
        <is>
          <t>R0111559</t>
        </is>
      </c>
      <c r="D55" s="2339" t="inlineStr">
        <is>
          <t>3590 N. Himalaya Rd (Bldg 6)</t>
        </is>
      </c>
      <c r="E55" s="2339" t="inlineStr">
        <is>
          <t>Aurora</t>
        </is>
      </c>
      <c r="F55" s="2339" t="inlineStr">
        <is>
          <t>CO</t>
        </is>
      </c>
      <c r="G55" s="2339" t="inlineStr">
        <is>
          <t>Industrial</t>
        </is>
      </c>
      <c r="H55" s="2339" t="inlineStr">
        <is>
          <t>Multi-Tenant Industrial/Flex NNN</t>
        </is>
      </c>
      <c r="I55" s="2362" t="n">
        <v>1998</v>
      </c>
      <c r="J55" s="2362" t="n">
        <v>123603</v>
      </c>
      <c r="K55" s="2362" t="n">
        <v>2021</v>
      </c>
      <c r="L55" s="2339" t="n"/>
      <c r="M55" s="2339" t="n"/>
      <c r="N55" s="2339" t="n"/>
      <c r="O55" s="2363" t="n">
        <v>0.0839</v>
      </c>
      <c r="P55" s="2363" t="n">
        <v>0.351</v>
      </c>
      <c r="Q55" s="2339" t="n"/>
      <c r="R55" s="2339" t="n"/>
      <c r="S55" s="2339" t="n"/>
      <c r="T55" s="2339" t="n"/>
      <c r="U55" s="2339" t="n"/>
      <c r="V55" s="2339" t="n"/>
      <c r="W55" s="2339" t="n"/>
      <c r="X55" s="2339" t="n"/>
      <c r="Y55" s="2339" t="n"/>
      <c r="Z55" s="2339" t="n"/>
      <c r="AA55" s="2339" t="n"/>
      <c r="AB55" s="2339" t="n"/>
      <c r="AC55" s="2363" t="n">
        <v>0.717</v>
      </c>
      <c r="AD55" s="2339" t="n"/>
      <c r="AE55" s="2339" t="n"/>
      <c r="AF55" s="2363" t="n">
        <v>0.2998</v>
      </c>
      <c r="AG55" s="2339" t="n"/>
      <c r="AH55" s="2363" t="n">
        <v>1.4518</v>
      </c>
      <c r="AI55" s="2363" t="n">
        <v>2.3392</v>
      </c>
      <c r="AJ55" s="2363" t="n">
        <v>3.791</v>
      </c>
      <c r="AK55" s="2339" t="n"/>
      <c r="AL55" s="2339" t="n"/>
      <c r="AM55" s="2364" t="inlineStr">
        <is>
          <t>NNN landlord expenses only; from AXG Whse Expenses PSF.xlsx</t>
        </is>
      </c>
    </row>
    <row r="56" ht="14.1" customHeight="1" s="1449">
      <c r="A56" s="2358" t="inlineStr">
        <is>
          <t>P022</t>
        </is>
      </c>
      <c r="B56" s="2338" t="n">
        <v>210</v>
      </c>
      <c r="C56" s="2358" t="inlineStr">
        <is>
          <t>R0111559</t>
        </is>
      </c>
      <c r="D56" s="2358" t="inlineStr">
        <is>
          <t>3590 N. Himalaya Rd (Bldg 6)</t>
        </is>
      </c>
      <c r="E56" s="2358" t="inlineStr">
        <is>
          <t>Aurora</t>
        </is>
      </c>
      <c r="F56" s="2358" t="inlineStr">
        <is>
          <t>CO</t>
        </is>
      </c>
      <c r="G56" s="2358" t="inlineStr">
        <is>
          <t>Industrial</t>
        </is>
      </c>
      <c r="H56" s="2358" t="inlineStr">
        <is>
          <t>Multi-Tenant Industrial/Flex NNN</t>
        </is>
      </c>
      <c r="I56" s="2359" t="n">
        <v>1998</v>
      </c>
      <c r="J56" s="2359" t="n">
        <v>123603</v>
      </c>
      <c r="K56" s="2359" t="n">
        <v>2022</v>
      </c>
      <c r="L56" s="2358" t="n"/>
      <c r="M56" s="2358" t="n"/>
      <c r="N56" s="2358" t="n"/>
      <c r="O56" s="2360" t="n">
        <v>0.0893</v>
      </c>
      <c r="P56" s="2360" t="n">
        <v>0.3221</v>
      </c>
      <c r="Q56" s="2358" t="n"/>
      <c r="R56" s="2358" t="n"/>
      <c r="S56" s="2358" t="n"/>
      <c r="T56" s="2358" t="n"/>
      <c r="U56" s="2358" t="n"/>
      <c r="V56" s="2358" t="n"/>
      <c r="W56" s="2358" t="n"/>
      <c r="X56" s="2358" t="n"/>
      <c r="Y56" s="2358" t="n"/>
      <c r="Z56" s="2358" t="n"/>
      <c r="AA56" s="2358" t="n"/>
      <c r="AB56" s="2358" t="n"/>
      <c r="AC56" s="2360" t="n">
        <v>0.7439</v>
      </c>
      <c r="AD56" s="2358" t="n"/>
      <c r="AE56" s="2358" t="n"/>
      <c r="AF56" s="2360" t="n">
        <v>0.3112</v>
      </c>
      <c r="AG56" s="2358" t="n"/>
      <c r="AH56" s="2360" t="n">
        <v>1.4664</v>
      </c>
      <c r="AI56" s="2360" t="n">
        <v>2.5796</v>
      </c>
      <c r="AJ56" s="2360" t="n">
        <v>4.046</v>
      </c>
      <c r="AK56" s="2358" t="n"/>
      <c r="AL56" s="2358" t="n"/>
      <c r="AM56" s="2361" t="inlineStr">
        <is>
          <t>NNN landlord expenses only; from AXG Whse Expenses PSF.xlsx</t>
        </is>
      </c>
    </row>
    <row r="57" ht="14.1" customHeight="1" s="1449">
      <c r="A57" s="2339" t="inlineStr">
        <is>
          <t>P024</t>
        </is>
      </c>
      <c r="B57" s="2338" t="n">
        <v>407</v>
      </c>
      <c r="C57" s="2339" t="inlineStr">
        <is>
          <t>R0111560</t>
        </is>
      </c>
      <c r="D57" s="2339" t="inlineStr">
        <is>
          <t>20320 E. 36th Dr (Bldg 7)</t>
        </is>
      </c>
      <c r="E57" s="2339" t="inlineStr">
        <is>
          <t>Aurora</t>
        </is>
      </c>
      <c r="F57" s="2339" t="inlineStr">
        <is>
          <t>CO</t>
        </is>
      </c>
      <c r="G57" s="2339" t="inlineStr">
        <is>
          <t>Industrial</t>
        </is>
      </c>
      <c r="H57" s="2339" t="inlineStr">
        <is>
          <t>Single-Tenant Industrial NNN</t>
        </is>
      </c>
      <c r="I57" s="2362" t="n">
        <v>1998</v>
      </c>
      <c r="J57" s="2362" t="n">
        <v>199962</v>
      </c>
      <c r="K57" s="2362" t="n">
        <v>2019</v>
      </c>
      <c r="L57" s="2339" t="n"/>
      <c r="M57" s="2339" t="n"/>
      <c r="N57" s="2339" t="n"/>
      <c r="O57" s="2363" t="n">
        <v>0.0423</v>
      </c>
      <c r="P57" s="2363" t="n">
        <v>0.131</v>
      </c>
      <c r="Q57" s="2339" t="n"/>
      <c r="R57" s="2339" t="n"/>
      <c r="S57" s="2339" t="n"/>
      <c r="T57" s="2339" t="n"/>
      <c r="U57" s="2339" t="n"/>
      <c r="V57" s="2339" t="n"/>
      <c r="W57" s="2339" t="n"/>
      <c r="X57" s="2339" t="n"/>
      <c r="Y57" s="2339" t="n"/>
      <c r="Z57" s="2339" t="n"/>
      <c r="AA57" s="2339" t="n"/>
      <c r="AB57" s="2339" t="n"/>
      <c r="AC57" s="2363" t="n">
        <v>1.3087</v>
      </c>
      <c r="AD57" s="2339" t="n"/>
      <c r="AE57" s="2339" t="n"/>
      <c r="AF57" s="2339" t="n"/>
      <c r="AG57" s="2339" t="n"/>
      <c r="AH57" s="2363" t="n">
        <v>1.482</v>
      </c>
      <c r="AI57" s="2363" t="n">
        <v>2.4741</v>
      </c>
      <c r="AJ57" s="2363" t="n">
        <v>3.9561</v>
      </c>
      <c r="AK57" s="2339" t="n"/>
      <c r="AL57" s="2339" t="n"/>
      <c r="AM57" s="2364" t="inlineStr">
        <is>
          <t>NNN landlord expenses only; from AXG Whse Expenses PSF.xlsx</t>
        </is>
      </c>
    </row>
    <row r="58" ht="14.1" customHeight="1" s="1449">
      <c r="A58" s="2358" t="inlineStr">
        <is>
          <t>P024</t>
        </is>
      </c>
      <c r="B58" s="2338" t="n">
        <v>407</v>
      </c>
      <c r="C58" s="2358" t="inlineStr">
        <is>
          <t>R0111560</t>
        </is>
      </c>
      <c r="D58" s="2358" t="inlineStr">
        <is>
          <t>20320 E. 36th Dr (Bldg 7)</t>
        </is>
      </c>
      <c r="E58" s="2358" t="inlineStr">
        <is>
          <t>Aurora</t>
        </is>
      </c>
      <c r="F58" s="2358" t="inlineStr">
        <is>
          <t>CO</t>
        </is>
      </c>
      <c r="G58" s="2358" t="inlineStr">
        <is>
          <t>Industrial</t>
        </is>
      </c>
      <c r="H58" s="2358" t="inlineStr">
        <is>
          <t>Single-Tenant Industrial NNN</t>
        </is>
      </c>
      <c r="I58" s="2359" t="n">
        <v>1998</v>
      </c>
      <c r="J58" s="2359" t="n">
        <v>199962</v>
      </c>
      <c r="K58" s="2359" t="n">
        <v>2020</v>
      </c>
      <c r="L58" s="2358" t="n"/>
      <c r="M58" s="2358" t="n"/>
      <c r="N58" s="2358" t="n"/>
      <c r="O58" s="2360" t="n">
        <v>0.0484</v>
      </c>
      <c r="P58" s="2360" t="n">
        <v>0.1332</v>
      </c>
      <c r="Q58" s="2358" t="n"/>
      <c r="R58" s="2358" t="n"/>
      <c r="S58" s="2358" t="n"/>
      <c r="T58" s="2358" t="n"/>
      <c r="U58" s="2358" t="n"/>
      <c r="V58" s="2358" t="n"/>
      <c r="W58" s="2358" t="n"/>
      <c r="X58" s="2358" t="n"/>
      <c r="Y58" s="2358" t="n"/>
      <c r="Z58" s="2358" t="n"/>
      <c r="AA58" s="2358" t="n"/>
      <c r="AB58" s="2358" t="n"/>
      <c r="AC58" s="2360" t="n">
        <v>0.7242</v>
      </c>
      <c r="AD58" s="2358" t="n"/>
      <c r="AE58" s="2358" t="n"/>
      <c r="AF58" s="2358" t="n"/>
      <c r="AG58" s="2358" t="n"/>
      <c r="AH58" s="2360" t="n">
        <v>0.9058</v>
      </c>
      <c r="AI58" s="2360" t="n">
        <v>2.0784</v>
      </c>
      <c r="AJ58" s="2360" t="n">
        <v>2.9841</v>
      </c>
      <c r="AK58" s="2358" t="n"/>
      <c r="AL58" s="2358" t="n"/>
      <c r="AM58" s="2361" t="inlineStr">
        <is>
          <t>NNN landlord expenses only; from AXG Whse Expenses PSF.xlsx</t>
        </is>
      </c>
    </row>
    <row r="59" ht="14.1" customHeight="1" s="1449">
      <c r="A59" s="2339" t="inlineStr">
        <is>
          <t>P025</t>
        </is>
      </c>
      <c r="B59" s="2338" t="n">
        <v>210</v>
      </c>
      <c r="C59" s="2339" t="inlineStr">
        <is>
          <t>R0191099</t>
        </is>
      </c>
      <c r="D59" s="2339" t="inlineStr">
        <is>
          <t>3559 N. Himalaya Rd (Bldg 5)</t>
        </is>
      </c>
      <c r="E59" s="2339" t="inlineStr">
        <is>
          <t>Aurora</t>
        </is>
      </c>
      <c r="F59" s="2339" t="inlineStr">
        <is>
          <t>CO</t>
        </is>
      </c>
      <c r="G59" s="2339" t="inlineStr">
        <is>
          <t>Industrial</t>
        </is>
      </c>
      <c r="H59" s="2339" t="inlineStr">
        <is>
          <t>Multi-Tenant Industrial NNN</t>
        </is>
      </c>
      <c r="I59" s="2362" t="n">
        <v>2017</v>
      </c>
      <c r="J59" s="2362" t="n">
        <v>159047</v>
      </c>
      <c r="K59" s="2362" t="n">
        <v>2021</v>
      </c>
      <c r="L59" s="2339" t="n"/>
      <c r="M59" s="2339" t="n"/>
      <c r="N59" s="2339" t="n"/>
      <c r="O59" s="2363" t="n">
        <v>0.0956</v>
      </c>
      <c r="P59" s="2363" t="n">
        <v>0.3379</v>
      </c>
      <c r="Q59" s="2339" t="n"/>
      <c r="R59" s="2339" t="n"/>
      <c r="S59" s="2339" t="n"/>
      <c r="T59" s="2339" t="n"/>
      <c r="U59" s="2339" t="n"/>
      <c r="V59" s="2339" t="n"/>
      <c r="W59" s="2339" t="n"/>
      <c r="X59" s="2339" t="n"/>
      <c r="Y59" s="2339" t="n"/>
      <c r="Z59" s="2339" t="n"/>
      <c r="AA59" s="2339" t="n"/>
      <c r="AB59" s="2339" t="n"/>
      <c r="AC59" s="2363" t="n">
        <v>0.3767</v>
      </c>
      <c r="AD59" s="2339" t="n"/>
      <c r="AE59" s="2339" t="n"/>
      <c r="AF59" s="2363" t="n">
        <v>0.2913</v>
      </c>
      <c r="AG59" s="2339" t="n"/>
      <c r="AH59" s="2363" t="n">
        <v>1.1015</v>
      </c>
      <c r="AI59" s="2363" t="n">
        <v>3.4893</v>
      </c>
      <c r="AJ59" s="2363" t="n">
        <v>4.5908</v>
      </c>
      <c r="AK59" s="2339" t="n"/>
      <c r="AL59" s="2339" t="n"/>
      <c r="AM59" s="2364" t="inlineStr">
        <is>
          <t>NNN landlord expenses only; from AXG Whse Expenses PSF.xlsx</t>
        </is>
      </c>
    </row>
    <row r="60" ht="14.1" customHeight="1" s="1449">
      <c r="A60" s="2358" t="inlineStr">
        <is>
          <t>P025</t>
        </is>
      </c>
      <c r="B60" s="2338" t="n">
        <v>210</v>
      </c>
      <c r="C60" s="2358" t="inlineStr">
        <is>
          <t>R0191099</t>
        </is>
      </c>
      <c r="D60" s="2358" t="inlineStr">
        <is>
          <t>3559 N. Himalaya Rd (Bldg 5)</t>
        </is>
      </c>
      <c r="E60" s="2358" t="inlineStr">
        <is>
          <t>Aurora</t>
        </is>
      </c>
      <c r="F60" s="2358" t="inlineStr">
        <is>
          <t>CO</t>
        </is>
      </c>
      <c r="G60" s="2358" t="inlineStr">
        <is>
          <t>Industrial</t>
        </is>
      </c>
      <c r="H60" s="2358" t="inlineStr">
        <is>
          <t>Multi-Tenant Industrial NNN</t>
        </is>
      </c>
      <c r="I60" s="2359" t="n">
        <v>2017</v>
      </c>
      <c r="J60" s="2359" t="n">
        <v>159047</v>
      </c>
      <c r="K60" s="2359" t="n">
        <v>2022</v>
      </c>
      <c r="L60" s="2358" t="n"/>
      <c r="M60" s="2358" t="n"/>
      <c r="N60" s="2358" t="n"/>
      <c r="O60" s="2360" t="n">
        <v>0.1017</v>
      </c>
      <c r="P60" s="2360" t="n">
        <v>0.3102</v>
      </c>
      <c r="Q60" s="2358" t="n"/>
      <c r="R60" s="2358" t="n"/>
      <c r="S60" s="2358" t="n"/>
      <c r="T60" s="2358" t="n"/>
      <c r="U60" s="2358" t="n"/>
      <c r="V60" s="2358" t="n"/>
      <c r="W60" s="2358" t="n"/>
      <c r="X60" s="2358" t="n"/>
      <c r="Y60" s="2358" t="n"/>
      <c r="Z60" s="2358" t="n"/>
      <c r="AA60" s="2358" t="n"/>
      <c r="AB60" s="2358" t="n"/>
      <c r="AC60" s="2360" t="n">
        <v>0.3353</v>
      </c>
      <c r="AD60" s="2358" t="n"/>
      <c r="AE60" s="2358" t="n"/>
      <c r="AF60" s="2360" t="n">
        <v>0.3232</v>
      </c>
      <c r="AG60" s="2358" t="n"/>
      <c r="AH60" s="2360" t="n">
        <v>1.0704</v>
      </c>
      <c r="AI60" s="2360" t="n">
        <v>2.9479</v>
      </c>
      <c r="AJ60" s="2360" t="n">
        <v>4.0183</v>
      </c>
      <c r="AK60" s="2358" t="n"/>
      <c r="AL60" s="2358" t="n"/>
      <c r="AM60" s="2361" t="inlineStr">
        <is>
          <t>NNN landlord expenses only; from AXG Whse Expenses PSF.xlsx</t>
        </is>
      </c>
    </row>
    <row r="61" ht="14.1" customHeight="1" s="1449">
      <c r="A61" s="2339" t="inlineStr">
        <is>
          <t>P027</t>
        </is>
      </c>
      <c r="B61" s="2338" t="n">
        <v>407</v>
      </c>
      <c r="C61" s="2339" t="inlineStr">
        <is>
          <t>R0132030</t>
        </is>
      </c>
      <c r="D61" s="2339" t="inlineStr">
        <is>
          <t>Majestic Commercenter (R0132030)</t>
        </is>
      </c>
      <c r="E61" s="2339" t="inlineStr">
        <is>
          <t>Commerce City</t>
        </is>
      </c>
      <c r="F61" s="2339" t="inlineStr">
        <is>
          <t>CO</t>
        </is>
      </c>
      <c r="G61" s="2339" t="inlineStr">
        <is>
          <t>Industrial</t>
        </is>
      </c>
      <c r="H61" s="2339" t="inlineStr">
        <is>
          <t>Warehouse NNN</t>
        </is>
      </c>
      <c r="I61" s="2362" t="n">
        <v>2001</v>
      </c>
      <c r="J61" s="2362" t="n">
        <v>200094</v>
      </c>
      <c r="K61" s="2362" t="n">
        <v>2021</v>
      </c>
      <c r="L61" s="2339" t="n"/>
      <c r="M61" s="2339" t="n"/>
      <c r="N61" s="2339" t="n"/>
      <c r="O61" s="2363" t="n">
        <v>0.07149999999999999</v>
      </c>
      <c r="P61" s="2363" t="n">
        <v>0.2651</v>
      </c>
      <c r="Q61" s="2339" t="n"/>
      <c r="R61" s="2339" t="n"/>
      <c r="S61" s="2339" t="n"/>
      <c r="T61" s="2339" t="n"/>
      <c r="U61" s="2339" t="n"/>
      <c r="V61" s="2339" t="n"/>
      <c r="W61" s="2339" t="n"/>
      <c r="X61" s="2339" t="n"/>
      <c r="Y61" s="2339" t="n"/>
      <c r="Z61" s="2339" t="n"/>
      <c r="AA61" s="2339" t="n"/>
      <c r="AB61" s="2339" t="n"/>
      <c r="AC61" s="2363" t="n">
        <v>0.49</v>
      </c>
      <c r="AD61" s="2339" t="n"/>
      <c r="AE61" s="2339" t="n"/>
      <c r="AF61" s="2363" t="n">
        <v>0.3539</v>
      </c>
      <c r="AG61" s="2339" t="n"/>
      <c r="AH61" s="2363" t="n">
        <v>1.1805</v>
      </c>
      <c r="AI61" s="2363" t="n">
        <v>2.8519</v>
      </c>
      <c r="AJ61" s="2363" t="n">
        <v>4.0324</v>
      </c>
      <c r="AK61" s="2339" t="n"/>
      <c r="AL61" s="2339" t="n"/>
      <c r="AM61" s="2364" t="inlineStr">
        <is>
          <t>NNN landlord expenses only; from AXG Whse Expenses PSF.xlsx (R0132030)</t>
        </is>
      </c>
    </row>
    <row r="62" ht="14.1" customHeight="1" s="1449">
      <c r="A62" s="2358" t="inlineStr">
        <is>
          <t>P027</t>
        </is>
      </c>
      <c r="B62" s="2338" t="n">
        <v>407</v>
      </c>
      <c r="C62" s="2358" t="inlineStr">
        <is>
          <t>R0132030</t>
        </is>
      </c>
      <c r="D62" s="2358" t="inlineStr">
        <is>
          <t>Majestic Commercenter (R0132030)</t>
        </is>
      </c>
      <c r="E62" s="2358" t="inlineStr">
        <is>
          <t>Commerce City</t>
        </is>
      </c>
      <c r="F62" s="2358" t="inlineStr">
        <is>
          <t>CO</t>
        </is>
      </c>
      <c r="G62" s="2358" t="inlineStr">
        <is>
          <t>Industrial</t>
        </is>
      </c>
      <c r="H62" s="2358" t="inlineStr">
        <is>
          <t>Warehouse NNN</t>
        </is>
      </c>
      <c r="I62" s="2359" t="n">
        <v>2001</v>
      </c>
      <c r="J62" s="2359" t="n">
        <v>200094</v>
      </c>
      <c r="K62" s="2359" t="n">
        <v>2022</v>
      </c>
      <c r="L62" s="2358" t="n"/>
      <c r="M62" s="2358" t="n"/>
      <c r="N62" s="2358" t="n"/>
      <c r="O62" s="2360" t="n">
        <v>0.0761</v>
      </c>
      <c r="P62" s="2360" t="n">
        <v>0.2474</v>
      </c>
      <c r="Q62" s="2358" t="n"/>
      <c r="R62" s="2358" t="n"/>
      <c r="S62" s="2358" t="n"/>
      <c r="T62" s="2358" t="n"/>
      <c r="U62" s="2358" t="n"/>
      <c r="V62" s="2358" t="n"/>
      <c r="W62" s="2358" t="n"/>
      <c r="X62" s="2358" t="n"/>
      <c r="Y62" s="2358" t="n"/>
      <c r="Z62" s="2358" t="n"/>
      <c r="AA62" s="2358" t="n"/>
      <c r="AB62" s="2358" t="n"/>
      <c r="AC62" s="2360" t="n">
        <v>0.49</v>
      </c>
      <c r="AD62" s="2358" t="n"/>
      <c r="AE62" s="2358" t="n"/>
      <c r="AF62" s="2360" t="n">
        <v>0.3539</v>
      </c>
      <c r="AG62" s="2358" t="n"/>
      <c r="AH62" s="2360" t="n">
        <v>1.1674</v>
      </c>
      <c r="AI62" s="2360" t="n">
        <v>2.2575</v>
      </c>
      <c r="AJ62" s="2360" t="n">
        <v>3.4249</v>
      </c>
      <c r="AK62" s="2358" t="n"/>
      <c r="AL62" s="2358" t="n"/>
      <c r="AM62" s="2361" t="inlineStr">
        <is>
          <t>NNN landlord expenses only; from AXG Whse Expenses PSF.xlsx (R0132030)</t>
        </is>
      </c>
    </row>
    <row r="63" ht="14.1" customHeight="1" s="1449">
      <c r="A63" s="2339" t="inlineStr">
        <is>
          <t>P028</t>
        </is>
      </c>
      <c r="B63" s="2338" t="n">
        <v>407</v>
      </c>
      <c r="C63" s="2339" t="inlineStr">
        <is>
          <t>R0084040</t>
        </is>
      </c>
      <c r="D63" s="2339" t="inlineStr">
        <is>
          <t>Majestic Commercenter (R0084040)</t>
        </is>
      </c>
      <c r="E63" s="2339" t="inlineStr">
        <is>
          <t>Commerce City</t>
        </is>
      </c>
      <c r="F63" s="2339" t="inlineStr">
        <is>
          <t>CO</t>
        </is>
      </c>
      <c r="G63" s="2339" t="inlineStr">
        <is>
          <t>Industrial</t>
        </is>
      </c>
      <c r="H63" s="2339" t="inlineStr">
        <is>
          <t>Warehouse NNN</t>
        </is>
      </c>
      <c r="I63" s="2362" t="n">
        <v>1997</v>
      </c>
      <c r="J63" s="2362" t="n">
        <v>177736</v>
      </c>
      <c r="K63" s="2362" t="n">
        <v>2021</v>
      </c>
      <c r="L63" s="2339" t="n"/>
      <c r="M63" s="2339" t="n"/>
      <c r="N63" s="2339" t="n"/>
      <c r="O63" s="2363" t="n">
        <v>0.0736</v>
      </c>
      <c r="P63" s="2363" t="n">
        <v>0.3114</v>
      </c>
      <c r="Q63" s="2339" t="n"/>
      <c r="R63" s="2339" t="n"/>
      <c r="S63" s="2339" t="n"/>
      <c r="T63" s="2339" t="n"/>
      <c r="U63" s="2339" t="n"/>
      <c r="V63" s="2339" t="n"/>
      <c r="W63" s="2339" t="n"/>
      <c r="X63" s="2339" t="n"/>
      <c r="Y63" s="2339" t="n"/>
      <c r="Z63" s="2339" t="n"/>
      <c r="AA63" s="2339" t="n"/>
      <c r="AB63" s="2339" t="n"/>
      <c r="AC63" s="2363" t="n">
        <v>0.552</v>
      </c>
      <c r="AD63" s="2339" t="n"/>
      <c r="AE63" s="2339" t="n"/>
      <c r="AF63" s="2363" t="n">
        <v>0.2892</v>
      </c>
      <c r="AG63" s="2339" t="n"/>
      <c r="AH63" s="2363" t="n">
        <v>1.2262</v>
      </c>
      <c r="AI63" s="2363" t="n">
        <v>2.7188</v>
      </c>
      <c r="AJ63" s="2363" t="n">
        <v>3.945</v>
      </c>
      <c r="AK63" s="2339" t="n"/>
      <c r="AL63" s="2339" t="n"/>
      <c r="AM63" s="2364" t="inlineStr">
        <is>
          <t>NNN landlord expenses only; from AXG Whse Expenses PSF.xlsx (R0084040)</t>
        </is>
      </c>
    </row>
    <row r="64" ht="14.1" customHeight="1" s="1449">
      <c r="A64" s="2358" t="inlineStr">
        <is>
          <t>P028</t>
        </is>
      </c>
      <c r="B64" s="2338" t="n">
        <v>407</v>
      </c>
      <c r="C64" s="2358" t="inlineStr">
        <is>
          <t>R0084040</t>
        </is>
      </c>
      <c r="D64" s="2358" t="inlineStr">
        <is>
          <t>Majestic Commercenter (R0084040)</t>
        </is>
      </c>
      <c r="E64" s="2358" t="inlineStr">
        <is>
          <t>Commerce City</t>
        </is>
      </c>
      <c r="F64" s="2358" t="inlineStr">
        <is>
          <t>CO</t>
        </is>
      </c>
      <c r="G64" s="2358" t="inlineStr">
        <is>
          <t>Industrial</t>
        </is>
      </c>
      <c r="H64" s="2358" t="inlineStr">
        <is>
          <t>Warehouse NNN</t>
        </is>
      </c>
      <c r="I64" s="2359" t="n">
        <v>1997</v>
      </c>
      <c r="J64" s="2359" t="n">
        <v>177736</v>
      </c>
      <c r="K64" s="2359" t="n">
        <v>2022</v>
      </c>
      <c r="L64" s="2358" t="n"/>
      <c r="M64" s="2358" t="n"/>
      <c r="N64" s="2358" t="n"/>
      <c r="O64" s="2360" t="n">
        <v>0.07829999999999999</v>
      </c>
      <c r="P64" s="2360" t="n">
        <v>0.3114</v>
      </c>
      <c r="Q64" s="2358" t="n"/>
      <c r="R64" s="2358" t="n"/>
      <c r="S64" s="2358" t="n"/>
      <c r="T64" s="2358" t="n"/>
      <c r="U64" s="2358" t="n"/>
      <c r="V64" s="2358" t="n"/>
      <c r="W64" s="2358" t="n"/>
      <c r="X64" s="2358" t="n"/>
      <c r="Y64" s="2358" t="n"/>
      <c r="Z64" s="2358" t="n"/>
      <c r="AA64" s="2358" t="n"/>
      <c r="AB64" s="2358" t="n"/>
      <c r="AC64" s="2360" t="n">
        <v>0.6591</v>
      </c>
      <c r="AD64" s="2358" t="n"/>
      <c r="AE64" s="2358" t="n"/>
      <c r="AF64" s="2360" t="n">
        <v>0.3559</v>
      </c>
      <c r="AG64" s="2358" t="n"/>
      <c r="AH64" s="2360" t="n">
        <v>1.4047</v>
      </c>
      <c r="AI64" s="2360" t="n">
        <v>2.8511</v>
      </c>
      <c r="AJ64" s="2360" t="n">
        <v>4.2558</v>
      </c>
      <c r="AK64" s="2358" t="n"/>
      <c r="AL64" s="2358" t="n"/>
      <c r="AM64" s="2361" t="inlineStr">
        <is>
          <t>NNN landlord expenses only; from AXG Whse Expenses PSF.xlsx (R0084040)</t>
        </is>
      </c>
    </row>
    <row r="65" ht="14.1" customHeight="1" s="1449">
      <c r="A65" s="2339" t="inlineStr">
        <is>
          <t>P029</t>
        </is>
      </c>
      <c r="B65" s="2338" t="n">
        <v>407</v>
      </c>
      <c r="C65" s="2339" t="inlineStr">
        <is>
          <t>R0084041</t>
        </is>
      </c>
      <c r="D65" s="2339" t="inlineStr">
        <is>
          <t>Majestic Commercenter (R0084041)</t>
        </is>
      </c>
      <c r="E65" s="2339" t="inlineStr">
        <is>
          <t>Commerce City</t>
        </is>
      </c>
      <c r="F65" s="2339" t="inlineStr">
        <is>
          <t>CO</t>
        </is>
      </c>
      <c r="G65" s="2339" t="inlineStr">
        <is>
          <t>Industrial</t>
        </is>
      </c>
      <c r="H65" s="2339" t="inlineStr">
        <is>
          <t>Warehouse NNN</t>
        </is>
      </c>
      <c r="I65" s="2362" t="n">
        <v>1997</v>
      </c>
      <c r="J65" s="2362" t="n">
        <v>200371</v>
      </c>
      <c r="K65" s="2362" t="n">
        <v>2021</v>
      </c>
      <c r="L65" s="2339" t="n"/>
      <c r="M65" s="2339" t="n"/>
      <c r="N65" s="2339" t="n"/>
      <c r="O65" s="2363" t="n">
        <v>0.06859999999999999</v>
      </c>
      <c r="P65" s="2363" t="n">
        <v>0.1605</v>
      </c>
      <c r="Q65" s="2339" t="n"/>
      <c r="R65" s="2339" t="n"/>
      <c r="S65" s="2339" t="n"/>
      <c r="T65" s="2339" t="n"/>
      <c r="U65" s="2339" t="n"/>
      <c r="V65" s="2339" t="n"/>
      <c r="W65" s="2339" t="n"/>
      <c r="X65" s="2339" t="n"/>
      <c r="Y65" s="2339" t="n"/>
      <c r="Z65" s="2339" t="n"/>
      <c r="AA65" s="2339" t="n"/>
      <c r="AB65" s="2339" t="n"/>
      <c r="AC65" s="2363" t="n">
        <v>0.5869</v>
      </c>
      <c r="AD65" s="2339" t="n"/>
      <c r="AE65" s="2339" t="n"/>
      <c r="AF65" s="2339" t="n"/>
      <c r="AG65" s="2339" t="n"/>
      <c r="AH65" s="2363" t="n">
        <v>0.8159999999999999</v>
      </c>
      <c r="AI65" s="2363" t="n">
        <v>2.4919</v>
      </c>
      <c r="AJ65" s="2363" t="n">
        <v>3.3079</v>
      </c>
      <c r="AK65" s="2339" t="n"/>
      <c r="AL65" s="2339" t="n"/>
      <c r="AM65" s="2364" t="inlineStr">
        <is>
          <t>NNN landlord expenses only; from AXG Whse Expenses PSF.xlsx (R0084041)</t>
        </is>
      </c>
    </row>
    <row r="66" ht="14.1" customHeight="1" s="1449">
      <c r="A66" s="2358" t="inlineStr">
        <is>
          <t>P029</t>
        </is>
      </c>
      <c r="B66" s="2338" t="n">
        <v>407</v>
      </c>
      <c r="C66" s="2358" t="inlineStr">
        <is>
          <t>R0084041</t>
        </is>
      </c>
      <c r="D66" s="2358" t="inlineStr">
        <is>
          <t>Majestic Commercenter (R0084041)</t>
        </is>
      </c>
      <c r="E66" s="2358" t="inlineStr">
        <is>
          <t>Commerce City</t>
        </is>
      </c>
      <c r="F66" s="2358" t="inlineStr">
        <is>
          <t>CO</t>
        </is>
      </c>
      <c r="G66" s="2358" t="inlineStr">
        <is>
          <t>Industrial</t>
        </is>
      </c>
      <c r="H66" s="2358" t="inlineStr">
        <is>
          <t>Warehouse NNN</t>
        </is>
      </c>
      <c r="I66" s="2359" t="n">
        <v>1997</v>
      </c>
      <c r="J66" s="2359" t="n">
        <v>200371</v>
      </c>
      <c r="K66" s="2359" t="n">
        <v>2022</v>
      </c>
      <c r="L66" s="2358" t="n"/>
      <c r="M66" s="2358" t="n"/>
      <c r="N66" s="2358" t="n"/>
      <c r="O66" s="2360" t="n">
        <v>0.073</v>
      </c>
      <c r="P66" s="2360" t="n">
        <v>0.1496</v>
      </c>
      <c r="Q66" s="2358" t="n"/>
      <c r="R66" s="2358" t="n"/>
      <c r="S66" s="2358" t="n"/>
      <c r="T66" s="2358" t="n"/>
      <c r="U66" s="2358" t="n"/>
      <c r="V66" s="2358" t="n"/>
      <c r="W66" s="2358" t="n"/>
      <c r="X66" s="2358" t="n"/>
      <c r="Y66" s="2358" t="n"/>
      <c r="Z66" s="2358" t="n"/>
      <c r="AA66" s="2358" t="n"/>
      <c r="AB66" s="2358" t="n"/>
      <c r="AC66" s="2360" t="n">
        <v>0.5187</v>
      </c>
      <c r="AD66" s="2358" t="n"/>
      <c r="AE66" s="2358" t="n"/>
      <c r="AF66" s="2358" t="n"/>
      <c r="AG66" s="2358" t="n"/>
      <c r="AH66" s="2360" t="n">
        <v>0.7413</v>
      </c>
      <c r="AI66" s="2360" t="n">
        <v>2.5893</v>
      </c>
      <c r="AJ66" s="2360" t="n">
        <v>3.3306</v>
      </c>
      <c r="AK66" s="2358" t="n"/>
      <c r="AL66" s="2358" t="n"/>
      <c r="AM66" s="2361" t="inlineStr">
        <is>
          <t>NNN landlord expenses only; from AXG Whse Expenses PSF.xlsx (R0084041)</t>
        </is>
      </c>
    </row>
    <row r="67" ht="14.1" customHeight="1" s="1449">
      <c r="A67" s="2339" t="inlineStr">
        <is>
          <t>P030</t>
        </is>
      </c>
      <c r="B67" s="2338" t="n">
        <v>584</v>
      </c>
      <c r="C67" s="2339" t="inlineStr">
        <is>
          <t>R0217015</t>
        </is>
      </c>
      <c r="D67" s="2339" t="inlineStr">
        <is>
          <t>Majestic Commercenter (R0217015)</t>
        </is>
      </c>
      <c r="E67" s="2339" t="inlineStr">
        <is>
          <t>Commerce City</t>
        </is>
      </c>
      <c r="F67" s="2339" t="inlineStr">
        <is>
          <t>CO</t>
        </is>
      </c>
      <c r="G67" s="2339" t="inlineStr">
        <is>
          <t>Industrial</t>
        </is>
      </c>
      <c r="H67" s="2339" t="inlineStr">
        <is>
          <t>Warehouse NNN</t>
        </is>
      </c>
      <c r="I67" s="2362" t="n">
        <v>2021</v>
      </c>
      <c r="J67" s="2362" t="n">
        <v>548510</v>
      </c>
      <c r="K67" s="2362" t="n">
        <v>2022</v>
      </c>
      <c r="L67" s="2339" t="n"/>
      <c r="M67" s="2339" t="n"/>
      <c r="N67" s="2339" t="n"/>
      <c r="O67" s="2363" t="n">
        <v>0.1167</v>
      </c>
      <c r="P67" s="2363" t="n">
        <v>0.1062</v>
      </c>
      <c r="Q67" s="2339" t="n"/>
      <c r="R67" s="2339" t="n"/>
      <c r="S67" s="2339" t="n"/>
      <c r="T67" s="2339" t="n"/>
      <c r="U67" s="2339" t="n"/>
      <c r="V67" s="2339" t="n"/>
      <c r="W67" s="2339" t="n"/>
      <c r="X67" s="2339" t="n"/>
      <c r="Y67" s="2339" t="n"/>
      <c r="Z67" s="2339" t="n"/>
      <c r="AA67" s="2339" t="n"/>
      <c r="AB67" s="2339" t="n"/>
      <c r="AC67" s="2363" t="n">
        <v>0.1767</v>
      </c>
      <c r="AD67" s="2339" t="n"/>
      <c r="AE67" s="2339" t="n"/>
      <c r="AF67" s="2363" t="n">
        <v>0.038</v>
      </c>
      <c r="AG67" s="2339" t="n"/>
      <c r="AH67" s="2363" t="n">
        <v>0.4376</v>
      </c>
      <c r="AI67" s="2363" t="n">
        <v>2.271</v>
      </c>
      <c r="AJ67" s="2363" t="n">
        <v>2.7087</v>
      </c>
      <c r="AK67" s="2339" t="n"/>
      <c r="AL67" s="2339" t="n"/>
      <c r="AM67" s="2364" t="inlineStr">
        <is>
          <t>NNN landlord expenses only; from AXG Whse Expenses PSF.xlsx (R0217015)</t>
        </is>
      </c>
    </row>
    <row r="68" ht="14.1" customHeight="1" s="1449">
      <c r="A68" s="2358" t="inlineStr">
        <is>
          <t>P031</t>
        </is>
      </c>
      <c r="B68" s="2338" t="n">
        <v>407</v>
      </c>
      <c r="C68" s="2358" t="inlineStr">
        <is>
          <t>R0111562</t>
        </is>
      </c>
      <c r="D68" s="2358" t="inlineStr">
        <is>
          <t>Majestic Commercenter (R0111562)</t>
        </is>
      </c>
      <c r="E68" s="2358" t="inlineStr">
        <is>
          <t>Commerce City</t>
        </is>
      </c>
      <c r="F68" s="2358" t="inlineStr">
        <is>
          <t>CO</t>
        </is>
      </c>
      <c r="G68" s="2358" t="inlineStr">
        <is>
          <t>Industrial</t>
        </is>
      </c>
      <c r="H68" s="2358" t="inlineStr">
        <is>
          <t>Warehouse NNN</t>
        </is>
      </c>
      <c r="I68" s="2359" t="n">
        <v>2000</v>
      </c>
      <c r="J68" s="2359" t="n">
        <v>149175</v>
      </c>
      <c r="K68" s="2359" t="n">
        <v>2019</v>
      </c>
      <c r="L68" s="2358" t="n"/>
      <c r="M68" s="2358" t="n"/>
      <c r="N68" s="2358" t="n"/>
      <c r="O68" s="2360" t="n">
        <v>0.0437</v>
      </c>
      <c r="P68" s="2360" t="n">
        <v>0.1522</v>
      </c>
      <c r="Q68" s="2358" t="n"/>
      <c r="R68" s="2358" t="n"/>
      <c r="S68" s="2358" t="n"/>
      <c r="T68" s="2358" t="n"/>
      <c r="U68" s="2358" t="n"/>
      <c r="V68" s="2358" t="n"/>
      <c r="W68" s="2358" t="n"/>
      <c r="X68" s="2358" t="n"/>
      <c r="Y68" s="2358" t="n"/>
      <c r="Z68" s="2358" t="n"/>
      <c r="AA68" s="2358" t="n"/>
      <c r="AB68" s="2358" t="n"/>
      <c r="AC68" s="2360" t="n">
        <v>0.6822</v>
      </c>
      <c r="AD68" s="2358" t="n"/>
      <c r="AE68" s="2358" t="n"/>
      <c r="AF68" s="2358" t="n"/>
      <c r="AG68" s="2358" t="n"/>
      <c r="AH68" s="2360" t="n">
        <v>0.8781</v>
      </c>
      <c r="AI68" s="2360" t="n">
        <v>1.8902</v>
      </c>
      <c r="AJ68" s="2360" t="n">
        <v>2.7683</v>
      </c>
      <c r="AK68" s="2358" t="n"/>
      <c r="AL68" s="2358" t="n"/>
      <c r="AM68" s="2361" t="inlineStr">
        <is>
          <t>NNN landlord expenses only; from AXG Whse Expenses PSF.xlsx (R0111562)</t>
        </is>
      </c>
    </row>
    <row r="69" ht="14.1" customHeight="1" s="1449">
      <c r="A69" s="2339" t="inlineStr">
        <is>
          <t>P031</t>
        </is>
      </c>
      <c r="B69" s="2338" t="n">
        <v>407</v>
      </c>
      <c r="C69" s="2339" t="inlineStr">
        <is>
          <t>R0111562</t>
        </is>
      </c>
      <c r="D69" s="2339" t="inlineStr">
        <is>
          <t>Majestic Commercenter (R0111562)</t>
        </is>
      </c>
      <c r="E69" s="2339" t="inlineStr">
        <is>
          <t>Commerce City</t>
        </is>
      </c>
      <c r="F69" s="2339" t="inlineStr">
        <is>
          <t>CO</t>
        </is>
      </c>
      <c r="G69" s="2339" t="inlineStr">
        <is>
          <t>Industrial</t>
        </is>
      </c>
      <c r="H69" s="2339" t="inlineStr">
        <is>
          <t>Warehouse NNN</t>
        </is>
      </c>
      <c r="I69" s="2362" t="n">
        <v>2000</v>
      </c>
      <c r="J69" s="2362" t="n">
        <v>149175</v>
      </c>
      <c r="K69" s="2362" t="n">
        <v>2020</v>
      </c>
      <c r="L69" s="2339" t="n"/>
      <c r="M69" s="2339" t="n"/>
      <c r="N69" s="2339" t="n"/>
      <c r="O69" s="2363" t="n">
        <v>0.0499</v>
      </c>
      <c r="P69" s="2363" t="n">
        <v>0.0264</v>
      </c>
      <c r="Q69" s="2339" t="n"/>
      <c r="R69" s="2339" t="n"/>
      <c r="S69" s="2339" t="n"/>
      <c r="T69" s="2339" t="n"/>
      <c r="U69" s="2339" t="n"/>
      <c r="V69" s="2339" t="n"/>
      <c r="W69" s="2339" t="n"/>
      <c r="X69" s="2339" t="n"/>
      <c r="Y69" s="2339" t="n"/>
      <c r="Z69" s="2339" t="n"/>
      <c r="AA69" s="2339" t="n"/>
      <c r="AB69" s="2339" t="n"/>
      <c r="AC69" s="2363" t="n">
        <v>0.1604</v>
      </c>
      <c r="AD69" s="2339" t="n"/>
      <c r="AE69" s="2339" t="n"/>
      <c r="AF69" s="2363" t="n">
        <v>1.107</v>
      </c>
      <c r="AG69" s="2339" t="n"/>
      <c r="AH69" s="2363" t="n">
        <v>1.3438</v>
      </c>
      <c r="AI69" s="2363" t="n">
        <v>1.897</v>
      </c>
      <c r="AJ69" s="2363" t="n">
        <v>3.2408</v>
      </c>
      <c r="AK69" s="2339" t="n"/>
      <c r="AL69" s="2339" t="n"/>
      <c r="AM69" s="2364" t="inlineStr">
        <is>
          <t>NNN landlord expenses only; from AXG Whse Expenses PSF.xlsx (R0111562)</t>
        </is>
      </c>
    </row>
    <row r="70" ht="14.1" customHeight="1" s="1449">
      <c r="A70" s="2358" t="inlineStr">
        <is>
          <t>P032</t>
        </is>
      </c>
      <c r="B70" s="2338" t="n">
        <v>407</v>
      </c>
      <c r="C70" s="2358" t="inlineStr">
        <is>
          <t>R0118875</t>
        </is>
      </c>
      <c r="D70" s="2358" t="inlineStr">
        <is>
          <t>Majestic Commercenter (R0118875)</t>
        </is>
      </c>
      <c r="E70" s="2358" t="inlineStr">
        <is>
          <t>Commerce City</t>
        </is>
      </c>
      <c r="F70" s="2358" t="inlineStr">
        <is>
          <t>CO</t>
        </is>
      </c>
      <c r="G70" s="2358" t="inlineStr">
        <is>
          <t>Industrial</t>
        </is>
      </c>
      <c r="H70" s="2358" t="inlineStr">
        <is>
          <t>Warehouse NNN</t>
        </is>
      </c>
      <c r="I70" s="2359" t="n">
        <v>1999</v>
      </c>
      <c r="J70" s="2359" t="n">
        <v>279640</v>
      </c>
      <c r="K70" s="2359" t="n">
        <v>2021</v>
      </c>
      <c r="L70" s="2358" t="n"/>
      <c r="M70" s="2358" t="n"/>
      <c r="N70" s="2358" t="n"/>
      <c r="O70" s="2360" t="n">
        <v>0.0881</v>
      </c>
      <c r="P70" s="2360" t="n">
        <v>0.2248</v>
      </c>
      <c r="Q70" s="2358" t="n"/>
      <c r="R70" s="2358" t="n"/>
      <c r="S70" s="2358" t="n"/>
      <c r="T70" s="2358" t="n"/>
      <c r="U70" s="2358" t="n"/>
      <c r="V70" s="2358" t="n"/>
      <c r="W70" s="2358" t="n"/>
      <c r="X70" s="2358" t="n"/>
      <c r="Y70" s="2358" t="n"/>
      <c r="Z70" s="2358" t="n"/>
      <c r="AA70" s="2358" t="n"/>
      <c r="AB70" s="2358" t="n"/>
      <c r="AC70" s="2360" t="n">
        <v>0.3589</v>
      </c>
      <c r="AD70" s="2358" t="n"/>
      <c r="AE70" s="2358" t="n"/>
      <c r="AF70" s="2358" t="n"/>
      <c r="AG70" s="2358" t="n"/>
      <c r="AH70" s="2360" t="n">
        <v>0.6718</v>
      </c>
      <c r="AI70" s="2360" t="n">
        <v>2.2918</v>
      </c>
      <c r="AJ70" s="2360" t="n">
        <v>2.9636</v>
      </c>
      <c r="AK70" s="2358" t="n"/>
      <c r="AL70" s="2358" t="n"/>
      <c r="AM70" s="2361" t="inlineStr">
        <is>
          <t>NNN landlord expenses only; from AXG Whse Expenses PSF.xlsx (R0118875)</t>
        </is>
      </c>
    </row>
    <row r="71" ht="14.1" customHeight="1" s="1449">
      <c r="A71" s="2339" t="inlineStr">
        <is>
          <t>P032</t>
        </is>
      </c>
      <c r="B71" s="2338" t="n">
        <v>407</v>
      </c>
      <c r="C71" s="2339" t="inlineStr">
        <is>
          <t>R0118875</t>
        </is>
      </c>
      <c r="D71" s="2339" t="inlineStr">
        <is>
          <t>Majestic Commercenter (R0118875)</t>
        </is>
      </c>
      <c r="E71" s="2339" t="inlineStr">
        <is>
          <t>Commerce City</t>
        </is>
      </c>
      <c r="F71" s="2339" t="inlineStr">
        <is>
          <t>CO</t>
        </is>
      </c>
      <c r="G71" s="2339" t="inlineStr">
        <is>
          <t>Industrial</t>
        </is>
      </c>
      <c r="H71" s="2339" t="inlineStr">
        <is>
          <t>Warehouse NNN</t>
        </is>
      </c>
      <c r="I71" s="2362" t="n">
        <v>1999</v>
      </c>
      <c r="J71" s="2362" t="n">
        <v>279640</v>
      </c>
      <c r="K71" s="2362" t="n">
        <v>2022</v>
      </c>
      <c r="L71" s="2339" t="n"/>
      <c r="M71" s="2339" t="n"/>
      <c r="N71" s="2339" t="n"/>
      <c r="O71" s="2363" t="n">
        <v>0.09370000000000001</v>
      </c>
      <c r="P71" s="2363" t="n">
        <v>0.2268</v>
      </c>
      <c r="Q71" s="2339" t="n"/>
      <c r="R71" s="2339" t="n"/>
      <c r="S71" s="2339" t="n"/>
      <c r="T71" s="2339" t="n"/>
      <c r="U71" s="2339" t="n"/>
      <c r="V71" s="2339" t="n"/>
      <c r="W71" s="2339" t="n"/>
      <c r="X71" s="2339" t="n"/>
      <c r="Y71" s="2339" t="n"/>
      <c r="Z71" s="2339" t="n"/>
      <c r="AA71" s="2339" t="n"/>
      <c r="AB71" s="2339" t="n"/>
      <c r="AC71" s="2363" t="n">
        <v>0.06510000000000001</v>
      </c>
      <c r="AD71" s="2339" t="n"/>
      <c r="AE71" s="2339" t="n"/>
      <c r="AF71" s="2339" t="n"/>
      <c r="AG71" s="2339" t="n"/>
      <c r="AH71" s="2363" t="n">
        <v>0.3856</v>
      </c>
      <c r="AI71" s="2363" t="n">
        <v>2.3497</v>
      </c>
      <c r="AJ71" s="2363" t="n">
        <v>2.7353</v>
      </c>
      <c r="AK71" s="2339" t="n"/>
      <c r="AL71" s="2339" t="n"/>
      <c r="AM71" s="2364" t="inlineStr">
        <is>
          <t>NNN landlord expenses only; from AXG Whse Expenses PSF.xlsx (R0118875)</t>
        </is>
      </c>
    </row>
    <row r="72" ht="14.1" customHeight="1" s="1449">
      <c r="A72" s="2358" t="inlineStr">
        <is>
          <t>P033</t>
        </is>
      </c>
      <c r="B72" s="2338" t="n">
        <v>407</v>
      </c>
      <c r="C72" s="2358" t="inlineStr">
        <is>
          <t>R0132031</t>
        </is>
      </c>
      <c r="D72" s="2358" t="inlineStr">
        <is>
          <t>Majestic Commercenter (R0132031)</t>
        </is>
      </c>
      <c r="E72" s="2358" t="inlineStr">
        <is>
          <t>Commerce City</t>
        </is>
      </c>
      <c r="F72" s="2358" t="inlineStr">
        <is>
          <t>CO</t>
        </is>
      </c>
      <c r="G72" s="2358" t="inlineStr">
        <is>
          <t>Industrial</t>
        </is>
      </c>
      <c r="H72" s="2358" t="inlineStr">
        <is>
          <t>Warehouse NNN</t>
        </is>
      </c>
      <c r="I72" s="2359" t="n">
        <v>2002</v>
      </c>
      <c r="J72" s="2359" t="n">
        <v>280098</v>
      </c>
      <c r="K72" s="2359" t="n">
        <v>2021</v>
      </c>
      <c r="L72" s="2358" t="n"/>
      <c r="M72" s="2358" t="n"/>
      <c r="N72" s="2358" t="n"/>
      <c r="O72" s="2360" t="n">
        <v>0.0713</v>
      </c>
      <c r="P72" s="2360" t="n">
        <v>0.231</v>
      </c>
      <c r="Q72" s="2358" t="n"/>
      <c r="R72" s="2358" t="n"/>
      <c r="S72" s="2358" t="n"/>
      <c r="T72" s="2358" t="n"/>
      <c r="U72" s="2358" t="n"/>
      <c r="V72" s="2358" t="n"/>
      <c r="W72" s="2358" t="n"/>
      <c r="X72" s="2358" t="n"/>
      <c r="Y72" s="2358" t="n"/>
      <c r="Z72" s="2358" t="n"/>
      <c r="AA72" s="2358" t="n"/>
      <c r="AB72" s="2358" t="n"/>
      <c r="AC72" s="2360" t="n">
        <v>0.2633</v>
      </c>
      <c r="AD72" s="2358" t="n"/>
      <c r="AE72" s="2358" t="n"/>
      <c r="AF72" s="2360" t="n">
        <v>0.3067</v>
      </c>
      <c r="AG72" s="2358" t="n"/>
      <c r="AH72" s="2360" t="n">
        <v>0.8723</v>
      </c>
      <c r="AI72" s="2360" t="n">
        <v>2.2816</v>
      </c>
      <c r="AJ72" s="2360" t="n">
        <v>3.1539</v>
      </c>
      <c r="AK72" s="2358" t="n"/>
      <c r="AL72" s="2358" t="n"/>
      <c r="AM72" s="2361" t="inlineStr">
        <is>
          <t>NNN landlord expenses only; from AXG Whse Expenses PSF.xlsx (R0132031)</t>
        </is>
      </c>
    </row>
    <row r="73" ht="14.1" customHeight="1" s="1449">
      <c r="A73" s="2339" t="inlineStr">
        <is>
          <t>P033</t>
        </is>
      </c>
      <c r="B73" s="2338" t="n">
        <v>407</v>
      </c>
      <c r="C73" s="2339" t="inlineStr">
        <is>
          <t>R0132031</t>
        </is>
      </c>
      <c r="D73" s="2339" t="inlineStr">
        <is>
          <t>Majestic Commercenter (R0132031)</t>
        </is>
      </c>
      <c r="E73" s="2339" t="inlineStr">
        <is>
          <t>Commerce City</t>
        </is>
      </c>
      <c r="F73" s="2339" t="inlineStr">
        <is>
          <t>CO</t>
        </is>
      </c>
      <c r="G73" s="2339" t="inlineStr">
        <is>
          <t>Industrial</t>
        </is>
      </c>
      <c r="H73" s="2339" t="inlineStr">
        <is>
          <t>Warehouse NNN</t>
        </is>
      </c>
      <c r="I73" s="2362" t="n">
        <v>2002</v>
      </c>
      <c r="J73" s="2362" t="n">
        <v>280098</v>
      </c>
      <c r="K73" s="2362" t="n">
        <v>2022</v>
      </c>
      <c r="L73" s="2339" t="n"/>
      <c r="M73" s="2339" t="n"/>
      <c r="N73" s="2339" t="n"/>
      <c r="O73" s="2363" t="n">
        <v>0.0759</v>
      </c>
      <c r="P73" s="2363" t="n">
        <v>0.2109</v>
      </c>
      <c r="Q73" s="2339" t="n"/>
      <c r="R73" s="2339" t="n"/>
      <c r="S73" s="2339" t="n"/>
      <c r="T73" s="2339" t="n"/>
      <c r="U73" s="2339" t="n"/>
      <c r="V73" s="2339" t="n"/>
      <c r="W73" s="2339" t="n"/>
      <c r="X73" s="2339" t="n"/>
      <c r="Y73" s="2339" t="n"/>
      <c r="Z73" s="2339" t="n"/>
      <c r="AA73" s="2339" t="n"/>
      <c r="AB73" s="2339" t="n"/>
      <c r="AC73" s="2363" t="n">
        <v>0.4318</v>
      </c>
      <c r="AD73" s="2339" t="n"/>
      <c r="AE73" s="2339" t="n"/>
      <c r="AF73" s="2363" t="n">
        <v>0.3384</v>
      </c>
      <c r="AG73" s="2339" t="n"/>
      <c r="AH73" s="2363" t="n">
        <v>1.057</v>
      </c>
      <c r="AI73" s="2363" t="n">
        <v>2.3888</v>
      </c>
      <c r="AJ73" s="2363" t="n">
        <v>3.4457</v>
      </c>
      <c r="AK73" s="2339" t="n"/>
      <c r="AL73" s="2339" t="n"/>
      <c r="AM73" s="2364" t="inlineStr">
        <is>
          <t>NNN landlord expenses only; from AXG Whse Expenses PSF.xlsx (R0132031)</t>
        </is>
      </c>
    </row>
    <row r="74" ht="14.1" customHeight="1" s="1449">
      <c r="A74" s="2358" t="inlineStr">
        <is>
          <t>P034</t>
        </is>
      </c>
      <c r="B74" s="2338" t="n">
        <v>407</v>
      </c>
      <c r="C74" s="2358" t="inlineStr">
        <is>
          <t>R0172865</t>
        </is>
      </c>
      <c r="D74" s="2358" t="inlineStr">
        <is>
          <t>Majestic Commercenter (R0172865)</t>
        </is>
      </c>
      <c r="E74" s="2358" t="inlineStr">
        <is>
          <t>Commerce City</t>
        </is>
      </c>
      <c r="F74" s="2358" t="inlineStr">
        <is>
          <t>CO</t>
        </is>
      </c>
      <c r="G74" s="2358" t="inlineStr">
        <is>
          <t>Industrial</t>
        </is>
      </c>
      <c r="H74" s="2358" t="inlineStr">
        <is>
          <t>Warehouse NNN</t>
        </is>
      </c>
      <c r="I74" s="2359" t="n">
        <v>2008</v>
      </c>
      <c r="J74" s="2359" t="n">
        <v>215461</v>
      </c>
      <c r="K74" s="2359" t="n">
        <v>2021</v>
      </c>
      <c r="L74" s="2358" t="n"/>
      <c r="M74" s="2358" t="n"/>
      <c r="N74" s="2358" t="n"/>
      <c r="O74" s="2360" t="n">
        <v>0.0809</v>
      </c>
      <c r="P74" s="2360" t="n">
        <v>0.3054</v>
      </c>
      <c r="Q74" s="2358" t="n"/>
      <c r="R74" s="2358" t="n"/>
      <c r="S74" s="2358" t="n"/>
      <c r="T74" s="2358" t="n"/>
      <c r="U74" s="2358" t="n"/>
      <c r="V74" s="2358" t="n"/>
      <c r="W74" s="2358" t="n"/>
      <c r="X74" s="2358" t="n"/>
      <c r="Y74" s="2358" t="n"/>
      <c r="Z74" s="2358" t="n"/>
      <c r="AA74" s="2358" t="n"/>
      <c r="AB74" s="2358" t="n"/>
      <c r="AC74" s="2360" t="n">
        <v>0.4686</v>
      </c>
      <c r="AD74" s="2358" t="n"/>
      <c r="AE74" s="2358" t="n"/>
      <c r="AF74" s="2360" t="n">
        <v>0.3395</v>
      </c>
      <c r="AG74" s="2358" t="n"/>
      <c r="AH74" s="2360" t="n">
        <v>1.1944</v>
      </c>
      <c r="AI74" s="2360" t="n">
        <v>2.8499</v>
      </c>
      <c r="AJ74" s="2360" t="n">
        <v>4.0443</v>
      </c>
      <c r="AK74" s="2358" t="n"/>
      <c r="AL74" s="2358" t="n"/>
      <c r="AM74" s="2361" t="inlineStr">
        <is>
          <t>NNN landlord expenses only; from AXG Whse Expenses PSF.xlsx (R0172865)</t>
        </is>
      </c>
    </row>
    <row r="75" ht="14.1" customHeight="1" s="1449">
      <c r="A75" s="2339" t="inlineStr">
        <is>
          <t>P034</t>
        </is>
      </c>
      <c r="B75" s="2338" t="n">
        <v>407</v>
      </c>
      <c r="C75" s="2339" t="inlineStr">
        <is>
          <t>R0172865</t>
        </is>
      </c>
      <c r="D75" s="2339" t="inlineStr">
        <is>
          <t>Majestic Commercenter (R0172865)</t>
        </is>
      </c>
      <c r="E75" s="2339" t="inlineStr">
        <is>
          <t>Commerce City</t>
        </is>
      </c>
      <c r="F75" s="2339" t="inlineStr">
        <is>
          <t>CO</t>
        </is>
      </c>
      <c r="G75" s="2339" t="inlineStr">
        <is>
          <t>Industrial</t>
        </is>
      </c>
      <c r="H75" s="2339" t="inlineStr">
        <is>
          <t>Warehouse NNN</t>
        </is>
      </c>
      <c r="I75" s="2362" t="n">
        <v>2008</v>
      </c>
      <c r="J75" s="2362" t="n">
        <v>215461</v>
      </c>
      <c r="K75" s="2362" t="n">
        <v>2022</v>
      </c>
      <c r="L75" s="2339" t="n"/>
      <c r="M75" s="2339" t="n"/>
      <c r="N75" s="2339" t="n"/>
      <c r="O75" s="2363" t="n">
        <v>0.0852</v>
      </c>
      <c r="P75" s="2363" t="n">
        <v>0.2898</v>
      </c>
      <c r="Q75" s="2339" t="n"/>
      <c r="R75" s="2339" t="n"/>
      <c r="S75" s="2339" t="n"/>
      <c r="T75" s="2339" t="n"/>
      <c r="U75" s="2339" t="n"/>
      <c r="V75" s="2339" t="n"/>
      <c r="W75" s="2339" t="n"/>
      <c r="X75" s="2339" t="n"/>
      <c r="Y75" s="2339" t="n"/>
      <c r="Z75" s="2339" t="n"/>
      <c r="AA75" s="2339" t="n"/>
      <c r="AB75" s="2339" t="n"/>
      <c r="AC75" s="2363" t="n">
        <v>0.3409</v>
      </c>
      <c r="AD75" s="2339" t="n"/>
      <c r="AE75" s="2339" t="n"/>
      <c r="AF75" s="2363" t="n">
        <v>0.348</v>
      </c>
      <c r="AG75" s="2339" t="n"/>
      <c r="AH75" s="2363" t="n">
        <v>1.0639</v>
      </c>
      <c r="AI75" s="2363" t="n">
        <v>2.7419</v>
      </c>
      <c r="AJ75" s="2363" t="n">
        <v>3.8058</v>
      </c>
      <c r="AK75" s="2339" t="n"/>
      <c r="AL75" s="2339" t="n"/>
      <c r="AM75" s="2364" t="inlineStr">
        <is>
          <t>NNN landlord expenses only; from AXG Whse Expenses PSF.xlsx (R0172865)</t>
        </is>
      </c>
    </row>
    <row r="76" ht="14.1" customHeight="1" s="1449">
      <c r="A76" s="2358" t="inlineStr">
        <is>
          <t>P035</t>
        </is>
      </c>
      <c r="B76" s="2338" t="n">
        <v>407</v>
      </c>
      <c r="C76" s="2358" t="inlineStr">
        <is>
          <t>R0172867</t>
        </is>
      </c>
      <c r="D76" s="2358" t="inlineStr">
        <is>
          <t>Majestic Commercenter (R0172867)</t>
        </is>
      </c>
      <c r="E76" s="2358" t="inlineStr">
        <is>
          <t>Commerce City</t>
        </is>
      </c>
      <c r="F76" s="2358" t="inlineStr">
        <is>
          <t>CO</t>
        </is>
      </c>
      <c r="G76" s="2358" t="inlineStr">
        <is>
          <t>Industrial</t>
        </is>
      </c>
      <c r="H76" s="2358" t="inlineStr">
        <is>
          <t>Warehouse NNN</t>
        </is>
      </c>
      <c r="I76" s="2359" t="n">
        <v>2007</v>
      </c>
      <c r="J76" s="2359" t="n">
        <v>215560</v>
      </c>
      <c r="K76" s="2359" t="n">
        <v>2021</v>
      </c>
      <c r="L76" s="2358" t="n"/>
      <c r="M76" s="2358" t="n"/>
      <c r="N76" s="2358" t="n"/>
      <c r="O76" s="2360" t="n">
        <v>0.0975</v>
      </c>
      <c r="P76" s="2360" t="n">
        <v>0.2429</v>
      </c>
      <c r="Q76" s="2358" t="n"/>
      <c r="R76" s="2358" t="n"/>
      <c r="S76" s="2358" t="n"/>
      <c r="T76" s="2358" t="n"/>
      <c r="U76" s="2358" t="n"/>
      <c r="V76" s="2358" t="n"/>
      <c r="W76" s="2358" t="n"/>
      <c r="X76" s="2358" t="n"/>
      <c r="Y76" s="2358" t="n"/>
      <c r="Z76" s="2358" t="n"/>
      <c r="AA76" s="2358" t="n"/>
      <c r="AB76" s="2358" t="n"/>
      <c r="AC76" s="2360" t="n">
        <v>0.2979</v>
      </c>
      <c r="AD76" s="2358" t="n"/>
      <c r="AE76" s="2358" t="n"/>
      <c r="AF76" s="2360" t="n">
        <v>0.3114</v>
      </c>
      <c r="AG76" s="2358" t="n"/>
      <c r="AH76" s="2360" t="n">
        <v>0.9497</v>
      </c>
      <c r="AI76" s="2360" t="n">
        <v>2.4921</v>
      </c>
      <c r="AJ76" s="2360" t="n">
        <v>3.4419</v>
      </c>
      <c r="AK76" s="2358" t="n"/>
      <c r="AL76" s="2358" t="n"/>
      <c r="AM76" s="2361" t="inlineStr">
        <is>
          <t>NNN landlord expenses only; from AXG Whse Expenses PSF.xlsx (R0172867)</t>
        </is>
      </c>
    </row>
    <row r="77" ht="14.1" customHeight="1" s="1449">
      <c r="A77" s="2339" t="inlineStr">
        <is>
          <t>P035</t>
        </is>
      </c>
      <c r="B77" s="2338" t="n">
        <v>407</v>
      </c>
      <c r="C77" s="2339" t="inlineStr">
        <is>
          <t>R0172867</t>
        </is>
      </c>
      <c r="D77" s="2339" t="inlineStr">
        <is>
          <t>Majestic Commercenter (R0172867)</t>
        </is>
      </c>
      <c r="E77" s="2339" t="inlineStr">
        <is>
          <t>Commerce City</t>
        </is>
      </c>
      <c r="F77" s="2339" t="inlineStr">
        <is>
          <t>CO</t>
        </is>
      </c>
      <c r="G77" s="2339" t="inlineStr">
        <is>
          <t>Industrial</t>
        </is>
      </c>
      <c r="H77" s="2339" t="inlineStr">
        <is>
          <t>Warehouse NNN</t>
        </is>
      </c>
      <c r="I77" s="2362" t="n">
        <v>2007</v>
      </c>
      <c r="J77" s="2362" t="n">
        <v>215560</v>
      </c>
      <c r="K77" s="2362" t="n">
        <v>2022</v>
      </c>
      <c r="L77" s="2339" t="n"/>
      <c r="M77" s="2339" t="n"/>
      <c r="N77" s="2339" t="n"/>
      <c r="O77" s="2363" t="n">
        <v>0.1037</v>
      </c>
      <c r="P77" s="2363" t="n">
        <v>0.2556</v>
      </c>
      <c r="Q77" s="2339" t="n"/>
      <c r="R77" s="2339" t="n"/>
      <c r="S77" s="2339" t="n"/>
      <c r="T77" s="2339" t="n"/>
      <c r="U77" s="2339" t="n"/>
      <c r="V77" s="2339" t="n"/>
      <c r="W77" s="2339" t="n"/>
      <c r="X77" s="2339" t="n"/>
      <c r="Y77" s="2339" t="n"/>
      <c r="Z77" s="2339" t="n"/>
      <c r="AA77" s="2339" t="n"/>
      <c r="AB77" s="2339" t="n"/>
      <c r="AC77" s="2363" t="n">
        <v>0.3121</v>
      </c>
      <c r="AD77" s="2339" t="n"/>
      <c r="AE77" s="2339" t="n"/>
      <c r="AF77" s="2363" t="n">
        <v>0.3342</v>
      </c>
      <c r="AG77" s="2339" t="n"/>
      <c r="AH77" s="2363" t="n">
        <v>1.0056</v>
      </c>
      <c r="AI77" s="2363" t="n">
        <v>2.5896</v>
      </c>
      <c r="AJ77" s="2363" t="n">
        <v>3.5952</v>
      </c>
      <c r="AK77" s="2339" t="n"/>
      <c r="AL77" s="2339" t="n"/>
      <c r="AM77" s="2364" t="inlineStr">
        <is>
          <t>NNN landlord expenses only; from AXG Whse Expenses PSF.xlsx (R0172867)</t>
        </is>
      </c>
    </row>
    <row r="78" ht="14.1" customHeight="1" s="1449">
      <c r="A78" s="2358" t="inlineStr">
        <is>
          <t>P036</t>
        </is>
      </c>
      <c r="B78" s="2338" t="n">
        <v>407</v>
      </c>
      <c r="C78" s="2358" t="inlineStr">
        <is>
          <t>R0172868</t>
        </is>
      </c>
      <c r="D78" s="2358" t="inlineStr">
        <is>
          <t>Majestic Commercenter (R0172868)</t>
        </is>
      </c>
      <c r="E78" s="2358" t="inlineStr">
        <is>
          <t>Commerce City</t>
        </is>
      </c>
      <c r="F78" s="2358" t="inlineStr">
        <is>
          <t>CO</t>
        </is>
      </c>
      <c r="G78" s="2358" t="inlineStr">
        <is>
          <t>Industrial</t>
        </is>
      </c>
      <c r="H78" s="2358" t="inlineStr">
        <is>
          <t>Warehouse NNN</t>
        </is>
      </c>
      <c r="I78" s="2359" t="n">
        <v>2007</v>
      </c>
      <c r="J78" s="2359" t="n">
        <v>202091</v>
      </c>
      <c r="K78" s="2359" t="n">
        <v>2021</v>
      </c>
      <c r="L78" s="2358" t="n"/>
      <c r="M78" s="2358" t="n"/>
      <c r="N78" s="2358" t="n"/>
      <c r="O78" s="2360" t="n">
        <v>0.0863</v>
      </c>
      <c r="P78" s="2360" t="n">
        <v>0.1541</v>
      </c>
      <c r="Q78" s="2358" t="n"/>
      <c r="R78" s="2358" t="n"/>
      <c r="S78" s="2358" t="n"/>
      <c r="T78" s="2358" t="n"/>
      <c r="U78" s="2358" t="n"/>
      <c r="V78" s="2358" t="n"/>
      <c r="W78" s="2358" t="n"/>
      <c r="X78" s="2358" t="n"/>
      <c r="Y78" s="2358" t="n"/>
      <c r="Z78" s="2358" t="n"/>
      <c r="AA78" s="2358" t="n"/>
      <c r="AB78" s="2358" t="n"/>
      <c r="AC78" s="2360" t="n">
        <v>0.4114</v>
      </c>
      <c r="AD78" s="2358" t="n"/>
      <c r="AE78" s="2358" t="n"/>
      <c r="AF78" s="2358" t="n"/>
      <c r="AG78" s="2358" t="n"/>
      <c r="AH78" s="2360" t="n">
        <v>0.6518</v>
      </c>
      <c r="AI78" s="2360" t="n">
        <v>2.4692</v>
      </c>
      <c r="AJ78" s="2360" t="n">
        <v>3.121</v>
      </c>
      <c r="AK78" s="2358" t="n"/>
      <c r="AL78" s="2358" t="n"/>
      <c r="AM78" s="2361" t="inlineStr">
        <is>
          <t>NNN landlord expenses only; from AXG Whse Expenses PSF.xlsx (R0172868)</t>
        </is>
      </c>
    </row>
    <row r="79" ht="14.1" customHeight="1" s="1449">
      <c r="A79" s="2339" t="inlineStr">
        <is>
          <t>P036</t>
        </is>
      </c>
      <c r="B79" s="2338" t="n">
        <v>407</v>
      </c>
      <c r="C79" s="2339" t="inlineStr">
        <is>
          <t>R0172868</t>
        </is>
      </c>
      <c r="D79" s="2339" t="inlineStr">
        <is>
          <t>Majestic Commercenter (R0172868)</t>
        </is>
      </c>
      <c r="E79" s="2339" t="inlineStr">
        <is>
          <t>Commerce City</t>
        </is>
      </c>
      <c r="F79" s="2339" t="inlineStr">
        <is>
          <t>CO</t>
        </is>
      </c>
      <c r="G79" s="2339" t="inlineStr">
        <is>
          <t>Industrial</t>
        </is>
      </c>
      <c r="H79" s="2339" t="inlineStr">
        <is>
          <t>Warehouse NNN</t>
        </is>
      </c>
      <c r="I79" s="2362" t="n">
        <v>2007</v>
      </c>
      <c r="J79" s="2362" t="n">
        <v>202091</v>
      </c>
      <c r="K79" s="2362" t="n">
        <v>2022</v>
      </c>
      <c r="L79" s="2339" t="n"/>
      <c r="M79" s="2339" t="n"/>
      <c r="N79" s="2339" t="n"/>
      <c r="O79" s="2363" t="n">
        <v>0.09180000000000001</v>
      </c>
      <c r="P79" s="2363" t="n">
        <v>0.1363</v>
      </c>
      <c r="Q79" s="2339" t="n"/>
      <c r="R79" s="2339" t="n"/>
      <c r="S79" s="2339" t="n"/>
      <c r="T79" s="2339" t="n"/>
      <c r="U79" s="2339" t="n"/>
      <c r="V79" s="2339" t="n"/>
      <c r="W79" s="2339" t="n"/>
      <c r="X79" s="2339" t="n"/>
      <c r="Y79" s="2339" t="n"/>
      <c r="Z79" s="2339" t="n"/>
      <c r="AA79" s="2339" t="n"/>
      <c r="AB79" s="2339" t="n"/>
      <c r="AC79" s="2363" t="n">
        <v>0.3275</v>
      </c>
      <c r="AD79" s="2339" t="n"/>
      <c r="AE79" s="2339" t="n"/>
      <c r="AF79" s="2339" t="n"/>
      <c r="AG79" s="2339" t="n"/>
      <c r="AH79" s="2363" t="n">
        <v>0.5556</v>
      </c>
      <c r="AI79" s="2363" t="n">
        <v>2.5219</v>
      </c>
      <c r="AJ79" s="2363" t="n">
        <v>3.0775</v>
      </c>
      <c r="AK79" s="2339" t="n"/>
      <c r="AL79" s="2339" t="n"/>
      <c r="AM79" s="2364" t="inlineStr">
        <is>
          <t>NNN landlord expenses only; from AXG Whse Expenses PSF.xlsx (R0172868)</t>
        </is>
      </c>
    </row>
    <row r="80" ht="14.1" customHeight="1" s="1449">
      <c r="A80" s="2358" t="inlineStr">
        <is>
          <t>P037</t>
        </is>
      </c>
      <c r="B80" s="2338" t="n">
        <v>407</v>
      </c>
      <c r="C80" s="2358" t="inlineStr">
        <is>
          <t>R0145680</t>
        </is>
      </c>
      <c r="D80" s="2358" t="inlineStr">
        <is>
          <t>Majestic Commercenter (R0145680)</t>
        </is>
      </c>
      <c r="E80" s="2358" t="inlineStr">
        <is>
          <t>Commerce City</t>
        </is>
      </c>
      <c r="F80" s="2358" t="inlineStr">
        <is>
          <t>CO</t>
        </is>
      </c>
      <c r="G80" s="2358" t="inlineStr">
        <is>
          <t>Industrial</t>
        </is>
      </c>
      <c r="H80" s="2358" t="inlineStr">
        <is>
          <t>Warehouse NNN</t>
        </is>
      </c>
      <c r="I80" s="2359" t="n">
        <v>2001</v>
      </c>
      <c r="J80" s="2359" t="n">
        <v>150027</v>
      </c>
      <c r="K80" s="2359" t="n">
        <v>2021</v>
      </c>
      <c r="L80" s="2358" t="n"/>
      <c r="M80" s="2358" t="n"/>
      <c r="N80" s="2358" t="n"/>
      <c r="O80" s="2360" t="n">
        <v>0.0779</v>
      </c>
      <c r="P80" s="2360" t="n">
        <v>0.2768</v>
      </c>
      <c r="Q80" s="2358" t="n"/>
      <c r="R80" s="2358" t="n"/>
      <c r="S80" s="2358" t="n"/>
      <c r="T80" s="2358" t="n"/>
      <c r="U80" s="2358" t="n"/>
      <c r="V80" s="2358" t="n"/>
      <c r="W80" s="2358" t="n"/>
      <c r="X80" s="2358" t="n"/>
      <c r="Y80" s="2358" t="n"/>
      <c r="Z80" s="2358" t="n"/>
      <c r="AA80" s="2358" t="n"/>
      <c r="AB80" s="2358" t="n"/>
      <c r="AC80" s="2360" t="n">
        <v>0.3322</v>
      </c>
      <c r="AD80" s="2358" t="n"/>
      <c r="AE80" s="2358" t="n"/>
      <c r="AF80" s="2358" t="n"/>
      <c r="AG80" s="2358" t="n"/>
      <c r="AH80" s="2360" t="n">
        <v>0.6868</v>
      </c>
      <c r="AI80" s="2360" t="n">
        <v>2.8525</v>
      </c>
      <c r="AJ80" s="2360" t="n">
        <v>3.5393</v>
      </c>
      <c r="AK80" s="2358" t="n"/>
      <c r="AL80" s="2358" t="n"/>
      <c r="AM80" s="2361" t="inlineStr">
        <is>
          <t>NNN landlord expenses only; from AXG Whse Expenses PSF.xlsx (R0145680)</t>
        </is>
      </c>
    </row>
    <row r="81" ht="14.1" customHeight="1" s="1449">
      <c r="A81" s="2339" t="inlineStr">
        <is>
          <t>P037</t>
        </is>
      </c>
      <c r="B81" s="2338" t="n">
        <v>407</v>
      </c>
      <c r="C81" s="2339" t="inlineStr">
        <is>
          <t>R0145680</t>
        </is>
      </c>
      <c r="D81" s="2339" t="inlineStr">
        <is>
          <t>Majestic Commercenter (R0145680)</t>
        </is>
      </c>
      <c r="E81" s="2339" t="inlineStr">
        <is>
          <t>Commerce City</t>
        </is>
      </c>
      <c r="F81" s="2339" t="inlineStr">
        <is>
          <t>CO</t>
        </is>
      </c>
      <c r="G81" s="2339" t="inlineStr">
        <is>
          <t>Industrial</t>
        </is>
      </c>
      <c r="H81" s="2339" t="inlineStr">
        <is>
          <t>Warehouse NNN</t>
        </is>
      </c>
      <c r="I81" s="2362" t="n">
        <v>2001</v>
      </c>
      <c r="J81" s="2362" t="n">
        <v>150027</v>
      </c>
      <c r="K81" s="2362" t="n">
        <v>2022</v>
      </c>
      <c r="L81" s="2339" t="n"/>
      <c r="M81" s="2339" t="n"/>
      <c r="N81" s="2339" t="n"/>
      <c r="O81" s="2363" t="n">
        <v>0.0828</v>
      </c>
      <c r="P81" s="2363" t="n">
        <v>0.2294</v>
      </c>
      <c r="Q81" s="2339" t="n"/>
      <c r="R81" s="2339" t="n"/>
      <c r="S81" s="2339" t="n"/>
      <c r="T81" s="2339" t="n"/>
      <c r="U81" s="2339" t="n"/>
      <c r="V81" s="2339" t="n"/>
      <c r="W81" s="2339" t="n"/>
      <c r="X81" s="2339" t="n"/>
      <c r="Y81" s="2339" t="n"/>
      <c r="Z81" s="2339" t="n"/>
      <c r="AA81" s="2339" t="n"/>
      <c r="AB81" s="2339" t="n"/>
      <c r="AC81" s="2363" t="n">
        <v>0.3617</v>
      </c>
      <c r="AD81" s="2339" t="n"/>
      <c r="AE81" s="2339" t="n"/>
      <c r="AF81" s="2339" t="n"/>
      <c r="AG81" s="2339" t="n"/>
      <c r="AH81" s="2363" t="n">
        <v>0.6739000000000001</v>
      </c>
      <c r="AI81" s="2363" t="n">
        <v>2.7388</v>
      </c>
      <c r="AJ81" s="2363" t="n">
        <v>3.4127</v>
      </c>
      <c r="AK81" s="2339" t="n"/>
      <c r="AL81" s="2339" t="n"/>
      <c r="AM81" s="2364" t="inlineStr">
        <is>
          <t>NNN landlord expenses only; from AXG Whse Expenses PSF.xlsx (R0145680)</t>
        </is>
      </c>
    </row>
    <row r="82" ht="14.1" customHeight="1" s="1449">
      <c r="A82" s="2358" t="inlineStr">
        <is>
          <t>P038</t>
        </is>
      </c>
      <c r="B82" s="2338" t="n">
        <v>584</v>
      </c>
      <c r="C82" s="2358" t="inlineStr">
        <is>
          <t>R0181787</t>
        </is>
      </c>
      <c r="D82" s="2358" t="inlineStr">
        <is>
          <t>Majestic Commercenter (R0181787)</t>
        </is>
      </c>
      <c r="E82" s="2358" t="inlineStr">
        <is>
          <t>Commerce City</t>
        </is>
      </c>
      <c r="F82" s="2358" t="inlineStr">
        <is>
          <t>CO</t>
        </is>
      </c>
      <c r="G82" s="2358" t="inlineStr">
        <is>
          <t>Industrial</t>
        </is>
      </c>
      <c r="H82" s="2358" t="inlineStr">
        <is>
          <t>Warehouse NNN</t>
        </is>
      </c>
      <c r="I82" s="2359" t="n">
        <v>2013</v>
      </c>
      <c r="J82" s="2359" t="n">
        <v>500358</v>
      </c>
      <c r="K82" s="2359" t="n">
        <v>2021</v>
      </c>
      <c r="L82" s="2358" t="n"/>
      <c r="M82" s="2358" t="n"/>
      <c r="N82" s="2358" t="n"/>
      <c r="O82" s="2360" t="n">
        <v>0.0743</v>
      </c>
      <c r="P82" s="2360" t="n">
        <v>0.2354</v>
      </c>
      <c r="Q82" s="2358" t="n"/>
      <c r="R82" s="2358" t="n"/>
      <c r="S82" s="2358" t="n"/>
      <c r="T82" s="2358" t="n"/>
      <c r="U82" s="2358" t="n"/>
      <c r="V82" s="2358" t="n"/>
      <c r="W82" s="2358" t="n"/>
      <c r="X82" s="2358" t="n"/>
      <c r="Y82" s="2358" t="n"/>
      <c r="Z82" s="2358" t="n"/>
      <c r="AA82" s="2358" t="n"/>
      <c r="AB82" s="2358" t="n"/>
      <c r="AC82" s="2360" t="n">
        <v>0.3128</v>
      </c>
      <c r="AD82" s="2358" t="n"/>
      <c r="AE82" s="2358" t="n"/>
      <c r="AF82" s="2360" t="n">
        <v>0.2341</v>
      </c>
      <c r="AG82" s="2358" t="n"/>
      <c r="AH82" s="2360" t="n">
        <v>0.8566</v>
      </c>
      <c r="AI82" s="2360" t="n">
        <v>2.2838</v>
      </c>
      <c r="AJ82" s="2360" t="n">
        <v>3.1403</v>
      </c>
      <c r="AK82" s="2358" t="n"/>
      <c r="AL82" s="2358" t="n"/>
      <c r="AM82" s="2361" t="inlineStr">
        <is>
          <t>NNN landlord expenses only; from AXG Whse Expenses PSF.xlsx (R0181787)</t>
        </is>
      </c>
    </row>
    <row r="83" ht="14.1" customHeight="1" s="1449">
      <c r="A83" s="2339" t="inlineStr">
        <is>
          <t>P038</t>
        </is>
      </c>
      <c r="B83" s="2338" t="n">
        <v>584</v>
      </c>
      <c r="C83" s="2339" t="inlineStr">
        <is>
          <t>R0181787</t>
        </is>
      </c>
      <c r="D83" s="2339" t="inlineStr">
        <is>
          <t>Majestic Commercenter (R0181787)</t>
        </is>
      </c>
      <c r="E83" s="2339" t="inlineStr">
        <is>
          <t>Commerce City</t>
        </is>
      </c>
      <c r="F83" s="2339" t="inlineStr">
        <is>
          <t>CO</t>
        </is>
      </c>
      <c r="G83" s="2339" t="inlineStr">
        <is>
          <t>Industrial</t>
        </is>
      </c>
      <c r="H83" s="2339" t="inlineStr">
        <is>
          <t>Warehouse NNN</t>
        </is>
      </c>
      <c r="I83" s="2362" t="n">
        <v>2013</v>
      </c>
      <c r="J83" s="2362" t="n">
        <v>500358</v>
      </c>
      <c r="K83" s="2362" t="n">
        <v>2022</v>
      </c>
      <c r="L83" s="2339" t="n"/>
      <c r="M83" s="2339" t="n"/>
      <c r="N83" s="2339" t="n"/>
      <c r="O83" s="2363" t="n">
        <v>0.079</v>
      </c>
      <c r="P83" s="2363" t="n">
        <v>0.2014</v>
      </c>
      <c r="Q83" s="2339" t="n"/>
      <c r="R83" s="2339" t="n"/>
      <c r="S83" s="2339" t="n"/>
      <c r="T83" s="2339" t="n"/>
      <c r="U83" s="2339" t="n"/>
      <c r="V83" s="2339" t="n"/>
      <c r="W83" s="2339" t="n"/>
      <c r="X83" s="2339" t="n"/>
      <c r="Y83" s="2339" t="n"/>
      <c r="Z83" s="2339" t="n"/>
      <c r="AA83" s="2339" t="n"/>
      <c r="AB83" s="2339" t="n"/>
      <c r="AC83" s="2363" t="n">
        <v>0.2328</v>
      </c>
      <c r="AD83" s="2339" t="n"/>
      <c r="AE83" s="2339" t="n"/>
      <c r="AF83" s="2363" t="n">
        <v>0.2263</v>
      </c>
      <c r="AG83" s="2339" t="n"/>
      <c r="AH83" s="2363" t="n">
        <v>0.7396</v>
      </c>
      <c r="AI83" s="2363" t="n">
        <v>2.5398</v>
      </c>
      <c r="AJ83" s="2363" t="n">
        <v>3.2794</v>
      </c>
      <c r="AK83" s="2339" t="n"/>
      <c r="AL83" s="2339" t="n"/>
      <c r="AM83" s="2364" t="inlineStr">
        <is>
          <t>NNN landlord expenses only; from AXG Whse Expenses PSF.xlsx (R0181787)</t>
        </is>
      </c>
    </row>
    <row r="84" ht="14.1" customHeight="1" s="1449">
      <c r="A84" s="2358" t="inlineStr">
        <is>
          <t>P039</t>
        </is>
      </c>
      <c r="B84" s="2338" t="n">
        <v>584</v>
      </c>
      <c r="C84" s="2358" t="inlineStr">
        <is>
          <t>R0191101</t>
        </is>
      </c>
      <c r="D84" s="2358" t="inlineStr">
        <is>
          <t>Majestic Commercenter (R0191101)</t>
        </is>
      </c>
      <c r="E84" s="2358" t="inlineStr">
        <is>
          <t>Commerce City</t>
        </is>
      </c>
      <c r="F84" s="2358" t="inlineStr">
        <is>
          <t>CO</t>
        </is>
      </c>
      <c r="G84" s="2358" t="inlineStr">
        <is>
          <t>Industrial</t>
        </is>
      </c>
      <c r="H84" s="2358" t="inlineStr">
        <is>
          <t>Warehouse NNN</t>
        </is>
      </c>
      <c r="I84" s="2359" t="n">
        <v>2017</v>
      </c>
      <c r="J84" s="2359" t="n">
        <v>522120</v>
      </c>
      <c r="K84" s="2359" t="n">
        <v>2021</v>
      </c>
      <c r="L84" s="2358" t="n"/>
      <c r="M84" s="2358" t="n"/>
      <c r="N84" s="2358" t="n"/>
      <c r="O84" s="2360" t="n">
        <v>0.0822</v>
      </c>
      <c r="P84" s="2360" t="n">
        <v>0.2582</v>
      </c>
      <c r="Q84" s="2358" t="n"/>
      <c r="R84" s="2358" t="n"/>
      <c r="S84" s="2358" t="n"/>
      <c r="T84" s="2358" t="n"/>
      <c r="U84" s="2358" t="n"/>
      <c r="V84" s="2358" t="n"/>
      <c r="W84" s="2358" t="n"/>
      <c r="X84" s="2358" t="n"/>
      <c r="Y84" s="2358" t="n"/>
      <c r="Z84" s="2358" t="n"/>
      <c r="AA84" s="2358" t="n"/>
      <c r="AB84" s="2358" t="n"/>
      <c r="AC84" s="2360" t="n">
        <v>0.2825</v>
      </c>
      <c r="AD84" s="2358" t="n"/>
      <c r="AE84" s="2358" t="n"/>
      <c r="AF84" s="2360" t="n">
        <v>0.1793</v>
      </c>
      <c r="AG84" s="2358" t="n"/>
      <c r="AH84" s="2360" t="n">
        <v>0.8022</v>
      </c>
      <c r="AI84" s="2360" t="n">
        <v>2.1785</v>
      </c>
      <c r="AJ84" s="2360" t="n">
        <v>2.9807</v>
      </c>
      <c r="AK84" s="2358" t="n"/>
      <c r="AL84" s="2358" t="n"/>
      <c r="AM84" s="2361" t="inlineStr">
        <is>
          <t>NNN landlord expenses only; from AXG Whse Expenses PSF.xlsx (R0191101)</t>
        </is>
      </c>
    </row>
    <row r="85" ht="14.1" customHeight="1" s="1449">
      <c r="A85" s="2339" t="inlineStr">
        <is>
          <t>P039</t>
        </is>
      </c>
      <c r="B85" s="2338" t="n">
        <v>584</v>
      </c>
      <c r="C85" s="2339" t="inlineStr">
        <is>
          <t>R0191101</t>
        </is>
      </c>
      <c r="D85" s="2339" t="inlineStr">
        <is>
          <t>Majestic Commercenter (R0191101)</t>
        </is>
      </c>
      <c r="E85" s="2339" t="inlineStr">
        <is>
          <t>Commerce City</t>
        </is>
      </c>
      <c r="F85" s="2339" t="inlineStr">
        <is>
          <t>CO</t>
        </is>
      </c>
      <c r="G85" s="2339" t="inlineStr">
        <is>
          <t>Industrial</t>
        </is>
      </c>
      <c r="H85" s="2339" t="inlineStr">
        <is>
          <t>Warehouse NNN</t>
        </is>
      </c>
      <c r="I85" s="2362" t="n">
        <v>2017</v>
      </c>
      <c r="J85" s="2362" t="n">
        <v>522120</v>
      </c>
      <c r="K85" s="2362" t="n">
        <v>2022</v>
      </c>
      <c r="L85" s="2339" t="n"/>
      <c r="M85" s="2339" t="n"/>
      <c r="N85" s="2339" t="n"/>
      <c r="O85" s="2363" t="n">
        <v>0.08740000000000001</v>
      </c>
      <c r="P85" s="2363" t="n">
        <v>0.2219</v>
      </c>
      <c r="Q85" s="2339" t="n"/>
      <c r="R85" s="2339" t="n"/>
      <c r="S85" s="2339" t="n"/>
      <c r="T85" s="2339" t="n"/>
      <c r="U85" s="2339" t="n"/>
      <c r="V85" s="2339" t="n"/>
      <c r="W85" s="2339" t="n"/>
      <c r="X85" s="2339" t="n"/>
      <c r="Y85" s="2339" t="n"/>
      <c r="Z85" s="2339" t="n"/>
      <c r="AA85" s="2339" t="n"/>
      <c r="AB85" s="2339" t="n"/>
      <c r="AC85" s="2363" t="n">
        <v>0.1719</v>
      </c>
      <c r="AD85" s="2339" t="n"/>
      <c r="AE85" s="2339" t="n"/>
      <c r="AF85" s="2363" t="n">
        <v>0.1738</v>
      </c>
      <c r="AG85" s="2339" t="n"/>
      <c r="AH85" s="2363" t="n">
        <v>0.655</v>
      </c>
      <c r="AI85" s="2363" t="n">
        <v>2.2402</v>
      </c>
      <c r="AJ85" s="2363" t="n">
        <v>2.8952</v>
      </c>
      <c r="AK85" s="2339" t="n"/>
      <c r="AL85" s="2339" t="n"/>
      <c r="AM85" s="2364" t="inlineStr">
        <is>
          <t>NNN landlord expenses only; from AXG Whse Expenses PSF.xlsx (R0191101)</t>
        </is>
      </c>
    </row>
    <row r="86" ht="14.1" customHeight="1" s="1449">
      <c r="A86" s="2358" t="inlineStr">
        <is>
          <t>P040</t>
        </is>
      </c>
      <c r="B86" s="2338" t="n">
        <v>407</v>
      </c>
      <c r="C86" s="2358" t="inlineStr">
        <is>
          <t>R0202874</t>
        </is>
      </c>
      <c r="D86" s="2358" t="inlineStr">
        <is>
          <t>900 E 128th Ave</t>
        </is>
      </c>
      <c r="E86" s="2358" t="inlineStr">
        <is>
          <t>Henderson</t>
        </is>
      </c>
      <c r="F86" s="2358" t="inlineStr">
        <is>
          <t>CO</t>
        </is>
      </c>
      <c r="G86" s="2358" t="inlineStr">
        <is>
          <t>Industrial</t>
        </is>
      </c>
      <c r="H86" s="2358" t="inlineStr">
        <is>
          <t>Last-Mile Distribution NNN</t>
        </is>
      </c>
      <c r="I86" s="2359" t="n"/>
      <c r="J86" s="2359" t="n"/>
      <c r="K86" s="2359" t="n">
        <v>2021</v>
      </c>
      <c r="L86" s="2370" t="n">
        <v>2633716</v>
      </c>
      <c r="M86" s="2358" t="n"/>
      <c r="N86" s="2370" t="n">
        <v>3256403</v>
      </c>
      <c r="O86" s="2370" t="n">
        <v>56624</v>
      </c>
      <c r="P86" s="2358" t="n"/>
      <c r="Q86" s="2370" t="n">
        <v>300</v>
      </c>
      <c r="R86" s="2358" t="n"/>
      <c r="S86" s="2358" t="n"/>
      <c r="T86" s="2358" t="n"/>
      <c r="U86" s="2358" t="n"/>
      <c r="V86" s="2358" t="n"/>
      <c r="W86" s="2358" t="n"/>
      <c r="X86" s="2370" t="n">
        <v>29535</v>
      </c>
      <c r="Y86" s="2370" t="n">
        <v>30138</v>
      </c>
      <c r="Z86" s="2358" t="n"/>
      <c r="AA86" s="2370" t="n">
        <v>54136</v>
      </c>
      <c r="AB86" s="2370" t="n">
        <v>127274</v>
      </c>
      <c r="AC86" s="2358" t="n"/>
      <c r="AD86" s="2358" t="n"/>
      <c r="AE86" s="2358" t="n"/>
      <c r="AF86" s="2370" t="n">
        <v>18748</v>
      </c>
      <c r="AG86" s="2358" t="n"/>
      <c r="AH86" s="2370" t="n">
        <v>731951</v>
      </c>
      <c r="AI86" s="2358" t="n"/>
      <c r="AJ86" s="2358" t="n"/>
      <c r="AK86" s="2370" t="n">
        <v>2524452</v>
      </c>
      <c r="AL86" s="2358" t="n"/>
      <c r="AM86" s="2361" t="inlineStr">
        <is>
          <t>[NO SF] Amazon AMZL Site 51812; SF not extracted; RE Tax not broken out in 2021</t>
        </is>
      </c>
    </row>
    <row r="87" ht="14.1" customHeight="1" s="1449">
      <c r="A87" s="2339" t="inlineStr">
        <is>
          <t>P040</t>
        </is>
      </c>
      <c r="B87" s="2338" t="n">
        <v>407</v>
      </c>
      <c r="C87" s="2339" t="inlineStr">
        <is>
          <t>R0202874</t>
        </is>
      </c>
      <c r="D87" s="2339" t="inlineStr">
        <is>
          <t>900 E 128th Ave</t>
        </is>
      </c>
      <c r="E87" s="2339" t="inlineStr">
        <is>
          <t>Henderson</t>
        </is>
      </c>
      <c r="F87" s="2339" t="inlineStr">
        <is>
          <t>CO</t>
        </is>
      </c>
      <c r="G87" s="2339" t="inlineStr">
        <is>
          <t>Industrial</t>
        </is>
      </c>
      <c r="H87" s="2339" t="inlineStr">
        <is>
          <t>Last-Mile Distribution NNN</t>
        </is>
      </c>
      <c r="I87" s="2362" t="n"/>
      <c r="J87" s="2362" t="n"/>
      <c r="K87" s="2362" t="n">
        <v>2022</v>
      </c>
      <c r="L87" s="2339" t="n"/>
      <c r="M87" s="2339" t="n"/>
      <c r="N87" s="2339" t="n"/>
      <c r="O87" s="2339" t="n"/>
      <c r="P87" s="2371" t="n">
        <v>69999</v>
      </c>
      <c r="Q87" s="2339" t="n"/>
      <c r="R87" s="2339" t="n"/>
      <c r="S87" s="2339" t="n"/>
      <c r="T87" s="2339" t="n"/>
      <c r="U87" s="2339" t="n"/>
      <c r="V87" s="2339" t="n"/>
      <c r="W87" s="2339" t="n"/>
      <c r="X87" s="2339" t="n"/>
      <c r="Y87" s="2339" t="n"/>
      <c r="Z87" s="2339" t="n"/>
      <c r="AA87" s="2339" t="n"/>
      <c r="AB87" s="2339" t="n"/>
      <c r="AC87" s="2339" t="n"/>
      <c r="AD87" s="2339" t="n"/>
      <c r="AE87" s="2339" t="n"/>
      <c r="AF87" s="2339" t="n"/>
      <c r="AG87" s="2339" t="n"/>
      <c r="AH87" s="2339" t="n"/>
      <c r="AI87" s="2371" t="n">
        <v>1080500</v>
      </c>
      <c r="AJ87" s="2371" t="n">
        <v>1527913</v>
      </c>
      <c r="AK87" s="2371" t="n">
        <v>2475461</v>
      </c>
      <c r="AL87" s="2339" t="n"/>
      <c r="AM87" s="2364" t="inlineStr">
        <is>
          <t>[NO SF] Amazon AMZL Site 51812; 2022 dominated by RE Tax $1.08M; asset mgmt fee $70k</t>
        </is>
      </c>
    </row>
    <row r="88" ht="14.1" customHeight="1" s="1449">
      <c r="A88" s="2372" t="inlineStr">
        <is>
          <t>P041</t>
        </is>
      </c>
      <c r="B88" s="2338" t="n">
        <v>386</v>
      </c>
      <c r="C88" s="2372" t="inlineStr">
        <is>
          <t>R0189384</t>
        </is>
      </c>
      <c r="D88" s="2372" t="inlineStr">
        <is>
          <t>1101 Colorado Blvd</t>
        </is>
      </c>
      <c r="E88" s="2372" t="inlineStr">
        <is>
          <t>Thornton</t>
        </is>
      </c>
      <c r="F88" s="2372" t="inlineStr">
        <is>
          <t>CO</t>
        </is>
      </c>
      <c r="G88" s="2372" t="inlineStr">
        <is>
          <t>Self-Storage</t>
        </is>
      </c>
      <c r="H88" s="2372" t="inlineStr">
        <is>
          <t>Climate-Controlled</t>
        </is>
      </c>
      <c r="I88" s="2373" t="n"/>
      <c r="J88" s="2373" t="n">
        <v>65766</v>
      </c>
      <c r="K88" s="2373" t="n">
        <v>2021</v>
      </c>
      <c r="L88" s="2372" t="n"/>
      <c r="M88" s="2372" t="n"/>
      <c r="N88" s="2374" t="n">
        <v>13.3807</v>
      </c>
      <c r="O88" s="2372" t="n"/>
      <c r="P88" s="2372" t="n"/>
      <c r="Q88" s="2372" t="n"/>
      <c r="R88" s="2372" t="n"/>
      <c r="S88" s="2372" t="n"/>
      <c r="T88" s="2372" t="n"/>
      <c r="U88" s="2372" t="n"/>
      <c r="V88" s="2372" t="n"/>
      <c r="W88" s="2372" t="n"/>
      <c r="X88" s="2372" t="n"/>
      <c r="Y88" s="2372" t="n"/>
      <c r="Z88" s="2372" t="n"/>
      <c r="AA88" s="2372" t="n"/>
      <c r="AB88" s="2372" t="n"/>
      <c r="AC88" s="2372" t="n"/>
      <c r="AD88" s="2372" t="n"/>
      <c r="AE88" s="2372" t="n"/>
      <c r="AF88" s="2372" t="n"/>
      <c r="AG88" s="2372" t="n"/>
      <c r="AH88" s="2372" t="n"/>
      <c r="AI88" s="2372" t="n"/>
      <c r="AJ88" s="2374" t="n">
        <v>6.3574</v>
      </c>
      <c r="AK88" s="2374" t="n">
        <v>7.0233</v>
      </c>
      <c r="AL88" s="2372" t="n"/>
      <c r="AM88" s="2375" t="inlineStr">
        <is>
          <t>Actual SS P&amp;L; mgmt=off-site+on-site combined; admin+adv in Other</t>
        </is>
      </c>
    </row>
    <row r="89" ht="14.1" customHeight="1" s="1449">
      <c r="A89" s="2372" t="inlineStr">
        <is>
          <t>P041</t>
        </is>
      </c>
      <c r="B89" s="2338" t="n">
        <v>386</v>
      </c>
      <c r="C89" s="2372" t="inlineStr">
        <is>
          <t>R0189384</t>
        </is>
      </c>
      <c r="D89" s="2372" t="inlineStr">
        <is>
          <t>1101 Colorado Blvd</t>
        </is>
      </c>
      <c r="E89" s="2372" t="inlineStr">
        <is>
          <t>Thornton</t>
        </is>
      </c>
      <c r="F89" s="2372" t="inlineStr">
        <is>
          <t>CO</t>
        </is>
      </c>
      <c r="G89" s="2372" t="inlineStr">
        <is>
          <t>Self-Storage</t>
        </is>
      </c>
      <c r="H89" s="2372" t="inlineStr">
        <is>
          <t>Climate-Controlled</t>
        </is>
      </c>
      <c r="I89" s="2373" t="n"/>
      <c r="J89" s="2373" t="n">
        <v>65766</v>
      </c>
      <c r="K89" s="2373" t="n">
        <v>2022</v>
      </c>
      <c r="L89" s="2372" t="n"/>
      <c r="M89" s="2372" t="n"/>
      <c r="N89" s="2374" t="n">
        <v>14.0623</v>
      </c>
      <c r="O89" s="2372" t="n"/>
      <c r="P89" s="2372" t="n"/>
      <c r="Q89" s="2372" t="n"/>
      <c r="R89" s="2372" t="n"/>
      <c r="S89" s="2372" t="n"/>
      <c r="T89" s="2372" t="n"/>
      <c r="U89" s="2372" t="n"/>
      <c r="V89" s="2372" t="n"/>
      <c r="W89" s="2372" t="n"/>
      <c r="X89" s="2372" t="n"/>
      <c r="Y89" s="2372" t="n"/>
      <c r="Z89" s="2372" t="n"/>
      <c r="AA89" s="2372" t="n"/>
      <c r="AB89" s="2372" t="n"/>
      <c r="AC89" s="2372" t="n"/>
      <c r="AD89" s="2372" t="n"/>
      <c r="AE89" s="2372" t="n"/>
      <c r="AF89" s="2372" t="n"/>
      <c r="AG89" s="2372" t="n"/>
      <c r="AH89" s="2372" t="n"/>
      <c r="AI89" s="2372" t="n"/>
      <c r="AJ89" s="2374" t="n">
        <v>6.9302</v>
      </c>
      <c r="AK89" s="2374" t="n">
        <v>7.1322</v>
      </c>
      <c r="AL89" s="2372" t="n"/>
      <c r="AM89" s="2375" t="inlineStr">
        <is>
          <t>Actual SS P&amp;L; mgmt=off-site+on-site combined; admin+adv in Other</t>
        </is>
      </c>
    </row>
    <row r="90" ht="14.1" customHeight="1" s="1449">
      <c r="A90" s="2372" t="inlineStr">
        <is>
          <t>P041</t>
        </is>
      </c>
      <c r="B90" s="2338" t="n">
        <v>386</v>
      </c>
      <c r="C90" s="2372" t="inlineStr">
        <is>
          <t>R0189384</t>
        </is>
      </c>
      <c r="D90" s="2372" t="inlineStr">
        <is>
          <t>1101 Colorado Blvd</t>
        </is>
      </c>
      <c r="E90" s="2372" t="inlineStr">
        <is>
          <t>Thornton</t>
        </is>
      </c>
      <c r="F90" s="2372" t="inlineStr">
        <is>
          <t>CO</t>
        </is>
      </c>
      <c r="G90" s="2372" t="inlineStr">
        <is>
          <t>Self-Storage</t>
        </is>
      </c>
      <c r="H90" s="2372" t="inlineStr">
        <is>
          <t>Climate-Controlled</t>
        </is>
      </c>
      <c r="I90" s="2373" t="n"/>
      <c r="J90" s="2373" t="n">
        <v>65766</v>
      </c>
      <c r="K90" s="2373" t="n">
        <v>2023</v>
      </c>
      <c r="L90" s="2372" t="n"/>
      <c r="M90" s="2372" t="n"/>
      <c r="N90" s="2374" t="n">
        <v>14.16</v>
      </c>
      <c r="O90" s="2374" t="n">
        <v>0.6306</v>
      </c>
      <c r="P90" s="2374" t="n">
        <v>1.5829</v>
      </c>
      <c r="Q90" s="2372" t="n"/>
      <c r="R90" s="2372" t="n"/>
      <c r="S90" s="2372" t="n"/>
      <c r="T90" s="2372" t="n"/>
      <c r="U90" s="2372" t="n"/>
      <c r="V90" s="2372" t="n"/>
      <c r="W90" s="2372" t="n"/>
      <c r="X90" s="2372" t="n"/>
      <c r="Y90" s="2374" t="n">
        <v>0.2367</v>
      </c>
      <c r="Z90" s="2372" t="n"/>
      <c r="AA90" s="2372" t="n"/>
      <c r="AB90" s="2372" t="n"/>
      <c r="AC90" s="2372" t="n"/>
      <c r="AD90" s="2372" t="n"/>
      <c r="AE90" s="2372" t="n"/>
      <c r="AF90" s="2374" t="n">
        <v>0.5644</v>
      </c>
      <c r="AG90" s="2372" t="n"/>
      <c r="AH90" s="2374" t="n">
        <v>4.479</v>
      </c>
      <c r="AI90" s="2374" t="n">
        <v>2.7358</v>
      </c>
      <c r="AJ90" s="2374" t="n">
        <v>7.2147</v>
      </c>
      <c r="AK90" s="2374" t="n">
        <v>7.1427</v>
      </c>
      <c r="AL90" s="2372" t="n"/>
      <c r="AM90" s="2375" t="inlineStr">
        <is>
          <t>Actual SS P&amp;L; mgmt=off-site+on-site combined; admin+adv in Other</t>
        </is>
      </c>
    </row>
    <row r="91" ht="14.1" customHeight="1" s="1449">
      <c r="A91" s="2372" t="inlineStr">
        <is>
          <t>P042</t>
        </is>
      </c>
      <c r="B91" s="2338" t="n">
        <v>386</v>
      </c>
      <c r="C91" s="2372" t="inlineStr">
        <is>
          <t>R0126235</t>
        </is>
      </c>
      <c r="D91" s="2372" t="inlineStr">
        <is>
          <t>15024 Laroy Drive</t>
        </is>
      </c>
      <c r="E91" s="2372" t="inlineStr">
        <is>
          <t>Northglenn</t>
        </is>
      </c>
      <c r="F91" s="2372" t="inlineStr">
        <is>
          <t>CO</t>
        </is>
      </c>
      <c r="G91" s="2372" t="inlineStr">
        <is>
          <t>Self-Storage</t>
        </is>
      </c>
      <c r="H91" s="2372" t="inlineStr">
        <is>
          <t>Climate-Controlled</t>
        </is>
      </c>
      <c r="I91" s="2373" t="n"/>
      <c r="J91" s="2373" t="n">
        <v>79950</v>
      </c>
      <c r="K91" s="2373" t="n">
        <v>2021</v>
      </c>
      <c r="L91" s="2372" t="n"/>
      <c r="M91" s="2372" t="n"/>
      <c r="N91" s="2374" t="n">
        <v>11.9617</v>
      </c>
      <c r="O91" s="2372" t="n"/>
      <c r="P91" s="2372" t="n"/>
      <c r="Q91" s="2372" t="n"/>
      <c r="R91" s="2372" t="n"/>
      <c r="S91" s="2372" t="n"/>
      <c r="T91" s="2372" t="n"/>
      <c r="U91" s="2372" t="n"/>
      <c r="V91" s="2372" t="n"/>
      <c r="W91" s="2372" t="n"/>
      <c r="X91" s="2372" t="n"/>
      <c r="Y91" s="2372" t="n"/>
      <c r="Z91" s="2372" t="n"/>
      <c r="AA91" s="2372" t="n"/>
      <c r="AB91" s="2372" t="n"/>
      <c r="AC91" s="2372" t="n"/>
      <c r="AD91" s="2372" t="n"/>
      <c r="AE91" s="2372" t="n"/>
      <c r="AF91" s="2372" t="n"/>
      <c r="AG91" s="2372" t="n"/>
      <c r="AH91" s="2372" t="n"/>
      <c r="AI91" s="2372" t="n"/>
      <c r="AJ91" s="2374" t="n">
        <v>6.0239</v>
      </c>
      <c r="AK91" s="2374" t="n">
        <v>6.4381</v>
      </c>
      <c r="AL91" s="2372" t="n"/>
      <c r="AM91" s="2375" t="inlineStr">
        <is>
          <t>Actual SS P&amp;L; mgmt=off-site+on-site combined</t>
        </is>
      </c>
    </row>
    <row r="92" ht="14.1" customHeight="1" s="1449">
      <c r="A92" s="2372" t="inlineStr">
        <is>
          <t>P042</t>
        </is>
      </c>
      <c r="B92" s="2338" t="n">
        <v>386</v>
      </c>
      <c r="C92" s="2372" t="inlineStr">
        <is>
          <t>R0126235</t>
        </is>
      </c>
      <c r="D92" s="2372" t="inlineStr">
        <is>
          <t>15024 Laroy Drive</t>
        </is>
      </c>
      <c r="E92" s="2372" t="inlineStr">
        <is>
          <t>Northglenn</t>
        </is>
      </c>
      <c r="F92" s="2372" t="inlineStr">
        <is>
          <t>CO</t>
        </is>
      </c>
      <c r="G92" s="2372" t="inlineStr">
        <is>
          <t>Self-Storage</t>
        </is>
      </c>
      <c r="H92" s="2372" t="inlineStr">
        <is>
          <t>Climate-Controlled</t>
        </is>
      </c>
      <c r="I92" s="2373" t="n"/>
      <c r="J92" s="2373" t="n">
        <v>79950</v>
      </c>
      <c r="K92" s="2373" t="n">
        <v>2022</v>
      </c>
      <c r="L92" s="2372" t="n"/>
      <c r="M92" s="2372" t="n"/>
      <c r="N92" s="2374" t="n">
        <v>12.7321</v>
      </c>
      <c r="O92" s="2372" t="n"/>
      <c r="P92" s="2372" t="n"/>
      <c r="Q92" s="2372" t="n"/>
      <c r="R92" s="2372" t="n"/>
      <c r="S92" s="2372" t="n"/>
      <c r="T92" s="2372" t="n"/>
      <c r="U92" s="2372" t="n"/>
      <c r="V92" s="2372" t="n"/>
      <c r="W92" s="2372" t="n"/>
      <c r="X92" s="2372" t="n"/>
      <c r="Y92" s="2372" t="n"/>
      <c r="Z92" s="2372" t="n"/>
      <c r="AA92" s="2372" t="n"/>
      <c r="AB92" s="2372" t="n"/>
      <c r="AC92" s="2372" t="n"/>
      <c r="AD92" s="2372" t="n"/>
      <c r="AE92" s="2372" t="n"/>
      <c r="AF92" s="2372" t="n"/>
      <c r="AG92" s="2372" t="n"/>
      <c r="AH92" s="2372" t="n"/>
      <c r="AI92" s="2372" t="n"/>
      <c r="AJ92" s="2374" t="n">
        <v>5.4064</v>
      </c>
      <c r="AK92" s="2374" t="n">
        <v>7.3257</v>
      </c>
      <c r="AL92" s="2372" t="n"/>
      <c r="AM92" s="2375" t="inlineStr">
        <is>
          <t>Actual SS P&amp;L; mgmt=off-site+on-site combined</t>
        </is>
      </c>
    </row>
    <row r="93" ht="14.1" customHeight="1" s="1449">
      <c r="A93" s="2372" t="inlineStr">
        <is>
          <t>P042</t>
        </is>
      </c>
      <c r="B93" s="2338" t="n">
        <v>386</v>
      </c>
      <c r="C93" s="2372" t="inlineStr">
        <is>
          <t>R0126235</t>
        </is>
      </c>
      <c r="D93" s="2372" t="inlineStr">
        <is>
          <t>15024 Laroy Drive</t>
        </is>
      </c>
      <c r="E93" s="2372" t="inlineStr">
        <is>
          <t>Northglenn</t>
        </is>
      </c>
      <c r="F93" s="2372" t="inlineStr">
        <is>
          <t>CO</t>
        </is>
      </c>
      <c r="G93" s="2372" t="inlineStr">
        <is>
          <t>Self-Storage</t>
        </is>
      </c>
      <c r="H93" s="2372" t="inlineStr">
        <is>
          <t>Climate-Controlled</t>
        </is>
      </c>
      <c r="I93" s="2373" t="n"/>
      <c r="J93" s="2373" t="n">
        <v>79950</v>
      </c>
      <c r="K93" s="2373" t="n">
        <v>2023</v>
      </c>
      <c r="L93" s="2372" t="n"/>
      <c r="M93" s="2372" t="n"/>
      <c r="N93" s="2374" t="n">
        <v>11.94</v>
      </c>
      <c r="O93" s="2374" t="n">
        <v>0.5105</v>
      </c>
      <c r="P93" s="2374" t="n">
        <v>1.3574</v>
      </c>
      <c r="Q93" s="2372" t="n"/>
      <c r="R93" s="2372" t="n"/>
      <c r="S93" s="2372" t="n"/>
      <c r="T93" s="2372" t="n"/>
      <c r="U93" s="2372" t="n"/>
      <c r="V93" s="2372" t="n"/>
      <c r="W93" s="2372" t="n"/>
      <c r="X93" s="2372" t="n"/>
      <c r="Y93" s="2374" t="n">
        <v>0.301</v>
      </c>
      <c r="Z93" s="2372" t="n"/>
      <c r="AA93" s="2372" t="n"/>
      <c r="AB93" s="2372" t="n"/>
      <c r="AC93" s="2372" t="n"/>
      <c r="AD93" s="2372" t="n"/>
      <c r="AE93" s="2372" t="n"/>
      <c r="AF93" s="2374" t="n">
        <v>0.2587</v>
      </c>
      <c r="AG93" s="2372" t="n"/>
      <c r="AH93" s="2374" t="n">
        <v>3.4355</v>
      </c>
      <c r="AI93" s="2374" t="n">
        <v>3.061</v>
      </c>
      <c r="AJ93" s="2374" t="n">
        <v>6.4964</v>
      </c>
      <c r="AK93" s="2374" t="n">
        <v>5.4436</v>
      </c>
      <c r="AL93" s="2372" t="n"/>
      <c r="AM93" s="2375" t="inlineStr">
        <is>
          <t>Actual SS P&amp;L; mgmt=off-site+on-site combined</t>
        </is>
      </c>
    </row>
    <row r="94" ht="14.1" customHeight="1" s="1449">
      <c r="A94" s="2372" t="inlineStr">
        <is>
          <t>P043</t>
        </is>
      </c>
      <c r="B94" s="2338" t="n">
        <v>386</v>
      </c>
      <c r="C94" s="2372" t="inlineStr">
        <is>
          <t>R0126234</t>
        </is>
      </c>
      <c r="D94" s="2372" t="inlineStr">
        <is>
          <t>715 W 112th Ave</t>
        </is>
      </c>
      <c r="E94" s="2372" t="inlineStr">
        <is>
          <t>Northglenn</t>
        </is>
      </c>
      <c r="F94" s="2372" t="inlineStr">
        <is>
          <t>CO</t>
        </is>
      </c>
      <c r="G94" s="2372" t="inlineStr">
        <is>
          <t>Self-Storage</t>
        </is>
      </c>
      <c r="H94" s="2372" t="inlineStr">
        <is>
          <t>Drive-Up/Drop-Off</t>
        </is>
      </c>
      <c r="I94" s="2373" t="n"/>
      <c r="J94" s="2373" t="n">
        <v>83756</v>
      </c>
      <c r="K94" s="2373" t="n">
        <v>2021</v>
      </c>
      <c r="L94" s="2372" t="n"/>
      <c r="M94" s="2372" t="n"/>
      <c r="N94" s="2374" t="n">
        <v>9.7278</v>
      </c>
      <c r="O94" s="2372" t="n"/>
      <c r="P94" s="2372" t="n"/>
      <c r="Q94" s="2372" t="n"/>
      <c r="R94" s="2372" t="n"/>
      <c r="S94" s="2372" t="n"/>
      <c r="T94" s="2372" t="n"/>
      <c r="U94" s="2372" t="n"/>
      <c r="V94" s="2372" t="n"/>
      <c r="W94" s="2372" t="n"/>
      <c r="X94" s="2372" t="n"/>
      <c r="Y94" s="2372" t="n"/>
      <c r="Z94" s="2372" t="n"/>
      <c r="AA94" s="2372" t="n"/>
      <c r="AB94" s="2372" t="n"/>
      <c r="AC94" s="2372" t="n"/>
      <c r="AD94" s="2372" t="n"/>
      <c r="AE94" s="2372" t="n"/>
      <c r="AF94" s="2372" t="n"/>
      <c r="AG94" s="2372" t="n"/>
      <c r="AH94" s="2372" t="n"/>
      <c r="AI94" s="2372" t="n"/>
      <c r="AJ94" s="2374" t="n">
        <v>5.2127</v>
      </c>
      <c r="AK94" s="2374" t="n">
        <v>4.5151</v>
      </c>
      <c r="AL94" s="2372" t="n"/>
      <c r="AM94" s="2375" t="inlineStr">
        <is>
          <t>Actual SS P&amp;L; mgmt=off-site+on-site combined</t>
        </is>
      </c>
    </row>
    <row r="95" ht="14.1" customHeight="1" s="1449">
      <c r="A95" s="2372" t="inlineStr">
        <is>
          <t>P043</t>
        </is>
      </c>
      <c r="B95" s="2338" t="n">
        <v>386</v>
      </c>
      <c r="C95" s="2372" t="inlineStr">
        <is>
          <t>R0126234</t>
        </is>
      </c>
      <c r="D95" s="2372" t="inlineStr">
        <is>
          <t>715 W 112th Ave</t>
        </is>
      </c>
      <c r="E95" s="2372" t="inlineStr">
        <is>
          <t>Northglenn</t>
        </is>
      </c>
      <c r="F95" s="2372" t="inlineStr">
        <is>
          <t>CO</t>
        </is>
      </c>
      <c r="G95" s="2372" t="inlineStr">
        <is>
          <t>Self-Storage</t>
        </is>
      </c>
      <c r="H95" s="2372" t="inlineStr">
        <is>
          <t>Drive-Up/Drop-Off</t>
        </is>
      </c>
      <c r="I95" s="2373" t="n"/>
      <c r="J95" s="2373" t="n">
        <v>83756</v>
      </c>
      <c r="K95" s="2373" t="n">
        <v>2022</v>
      </c>
      <c r="L95" s="2372" t="n"/>
      <c r="M95" s="2372" t="n"/>
      <c r="N95" s="2374" t="n">
        <v>11.7102</v>
      </c>
      <c r="O95" s="2372" t="n"/>
      <c r="P95" s="2372" t="n"/>
      <c r="Q95" s="2372" t="n"/>
      <c r="R95" s="2372" t="n"/>
      <c r="S95" s="2372" t="n"/>
      <c r="T95" s="2372" t="n"/>
      <c r="U95" s="2372" t="n"/>
      <c r="V95" s="2372" t="n"/>
      <c r="W95" s="2372" t="n"/>
      <c r="X95" s="2372" t="n"/>
      <c r="Y95" s="2372" t="n"/>
      <c r="Z95" s="2372" t="n"/>
      <c r="AA95" s="2372" t="n"/>
      <c r="AB95" s="2372" t="n"/>
      <c r="AC95" s="2372" t="n"/>
      <c r="AD95" s="2372" t="n"/>
      <c r="AE95" s="2372" t="n"/>
      <c r="AF95" s="2372" t="n"/>
      <c r="AG95" s="2372" t="n"/>
      <c r="AH95" s="2372" t="n"/>
      <c r="AI95" s="2372" t="n"/>
      <c r="AJ95" s="2374" t="n">
        <v>5.4426</v>
      </c>
      <c r="AK95" s="2374" t="n">
        <v>6.2675</v>
      </c>
      <c r="AL95" s="2372" t="n"/>
      <c r="AM95" s="2375" t="inlineStr">
        <is>
          <t>Actual SS P&amp;L; mgmt=off-site+on-site combined</t>
        </is>
      </c>
    </row>
    <row r="96" ht="14.1" customHeight="1" s="1449">
      <c r="A96" s="2372" t="inlineStr">
        <is>
          <t>P043</t>
        </is>
      </c>
      <c r="B96" s="2338" t="n">
        <v>386</v>
      </c>
      <c r="C96" s="2372" t="inlineStr">
        <is>
          <t>R0126234</t>
        </is>
      </c>
      <c r="D96" s="2372" t="inlineStr">
        <is>
          <t>715 W 112th Ave</t>
        </is>
      </c>
      <c r="E96" s="2372" t="inlineStr">
        <is>
          <t>Northglenn</t>
        </is>
      </c>
      <c r="F96" s="2372" t="inlineStr">
        <is>
          <t>CO</t>
        </is>
      </c>
      <c r="G96" s="2372" t="inlineStr">
        <is>
          <t>Self-Storage</t>
        </is>
      </c>
      <c r="H96" s="2372" t="inlineStr">
        <is>
          <t>Drive-Up/Drop-Off</t>
        </is>
      </c>
      <c r="I96" s="2373" t="n"/>
      <c r="J96" s="2373" t="n">
        <v>83756</v>
      </c>
      <c r="K96" s="2373" t="n">
        <v>2023</v>
      </c>
      <c r="L96" s="2372" t="n"/>
      <c r="M96" s="2372" t="n"/>
      <c r="N96" s="2374" t="n">
        <v>12.0821</v>
      </c>
      <c r="O96" s="2374" t="n">
        <v>0.5624</v>
      </c>
      <c r="P96" s="2374" t="n">
        <v>1.3342</v>
      </c>
      <c r="Q96" s="2372" t="n"/>
      <c r="R96" s="2372" t="n"/>
      <c r="S96" s="2372" t="n"/>
      <c r="T96" s="2372" t="n"/>
      <c r="U96" s="2372" t="n"/>
      <c r="V96" s="2372" t="n"/>
      <c r="W96" s="2372" t="n"/>
      <c r="X96" s="2372" t="n"/>
      <c r="Y96" s="2374" t="n">
        <v>0.1222</v>
      </c>
      <c r="Z96" s="2372" t="n"/>
      <c r="AA96" s="2372" t="n"/>
      <c r="AB96" s="2372" t="n"/>
      <c r="AC96" s="2372" t="n"/>
      <c r="AD96" s="2372" t="n"/>
      <c r="AE96" s="2372" t="n"/>
      <c r="AF96" s="2374" t="n">
        <v>0.1904</v>
      </c>
      <c r="AG96" s="2372" t="n"/>
      <c r="AH96" s="2374" t="n">
        <v>3.0787</v>
      </c>
      <c r="AI96" s="2374" t="n">
        <v>2.42</v>
      </c>
      <c r="AJ96" s="2374" t="n">
        <v>5.4986</v>
      </c>
      <c r="AK96" s="2374" t="n">
        <v>6.5859</v>
      </c>
      <c r="AL96" s="2372" t="n"/>
      <c r="AM96" s="2375" t="inlineStr">
        <is>
          <t>Actual SS P&amp;L; mgmt=off-site+on-site combined</t>
        </is>
      </c>
    </row>
    <row r="97" ht="14.1" customHeight="1" s="1449">
      <c r="A97" s="2372" t="inlineStr">
        <is>
          <t>P044</t>
        </is>
      </c>
      <c r="B97" s="2338" t="n">
        <v>386</v>
      </c>
      <c r="C97" s="2372" t="inlineStr">
        <is>
          <t>R0027089/R0178319</t>
        </is>
      </c>
      <c r="D97" s="2372" t="inlineStr">
        <is>
          <t>2290 E 120th Ave</t>
        </is>
      </c>
      <c r="E97" s="2372" t="inlineStr">
        <is>
          <t>Thornton</t>
        </is>
      </c>
      <c r="F97" s="2372" t="inlineStr">
        <is>
          <t>CO</t>
        </is>
      </c>
      <c r="G97" s="2372" t="inlineStr">
        <is>
          <t>Self-Storage</t>
        </is>
      </c>
      <c r="H97" s="2372" t="inlineStr">
        <is>
          <t>Drive-Up/Drop-Off</t>
        </is>
      </c>
      <c r="I97" s="2373" t="n"/>
      <c r="J97" s="2373" t="n">
        <v>71909</v>
      </c>
      <c r="K97" s="2373" t="n">
        <v>2021</v>
      </c>
      <c r="L97" s="2372" t="n"/>
      <c r="M97" s="2372" t="n"/>
      <c r="N97" s="2374" t="n">
        <v>11.6457</v>
      </c>
      <c r="O97" s="2372" t="n"/>
      <c r="P97" s="2372" t="n"/>
      <c r="Q97" s="2372" t="n"/>
      <c r="R97" s="2372" t="n"/>
      <c r="S97" s="2372" t="n"/>
      <c r="T97" s="2372" t="n"/>
      <c r="U97" s="2372" t="n"/>
      <c r="V97" s="2372" t="n"/>
      <c r="W97" s="2372" t="n"/>
      <c r="X97" s="2372" t="n"/>
      <c r="Y97" s="2372" t="n"/>
      <c r="Z97" s="2372" t="n"/>
      <c r="AA97" s="2372" t="n"/>
      <c r="AB97" s="2372" t="n"/>
      <c r="AC97" s="2372" t="n"/>
      <c r="AD97" s="2372" t="n"/>
      <c r="AE97" s="2372" t="n"/>
      <c r="AF97" s="2372" t="n"/>
      <c r="AG97" s="2372" t="n"/>
      <c r="AH97" s="2372" t="n"/>
      <c r="AI97" s="2372" t="n"/>
      <c r="AJ97" s="2374" t="n">
        <v>6.1981</v>
      </c>
      <c r="AK97" s="2374" t="n">
        <v>5.4476</v>
      </c>
      <c r="AL97" s="2372" t="n"/>
      <c r="AM97" s="2375" t="inlineStr">
        <is>
          <t>Actual SS P&amp;L; combined parcels R0027089+R0178319; mgmt=off-site+on-site</t>
        </is>
      </c>
    </row>
    <row r="98" ht="14.1" customHeight="1" s="1449">
      <c r="A98" s="2372" t="inlineStr">
        <is>
          <t>P044</t>
        </is>
      </c>
      <c r="B98" s="2338" t="n">
        <v>386</v>
      </c>
      <c r="C98" s="2372" t="inlineStr">
        <is>
          <t>R0027089/R0178319</t>
        </is>
      </c>
      <c r="D98" s="2372" t="inlineStr">
        <is>
          <t>2290 E 120th Ave</t>
        </is>
      </c>
      <c r="E98" s="2372" t="inlineStr">
        <is>
          <t>Thornton</t>
        </is>
      </c>
      <c r="F98" s="2372" t="inlineStr">
        <is>
          <t>CO</t>
        </is>
      </c>
      <c r="G98" s="2372" t="inlineStr">
        <is>
          <t>Self-Storage</t>
        </is>
      </c>
      <c r="H98" s="2372" t="inlineStr">
        <is>
          <t>Drive-Up/Drop-Off</t>
        </is>
      </c>
      <c r="I98" s="2373" t="n"/>
      <c r="J98" s="2373" t="n">
        <v>71909</v>
      </c>
      <c r="K98" s="2373" t="n">
        <v>2022</v>
      </c>
      <c r="L98" s="2372" t="n"/>
      <c r="M98" s="2372" t="n"/>
      <c r="N98" s="2374" t="n">
        <v>13.1494</v>
      </c>
      <c r="O98" s="2372" t="n"/>
      <c r="P98" s="2372" t="n"/>
      <c r="Q98" s="2372" t="n"/>
      <c r="R98" s="2372" t="n"/>
      <c r="S98" s="2372" t="n"/>
      <c r="T98" s="2372" t="n"/>
      <c r="U98" s="2372" t="n"/>
      <c r="V98" s="2372" t="n"/>
      <c r="W98" s="2372" t="n"/>
      <c r="X98" s="2372" t="n"/>
      <c r="Y98" s="2372" t="n"/>
      <c r="Z98" s="2372" t="n"/>
      <c r="AA98" s="2372" t="n"/>
      <c r="AB98" s="2372" t="n"/>
      <c r="AC98" s="2372" t="n"/>
      <c r="AD98" s="2372" t="n"/>
      <c r="AE98" s="2372" t="n"/>
      <c r="AF98" s="2372" t="n"/>
      <c r="AG98" s="2372" t="n"/>
      <c r="AH98" s="2372" t="n"/>
      <c r="AI98" s="2372" t="n"/>
      <c r="AJ98" s="2374" t="n">
        <v>6.1981</v>
      </c>
      <c r="AK98" s="2374" t="n">
        <v>6.4846</v>
      </c>
      <c r="AL98" s="2372" t="n"/>
      <c r="AM98" s="2375" t="inlineStr">
        <is>
          <t>Actual SS P&amp;L; combined parcels R0027089+R0178319; mgmt=off-site+on-site</t>
        </is>
      </c>
    </row>
    <row r="99" ht="14.1" customHeight="1" s="1449">
      <c r="A99" s="2372" t="inlineStr">
        <is>
          <t>P044</t>
        </is>
      </c>
      <c r="B99" s="2338" t="n">
        <v>386</v>
      </c>
      <c r="C99" s="2372" t="inlineStr">
        <is>
          <t>R0027089/R0178319</t>
        </is>
      </c>
      <c r="D99" s="2372" t="inlineStr">
        <is>
          <t>2290 E 120th Ave</t>
        </is>
      </c>
      <c r="E99" s="2372" t="inlineStr">
        <is>
          <t>Thornton</t>
        </is>
      </c>
      <c r="F99" s="2372" t="inlineStr">
        <is>
          <t>CO</t>
        </is>
      </c>
      <c r="G99" s="2372" t="inlineStr">
        <is>
          <t>Self-Storage</t>
        </is>
      </c>
      <c r="H99" s="2372" t="inlineStr">
        <is>
          <t>Drive-Up/Drop-Off</t>
        </is>
      </c>
      <c r="I99" s="2373" t="n"/>
      <c r="J99" s="2373" t="n">
        <v>71909</v>
      </c>
      <c r="K99" s="2373" t="n">
        <v>2023</v>
      </c>
      <c r="L99" s="2372" t="n"/>
      <c r="M99" s="2372" t="n"/>
      <c r="N99" s="2374" t="n">
        <v>13.6392</v>
      </c>
      <c r="O99" s="2374" t="n">
        <v>0.6036</v>
      </c>
      <c r="P99" s="2374" t="n">
        <v>1.9706</v>
      </c>
      <c r="Q99" s="2372" t="n"/>
      <c r="R99" s="2372" t="n"/>
      <c r="S99" s="2372" t="n"/>
      <c r="T99" s="2372" t="n"/>
      <c r="U99" s="2372" t="n"/>
      <c r="V99" s="2372" t="n"/>
      <c r="W99" s="2372" t="n"/>
      <c r="X99" s="2372" t="n"/>
      <c r="Y99" s="2374" t="n">
        <v>0.248</v>
      </c>
      <c r="Z99" s="2372" t="n"/>
      <c r="AA99" s="2372" t="n"/>
      <c r="AB99" s="2372" t="n"/>
      <c r="AC99" s="2372" t="n"/>
      <c r="AD99" s="2372" t="n"/>
      <c r="AE99" s="2372" t="n"/>
      <c r="AF99" s="2374" t="n">
        <v>0.298</v>
      </c>
      <c r="AG99" s="2372" t="n"/>
      <c r="AH99" s="2374" t="n">
        <v>4.1574</v>
      </c>
      <c r="AI99" s="2374" t="n">
        <v>2.5917</v>
      </c>
      <c r="AJ99" s="2374" t="n">
        <v>6.7491</v>
      </c>
      <c r="AK99" s="2374" t="n">
        <v>6.8462</v>
      </c>
      <c r="AL99" s="2372" t="n"/>
      <c r="AM99" s="2375" t="inlineStr">
        <is>
          <t>Actual SS P&amp;L; combined parcels R0027089+R0178319; mgmt=off-site+on-site</t>
        </is>
      </c>
    </row>
    <row r="100" ht="14.1" customHeight="1" s="1449">
      <c r="A100" s="2372" t="inlineStr">
        <is>
          <t>P045</t>
        </is>
      </c>
      <c r="B100" s="2338" t="n">
        <v>386</v>
      </c>
      <c r="C100" s="2372" t="inlineStr">
        <is>
          <t>R0043569</t>
        </is>
      </c>
      <c r="D100" s="2372" t="inlineStr">
        <is>
          <t>40131 Quivas St</t>
        </is>
      </c>
      <c r="E100" s="2372" t="inlineStr">
        <is>
          <t>Thornton</t>
        </is>
      </c>
      <c r="F100" s="2372" t="inlineStr">
        <is>
          <t>CO</t>
        </is>
      </c>
      <c r="G100" s="2372" t="inlineStr">
        <is>
          <t>Self-Storage</t>
        </is>
      </c>
      <c r="H100" s="2372" t="inlineStr">
        <is>
          <t>Drive-Up/Drop-Off</t>
        </is>
      </c>
      <c r="I100" s="2373" t="n"/>
      <c r="J100" s="2373" t="n">
        <v>41900</v>
      </c>
      <c r="K100" s="2373" t="n">
        <v>2024</v>
      </c>
      <c r="L100" s="2372" t="n"/>
      <c r="M100" s="2372" t="n"/>
      <c r="N100" s="2374" t="n">
        <v>17.1375</v>
      </c>
      <c r="O100" s="2374" t="n">
        <v>0.4543</v>
      </c>
      <c r="P100" s="2374" t="n">
        <v>2.2428</v>
      </c>
      <c r="Q100" s="2372" t="n"/>
      <c r="R100" s="2372" t="n"/>
      <c r="S100" s="2372" t="n"/>
      <c r="T100" s="2372" t="n"/>
      <c r="U100" s="2372" t="n"/>
      <c r="V100" s="2372" t="n"/>
      <c r="W100" s="2372" t="n"/>
      <c r="X100" s="2372" t="n"/>
      <c r="Y100" s="2374" t="n">
        <v>0.2809</v>
      </c>
      <c r="Z100" s="2372" t="n"/>
      <c r="AA100" s="2372" t="n"/>
      <c r="AB100" s="2372" t="n"/>
      <c r="AC100" s="2372" t="n"/>
      <c r="AD100" s="2372" t="n"/>
      <c r="AE100" s="2372" t="n"/>
      <c r="AF100" s="2374" t="n">
        <v>0.1293</v>
      </c>
      <c r="AG100" s="2372" t="n"/>
      <c r="AH100" s="2374" t="n">
        <v>4.9831</v>
      </c>
      <c r="AI100" s="2374" t="n">
        <v>4.213</v>
      </c>
      <c r="AJ100" s="2374" t="n">
        <v>9.196</v>
      </c>
      <c r="AK100" s="2374" t="n">
        <v>7.9414</v>
      </c>
      <c r="AL100" s="2372" t="n"/>
      <c r="AM100" s="2375" t="inlineStr">
        <is>
          <t>Actual FY2024 P&amp;L; mgmt=off-site $42,964+on-site $51,011; RE Tax est from matrix</t>
        </is>
      </c>
    </row>
    <row r="101" ht="14.1" customHeight="1" s="1449">
      <c r="A101" s="2372" t="inlineStr">
        <is>
          <t>P046</t>
        </is>
      </c>
      <c r="B101" s="2338" t="n">
        <v>386</v>
      </c>
      <c r="C101" s="2372" t="inlineStr">
        <is>
          <t>R0193009</t>
        </is>
      </c>
      <c r="D101" s="2372" t="inlineStr">
        <is>
          <t>Address unknown – see R0193009</t>
        </is>
      </c>
      <c r="E101" s="2372" t="inlineStr">
        <is>
          <t>Adams County</t>
        </is>
      </c>
      <c r="F101" s="2372" t="inlineStr">
        <is>
          <t>CO</t>
        </is>
      </c>
      <c r="G101" s="2372" t="inlineStr">
        <is>
          <t>Self-Storage</t>
        </is>
      </c>
      <c r="H101" s="2372" t="inlineStr">
        <is>
          <t>Climate-Controlled</t>
        </is>
      </c>
      <c r="I101" s="2373" t="n"/>
      <c r="J101" s="2373" t="n">
        <v>94736</v>
      </c>
      <c r="K101" s="2373" t="n"/>
      <c r="L101" s="2372" t="n"/>
      <c r="M101" s="2372" t="n"/>
      <c r="N101" s="2374" t="n">
        <v>16.7</v>
      </c>
      <c r="O101" s="2374" t="n">
        <v>0.4183</v>
      </c>
      <c r="P101" s="2374" t="n">
        <v>1.7666</v>
      </c>
      <c r="Q101" s="2372" t="n"/>
      <c r="R101" s="2372" t="n"/>
      <c r="S101" s="2372" t="n"/>
      <c r="T101" s="2372" t="n"/>
      <c r="U101" s="2372" t="n"/>
      <c r="V101" s="2372" t="n"/>
      <c r="W101" s="2372" t="n"/>
      <c r="X101" s="2372" t="n"/>
      <c r="Y101" s="2374" t="n">
        <v>0.4073</v>
      </c>
      <c r="Z101" s="2372" t="n"/>
      <c r="AA101" s="2372" t="n"/>
      <c r="AB101" s="2372" t="n"/>
      <c r="AC101" s="2372" t="n"/>
      <c r="AD101" s="2372" t="n"/>
      <c r="AE101" s="2372" t="n"/>
      <c r="AF101" s="2374" t="n">
        <v>0.207</v>
      </c>
      <c r="AG101" s="2372" t="n"/>
      <c r="AH101" s="2374" t="n">
        <v>3.6866</v>
      </c>
      <c r="AI101" s="2374" t="n">
        <v>4.474</v>
      </c>
      <c r="AJ101" s="2374" t="n">
        <v>8.160600000000001</v>
      </c>
      <c r="AK101" s="2374" t="n">
        <v>8.539400000000001</v>
      </c>
      <c r="AL101" s="2372" t="n"/>
      <c r="AM101" s="2375" t="inlineStr">
        <is>
          <t>AXG SS Expense Matrix; year not specified (~2022/23); R0193009</t>
        </is>
      </c>
    </row>
    <row r="102" ht="14.1" customHeight="1" s="1449">
      <c r="A102" s="2372" t="inlineStr">
        <is>
          <t>P047</t>
        </is>
      </c>
      <c r="B102" s="2338" t="n">
        <v>386</v>
      </c>
      <c r="C102" s="2372" t="inlineStr">
        <is>
          <t>R0099616</t>
        </is>
      </c>
      <c r="D102" s="2372" t="inlineStr">
        <is>
          <t>Address unknown – see R0099616</t>
        </is>
      </c>
      <c r="E102" s="2372" t="inlineStr">
        <is>
          <t>Adams County</t>
        </is>
      </c>
      <c r="F102" s="2372" t="inlineStr">
        <is>
          <t>CO</t>
        </is>
      </c>
      <c r="G102" s="2372" t="inlineStr">
        <is>
          <t>Self-Storage</t>
        </is>
      </c>
      <c r="H102" s="2372" t="inlineStr">
        <is>
          <t>Drive-Up/Drop-Off</t>
        </is>
      </c>
      <c r="I102" s="2373" t="n"/>
      <c r="J102" s="2373" t="n">
        <v>73500</v>
      </c>
      <c r="K102" s="2373" t="n"/>
      <c r="L102" s="2372" t="n"/>
      <c r="M102" s="2372" t="n"/>
      <c r="N102" s="2374" t="n">
        <v>11.3518</v>
      </c>
      <c r="O102" s="2374" t="n">
        <v>0.2504</v>
      </c>
      <c r="P102" s="2374" t="n">
        <v>0.8845</v>
      </c>
      <c r="Q102" s="2372" t="n"/>
      <c r="R102" s="2372" t="n"/>
      <c r="S102" s="2372" t="n"/>
      <c r="T102" s="2372" t="n"/>
      <c r="U102" s="2372" t="n"/>
      <c r="V102" s="2372" t="n"/>
      <c r="W102" s="2372" t="n"/>
      <c r="X102" s="2372" t="n"/>
      <c r="Y102" s="2374" t="n">
        <v>0.3368</v>
      </c>
      <c r="Z102" s="2372" t="n"/>
      <c r="AA102" s="2372" t="n"/>
      <c r="AB102" s="2372" t="n"/>
      <c r="AC102" s="2372" t="n"/>
      <c r="AD102" s="2372" t="n"/>
      <c r="AE102" s="2372" t="n"/>
      <c r="AF102" s="2374" t="n">
        <v>0.2348</v>
      </c>
      <c r="AG102" s="2372" t="n"/>
      <c r="AH102" s="2374" t="n">
        <v>2.7024</v>
      </c>
      <c r="AI102" s="2374" t="n">
        <v>2.144</v>
      </c>
      <c r="AJ102" s="2374" t="n">
        <v>4.8463</v>
      </c>
      <c r="AK102" s="2374" t="n">
        <v>6.5055</v>
      </c>
      <c r="AL102" s="2372" t="n"/>
      <c r="AM102" s="2375" t="inlineStr">
        <is>
          <t>AXG SS Expense Matrix; year not specified (~2022/23); R0099616</t>
        </is>
      </c>
    </row>
    <row r="103" ht="14.1" customHeight="1" s="1449">
      <c r="A103" s="2372" t="inlineStr">
        <is>
          <t>P048</t>
        </is>
      </c>
      <c r="B103" s="2338" t="n">
        <v>386</v>
      </c>
      <c r="C103" s="2372" t="inlineStr">
        <is>
          <t>R0098019</t>
        </is>
      </c>
      <c r="D103" s="2372" t="inlineStr">
        <is>
          <t>Address unknown – see R0098019</t>
        </is>
      </c>
      <c r="E103" s="2372" t="inlineStr">
        <is>
          <t>Adams County</t>
        </is>
      </c>
      <c r="F103" s="2372" t="inlineStr">
        <is>
          <t>CO</t>
        </is>
      </c>
      <c r="G103" s="2372" t="inlineStr">
        <is>
          <t>Self-Storage</t>
        </is>
      </c>
      <c r="H103" s="2372" t="inlineStr">
        <is>
          <t>Drive-Up/Drop-Off</t>
        </is>
      </c>
      <c r="I103" s="2373" t="n"/>
      <c r="J103" s="2373" t="n">
        <v>44975</v>
      </c>
      <c r="K103" s="2373" t="n"/>
      <c r="L103" s="2372" t="n"/>
      <c r="M103" s="2372" t="n"/>
      <c r="N103" s="2374" t="n">
        <v>13.0923</v>
      </c>
      <c r="O103" s="2374" t="n">
        <v>0.4933</v>
      </c>
      <c r="P103" s="2374" t="n">
        <v>0.8561</v>
      </c>
      <c r="Q103" s="2372" t="n"/>
      <c r="R103" s="2372" t="n"/>
      <c r="S103" s="2372" t="n"/>
      <c r="T103" s="2372" t="n"/>
      <c r="U103" s="2372" t="n"/>
      <c r="V103" s="2372" t="n"/>
      <c r="W103" s="2372" t="n"/>
      <c r="X103" s="2372" t="n"/>
      <c r="Y103" s="2374" t="n">
        <v>0.8597</v>
      </c>
      <c r="Z103" s="2372" t="n"/>
      <c r="AA103" s="2372" t="n"/>
      <c r="AB103" s="2372" t="n"/>
      <c r="AC103" s="2372" t="n"/>
      <c r="AD103" s="2372" t="n"/>
      <c r="AE103" s="2372" t="n"/>
      <c r="AF103" s="2374" t="n">
        <v>0.6947</v>
      </c>
      <c r="AG103" s="2372" t="n"/>
      <c r="AH103" s="2374" t="n">
        <v>3.1997</v>
      </c>
      <c r="AI103" s="2374" t="n">
        <v>2.8576</v>
      </c>
      <c r="AJ103" s="2374" t="n">
        <v>6.0573</v>
      </c>
      <c r="AK103" s="2374" t="n">
        <v>7.035</v>
      </c>
      <c r="AL103" s="2372" t="n"/>
      <c r="AM103" s="2375" t="inlineStr">
        <is>
          <t>AXG SS Expense Matrix; year not specified (~2022/23); R0098019</t>
        </is>
      </c>
    </row>
    <row r="104" ht="14.1" customHeight="1" s="1449">
      <c r="A104" s="2372" t="inlineStr">
        <is>
          <t>P049</t>
        </is>
      </c>
      <c r="B104" s="2338" t="n">
        <v>386</v>
      </c>
      <c r="C104" s="2372" t="inlineStr">
        <is>
          <t>R0102989</t>
        </is>
      </c>
      <c r="D104" s="2372" t="inlineStr">
        <is>
          <t>Address unknown – see R0102989</t>
        </is>
      </c>
      <c r="E104" s="2372" t="inlineStr">
        <is>
          <t>Adams County</t>
        </is>
      </c>
      <c r="F104" s="2372" t="inlineStr">
        <is>
          <t>CO</t>
        </is>
      </c>
      <c r="G104" s="2372" t="inlineStr">
        <is>
          <t>Self-Storage</t>
        </is>
      </c>
      <c r="H104" s="2372" t="inlineStr">
        <is>
          <t>Climate-Controlled</t>
        </is>
      </c>
      <c r="I104" s="2373" t="n"/>
      <c r="J104" s="2373" t="n">
        <v>94797</v>
      </c>
      <c r="K104" s="2373" t="n"/>
      <c r="L104" s="2372" t="n"/>
      <c r="M104" s="2372" t="n"/>
      <c r="N104" s="2374" t="n">
        <v>12.4952</v>
      </c>
      <c r="O104" s="2374" t="n">
        <v>0.2668</v>
      </c>
      <c r="P104" s="2374" t="n">
        <v>2.1805</v>
      </c>
      <c r="Q104" s="2372" t="n"/>
      <c r="R104" s="2372" t="n"/>
      <c r="S104" s="2372" t="n"/>
      <c r="T104" s="2372" t="n"/>
      <c r="U104" s="2372" t="n"/>
      <c r="V104" s="2372" t="n"/>
      <c r="W104" s="2372" t="n"/>
      <c r="X104" s="2372" t="n"/>
      <c r="Y104" s="2374" t="n">
        <v>0.3013</v>
      </c>
      <c r="Z104" s="2372" t="n"/>
      <c r="AA104" s="2372" t="n"/>
      <c r="AB104" s="2372" t="n"/>
      <c r="AC104" s="2372" t="n"/>
      <c r="AD104" s="2372" t="n"/>
      <c r="AE104" s="2372" t="n"/>
      <c r="AF104" s="2374" t="n">
        <v>0.5221</v>
      </c>
      <c r="AG104" s="2372" t="n"/>
      <c r="AH104" s="2374" t="n">
        <v>4.5787</v>
      </c>
      <c r="AI104" s="2374" t="n">
        <v>2.7378</v>
      </c>
      <c r="AJ104" s="2374" t="n">
        <v>7.3165</v>
      </c>
      <c r="AK104" s="2374" t="n">
        <v>5.1786</v>
      </c>
      <c r="AL104" s="2372" t="n"/>
      <c r="AM104" s="2375" t="inlineStr">
        <is>
          <t>AXG SS Expense Matrix; year not specified (~2022/23); R0102989</t>
        </is>
      </c>
    </row>
    <row r="105" ht="14.1" customHeight="1" s="1449">
      <c r="A105" s="2372" t="inlineStr">
        <is>
          <t>P050</t>
        </is>
      </c>
      <c r="B105" s="2338" t="n">
        <v>386</v>
      </c>
      <c r="C105" s="2372" t="inlineStr">
        <is>
          <t>R0085523</t>
        </is>
      </c>
      <c r="D105" s="2372" t="inlineStr">
        <is>
          <t>Address unknown – see R0085523</t>
        </is>
      </c>
      <c r="E105" s="2372" t="inlineStr">
        <is>
          <t>Adams County</t>
        </is>
      </c>
      <c r="F105" s="2372" t="inlineStr">
        <is>
          <t>CO</t>
        </is>
      </c>
      <c r="G105" s="2372" t="inlineStr">
        <is>
          <t>Self-Storage</t>
        </is>
      </c>
      <c r="H105" s="2372" t="inlineStr">
        <is>
          <t>Drive-Up/Drop-Off</t>
        </is>
      </c>
      <c r="I105" s="2373" t="n"/>
      <c r="J105" s="2373" t="n">
        <v>39525</v>
      </c>
      <c r="K105" s="2373" t="n"/>
      <c r="L105" s="2372" t="n"/>
      <c r="M105" s="2372" t="n"/>
      <c r="N105" s="2374" t="n">
        <v>13.7122</v>
      </c>
      <c r="O105" s="2374" t="n">
        <v>0.2102</v>
      </c>
      <c r="P105" s="2374" t="n">
        <v>2.3853</v>
      </c>
      <c r="Q105" s="2372" t="n"/>
      <c r="R105" s="2372" t="n"/>
      <c r="S105" s="2372" t="n"/>
      <c r="T105" s="2372" t="n"/>
      <c r="U105" s="2372" t="n"/>
      <c r="V105" s="2372" t="n"/>
      <c r="W105" s="2372" t="n"/>
      <c r="X105" s="2372" t="n"/>
      <c r="Y105" s="2374" t="n">
        <v>0.5387</v>
      </c>
      <c r="Z105" s="2372" t="n"/>
      <c r="AA105" s="2372" t="n"/>
      <c r="AB105" s="2372" t="n"/>
      <c r="AC105" s="2372" t="n"/>
      <c r="AD105" s="2372" t="n"/>
      <c r="AE105" s="2372" t="n"/>
      <c r="AF105" s="2374" t="n">
        <v>0.4172</v>
      </c>
      <c r="AG105" s="2372" t="n"/>
      <c r="AH105" s="2374" t="n">
        <v>3.7856</v>
      </c>
      <c r="AI105" s="2374" t="n">
        <v>5.2913</v>
      </c>
      <c r="AJ105" s="2374" t="n">
        <v>9.0769</v>
      </c>
      <c r="AK105" s="2374" t="n">
        <v>4.6352</v>
      </c>
      <c r="AL105" s="2372" t="n"/>
      <c r="AM105" s="2375" t="inlineStr">
        <is>
          <t>AXG SS Expense Matrix; year not specified (~2022/23); R0085523</t>
        </is>
      </c>
    </row>
    <row r="106" ht="14.1" customHeight="1" s="1449">
      <c r="A106" s="2372" t="inlineStr">
        <is>
          <t>P051</t>
        </is>
      </c>
      <c r="B106" s="2338" t="n">
        <v>386</v>
      </c>
      <c r="C106" s="2372" t="inlineStr">
        <is>
          <t>R0174860</t>
        </is>
      </c>
      <c r="D106" s="2372" t="inlineStr">
        <is>
          <t>Address unknown – see R0174860</t>
        </is>
      </c>
      <c r="E106" s="2372" t="inlineStr">
        <is>
          <t>Adams County</t>
        </is>
      </c>
      <c r="F106" s="2372" t="inlineStr">
        <is>
          <t>CO</t>
        </is>
      </c>
      <c r="G106" s="2372" t="inlineStr">
        <is>
          <t>Self-Storage</t>
        </is>
      </c>
      <c r="H106" s="2372" t="inlineStr">
        <is>
          <t>Drive-Up/Drop-Off (containers)</t>
        </is>
      </c>
      <c r="I106" s="2373" t="n"/>
      <c r="J106" s="2373" t="n">
        <v>45980</v>
      </c>
      <c r="K106" s="2373" t="n"/>
      <c r="L106" s="2372" t="n"/>
      <c r="M106" s="2372" t="n"/>
      <c r="N106" s="2374" t="n">
        <v>14.0604</v>
      </c>
      <c r="O106" s="2374" t="n">
        <v>0.1085</v>
      </c>
      <c r="P106" s="2374" t="n">
        <v>1.5224</v>
      </c>
      <c r="Q106" s="2372" t="n"/>
      <c r="R106" s="2372" t="n"/>
      <c r="S106" s="2372" t="n"/>
      <c r="T106" s="2372" t="n"/>
      <c r="U106" s="2372" t="n"/>
      <c r="V106" s="2372" t="n"/>
      <c r="W106" s="2372" t="n"/>
      <c r="X106" s="2372" t="n"/>
      <c r="Y106" s="2374" t="n">
        <v>0.261</v>
      </c>
      <c r="Z106" s="2372" t="n"/>
      <c r="AA106" s="2372" t="n"/>
      <c r="AB106" s="2372" t="n"/>
      <c r="AC106" s="2372" t="n"/>
      <c r="AD106" s="2372" t="n"/>
      <c r="AE106" s="2372" t="n"/>
      <c r="AF106" s="2374" t="n">
        <v>0.2604</v>
      </c>
      <c r="AG106" s="2372" t="n"/>
      <c r="AH106" s="2374" t="n">
        <v>3.1926</v>
      </c>
      <c r="AI106" s="2374" t="n">
        <v>1.806</v>
      </c>
      <c r="AJ106" s="2374" t="n">
        <v>4.9986</v>
      </c>
      <c r="AK106" s="2374" t="n">
        <v>9.0617</v>
      </c>
      <c r="AL106" s="2372" t="n"/>
      <c r="AM106" s="2375" t="inlineStr">
        <is>
          <t>AXG SS Expense Matrix; year not specified (~2022/23); R0174860</t>
        </is>
      </c>
    </row>
    <row r="107" ht="14.1" customHeight="1" s="1449">
      <c r="A107" s="2372" t="inlineStr">
        <is>
          <t>P052</t>
        </is>
      </c>
      <c r="B107" s="2338" t="n">
        <v>386</v>
      </c>
      <c r="C107" s="2372" t="inlineStr">
        <is>
          <t>R0161412</t>
        </is>
      </c>
      <c r="D107" s="2372" t="inlineStr">
        <is>
          <t>Address unknown – see R0161412</t>
        </is>
      </c>
      <c r="E107" s="2372" t="inlineStr">
        <is>
          <t>Adams County</t>
        </is>
      </c>
      <c r="F107" s="2372" t="inlineStr">
        <is>
          <t>CO</t>
        </is>
      </c>
      <c r="G107" s="2372" t="inlineStr">
        <is>
          <t>Self-Storage</t>
        </is>
      </c>
      <c r="H107" s="2372" t="inlineStr">
        <is>
          <t>Drive-Up/Drop-Off</t>
        </is>
      </c>
      <c r="I107" s="2373" t="n"/>
      <c r="J107" s="2373" t="n">
        <v>88043</v>
      </c>
      <c r="K107" s="2373" t="n"/>
      <c r="L107" s="2372" t="n"/>
      <c r="M107" s="2372" t="n"/>
      <c r="N107" s="2374" t="n">
        <v>13.7047</v>
      </c>
      <c r="O107" s="2374" t="n">
        <v>0.1417</v>
      </c>
      <c r="P107" s="2374" t="n">
        <v>2.0341</v>
      </c>
      <c r="Q107" s="2372" t="n"/>
      <c r="R107" s="2372" t="n"/>
      <c r="S107" s="2372" t="n"/>
      <c r="T107" s="2372" t="n"/>
      <c r="U107" s="2372" t="n"/>
      <c r="V107" s="2372" t="n"/>
      <c r="W107" s="2372" t="n"/>
      <c r="X107" s="2372" t="n"/>
      <c r="Y107" s="2374" t="n">
        <v>0.2303</v>
      </c>
      <c r="Z107" s="2372" t="n"/>
      <c r="AA107" s="2372" t="n"/>
      <c r="AB107" s="2372" t="n"/>
      <c r="AC107" s="2372" t="n"/>
      <c r="AD107" s="2372" t="n"/>
      <c r="AE107" s="2372" t="n"/>
      <c r="AF107" s="2374" t="n">
        <v>0.1926</v>
      </c>
      <c r="AG107" s="2372" t="n"/>
      <c r="AH107" s="2374" t="n">
        <v>3.2267</v>
      </c>
      <c r="AI107" s="2374" t="n">
        <v>4.424</v>
      </c>
      <c r="AJ107" s="2374" t="n">
        <v>7.6507</v>
      </c>
      <c r="AK107" s="2374" t="n">
        <v>6.054</v>
      </c>
      <c r="AL107" s="2372" t="n"/>
      <c r="AM107" s="2375" t="inlineStr">
        <is>
          <t>AXG SS Expense Matrix; year not specified (~2022/23); R0161412</t>
        </is>
      </c>
    </row>
    <row r="108" ht="14.1" customHeight="1" s="1449">
      <c r="A108" s="2372" t="inlineStr">
        <is>
          <t>P053</t>
        </is>
      </c>
      <c r="B108" s="2338" t="n">
        <v>386</v>
      </c>
      <c r="C108" s="2372" t="inlineStr">
        <is>
          <t>R0169115</t>
        </is>
      </c>
      <c r="D108" s="2372" t="inlineStr">
        <is>
          <t>Address unknown – see R0169115</t>
        </is>
      </c>
      <c r="E108" s="2372" t="inlineStr">
        <is>
          <t>Adams County</t>
        </is>
      </c>
      <c r="F108" s="2372" t="inlineStr">
        <is>
          <t>CO</t>
        </is>
      </c>
      <c r="G108" s="2372" t="inlineStr">
        <is>
          <t>Self-Storage</t>
        </is>
      </c>
      <c r="H108" s="2372" t="inlineStr">
        <is>
          <t>Drive-Up/Drop-Off</t>
        </is>
      </c>
      <c r="I108" s="2373" t="n"/>
      <c r="J108" s="2373" t="n">
        <v>41764</v>
      </c>
      <c r="K108" s="2373" t="n"/>
      <c r="L108" s="2372" t="n"/>
      <c r="M108" s="2372" t="n"/>
      <c r="N108" s="2374" t="n">
        <v>18.8527</v>
      </c>
      <c r="O108" s="2374" t="n">
        <v>0.2311</v>
      </c>
      <c r="P108" s="2374" t="n">
        <v>1.995</v>
      </c>
      <c r="Q108" s="2372" t="n"/>
      <c r="R108" s="2372" t="n"/>
      <c r="S108" s="2372" t="n"/>
      <c r="T108" s="2372" t="n"/>
      <c r="U108" s="2372" t="n"/>
      <c r="V108" s="2372" t="n"/>
      <c r="W108" s="2372" t="n"/>
      <c r="X108" s="2372" t="n"/>
      <c r="Y108" s="2374" t="n">
        <v>0.6139</v>
      </c>
      <c r="Z108" s="2372" t="n"/>
      <c r="AA108" s="2372" t="n"/>
      <c r="AB108" s="2372" t="n"/>
      <c r="AC108" s="2372" t="n"/>
      <c r="AD108" s="2372" t="n"/>
      <c r="AE108" s="2372" t="n"/>
      <c r="AF108" s="2374" t="n">
        <v>0.3821</v>
      </c>
      <c r="AG108" s="2372" t="n"/>
      <c r="AH108" s="2374" t="n">
        <v>4.6124</v>
      </c>
      <c r="AI108" s="2374" t="n">
        <v>4.8634</v>
      </c>
      <c r="AJ108" s="2374" t="n">
        <v>9.4758</v>
      </c>
      <c r="AK108" s="2374" t="n">
        <v>9.376899999999999</v>
      </c>
      <c r="AL108" s="2372" t="n"/>
      <c r="AM108" s="2375" t="inlineStr">
        <is>
          <t>AXG SS Expense Matrix; year not specified (~2022/23); R0169115</t>
        </is>
      </c>
    </row>
    <row r="109" ht="14.1" customHeight="1" s="1449">
      <c r="A109" s="2339" t="inlineStr">
        <is>
          <t>P016</t>
        </is>
      </c>
      <c r="B109" s="2338" t="n">
        <v>584</v>
      </c>
      <c r="C109" s="2339" t="inlineStr">
        <is>
          <t>R0212546/R0212547</t>
        </is>
      </c>
      <c r="D109" s="2339" t="inlineStr">
        <is>
          <t>2780 N Tower Rd</t>
        </is>
      </c>
      <c r="E109" s="2339" t="inlineStr">
        <is>
          <t>Aurora</t>
        </is>
      </c>
      <c r="F109" s="2339" t="inlineStr">
        <is>
          <t>CO</t>
        </is>
      </c>
      <c r="G109" s="2339" t="inlineStr">
        <is>
          <t>Industrial</t>
        </is>
      </c>
      <c r="H109" s="2339" t="inlineStr">
        <is>
          <t>Mega Warehouse NNN</t>
        </is>
      </c>
      <c r="I109" s="2362" t="n">
        <v>1983</v>
      </c>
      <c r="J109" s="2362" t="n">
        <v>377729</v>
      </c>
      <c r="K109" s="2362" t="n">
        <v>2023</v>
      </c>
      <c r="L109" s="2363" t="n">
        <v>7.8884</v>
      </c>
      <c r="M109" s="2339" t="n"/>
      <c r="N109" s="2363" t="n">
        <v>7.8884</v>
      </c>
      <c r="O109" s="2339" t="n"/>
      <c r="P109" s="2363" t="n">
        <v>0.0102</v>
      </c>
      <c r="Q109" s="2339" t="n"/>
      <c r="R109" s="2339" t="n"/>
      <c r="S109" s="2339" t="n"/>
      <c r="T109" s="2339" t="n"/>
      <c r="U109" s="2339" t="n"/>
      <c r="V109" s="2339" t="n"/>
      <c r="W109" s="2339" t="n"/>
      <c r="X109" s="2339" t="n"/>
      <c r="Y109" s="2339" t="n"/>
      <c r="Z109" s="2339" t="n"/>
      <c r="AA109" s="2339" t="n"/>
      <c r="AB109" s="2339" t="n"/>
      <c r="AC109" s="2339" t="n"/>
      <c r="AD109" s="2339" t="n"/>
      <c r="AE109" s="2339" t="n"/>
      <c r="AF109" s="2339" t="n"/>
      <c r="AG109" s="2363" t="n">
        <v>0.0206</v>
      </c>
      <c r="AH109" s="2363" t="n">
        <v>0.1095</v>
      </c>
      <c r="AI109" s="2363" t="n">
        <v>0</v>
      </c>
      <c r="AJ109" s="2363" t="n">
        <v>0.1095</v>
      </c>
      <c r="AK109" s="2363" t="n">
        <v>7.7789</v>
      </c>
      <c r="AL109" s="2339" t="n"/>
      <c r="AM109" s="2364" t="inlineStr">
        <is>
          <t>Absolute NNN; tenant pays ALL RE tax, ins, CAM; owner opex = admin only (excl D&amp;A $456k); supersedes proforma row</t>
        </is>
      </c>
    </row>
    <row r="110" ht="14.1" customHeight="1" s="1449">
      <c r="A110" s="2358" t="inlineStr">
        <is>
          <t>P016</t>
        </is>
      </c>
      <c r="B110" s="2338" t="n">
        <v>584</v>
      </c>
      <c r="C110" s="2358" t="inlineStr">
        <is>
          <t>R0212546/R0212547</t>
        </is>
      </c>
      <c r="D110" s="2358" t="inlineStr">
        <is>
          <t>2780 N Tower Rd</t>
        </is>
      </c>
      <c r="E110" s="2358" t="inlineStr">
        <is>
          <t>Aurora</t>
        </is>
      </c>
      <c r="F110" s="2358" t="inlineStr">
        <is>
          <t>CO</t>
        </is>
      </c>
      <c r="G110" s="2358" t="inlineStr">
        <is>
          <t>Industrial</t>
        </is>
      </c>
      <c r="H110" s="2358" t="inlineStr">
        <is>
          <t>Mega Warehouse NNN</t>
        </is>
      </c>
      <c r="I110" s="2359" t="n">
        <v>1983</v>
      </c>
      <c r="J110" s="2359" t="n">
        <v>377729</v>
      </c>
      <c r="K110" s="2359" t="n">
        <v>2024</v>
      </c>
      <c r="L110" s="2360" t="n">
        <v>8.067600000000001</v>
      </c>
      <c r="M110" s="2358" t="n"/>
      <c r="N110" s="2360" t="n">
        <v>8.067600000000001</v>
      </c>
      <c r="O110" s="2358" t="n"/>
      <c r="P110" s="2360" t="n">
        <v>0.0106</v>
      </c>
      <c r="Q110" s="2358" t="n"/>
      <c r="R110" s="2358" t="n"/>
      <c r="S110" s="2358" t="n"/>
      <c r="T110" s="2358" t="n"/>
      <c r="U110" s="2358" t="n"/>
      <c r="V110" s="2358" t="n"/>
      <c r="W110" s="2358" t="n"/>
      <c r="X110" s="2358" t="n"/>
      <c r="Y110" s="2358" t="n"/>
      <c r="Z110" s="2358" t="n"/>
      <c r="AA110" s="2358" t="n"/>
      <c r="AB110" s="2358" t="n"/>
      <c r="AC110" s="2358" t="n"/>
      <c r="AD110" s="2358" t="n"/>
      <c r="AE110" s="2358" t="n"/>
      <c r="AF110" s="2358" t="n"/>
      <c r="AG110" s="2360" t="n">
        <v>0.06850000000000001</v>
      </c>
      <c r="AH110" s="2360" t="n">
        <v>0.1558</v>
      </c>
      <c r="AI110" s="2360" t="n">
        <v>0</v>
      </c>
      <c r="AJ110" s="2360" t="n">
        <v>0.1558</v>
      </c>
      <c r="AK110" s="2360" t="n">
        <v>7.9118</v>
      </c>
      <c r="AL110" s="2358" t="n"/>
      <c r="AM110" s="2361" t="inlineStr">
        <is>
          <t>Absolute NNN; tenant pays ALL RE tax, ins, CAM; owner opex = admin only (excl D&amp;A $456k); supersedes proforma row</t>
        </is>
      </c>
    </row>
    <row r="111" ht="14.1" customHeight="1" s="1449">
      <c r="A111" s="2339" t="inlineStr">
        <is>
          <t>P034</t>
        </is>
      </c>
      <c r="B111" s="2338" t="n">
        <v>407</v>
      </c>
      <c r="C111" s="2339" t="inlineStr">
        <is>
          <t>R0172865</t>
        </is>
      </c>
      <c r="D111" s="2339" t="inlineStr">
        <is>
          <t>Majestic Commercenter (R0172865)</t>
        </is>
      </c>
      <c r="E111" s="2339" t="inlineStr">
        <is>
          <t>Commerce City</t>
        </is>
      </c>
      <c r="F111" s="2339" t="inlineStr">
        <is>
          <t>CO</t>
        </is>
      </c>
      <c r="G111" s="2339" t="inlineStr">
        <is>
          <t>Industrial</t>
        </is>
      </c>
      <c r="H111" s="2339" t="inlineStr">
        <is>
          <t>Warehouse NNN</t>
        </is>
      </c>
      <c r="I111" s="2362" t="n">
        <v>2008</v>
      </c>
      <c r="J111" s="2362" t="n">
        <v>215461</v>
      </c>
      <c r="K111" s="2362" t="n">
        <v>2024</v>
      </c>
      <c r="L111" s="2363" t="n">
        <v>7.1488</v>
      </c>
      <c r="M111" s="2339" t="n"/>
      <c r="N111" s="2363" t="n">
        <v>7.1488</v>
      </c>
      <c r="O111" s="2339" t="n"/>
      <c r="P111" s="2339" t="n"/>
      <c r="Q111" s="2339" t="n"/>
      <c r="R111" s="2339" t="n"/>
      <c r="S111" s="2339" t="n"/>
      <c r="T111" s="2339" t="n"/>
      <c r="U111" s="2339" t="n"/>
      <c r="V111" s="2339" t="n"/>
      <c r="W111" s="2339" t="n"/>
      <c r="X111" s="2339" t="n"/>
      <c r="Y111" s="2339" t="n"/>
      <c r="Z111" s="2339" t="n"/>
      <c r="AA111" s="2363" t="n">
        <v>0.0459</v>
      </c>
      <c r="AB111" s="2363" t="n">
        <v>0.1387</v>
      </c>
      <c r="AC111" s="2339" t="n"/>
      <c r="AD111" s="2339" t="n"/>
      <c r="AE111" s="2339" t="n"/>
      <c r="AF111" s="2339" t="n"/>
      <c r="AG111" s="2339" t="n"/>
      <c r="AH111" s="2339" t="n"/>
      <c r="AI111" s="2339" t="n"/>
      <c r="AJ111" s="2339" t="n"/>
      <c r="AK111" s="2339" t="n"/>
      <c r="AL111" s="2339" t="n"/>
      <c r="AM111" s="2364" t="inlineStr">
        <is>
          <t>2024 actual 12-month P&amp;L; NOI est. per expense ratio; from 08_2025 Review</t>
        </is>
      </c>
    </row>
    <row r="112" ht="14.1" customHeight="1" s="1449">
      <c r="A112" s="2358" t="inlineStr">
        <is>
          <t>P036</t>
        </is>
      </c>
      <c r="B112" s="2338" t="n">
        <v>407</v>
      </c>
      <c r="C112" s="2358" t="inlineStr">
        <is>
          <t>R0172868</t>
        </is>
      </c>
      <c r="D112" s="2358" t="inlineStr">
        <is>
          <t>Majestic Commercenter (R0172868)</t>
        </is>
      </c>
      <c r="E112" s="2358" t="inlineStr">
        <is>
          <t>Commerce City</t>
        </is>
      </c>
      <c r="F112" s="2358" t="inlineStr">
        <is>
          <t>CO</t>
        </is>
      </c>
      <c r="G112" s="2358" t="inlineStr">
        <is>
          <t>Industrial</t>
        </is>
      </c>
      <c r="H112" s="2358" t="inlineStr">
        <is>
          <t>Warehouse NNN</t>
        </is>
      </c>
      <c r="I112" s="2359" t="n">
        <v>2007</v>
      </c>
      <c r="J112" s="2359" t="n">
        <v>202091</v>
      </c>
      <c r="K112" s="2359" t="n">
        <v>2024</v>
      </c>
      <c r="L112" s="2358" t="n"/>
      <c r="M112" s="2358" t="n"/>
      <c r="N112" s="2360" t="n">
        <v>5.233</v>
      </c>
      <c r="O112" s="2358" t="n"/>
      <c r="P112" s="2358" t="n"/>
      <c r="Q112" s="2358" t="n"/>
      <c r="R112" s="2358" t="n"/>
      <c r="S112" s="2358" t="n"/>
      <c r="T112" s="2358" t="n"/>
      <c r="U112" s="2358" t="n"/>
      <c r="V112" s="2358" t="n"/>
      <c r="W112" s="2358" t="n"/>
      <c r="X112" s="2358" t="n"/>
      <c r="Y112" s="2358" t="n"/>
      <c r="Z112" s="2358" t="n"/>
      <c r="AA112" s="2358" t="n"/>
      <c r="AB112" s="2358" t="n"/>
      <c r="AC112" s="2358" t="n"/>
      <c r="AD112" s="2358" t="n"/>
      <c r="AE112" s="2358" t="n"/>
      <c r="AF112" s="2358" t="n"/>
      <c r="AG112" s="2358" t="n"/>
      <c r="AH112" s="2360" t="n">
        <v>3.5731</v>
      </c>
      <c r="AI112" s="2358" t="n"/>
      <c r="AJ112" s="2360" t="n">
        <v>3.5731</v>
      </c>
      <c r="AK112" s="2360" t="n">
        <v>1.6599</v>
      </c>
      <c r="AL112" s="2358" t="n"/>
      <c r="AM112" s="2361" t="inlineStr">
        <is>
          <t>2024 actual 12-month P&amp;L; from 08_2025 Review</t>
        </is>
      </c>
    </row>
    <row r="113" ht="14.1" customHeight="1" s="1449">
      <c r="A113" s="2339" t="inlineStr">
        <is>
          <t>P054</t>
        </is>
      </c>
      <c r="B113" s="2338" t="n">
        <v>210</v>
      </c>
      <c r="C113" s="2339" t="inlineStr">
        <is>
          <t>R0180551</t>
        </is>
      </c>
      <c r="D113" s="2339" t="inlineStr">
        <is>
          <t>1953 N Gun Club Rd</t>
        </is>
      </c>
      <c r="E113" s="2339" t="inlineStr">
        <is>
          <t>Aurora</t>
        </is>
      </c>
      <c r="F113" s="2339" t="inlineStr">
        <is>
          <t>CO</t>
        </is>
      </c>
      <c r="G113" s="2339" t="inlineStr">
        <is>
          <t>Industrial</t>
        </is>
      </c>
      <c r="H113" s="2339" t="inlineStr">
        <is>
          <t>Multi-Tenant Industrial/Office NNN</t>
        </is>
      </c>
      <c r="I113" s="2362" t="n"/>
      <c r="J113" s="2362" t="n"/>
      <c r="K113" s="2362" t="n">
        <v>2023</v>
      </c>
      <c r="L113" s="2339" t="n"/>
      <c r="M113" s="2339" t="n"/>
      <c r="N113" s="2371" t="n">
        <v>2454080</v>
      </c>
      <c r="O113" s="2371" t="n">
        <v>41179</v>
      </c>
      <c r="P113" s="2371" t="n">
        <v>58394</v>
      </c>
      <c r="Q113" s="2339" t="n"/>
      <c r="R113" s="2339" t="n"/>
      <c r="S113" s="2371" t="n">
        <v>36166</v>
      </c>
      <c r="T113" s="2371" t="n">
        <v>1942</v>
      </c>
      <c r="U113" s="2339" t="n"/>
      <c r="V113" s="2339" t="n"/>
      <c r="W113" s="2339" t="n"/>
      <c r="X113" s="2371" t="n">
        <v>549</v>
      </c>
      <c r="Y113" s="2371" t="n">
        <v>38657</v>
      </c>
      <c r="Z113" s="2339" t="n"/>
      <c r="AA113" s="2371" t="n">
        <v>15068</v>
      </c>
      <c r="AB113" s="2371" t="n">
        <v>55875</v>
      </c>
      <c r="AC113" s="2371" t="n">
        <v>70943</v>
      </c>
      <c r="AD113" s="2371" t="n">
        <v>25682</v>
      </c>
      <c r="AE113" s="2339" t="n"/>
      <c r="AF113" s="2371" t="n">
        <v>25682</v>
      </c>
      <c r="AG113" s="2371" t="n">
        <v>1654</v>
      </c>
      <c r="AH113" s="2371" t="n">
        <v>220784</v>
      </c>
      <c r="AI113" s="2371" t="n">
        <v>1347168</v>
      </c>
      <c r="AJ113" s="2371" t="n">
        <v>1568172</v>
      </c>
      <c r="AK113" s="2371" t="n">
        <v>885908</v>
      </c>
      <c r="AL113" s="2339" t="n"/>
      <c r="AM113" s="2364" t="inlineStr">
        <is>
          <t>[NO SF] Actual accrual; base rent $880k; recovery $1.59M; prior-yr adj included</t>
        </is>
      </c>
    </row>
    <row r="114" ht="14.1" customHeight="1" s="1449">
      <c r="A114" s="2358" t="inlineStr">
        <is>
          <t>P054</t>
        </is>
      </c>
      <c r="B114" s="2338" t="n">
        <v>210</v>
      </c>
      <c r="C114" s="2358" t="inlineStr">
        <is>
          <t>R0180551</t>
        </is>
      </c>
      <c r="D114" s="2358" t="inlineStr">
        <is>
          <t>1953 N Gun Club Rd</t>
        </is>
      </c>
      <c r="E114" s="2358" t="inlineStr">
        <is>
          <t>Aurora</t>
        </is>
      </c>
      <c r="F114" s="2358" t="inlineStr">
        <is>
          <t>CO</t>
        </is>
      </c>
      <c r="G114" s="2358" t="inlineStr">
        <is>
          <t>Industrial</t>
        </is>
      </c>
      <c r="H114" s="2358" t="inlineStr">
        <is>
          <t>Multi-Tenant Industrial/Office NNN</t>
        </is>
      </c>
      <c r="I114" s="2359" t="n"/>
      <c r="J114" s="2359" t="n"/>
      <c r="K114" s="2359" t="n">
        <v>2024</v>
      </c>
      <c r="L114" s="2358" t="n"/>
      <c r="M114" s="2358" t="n"/>
      <c r="N114" s="2370" t="n">
        <v>2720117</v>
      </c>
      <c r="O114" s="2370" t="n">
        <v>53324</v>
      </c>
      <c r="P114" s="2370" t="n">
        <v>85426</v>
      </c>
      <c r="Q114" s="2358" t="n"/>
      <c r="R114" s="2358" t="n"/>
      <c r="S114" s="2370" t="n">
        <v>10052</v>
      </c>
      <c r="T114" s="2370" t="n">
        <v>12752</v>
      </c>
      <c r="U114" s="2358" t="n"/>
      <c r="V114" s="2358" t="n"/>
      <c r="W114" s="2358" t="n"/>
      <c r="X114" s="2370" t="n">
        <v>789</v>
      </c>
      <c r="Y114" s="2370" t="n">
        <v>23593</v>
      </c>
      <c r="Z114" s="2358" t="n"/>
      <c r="AA114" s="2370" t="n">
        <v>16126</v>
      </c>
      <c r="AB114" s="2370" t="n">
        <v>57314</v>
      </c>
      <c r="AC114" s="2370" t="n">
        <v>73440</v>
      </c>
      <c r="AD114" s="2370" t="n">
        <v>21725</v>
      </c>
      <c r="AE114" s="2358" t="n"/>
      <c r="AF114" s="2370" t="n">
        <v>21725</v>
      </c>
      <c r="AG114" s="2370" t="n">
        <v>2601</v>
      </c>
      <c r="AH114" s="2370" t="n">
        <v>265585</v>
      </c>
      <c r="AI114" s="2370" t="n">
        <v>1331347</v>
      </c>
      <c r="AJ114" s="2370" t="n">
        <v>1596932</v>
      </c>
      <c r="AK114" s="2370" t="n">
        <v>1123184</v>
      </c>
      <c r="AL114" s="2358" t="n"/>
      <c r="AM114" s="2361" t="inlineStr">
        <is>
          <t>[NO SF] Actual accrual; base rent $1.09M stepped; recovery $1.62M</t>
        </is>
      </c>
    </row>
    <row r="115" ht="14.1" customHeight="1" s="1449">
      <c r="A115" s="2339" t="inlineStr">
        <is>
          <t>P055</t>
        </is>
      </c>
      <c r="B115" s="2338" t="n">
        <v>407</v>
      </c>
      <c r="C115" s="2339" t="inlineStr">
        <is>
          <t>R0211072/R0211073/R0211074</t>
        </is>
      </c>
      <c r="D115" s="2339" t="inlineStr">
        <is>
          <t>Park 76 Distribution Center</t>
        </is>
      </c>
      <c r="E115" s="2339" t="inlineStr">
        <is>
          <t>Aurora</t>
        </is>
      </c>
      <c r="F115" s="2339" t="inlineStr">
        <is>
          <t>CO</t>
        </is>
      </c>
      <c r="G115" s="2339" t="inlineStr">
        <is>
          <t>Industrial</t>
        </is>
      </c>
      <c r="H115" s="2339" t="inlineStr">
        <is>
          <t>Industrial Warehouse NNN</t>
        </is>
      </c>
      <c r="I115" s="2362" t="n"/>
      <c r="J115" s="2362" t="n"/>
      <c r="K115" s="2362" t="n">
        <v>2023</v>
      </c>
      <c r="L115" s="2371" t="n">
        <v>1865903</v>
      </c>
      <c r="M115" s="2339" t="n"/>
      <c r="N115" s="2371" t="n">
        <v>2819460</v>
      </c>
      <c r="O115" s="2371" t="n">
        <v>30551</v>
      </c>
      <c r="P115" s="2371" t="n">
        <v>174961</v>
      </c>
      <c r="Q115" s="2339" t="n"/>
      <c r="R115" s="2339" t="n"/>
      <c r="S115" s="2371" t="n">
        <v>38995</v>
      </c>
      <c r="T115" s="2371" t="n">
        <v>27460</v>
      </c>
      <c r="U115" s="2339" t="n"/>
      <c r="V115" s="2339" t="n"/>
      <c r="W115" s="2339" t="n"/>
      <c r="X115" s="2371" t="n">
        <v>2475</v>
      </c>
      <c r="Y115" s="2371" t="n">
        <v>68930</v>
      </c>
      <c r="Z115" s="2339" t="n"/>
      <c r="AA115" s="2371" t="n">
        <v>18672</v>
      </c>
      <c r="AB115" s="2371" t="n">
        <v>19945</v>
      </c>
      <c r="AC115" s="2371" t="n">
        <v>38617</v>
      </c>
      <c r="AD115" s="2339" t="n"/>
      <c r="AE115" s="2339" t="n"/>
      <c r="AF115" s="2371" t="n">
        <v>58172</v>
      </c>
      <c r="AG115" s="2371" t="n">
        <v>18488</v>
      </c>
      <c r="AH115" s="2371" t="n">
        <v>379535</v>
      </c>
      <c r="AI115" s="2371" t="n">
        <v>895967</v>
      </c>
      <c r="AJ115" s="2371" t="n">
        <v>1013502</v>
      </c>
      <c r="AK115" s="2371" t="n">
        <v>1805958</v>
      </c>
      <c r="AL115" s="2339" t="n"/>
      <c r="AM115" s="2364" t="inlineStr">
        <is>
          <t>[NO SF] 3-bldg campus; actual accrual; base rent $1.87M; recovery $992k; prior-yr tax credit ($186k) netted</t>
        </is>
      </c>
    </row>
    <row r="116" ht="14.1" customHeight="1" s="1449">
      <c r="A116" s="2358" t="inlineStr">
        <is>
          <t>P055</t>
        </is>
      </c>
      <c r="B116" s="2338" t="n">
        <v>407</v>
      </c>
      <c r="C116" s="2358" t="inlineStr">
        <is>
          <t>R0211072/R0211073/R0211074</t>
        </is>
      </c>
      <c r="D116" s="2358" t="inlineStr">
        <is>
          <t>Park 76 Distribution Center</t>
        </is>
      </c>
      <c r="E116" s="2358" t="inlineStr">
        <is>
          <t>Aurora</t>
        </is>
      </c>
      <c r="F116" s="2358" t="inlineStr">
        <is>
          <t>CO</t>
        </is>
      </c>
      <c r="G116" s="2358" t="inlineStr">
        <is>
          <t>Industrial</t>
        </is>
      </c>
      <c r="H116" s="2358" t="inlineStr">
        <is>
          <t>Industrial Warehouse NNN</t>
        </is>
      </c>
      <c r="I116" s="2359" t="n"/>
      <c r="J116" s="2359" t="n"/>
      <c r="K116" s="2359" t="n">
        <v>2024</v>
      </c>
      <c r="L116" s="2370" t="n">
        <v>2075908</v>
      </c>
      <c r="M116" s="2358" t="n"/>
      <c r="N116" s="2370" t="n">
        <v>3348615</v>
      </c>
      <c r="O116" s="2370" t="n">
        <v>35750</v>
      </c>
      <c r="P116" s="2370" t="n">
        <v>200286</v>
      </c>
      <c r="Q116" s="2358" t="n"/>
      <c r="R116" s="2358" t="n"/>
      <c r="S116" s="2370" t="n">
        <v>22119</v>
      </c>
      <c r="T116" s="2370" t="n">
        <v>33962</v>
      </c>
      <c r="U116" s="2358" t="n"/>
      <c r="V116" s="2358" t="n"/>
      <c r="W116" s="2358" t="n"/>
      <c r="X116" s="2370" t="n">
        <v>3333</v>
      </c>
      <c r="Y116" s="2370" t="n">
        <v>59414</v>
      </c>
      <c r="Z116" s="2358" t="n"/>
      <c r="AA116" s="2370" t="n">
        <v>26689</v>
      </c>
      <c r="AB116" s="2370" t="n">
        <v>56296</v>
      </c>
      <c r="AC116" s="2370" t="n">
        <v>82985</v>
      </c>
      <c r="AD116" s="2358" t="n"/>
      <c r="AE116" s="2358" t="n"/>
      <c r="AF116" s="2370" t="n">
        <v>34195</v>
      </c>
      <c r="AG116" s="2370" t="n">
        <v>4284</v>
      </c>
      <c r="AH116" s="2370" t="n">
        <v>341787</v>
      </c>
      <c r="AI116" s="2370" t="n">
        <v>989805</v>
      </c>
      <c r="AJ116" s="2370" t="n">
        <v>1331592</v>
      </c>
      <c r="AK116" s="2370" t="n">
        <v>2017023</v>
      </c>
      <c r="AL116" s="2358" t="n"/>
      <c r="AM116" s="2361" t="inlineStr">
        <is>
          <t>[NO SF] 3-bldg campus; actual accrual; near-stabilized; base rent $2.08M; recovery $1.23M</t>
        </is>
      </c>
    </row>
    <row r="117" ht="14.1" customHeight="1" s="1449">
      <c r="A117" s="2339" t="inlineStr">
        <is>
          <t>P056</t>
        </is>
      </c>
      <c r="B117" s="2338" t="n">
        <v>407</v>
      </c>
      <c r="C117" s="2339" t="inlineStr">
        <is>
          <t>R0210485</t>
        </is>
      </c>
      <c r="D117" s="2339" t="inlineStr">
        <is>
          <t>1101 E 126th Ave (Bldg A)</t>
        </is>
      </c>
      <c r="E117" s="2339" t="inlineStr">
        <is>
          <t>Thornton</t>
        </is>
      </c>
      <c r="F117" s="2339" t="inlineStr">
        <is>
          <t>CO</t>
        </is>
      </c>
      <c r="G117" s="2339" t="inlineStr">
        <is>
          <t>Industrial</t>
        </is>
      </c>
      <c r="H117" s="2339" t="inlineStr">
        <is>
          <t>Industrial Warehouse NNN</t>
        </is>
      </c>
      <c r="I117" s="2362" t="n">
        <v>2022</v>
      </c>
      <c r="J117" s="2362" t="n"/>
      <c r="K117" s="2362" t="n">
        <v>2024</v>
      </c>
      <c r="L117" s="2371" t="n">
        <v>646186</v>
      </c>
      <c r="M117" s="2339" t="n"/>
      <c r="N117" s="2371" t="n">
        <v>839307</v>
      </c>
      <c r="O117" s="2371" t="n">
        <v>11813</v>
      </c>
      <c r="P117" s="2371" t="n">
        <v>47295</v>
      </c>
      <c r="Q117" s="2339" t="n"/>
      <c r="R117" s="2339" t="n"/>
      <c r="S117" s="2339" t="n"/>
      <c r="T117" s="2371" t="n">
        <v>9156</v>
      </c>
      <c r="U117" s="2339" t="n"/>
      <c r="V117" s="2339" t="n"/>
      <c r="W117" s="2339" t="n"/>
      <c r="X117" s="2371" t="n">
        <v>3898</v>
      </c>
      <c r="Y117" s="2371" t="n">
        <v>13054</v>
      </c>
      <c r="Z117" s="2339" t="n"/>
      <c r="AA117" s="2371" t="n">
        <v>11343</v>
      </c>
      <c r="AB117" s="2371" t="n">
        <v>24799</v>
      </c>
      <c r="AC117" s="2371" t="n">
        <v>36142</v>
      </c>
      <c r="AD117" s="2339" t="n"/>
      <c r="AE117" s="2339" t="n"/>
      <c r="AF117" s="2371" t="n">
        <v>27895</v>
      </c>
      <c r="AG117" s="2339" t="n"/>
      <c r="AH117" s="2371" t="n">
        <v>146517</v>
      </c>
      <c r="AI117" s="2371" t="n">
        <v>558285</v>
      </c>
      <c r="AJ117" s="2371" t="n">
        <v>705154</v>
      </c>
      <c r="AK117" s="2371" t="n">
        <v>134153</v>
      </c>
      <c r="AL117" s="2339" t="n"/>
      <c r="AM117" s="2364" t="inlineStr">
        <is>
          <t>[NO SF] New (YOC ~2022); 2024 near-stabilized; 2023 excluded (lease-up, negative NOI)</t>
        </is>
      </c>
    </row>
    <row r="118" ht="14.1" customHeight="1" s="1449">
      <c r="A118" s="2358" t="inlineStr">
        <is>
          <t>P057</t>
        </is>
      </c>
      <c r="B118" s="2338" t="n">
        <v>407</v>
      </c>
      <c r="C118" s="2358" t="inlineStr">
        <is>
          <t>R0210486</t>
        </is>
      </c>
      <c r="D118" s="2358" t="inlineStr">
        <is>
          <t>12625 Lafayette St (Bldg B)</t>
        </is>
      </c>
      <c r="E118" s="2358" t="inlineStr">
        <is>
          <t>Thornton</t>
        </is>
      </c>
      <c r="F118" s="2358" t="inlineStr">
        <is>
          <t>CO</t>
        </is>
      </c>
      <c r="G118" s="2358" t="inlineStr">
        <is>
          <t>Industrial</t>
        </is>
      </c>
      <c r="H118" s="2358" t="inlineStr">
        <is>
          <t>Industrial Warehouse NNN</t>
        </is>
      </c>
      <c r="I118" s="2359" t="n">
        <v>2022</v>
      </c>
      <c r="J118" s="2359" t="n"/>
      <c r="K118" s="2359" t="n">
        <v>2024</v>
      </c>
      <c r="L118" s="2370" t="n">
        <v>898845</v>
      </c>
      <c r="M118" s="2358" t="n"/>
      <c r="N118" s="2370" t="n">
        <v>1373599</v>
      </c>
      <c r="O118" s="2370" t="n">
        <v>21888</v>
      </c>
      <c r="P118" s="2370" t="n">
        <v>72220</v>
      </c>
      <c r="Q118" s="2358" t="n"/>
      <c r="R118" s="2358" t="n"/>
      <c r="S118" s="2358" t="n"/>
      <c r="T118" s="2370" t="n">
        <v>8438</v>
      </c>
      <c r="U118" s="2358" t="n"/>
      <c r="V118" s="2358" t="n"/>
      <c r="W118" s="2358" t="n"/>
      <c r="X118" s="2370" t="n">
        <v>5773</v>
      </c>
      <c r="Y118" s="2370" t="n">
        <v>14211</v>
      </c>
      <c r="Z118" s="2358" t="n"/>
      <c r="AA118" s="2370" t="n">
        <v>21287</v>
      </c>
      <c r="AB118" s="2370" t="n">
        <v>29625</v>
      </c>
      <c r="AC118" s="2370" t="n">
        <v>50912</v>
      </c>
      <c r="AD118" s="2358" t="n"/>
      <c r="AE118" s="2358" t="n"/>
      <c r="AF118" s="2370" t="n">
        <v>51235</v>
      </c>
      <c r="AG118" s="2358" t="n"/>
      <c r="AH118" s="2370" t="n">
        <v>209004</v>
      </c>
      <c r="AI118" s="2370" t="n">
        <v>762465</v>
      </c>
      <c r="AJ118" s="2370" t="n">
        <v>971469</v>
      </c>
      <c r="AK118" s="2370" t="n">
        <v>402131</v>
      </c>
      <c r="AL118" s="2358" t="n"/>
      <c r="AM118" s="2361" t="inlineStr">
        <is>
          <t>[NO SF] New (YOC ~2022); 2024 near-stabilized; 2023 excluded (lease-up, negative NOI)</t>
        </is>
      </c>
    </row>
    <row r="119" ht="14.1" customHeight="1" s="1449">
      <c r="A119" s="2339" t="inlineStr">
        <is>
          <t>P058</t>
        </is>
      </c>
      <c r="B119" s="2338" t="n">
        <v>407</v>
      </c>
      <c r="C119" s="2339" t="inlineStr">
        <is>
          <t>R0091934</t>
        </is>
      </c>
      <c r="D119" s="2339" t="inlineStr">
        <is>
          <t>350 Park Industrial (5759)</t>
        </is>
      </c>
      <c r="E119" s="2339" t="inlineStr">
        <is>
          <t>Aurora</t>
        </is>
      </c>
      <c r="F119" s="2339" t="inlineStr">
        <is>
          <t>CO</t>
        </is>
      </c>
      <c r="G119" s="2339" t="inlineStr">
        <is>
          <t>Industrial</t>
        </is>
      </c>
      <c r="H119" s="2339" t="inlineStr">
        <is>
          <t>Multi-Tenant Industrial 407</t>
        </is>
      </c>
      <c r="I119" s="2362" t="n">
        <v>1995</v>
      </c>
      <c r="J119" s="2362" t="n">
        <v>32600</v>
      </c>
      <c r="K119" s="2362" t="n">
        <v>2023</v>
      </c>
      <c r="L119" s="2363" t="n">
        <v>9.103300000000001</v>
      </c>
      <c r="M119" s="2339" t="n"/>
      <c r="N119" s="2363" t="n">
        <v>13.7731</v>
      </c>
      <c r="O119" s="2363" t="n">
        <v>0.1782</v>
      </c>
      <c r="P119" s="2363" t="n">
        <v>0.5171</v>
      </c>
      <c r="Q119" s="2363" t="n">
        <v>0.0369</v>
      </c>
      <c r="R119" s="2339" t="n"/>
      <c r="S119" s="2363" t="n">
        <v>0.3072</v>
      </c>
      <c r="T119" s="2363" t="n">
        <v>0.0153</v>
      </c>
      <c r="U119" s="2339" t="n"/>
      <c r="V119" s="2339" t="n"/>
      <c r="W119" s="2339" t="n"/>
      <c r="X119" s="2363" t="n">
        <v>0.238</v>
      </c>
      <c r="Y119" s="2363" t="n">
        <v>0.5975</v>
      </c>
      <c r="Z119" s="2363" t="n">
        <v>0.0417</v>
      </c>
      <c r="AA119" s="2339" t="n"/>
      <c r="AB119" s="2339" t="n"/>
      <c r="AC119" s="2363" t="n">
        <v>0.0417</v>
      </c>
      <c r="AD119" s="2363" t="n">
        <v>0.1872</v>
      </c>
      <c r="AE119" s="2339" t="n"/>
      <c r="AF119" s="2363" t="n">
        <v>0.1872</v>
      </c>
      <c r="AG119" s="2363" t="n">
        <v>0.2377</v>
      </c>
      <c r="AH119" s="2363" t="n">
        <v>1.7506</v>
      </c>
      <c r="AI119" s="2363" t="n">
        <v>3.1503</v>
      </c>
      <c r="AJ119" s="2363" t="n">
        <v>4.8938</v>
      </c>
      <c r="AK119" s="2363" t="n">
        <v>8.879300000000001</v>
      </c>
      <c r="AL119" s="2339" t="n"/>
      <c r="AM119" s="2364" t="inlineStr">
        <is>
          <t>Actual accrual; 3 tenants; multi-tenant industrial</t>
        </is>
      </c>
    </row>
    <row r="120" ht="14.1" customHeight="1" s="1449">
      <c r="A120" s="2358" t="inlineStr">
        <is>
          <t>P058</t>
        </is>
      </c>
      <c r="B120" s="2338" t="n">
        <v>407</v>
      </c>
      <c r="C120" s="2358" t="inlineStr">
        <is>
          <t>R0091934</t>
        </is>
      </c>
      <c r="D120" s="2358" t="inlineStr">
        <is>
          <t>350 Park Industrial (5759)</t>
        </is>
      </c>
      <c r="E120" s="2358" t="inlineStr">
        <is>
          <t>Aurora</t>
        </is>
      </c>
      <c r="F120" s="2358" t="inlineStr">
        <is>
          <t>CO</t>
        </is>
      </c>
      <c r="G120" s="2358" t="inlineStr">
        <is>
          <t>Industrial</t>
        </is>
      </c>
      <c r="H120" s="2358" t="inlineStr">
        <is>
          <t>Multi-Tenant Industrial 407</t>
        </is>
      </c>
      <c r="I120" s="2359" t="n">
        <v>1995</v>
      </c>
      <c r="J120" s="2359" t="n">
        <v>32600</v>
      </c>
      <c r="K120" s="2359" t="n">
        <v>2024</v>
      </c>
      <c r="L120" s="2360" t="n">
        <v>9.582700000000001</v>
      </c>
      <c r="M120" s="2358" t="n"/>
      <c r="N120" s="2360" t="n">
        <v>15.2757</v>
      </c>
      <c r="O120" s="2360" t="n">
        <v>0.1809</v>
      </c>
      <c r="P120" s="2360" t="n">
        <v>0.5698</v>
      </c>
      <c r="Q120" s="2360" t="n">
        <v>0.0384</v>
      </c>
      <c r="R120" s="2358" t="n"/>
      <c r="S120" s="2360" t="n">
        <v>0.2311</v>
      </c>
      <c r="T120" s="2360" t="n">
        <v>0.0375</v>
      </c>
      <c r="U120" s="2358" t="n"/>
      <c r="V120" s="2358" t="n"/>
      <c r="W120" s="2358" t="n"/>
      <c r="X120" s="2360" t="n">
        <v>0.223</v>
      </c>
      <c r="Y120" s="2360" t="n">
        <v>0.53</v>
      </c>
      <c r="Z120" s="2360" t="n">
        <v>0.0422</v>
      </c>
      <c r="AA120" s="2358" t="n"/>
      <c r="AB120" s="2358" t="n"/>
      <c r="AC120" s="2360" t="n">
        <v>0.0422</v>
      </c>
      <c r="AD120" s="2360" t="n">
        <v>0.2095</v>
      </c>
      <c r="AE120" s="2358" t="n"/>
      <c r="AF120" s="2360" t="n">
        <v>0.2095</v>
      </c>
      <c r="AG120" s="2360" t="n">
        <v>0.7716</v>
      </c>
      <c r="AH120" s="2360" t="n">
        <v>2.124</v>
      </c>
      <c r="AI120" s="2360" t="n">
        <v>3.247</v>
      </c>
      <c r="AJ120" s="2360" t="n">
        <v>5.279</v>
      </c>
      <c r="AK120" s="2360" t="n">
        <v>9.996700000000001</v>
      </c>
      <c r="AL120" s="2358" t="n"/>
      <c r="AM120" s="2361" t="inlineStr">
        <is>
          <t>Actual accrual; 3 tenants</t>
        </is>
      </c>
    </row>
    <row r="121" ht="14.1" customHeight="1" s="1449">
      <c r="A121" s="2339" t="inlineStr">
        <is>
          <t>P059</t>
        </is>
      </c>
      <c r="B121" s="2338" t="n">
        <v>407</v>
      </c>
      <c r="C121" s="2339" t="inlineStr">
        <is>
          <t>R0093111</t>
        </is>
      </c>
      <c r="D121" s="2339" t="inlineStr">
        <is>
          <t>Industrial Property (R0093111)</t>
        </is>
      </c>
      <c r="E121" s="2339" t="inlineStr">
        <is>
          <t>Aurora</t>
        </is>
      </c>
      <c r="F121" s="2339" t="inlineStr">
        <is>
          <t>CO</t>
        </is>
      </c>
      <c r="G121" s="2339" t="inlineStr">
        <is>
          <t>Industrial</t>
        </is>
      </c>
      <c r="H121" s="2339" t="inlineStr">
        <is>
          <t>Multi-Tenant Industrial 407</t>
        </is>
      </c>
      <c r="I121" s="2362" t="n"/>
      <c r="J121" s="2362" t="n"/>
      <c r="K121" s="2362" t="n">
        <v>2023</v>
      </c>
      <c r="L121" s="2371" t="n">
        <v>340825</v>
      </c>
      <c r="M121" s="2339" t="n"/>
      <c r="N121" s="2371" t="n">
        <v>817280</v>
      </c>
      <c r="O121" s="2371" t="n">
        <v>396</v>
      </c>
      <c r="P121" s="2371" t="n">
        <v>24226</v>
      </c>
      <c r="Q121" s="2371" t="n">
        <v>2790</v>
      </c>
      <c r="R121" s="2339" t="n"/>
      <c r="S121" s="2371" t="n">
        <v>17586</v>
      </c>
      <c r="T121" s="2339" t="n"/>
      <c r="U121" s="2339" t="n"/>
      <c r="V121" s="2339" t="n"/>
      <c r="W121" s="2339" t="n"/>
      <c r="X121" s="2371" t="n">
        <v>1690</v>
      </c>
      <c r="Y121" s="2371" t="n">
        <v>22066</v>
      </c>
      <c r="Z121" s="2371" t="n">
        <v>1690</v>
      </c>
      <c r="AA121" s="2371" t="n">
        <v>10029</v>
      </c>
      <c r="AB121" s="2371" t="n">
        <v>13406</v>
      </c>
      <c r="AC121" s="2371" t="n">
        <v>15096</v>
      </c>
      <c r="AD121" s="2371" t="n">
        <v>8414</v>
      </c>
      <c r="AE121" s="2339" t="n"/>
      <c r="AF121" s="2371" t="n">
        <v>8414</v>
      </c>
      <c r="AG121" s="2371" t="n">
        <v>7749</v>
      </c>
      <c r="AH121" s="2371" t="n">
        <v>82990</v>
      </c>
      <c r="AI121" s="2371" t="n">
        <v>262422</v>
      </c>
      <c r="AJ121" s="2371" t="n">
        <v>345412</v>
      </c>
      <c r="AK121" s="2371" t="n">
        <v>471868</v>
      </c>
      <c r="AL121" s="2339" t="n"/>
      <c r="AM121" s="2364" t="inlineStr">
        <is>
          <t>[NO SF] Actual; RE tax heavy due to NNN recovery; SF not confirmed</t>
        </is>
      </c>
    </row>
    <row r="122" ht="14.1" customHeight="1" s="1449">
      <c r="A122" s="2358" t="inlineStr">
        <is>
          <t>P059</t>
        </is>
      </c>
      <c r="B122" s="2338" t="n">
        <v>407</v>
      </c>
      <c r="C122" s="2358" t="inlineStr">
        <is>
          <t>R0093111</t>
        </is>
      </c>
      <c r="D122" s="2358" t="inlineStr">
        <is>
          <t>Industrial Property (R0093111)</t>
        </is>
      </c>
      <c r="E122" s="2358" t="inlineStr">
        <is>
          <t>Aurora</t>
        </is>
      </c>
      <c r="F122" s="2358" t="inlineStr">
        <is>
          <t>CO</t>
        </is>
      </c>
      <c r="G122" s="2358" t="inlineStr">
        <is>
          <t>Industrial</t>
        </is>
      </c>
      <c r="H122" s="2358" t="inlineStr">
        <is>
          <t>Multi-Tenant Industrial 407</t>
        </is>
      </c>
      <c r="I122" s="2359" t="n"/>
      <c r="J122" s="2359" t="n"/>
      <c r="K122" s="2359" t="n">
        <v>2024</v>
      </c>
      <c r="L122" s="2370" t="n">
        <v>343350</v>
      </c>
      <c r="M122" s="2358" t="n"/>
      <c r="N122" s="2370" t="n">
        <v>632272</v>
      </c>
      <c r="O122" s="2370" t="n">
        <v>9737</v>
      </c>
      <c r="P122" s="2358" t="n"/>
      <c r="Q122" s="2358" t="n"/>
      <c r="R122" s="2358" t="n"/>
      <c r="S122" s="2358" t="n"/>
      <c r="T122" s="2358" t="n"/>
      <c r="U122" s="2358" t="n"/>
      <c r="V122" s="2358" t="n"/>
      <c r="W122" s="2358" t="n"/>
      <c r="X122" s="2358" t="n"/>
      <c r="Y122" s="2358" t="n"/>
      <c r="Z122" s="2358" t="n"/>
      <c r="AA122" s="2358" t="n"/>
      <c r="AB122" s="2358" t="n"/>
      <c r="AC122" s="2358" t="n"/>
      <c r="AD122" s="2358" t="n"/>
      <c r="AE122" s="2358" t="n"/>
      <c r="AF122" s="2358" t="n"/>
      <c r="AG122" s="2358" t="n"/>
      <c r="AH122" s="2370" t="n">
        <v>119649</v>
      </c>
      <c r="AI122" s="2370" t="n">
        <v>159461</v>
      </c>
      <c r="AJ122" s="2370" t="n">
        <v>279110</v>
      </c>
      <c r="AK122" s="2370" t="n">
        <v>353163</v>
      </c>
      <c r="AL122" s="2358" t="n"/>
      <c r="AM122" s="2361" t="inlineStr">
        <is>
          <t>[NO SF] 2024 summary data; limited line-item detail; SF not confirmed</t>
        </is>
      </c>
    </row>
    <row r="123" ht="14.1" customHeight="1" s="1449">
      <c r="A123" s="2339" t="inlineStr">
        <is>
          <t>P060</t>
        </is>
      </c>
      <c r="B123" s="2338" t="n">
        <v>407</v>
      </c>
      <c r="C123" s="2339" t="inlineStr">
        <is>
          <t>R0100104</t>
        </is>
      </c>
      <c r="D123" s="2339" t="inlineStr">
        <is>
          <t>312 Kew West</t>
        </is>
      </c>
      <c r="E123" s="2339" t="inlineStr">
        <is>
          <t>Aurora</t>
        </is>
      </c>
      <c r="F123" s="2339" t="inlineStr">
        <is>
          <t>CO</t>
        </is>
      </c>
      <c r="G123" s="2339" t="inlineStr">
        <is>
          <t>Industrial</t>
        </is>
      </c>
      <c r="H123" s="2339" t="inlineStr">
        <is>
          <t>Multi-Tenant Industrial 407</t>
        </is>
      </c>
      <c r="I123" s="2362" t="n"/>
      <c r="J123" s="2362" t="n"/>
      <c r="K123" s="2362" t="n">
        <v>2023</v>
      </c>
      <c r="L123" s="2371" t="n">
        <v>246837</v>
      </c>
      <c r="M123" s="2339" t="n"/>
      <c r="N123" s="2371" t="n">
        <v>340193</v>
      </c>
      <c r="O123" s="2371" t="n">
        <v>7355</v>
      </c>
      <c r="P123" s="2371" t="n">
        <v>12734</v>
      </c>
      <c r="Q123" s="2371" t="n">
        <v>1711</v>
      </c>
      <c r="R123" s="2339" t="n"/>
      <c r="S123" s="2371" t="n">
        <v>24740</v>
      </c>
      <c r="T123" s="2371" t="n">
        <v>6577</v>
      </c>
      <c r="U123" s="2339" t="n"/>
      <c r="V123" s="2339" t="n"/>
      <c r="W123" s="2339" t="n"/>
      <c r="X123" s="2371" t="n">
        <v>10612</v>
      </c>
      <c r="Y123" s="2371" t="n">
        <v>43640</v>
      </c>
      <c r="Z123" s="2371" t="n">
        <v>2451</v>
      </c>
      <c r="AA123" s="2371" t="n">
        <v>2474</v>
      </c>
      <c r="AB123" s="2371" t="n">
        <v>9457</v>
      </c>
      <c r="AC123" s="2371" t="n">
        <v>14382</v>
      </c>
      <c r="AD123" s="2371" t="n">
        <v>4092</v>
      </c>
      <c r="AE123" s="2339" t="n"/>
      <c r="AF123" s="2371" t="n">
        <v>4092</v>
      </c>
      <c r="AG123" s="2339" t="n"/>
      <c r="AH123" s="2371" t="n">
        <v>68233</v>
      </c>
      <c r="AI123" s="2371" t="n">
        <v>92861</v>
      </c>
      <c r="AJ123" s="2371" t="n">
        <v>161094</v>
      </c>
      <c r="AK123" s="2371" t="n">
        <v>179099</v>
      </c>
      <c r="AL123" s="2339" t="n"/>
      <c r="AM123" s="2364" t="inlineStr">
        <is>
          <t>[NO SF] Actual accrual; SF not confirmed</t>
        </is>
      </c>
    </row>
    <row r="124" ht="14.1" customHeight="1" s="1449">
      <c r="A124" s="2358" t="inlineStr">
        <is>
          <t>P060</t>
        </is>
      </c>
      <c r="B124" s="2338" t="n">
        <v>407</v>
      </c>
      <c r="C124" s="2358" t="inlineStr">
        <is>
          <t>R0100104</t>
        </is>
      </c>
      <c r="D124" s="2358" t="inlineStr">
        <is>
          <t>312 Kew West</t>
        </is>
      </c>
      <c r="E124" s="2358" t="inlineStr">
        <is>
          <t>Aurora</t>
        </is>
      </c>
      <c r="F124" s="2358" t="inlineStr">
        <is>
          <t>CO</t>
        </is>
      </c>
      <c r="G124" s="2358" t="inlineStr">
        <is>
          <t>Industrial</t>
        </is>
      </c>
      <c r="H124" s="2358" t="inlineStr">
        <is>
          <t>Multi-Tenant Industrial 407</t>
        </is>
      </c>
      <c r="I124" s="2359" t="n"/>
      <c r="J124" s="2359" t="n"/>
      <c r="K124" s="2359" t="n">
        <v>2024</v>
      </c>
      <c r="L124" s="2370" t="n">
        <v>239823</v>
      </c>
      <c r="M124" s="2358" t="n"/>
      <c r="N124" s="2370" t="n">
        <v>375845</v>
      </c>
      <c r="O124" s="2370" t="n">
        <v>7287</v>
      </c>
      <c r="P124" s="2370" t="n">
        <v>18575</v>
      </c>
      <c r="Q124" s="2370" t="n">
        <v>816</v>
      </c>
      <c r="R124" s="2358" t="n"/>
      <c r="S124" s="2370" t="n">
        <v>25607</v>
      </c>
      <c r="T124" s="2370" t="n">
        <v>7834</v>
      </c>
      <c r="U124" s="2358" t="n"/>
      <c r="V124" s="2358" t="n"/>
      <c r="W124" s="2358" t="n"/>
      <c r="X124" s="2370" t="n">
        <v>8752</v>
      </c>
      <c r="Y124" s="2370" t="n">
        <v>42009</v>
      </c>
      <c r="Z124" s="2370" t="n">
        <v>2982</v>
      </c>
      <c r="AA124" s="2370" t="n">
        <v>2720</v>
      </c>
      <c r="AB124" s="2370" t="n">
        <v>10994</v>
      </c>
      <c r="AC124" s="2370" t="n">
        <v>16696</v>
      </c>
      <c r="AD124" s="2370" t="n">
        <v>4502</v>
      </c>
      <c r="AE124" s="2358" t="n"/>
      <c r="AF124" s="2370" t="n">
        <v>4502</v>
      </c>
      <c r="AG124" s="2358" t="n"/>
      <c r="AH124" s="2370" t="n">
        <v>69570</v>
      </c>
      <c r="AI124" s="2370" t="n">
        <v>102524</v>
      </c>
      <c r="AJ124" s="2370" t="n">
        <v>172094</v>
      </c>
      <c r="AK124" s="2370" t="n">
        <v>203752</v>
      </c>
      <c r="AL124" s="2358" t="n"/>
      <c r="AM124" s="2361" t="inlineStr">
        <is>
          <t>[NO SF] Actual accrual; SF not confirmed</t>
        </is>
      </c>
    </row>
    <row r="125" ht="14.1" customHeight="1" s="1449">
      <c r="A125" s="2339" t="inlineStr">
        <is>
          <t>P061</t>
        </is>
      </c>
      <c r="B125" s="2338" t="n">
        <v>584</v>
      </c>
      <c r="C125" s="2339" t="inlineStr">
        <is>
          <t>R0083935</t>
        </is>
      </c>
      <c r="D125" s="2339" t="inlineStr">
        <is>
          <t>20101 E 36th Ave</t>
        </is>
      </c>
      <c r="E125" s="2339" t="inlineStr">
        <is>
          <t>Aurora</t>
        </is>
      </c>
      <c r="F125" s="2339" t="inlineStr">
        <is>
          <t>CO</t>
        </is>
      </c>
      <c r="G125" s="2339" t="inlineStr">
        <is>
          <t>Industrial</t>
        </is>
      </c>
      <c r="H125" s="2339" t="inlineStr">
        <is>
          <t>Mega Warehouse NNN</t>
        </is>
      </c>
      <c r="I125" s="2362" t="n"/>
      <c r="J125" s="2362" t="n">
        <v>278538</v>
      </c>
      <c r="K125" s="2362" t="n">
        <v>2024</v>
      </c>
      <c r="L125" s="2363" t="n">
        <v>4.4608</v>
      </c>
      <c r="M125" s="2339" t="n"/>
      <c r="N125" s="2363" t="n">
        <v>10.6014</v>
      </c>
      <c r="O125" s="2339" t="n"/>
      <c r="P125" s="2339" t="n"/>
      <c r="Q125" s="2339" t="n"/>
      <c r="R125" s="2339" t="n"/>
      <c r="S125" s="2339" t="n"/>
      <c r="T125" s="2339" t="n"/>
      <c r="U125" s="2339" t="n"/>
      <c r="V125" s="2339" t="n"/>
      <c r="W125" s="2339" t="n"/>
      <c r="X125" s="2339" t="n"/>
      <c r="Y125" s="2339" t="n"/>
      <c r="Z125" s="2339" t="n"/>
      <c r="AA125" s="2339" t="n"/>
      <c r="AB125" s="2339" t="n"/>
      <c r="AC125" s="2339" t="n"/>
      <c r="AD125" s="2339" t="n"/>
      <c r="AE125" s="2339" t="n"/>
      <c r="AF125" s="2363" t="n">
        <v>0.7035</v>
      </c>
      <c r="AG125" s="2339" t="n"/>
      <c r="AH125" s="2339" t="n"/>
      <c r="AI125" s="2339" t="n"/>
      <c r="AJ125" s="2339" t="n"/>
      <c r="AK125" s="2339" t="n"/>
      <c r="AL125" s="2339" t="n"/>
      <c r="AM125" s="2364" t="inlineStr">
        <is>
          <t>NNN; partial data; CBRE income statement; tenant RK Industries; rent $4.47/SF NNN; RE tax recovery ~$860k</t>
        </is>
      </c>
    </row>
    <row r="126" ht="14.1" customHeight="1" s="1449">
      <c r="A126" s="2358" t="inlineStr">
        <is>
          <t>P062</t>
        </is>
      </c>
      <c r="B126" s="2338" t="n">
        <v>407</v>
      </c>
      <c r="C126" s="2358" t="inlineStr">
        <is>
          <t>R0200721</t>
        </is>
      </c>
      <c r="D126" s="2358" t="inlineStr">
        <is>
          <t>3420 N Lisbon St</t>
        </is>
      </c>
      <c r="E126" s="2358" t="inlineStr">
        <is>
          <t>Aurora</t>
        </is>
      </c>
      <c r="F126" s="2358" t="inlineStr">
        <is>
          <t>CO</t>
        </is>
      </c>
      <c r="G126" s="2358" t="inlineStr">
        <is>
          <t>Industrial</t>
        </is>
      </c>
      <c r="H126" s="2358" t="inlineStr">
        <is>
          <t>Single-Tenant Industrial NNN</t>
        </is>
      </c>
      <c r="I126" s="2359" t="n">
        <v>2019</v>
      </c>
      <c r="J126" s="2359" t="n">
        <v>36212</v>
      </c>
      <c r="K126" s="2359" t="n">
        <v>2023</v>
      </c>
      <c r="L126" s="2360" t="n">
        <v>7.519</v>
      </c>
      <c r="M126" s="2358" t="n"/>
      <c r="N126" s="2360" t="n">
        <v>7.519</v>
      </c>
      <c r="O126" s="2358" t="n"/>
      <c r="P126" s="2358" t="n"/>
      <c r="Q126" s="2358" t="n"/>
      <c r="R126" s="2358" t="n"/>
      <c r="S126" s="2358" t="n"/>
      <c r="T126" s="2358" t="n"/>
      <c r="U126" s="2358" t="n"/>
      <c r="V126" s="2358" t="n"/>
      <c r="W126" s="2358" t="n"/>
      <c r="X126" s="2358" t="n"/>
      <c r="Y126" s="2358" t="n"/>
      <c r="Z126" s="2358" t="n"/>
      <c r="AA126" s="2358" t="n"/>
      <c r="AB126" s="2358" t="n"/>
      <c r="AC126" s="2358" t="n"/>
      <c r="AD126" s="2358" t="n"/>
      <c r="AE126" s="2358" t="n"/>
      <c r="AF126" s="2358" t="n"/>
      <c r="AG126" s="2358" t="n"/>
      <c r="AH126" s="2358" t="n"/>
      <c r="AI126" s="2358" t="n"/>
      <c r="AJ126" s="2358" t="n"/>
      <c r="AK126" s="2358" t="n"/>
      <c r="AL126" s="2358" t="n"/>
      <c r="AM126" s="2361" t="inlineStr">
        <is>
          <t>NNN absolute; tenant pays all opex; owner income = rent only; $7.52/SF</t>
        </is>
      </c>
    </row>
    <row r="127" ht="14.1" customHeight="1" s="1449">
      <c r="A127" s="2339" t="inlineStr">
        <is>
          <t>P062</t>
        </is>
      </c>
      <c r="B127" s="2338" t="n">
        <v>407</v>
      </c>
      <c r="C127" s="2339" t="inlineStr">
        <is>
          <t>R0200721</t>
        </is>
      </c>
      <c r="D127" s="2339" t="inlineStr">
        <is>
          <t>3420 N Lisbon St</t>
        </is>
      </c>
      <c r="E127" s="2339" t="inlineStr">
        <is>
          <t>Aurora</t>
        </is>
      </c>
      <c r="F127" s="2339" t="inlineStr">
        <is>
          <t>CO</t>
        </is>
      </c>
      <c r="G127" s="2339" t="inlineStr">
        <is>
          <t>Industrial</t>
        </is>
      </c>
      <c r="H127" s="2339" t="inlineStr">
        <is>
          <t>Single-Tenant Industrial NNN</t>
        </is>
      </c>
      <c r="I127" s="2362" t="n">
        <v>2019</v>
      </c>
      <c r="J127" s="2362" t="n">
        <v>36212</v>
      </c>
      <c r="K127" s="2362" t="n">
        <v>2024</v>
      </c>
      <c r="L127" s="2363" t="n">
        <v>7.7446</v>
      </c>
      <c r="M127" s="2339" t="n"/>
      <c r="N127" s="2363" t="n">
        <v>7.7446</v>
      </c>
      <c r="O127" s="2339" t="n"/>
      <c r="P127" s="2339" t="n"/>
      <c r="Q127" s="2339" t="n"/>
      <c r="R127" s="2339" t="n"/>
      <c r="S127" s="2339" t="n"/>
      <c r="T127" s="2339" t="n"/>
      <c r="U127" s="2339" t="n"/>
      <c r="V127" s="2339" t="n"/>
      <c r="W127" s="2339" t="n"/>
      <c r="X127" s="2339" t="n"/>
      <c r="Y127" s="2339" t="n"/>
      <c r="Z127" s="2339" t="n"/>
      <c r="AA127" s="2339" t="n"/>
      <c r="AB127" s="2339" t="n"/>
      <c r="AC127" s="2339" t="n"/>
      <c r="AD127" s="2339" t="n"/>
      <c r="AE127" s="2339" t="n"/>
      <c r="AF127" s="2339" t="n"/>
      <c r="AG127" s="2339" t="n"/>
      <c r="AH127" s="2339" t="n"/>
      <c r="AI127" s="2339" t="n"/>
      <c r="AJ127" s="2339" t="n"/>
      <c r="AK127" s="2339" t="n"/>
      <c r="AL127" s="2339" t="n"/>
      <c r="AM127" s="2364" t="inlineStr">
        <is>
          <t>NNN absolute; tenant pays all opex; owner income = rent only; $7.75/SF</t>
        </is>
      </c>
    </row>
    <row r="128" ht="14.1" customHeight="1" s="1449">
      <c r="A128" s="2365" t="inlineStr">
        <is>
          <t>P063</t>
        </is>
      </c>
      <c r="B128" s="2338" t="n">
        <v>344</v>
      </c>
      <c r="C128" s="2365" t="inlineStr">
        <is>
          <t>R0040581</t>
        </is>
      </c>
      <c r="D128" s="2365" t="inlineStr">
        <is>
          <t>2090 E 104th Ave</t>
        </is>
      </c>
      <c r="E128" s="2365" t="inlineStr">
        <is>
          <t>Thornton</t>
        </is>
      </c>
      <c r="F128" s="2365" t="inlineStr">
        <is>
          <t>CO</t>
        </is>
      </c>
      <c r="G128" s="2365" t="inlineStr">
        <is>
          <t>Office</t>
        </is>
      </c>
      <c r="H128" s="2365" t="inlineStr">
        <is>
          <t>Multi-Tenant Office</t>
        </is>
      </c>
      <c r="I128" s="2366" t="n"/>
      <c r="J128" s="2366" t="n">
        <v>19764</v>
      </c>
      <c r="K128" s="2366" t="n">
        <v>2023</v>
      </c>
      <c r="L128" s="2365" t="n"/>
      <c r="M128" s="2365" t="n"/>
      <c r="N128" s="2365" t="n"/>
      <c r="O128" s="2369" t="n">
        <v>0.1585</v>
      </c>
      <c r="P128" s="2369" t="n">
        <v>0.4648</v>
      </c>
      <c r="Q128" s="2365" t="n"/>
      <c r="R128" s="2365" t="n"/>
      <c r="S128" s="2365" t="n"/>
      <c r="T128" s="2365" t="n"/>
      <c r="U128" s="2365" t="n"/>
      <c r="V128" s="2365" t="n"/>
      <c r="W128" s="2365" t="n"/>
      <c r="X128" s="2369" t="n">
        <v>2.4351</v>
      </c>
      <c r="Y128" s="2369" t="n">
        <v>2.4351</v>
      </c>
      <c r="Z128" s="2365" t="n"/>
      <c r="AA128" s="2369" t="n">
        <v>0.4976</v>
      </c>
      <c r="AB128" s="2365" t="n"/>
      <c r="AC128" s="2369" t="n">
        <v>0.4976</v>
      </c>
      <c r="AD128" s="2365" t="n"/>
      <c r="AE128" s="2365" t="n"/>
      <c r="AF128" s="2369" t="n">
        <v>1.8998</v>
      </c>
      <c r="AG128" s="2369" t="n">
        <v>0.4171</v>
      </c>
      <c r="AH128" s="2369" t="n">
        <v>6.7472</v>
      </c>
      <c r="AI128" s="2369" t="n">
        <v>2.0601</v>
      </c>
      <c r="AJ128" s="2369" t="n">
        <v>8.8073</v>
      </c>
      <c r="AK128" s="2369" t="n">
        <v>2.7531</v>
      </c>
      <c r="AL128" s="2365" t="n"/>
      <c r="AM128" s="2368" t="inlineStr">
        <is>
          <t>Office; expenses only; GRI est. ~$228k at $11.56/SF 100% occ</t>
        </is>
      </c>
    </row>
    <row r="129" ht="14.1" customHeight="1" s="1449">
      <c r="A129" s="2365" t="inlineStr">
        <is>
          <t>P063</t>
        </is>
      </c>
      <c r="B129" s="2338" t="n">
        <v>344</v>
      </c>
      <c r="C129" s="2365" t="inlineStr">
        <is>
          <t>R0040581</t>
        </is>
      </c>
      <c r="D129" s="2365" t="inlineStr">
        <is>
          <t>2090 E 104th Ave</t>
        </is>
      </c>
      <c r="E129" s="2365" t="inlineStr">
        <is>
          <t>Thornton</t>
        </is>
      </c>
      <c r="F129" s="2365" t="inlineStr">
        <is>
          <t>CO</t>
        </is>
      </c>
      <c r="G129" s="2365" t="inlineStr">
        <is>
          <t>Office</t>
        </is>
      </c>
      <c r="H129" s="2365" t="inlineStr">
        <is>
          <t>Multi-Tenant Office</t>
        </is>
      </c>
      <c r="I129" s="2366" t="n"/>
      <c r="J129" s="2366" t="n">
        <v>19764</v>
      </c>
      <c r="K129" s="2366" t="n">
        <v>2024</v>
      </c>
      <c r="L129" s="2365" t="n"/>
      <c r="M129" s="2365" t="n"/>
      <c r="N129" s="2365" t="n"/>
      <c r="O129" s="2369" t="n">
        <v>0.5652</v>
      </c>
      <c r="P129" s="2369" t="n">
        <v>0.4554</v>
      </c>
      <c r="Q129" s="2365" t="n"/>
      <c r="R129" s="2365" t="n"/>
      <c r="S129" s="2365" t="n"/>
      <c r="T129" s="2365" t="n"/>
      <c r="U129" s="2365" t="n"/>
      <c r="V129" s="2365" t="n"/>
      <c r="W129" s="2365" t="n"/>
      <c r="X129" s="2369" t="n">
        <v>2.4623</v>
      </c>
      <c r="Y129" s="2369" t="n">
        <v>2.4623</v>
      </c>
      <c r="Z129" s="2365" t="n"/>
      <c r="AA129" s="2369" t="n">
        <v>0.5888</v>
      </c>
      <c r="AB129" s="2365" t="n"/>
      <c r="AC129" s="2369" t="n">
        <v>0.5888</v>
      </c>
      <c r="AD129" s="2365" t="n"/>
      <c r="AE129" s="2365" t="n"/>
      <c r="AF129" s="2369" t="n">
        <v>2.4159</v>
      </c>
      <c r="AG129" s="2369" t="n">
        <v>0.3126</v>
      </c>
      <c r="AH129" s="2369" t="n">
        <v>6.8005</v>
      </c>
      <c r="AI129" s="2369" t="n">
        <v>2.0271</v>
      </c>
      <c r="AJ129" s="2369" t="n">
        <v>8.8276</v>
      </c>
      <c r="AK129" s="2369" t="n">
        <v>2.7328</v>
      </c>
      <c r="AL129" s="2365" t="n"/>
      <c r="AM129" s="2368" t="inlineStr">
        <is>
          <t>Office; expenses only; GRI est. ~$228k</t>
        </is>
      </c>
    </row>
    <row r="130" ht="14.1" customHeight="1" s="1449">
      <c r="A130" s="2365" t="inlineStr">
        <is>
          <t>P064</t>
        </is>
      </c>
      <c r="B130" s="2338" t="n">
        <v>344</v>
      </c>
      <c r="C130" s="2365" t="inlineStr">
        <is>
          <t>R0050977</t>
        </is>
      </c>
      <c r="D130" s="2365" t="inlineStr">
        <is>
          <t>9351 Grant St</t>
        </is>
      </c>
      <c r="E130" s="2365" t="inlineStr">
        <is>
          <t>Thornton</t>
        </is>
      </c>
      <c r="F130" s="2365" t="inlineStr">
        <is>
          <t>CO</t>
        </is>
      </c>
      <c r="G130" s="2365" t="inlineStr">
        <is>
          <t>Office</t>
        </is>
      </c>
      <c r="H130" s="2365" t="inlineStr">
        <is>
          <t>Multi-Tenant Office</t>
        </is>
      </c>
      <c r="I130" s="2366" t="n"/>
      <c r="J130" s="2366" t="n"/>
      <c r="K130" s="2366" t="n">
        <v>2023</v>
      </c>
      <c r="L130" s="2367" t="n">
        <v>2011958</v>
      </c>
      <c r="M130" s="2365" t="n"/>
      <c r="N130" s="2367" t="n">
        <v>2239234</v>
      </c>
      <c r="O130" s="2365" t="n"/>
      <c r="P130" s="2365" t="n"/>
      <c r="Q130" s="2365" t="n"/>
      <c r="R130" s="2365" t="n"/>
      <c r="S130" s="2365" t="n"/>
      <c r="T130" s="2365" t="n"/>
      <c r="U130" s="2365" t="n"/>
      <c r="V130" s="2365" t="n"/>
      <c r="W130" s="2365" t="n"/>
      <c r="X130" s="2367" t="n">
        <v>144543</v>
      </c>
      <c r="Y130" s="2367" t="n">
        <v>144543</v>
      </c>
      <c r="Z130" s="2365" t="n"/>
      <c r="AA130" s="2365" t="n"/>
      <c r="AB130" s="2365" t="n"/>
      <c r="AC130" s="2365" t="n"/>
      <c r="AD130" s="2365" t="n"/>
      <c r="AE130" s="2365" t="n"/>
      <c r="AF130" s="2367" t="n">
        <v>240350</v>
      </c>
      <c r="AG130" s="2367" t="n">
        <v>279549</v>
      </c>
      <c r="AH130" s="2367" t="n">
        <v>719555</v>
      </c>
      <c r="AI130" s="2367" t="n">
        <v>497852</v>
      </c>
      <c r="AJ130" s="2367" t="n">
        <v>1217407</v>
      </c>
      <c r="AK130" s="2367" t="n">
        <v>1021827</v>
      </c>
      <c r="AL130" s="2365" t="n"/>
      <c r="AM130" s="2368" t="inlineStr">
        <is>
          <t>[NO SF] Actual P&amp;L; Crown RE Group; RE Tax + Ins combined in $497,852 line; large office property</t>
        </is>
      </c>
    </row>
    <row r="131" ht="14.1" customHeight="1" s="1449">
      <c r="A131" s="2365" t="inlineStr">
        <is>
          <t>P065</t>
        </is>
      </c>
      <c r="B131" s="2338" t="n">
        <v>344</v>
      </c>
      <c r="C131" s="2365" t="inlineStr">
        <is>
          <t>R0069041</t>
        </is>
      </c>
      <c r="D131" s="2365" t="inlineStr">
        <is>
          <t>7475 Dakin St (Turnpike Tower)</t>
        </is>
      </c>
      <c r="E131" s="2365" t="inlineStr">
        <is>
          <t>Denver</t>
        </is>
      </c>
      <c r="F131" s="2365" t="inlineStr">
        <is>
          <t>CO</t>
        </is>
      </c>
      <c r="G131" s="2365" t="inlineStr">
        <is>
          <t>Office</t>
        </is>
      </c>
      <c r="H131" s="2365" t="inlineStr">
        <is>
          <t>Multi-Tenant Office</t>
        </is>
      </c>
      <c r="I131" s="2366" t="n"/>
      <c r="J131" s="2366" t="n">
        <v>114843</v>
      </c>
      <c r="K131" s="2366" t="n">
        <v>2023</v>
      </c>
      <c r="L131" s="2365" t="n"/>
      <c r="M131" s="2365" t="n"/>
      <c r="N131" s="2369" t="n">
        <v>5.3899</v>
      </c>
      <c r="O131" s="2365" t="n"/>
      <c r="P131" s="2365" t="n"/>
      <c r="Q131" s="2365" t="n"/>
      <c r="R131" s="2365" t="n"/>
      <c r="S131" s="2365" t="n"/>
      <c r="T131" s="2365" t="n"/>
      <c r="U131" s="2365" t="n"/>
      <c r="V131" s="2365" t="n"/>
      <c r="W131" s="2365" t="n"/>
      <c r="X131" s="2365" t="n"/>
      <c r="Y131" s="2365" t="n"/>
      <c r="Z131" s="2365" t="n"/>
      <c r="AA131" s="2369" t="n">
        <v>0.0873</v>
      </c>
      <c r="AB131" s="2365" t="n"/>
      <c r="AC131" s="2365" t="n"/>
      <c r="AD131" s="2365" t="n"/>
      <c r="AE131" s="2365" t="n"/>
      <c r="AF131" s="2365" t="n"/>
      <c r="AG131" s="2365" t="n"/>
      <c r="AH131" s="2369" t="n">
        <v>2.6434</v>
      </c>
      <c r="AI131" s="2369" t="n">
        <v>2.2851</v>
      </c>
      <c r="AJ131" s="2369" t="n">
        <v>4.9285</v>
      </c>
      <c r="AK131" s="2369" t="n">
        <v>0.4627</v>
      </c>
      <c r="AL131" s="2365" t="n"/>
      <c r="AM131" s="2368" t="inlineStr">
        <is>
          <t>Actual; 87.7% occ; NNN/Modified leases; RE Tax heavy; approx figures</t>
        </is>
      </c>
    </row>
    <row r="132" ht="14.1" customHeight="1" s="1449">
      <c r="A132" s="2365" t="inlineStr">
        <is>
          <t>P065</t>
        </is>
      </c>
      <c r="B132" s="2338" t="n">
        <v>344</v>
      </c>
      <c r="C132" s="2365" t="inlineStr">
        <is>
          <t>R0069041</t>
        </is>
      </c>
      <c r="D132" s="2365" t="inlineStr">
        <is>
          <t>7475 Dakin St (Turnpike Tower)</t>
        </is>
      </c>
      <c r="E132" s="2365" t="inlineStr">
        <is>
          <t>Denver</t>
        </is>
      </c>
      <c r="F132" s="2365" t="inlineStr">
        <is>
          <t>CO</t>
        </is>
      </c>
      <c r="G132" s="2365" t="inlineStr">
        <is>
          <t>Office</t>
        </is>
      </c>
      <c r="H132" s="2365" t="inlineStr">
        <is>
          <t>Multi-Tenant Office</t>
        </is>
      </c>
      <c r="I132" s="2366" t="n"/>
      <c r="J132" s="2366" t="n">
        <v>114843</v>
      </c>
      <c r="K132" s="2366" t="n">
        <v>2024</v>
      </c>
      <c r="L132" s="2365" t="n"/>
      <c r="M132" s="2365" t="n"/>
      <c r="N132" s="2369" t="n">
        <v>11.7878</v>
      </c>
      <c r="O132" s="2365" t="n"/>
      <c r="P132" s="2365" t="n"/>
      <c r="Q132" s="2365" t="n"/>
      <c r="R132" s="2365" t="n"/>
      <c r="S132" s="2365" t="n"/>
      <c r="T132" s="2365" t="n"/>
      <c r="U132" s="2365" t="n"/>
      <c r="V132" s="2365" t="n"/>
      <c r="W132" s="2365" t="n"/>
      <c r="X132" s="2365" t="n"/>
      <c r="Y132" s="2365" t="n"/>
      <c r="Z132" s="2365" t="n"/>
      <c r="AA132" s="2365" t="n"/>
      <c r="AB132" s="2365" t="n"/>
      <c r="AC132" s="2365" t="n"/>
      <c r="AD132" s="2365" t="n"/>
      <c r="AE132" s="2365" t="n"/>
      <c r="AF132" s="2365" t="n"/>
      <c r="AG132" s="2365" t="n"/>
      <c r="AH132" s="2369" t="n">
        <v>8.9252</v>
      </c>
      <c r="AI132" s="2365" t="n"/>
      <c r="AJ132" s="2369" t="n">
        <v>11.2066</v>
      </c>
      <c r="AK132" s="2369" t="n">
        <v>0.5806</v>
      </c>
      <c r="AL132" s="2365" t="n"/>
      <c r="AM132" s="2368" t="inlineStr">
        <is>
          <t>Actual 2024; approx figures; RE Tax est. ~$262k</t>
        </is>
      </c>
    </row>
    <row r="133" ht="14.1" customHeight="1" s="1449">
      <c r="A133" s="2365" t="inlineStr">
        <is>
          <t>P066</t>
        </is>
      </c>
      <c r="B133" s="2338" t="n">
        <v>344</v>
      </c>
      <c r="C133" s="2365" t="inlineStr">
        <is>
          <t>R0079409</t>
        </is>
      </c>
      <c r="D133" s="2365" t="inlineStr">
        <is>
          <t>6401 E 72nd Ave</t>
        </is>
      </c>
      <c r="E133" s="2365" t="inlineStr">
        <is>
          <t>Commerce City</t>
        </is>
      </c>
      <c r="F133" s="2365" t="inlineStr">
        <is>
          <t>CO</t>
        </is>
      </c>
      <c r="G133" s="2365" t="inlineStr">
        <is>
          <t>Office</t>
        </is>
      </c>
      <c r="H133" s="2365" t="inlineStr">
        <is>
          <t>Multi-Tenant Office</t>
        </is>
      </c>
      <c r="I133" s="2366" t="n"/>
      <c r="J133" s="2366" t="n">
        <v>8218</v>
      </c>
      <c r="K133" s="2366" t="n">
        <v>2023</v>
      </c>
      <c r="L133" s="2369" t="n">
        <v>11.7637</v>
      </c>
      <c r="M133" s="2365" t="n"/>
      <c r="N133" s="2369" t="n">
        <v>13.2835</v>
      </c>
      <c r="O133" s="2369" t="n">
        <v>0.2901</v>
      </c>
      <c r="P133" s="2369" t="n">
        <v>0.6571</v>
      </c>
      <c r="Q133" s="2365" t="n"/>
      <c r="R133" s="2365" t="n"/>
      <c r="S133" s="2365" t="n"/>
      <c r="T133" s="2365" t="n"/>
      <c r="U133" s="2365" t="n"/>
      <c r="V133" s="2365" t="n"/>
      <c r="W133" s="2365" t="n"/>
      <c r="X133" s="2369" t="n">
        <v>2.2109</v>
      </c>
      <c r="Y133" s="2369" t="n">
        <v>2.2109</v>
      </c>
      <c r="Z133" s="2365" t="n"/>
      <c r="AA133" s="2365" t="n"/>
      <c r="AB133" s="2365" t="n"/>
      <c r="AC133" s="2365" t="n"/>
      <c r="AD133" s="2365" t="n"/>
      <c r="AE133" s="2365" t="n"/>
      <c r="AF133" s="2369" t="n">
        <v>1.5784</v>
      </c>
      <c r="AG133" s="2369" t="n">
        <v>0.4882</v>
      </c>
      <c r="AH133" s="2369" t="n">
        <v>4.8338</v>
      </c>
      <c r="AI133" s="2369" t="n">
        <v>1.9805</v>
      </c>
      <c r="AJ133" s="2369" t="n">
        <v>6.8143</v>
      </c>
      <c r="AK133" s="2369" t="n">
        <v>6.4493</v>
      </c>
      <c r="AL133" s="2365" t="n"/>
      <c r="AM133" s="2368" t="inlineStr">
        <is>
          <t>Actual 2023; 9 tenants small multi-tenant office; approx total OPX/NOI</t>
        </is>
      </c>
    </row>
    <row r="134" ht="14.1" customHeight="1" s="1449">
      <c r="A134" s="2365" t="inlineStr">
        <is>
          <t>P067</t>
        </is>
      </c>
      <c r="B134" s="2338" t="n">
        <v>344</v>
      </c>
      <c r="C134" s="2365" t="inlineStr">
        <is>
          <t>R0189338</t>
        </is>
      </c>
      <c r="D134" s="2365" t="inlineStr">
        <is>
          <t>203 Telluride St</t>
        </is>
      </c>
      <c r="E134" s="2365" t="inlineStr">
        <is>
          <t>Aurora</t>
        </is>
      </c>
      <c r="F134" s="2365" t="inlineStr">
        <is>
          <t>CO</t>
        </is>
      </c>
      <c r="G134" s="2365" t="inlineStr">
        <is>
          <t>Office</t>
        </is>
      </c>
      <c r="H134" s="2365" t="inlineStr">
        <is>
          <t>Multi-Tenant Office</t>
        </is>
      </c>
      <c r="I134" s="2366" t="n"/>
      <c r="J134" s="2366" t="n"/>
      <c r="K134" s="2366" t="n">
        <v>2023</v>
      </c>
      <c r="L134" s="2367" t="n">
        <v>326779</v>
      </c>
      <c r="M134" s="2365" t="n"/>
      <c r="N134" s="2367" t="n">
        <v>315661</v>
      </c>
      <c r="O134" s="2365" t="n"/>
      <c r="P134" s="2365" t="n"/>
      <c r="Q134" s="2365" t="n"/>
      <c r="R134" s="2365" t="n"/>
      <c r="S134" s="2365" t="n"/>
      <c r="T134" s="2365" t="n"/>
      <c r="U134" s="2365" t="n"/>
      <c r="V134" s="2365" t="n"/>
      <c r="W134" s="2365" t="n"/>
      <c r="X134" s="2365" t="n"/>
      <c r="Y134" s="2365" t="n"/>
      <c r="Z134" s="2365" t="n"/>
      <c r="AA134" s="2367" t="n">
        <v>16009</v>
      </c>
      <c r="AB134" s="2365" t="n"/>
      <c r="AC134" s="2365" t="n"/>
      <c r="AD134" s="2365" t="n"/>
      <c r="AE134" s="2365" t="n"/>
      <c r="AF134" s="2365" t="n"/>
      <c r="AG134" s="2365" t="n"/>
      <c r="AH134" s="2367" t="n">
        <v>78034</v>
      </c>
      <c r="AI134" s="2367" t="n">
        <v>66966</v>
      </c>
      <c r="AJ134" s="2367" t="n">
        <v>145000</v>
      </c>
      <c r="AK134" s="2367" t="n">
        <v>170661</v>
      </c>
      <c r="AL134" s="2365" t="n"/>
      <c r="AM134" s="2368" t="inlineStr">
        <is>
          <t>[NO SF] Actual 2023; SF not stated; approx total OPX</t>
        </is>
      </c>
    </row>
    <row r="135" ht="14.1" customHeight="1" s="1449">
      <c r="A135" s="2365" t="inlineStr">
        <is>
          <t>P067</t>
        </is>
      </c>
      <c r="B135" s="2338" t="n">
        <v>344</v>
      </c>
      <c r="C135" s="2365" t="inlineStr">
        <is>
          <t>R0189338</t>
        </is>
      </c>
      <c r="D135" s="2365" t="inlineStr">
        <is>
          <t>203 Telluride St</t>
        </is>
      </c>
      <c r="E135" s="2365" t="inlineStr">
        <is>
          <t>Aurora</t>
        </is>
      </c>
      <c r="F135" s="2365" t="inlineStr">
        <is>
          <t>CO</t>
        </is>
      </c>
      <c r="G135" s="2365" t="inlineStr">
        <is>
          <t>Office</t>
        </is>
      </c>
      <c r="H135" s="2365" t="inlineStr">
        <is>
          <t>Multi-Tenant Office</t>
        </is>
      </c>
      <c r="I135" s="2366" t="n"/>
      <c r="J135" s="2366" t="n"/>
      <c r="K135" s="2366" t="n">
        <v>2024</v>
      </c>
      <c r="L135" s="2367" t="n">
        <v>357674</v>
      </c>
      <c r="M135" s="2365" t="n"/>
      <c r="N135" s="2367" t="n">
        <v>335977</v>
      </c>
      <c r="O135" s="2367" t="n">
        <v>9791</v>
      </c>
      <c r="P135" s="2367" t="n">
        <v>7884</v>
      </c>
      <c r="Q135" s="2365" t="n"/>
      <c r="R135" s="2365" t="n"/>
      <c r="S135" s="2365" t="n"/>
      <c r="T135" s="2365" t="n"/>
      <c r="U135" s="2365" t="n"/>
      <c r="V135" s="2365" t="n"/>
      <c r="W135" s="2365" t="n"/>
      <c r="X135" s="2367" t="n">
        <v>41510</v>
      </c>
      <c r="Y135" s="2367" t="n">
        <v>41510</v>
      </c>
      <c r="Z135" s="2365" t="n"/>
      <c r="AA135" s="2367" t="n">
        <v>12092</v>
      </c>
      <c r="AB135" s="2365" t="n"/>
      <c r="AC135" s="2365" t="n"/>
      <c r="AD135" s="2365" t="n"/>
      <c r="AE135" s="2365" t="n"/>
      <c r="AF135" s="2367" t="n">
        <v>9302</v>
      </c>
      <c r="AG135" s="2367" t="n">
        <v>10772</v>
      </c>
      <c r="AH135" s="2367" t="n">
        <v>109544</v>
      </c>
      <c r="AI135" s="2367" t="n">
        <v>68307</v>
      </c>
      <c r="AJ135" s="2367" t="n">
        <v>177851</v>
      </c>
      <c r="AK135" s="2367" t="n">
        <v>158126</v>
      </c>
      <c r="AL135" s="2365" t="n"/>
      <c r="AM135" s="2368" t="inlineStr">
        <is>
          <t>[NO SF] Actual 2024; SF not stated</t>
        </is>
      </c>
    </row>
    <row r="136" ht="14.1" customHeight="1" s="1449">
      <c r="A136" s="2365" t="inlineStr">
        <is>
          <t>P068</t>
        </is>
      </c>
      <c r="B136" s="2338" t="n">
        <v>344</v>
      </c>
      <c r="C136" s="2365" t="inlineStr">
        <is>
          <t>R0193830</t>
        </is>
      </c>
      <c r="D136" s="2365" t="inlineStr">
        <is>
          <t>Justice Center Office Plaza</t>
        </is>
      </c>
      <c r="E136" s="2365" t="inlineStr">
        <is>
          <t>Denver</t>
        </is>
      </c>
      <c r="F136" s="2365" t="inlineStr">
        <is>
          <t>CO</t>
        </is>
      </c>
      <c r="G136" s="2365" t="inlineStr">
        <is>
          <t>Office</t>
        </is>
      </c>
      <c r="H136" s="2365" t="inlineStr">
        <is>
          <t>Multi-Tenant Office NNN</t>
        </is>
      </c>
      <c r="I136" s="2366" t="n"/>
      <c r="J136" s="2366" t="n">
        <v>41979</v>
      </c>
      <c r="K136" s="2366" t="n">
        <v>2023</v>
      </c>
      <c r="L136" s="2369" t="n">
        <v>23.2395</v>
      </c>
      <c r="M136" s="2365" t="n"/>
      <c r="N136" s="2369" t="n">
        <v>32.1906</v>
      </c>
      <c r="O136" s="2369" t="n">
        <v>0.7301</v>
      </c>
      <c r="P136" s="2369" t="n">
        <v>2.0601</v>
      </c>
      <c r="Q136" s="2365" t="n"/>
      <c r="R136" s="2365" t="n"/>
      <c r="S136" s="2365" t="n"/>
      <c r="T136" s="2365" t="n"/>
      <c r="U136" s="2365" t="n"/>
      <c r="V136" s="2365" t="n"/>
      <c r="W136" s="2365" t="n"/>
      <c r="X136" s="2369" t="n">
        <v>3.2415</v>
      </c>
      <c r="Y136" s="2369" t="n">
        <v>3.2415</v>
      </c>
      <c r="Z136" s="2365" t="n"/>
      <c r="AA136" s="2365" t="n"/>
      <c r="AB136" s="2365" t="n"/>
      <c r="AC136" s="2365" t="n"/>
      <c r="AD136" s="2365" t="n"/>
      <c r="AE136" s="2365" t="n"/>
      <c r="AF136" s="2369" t="n">
        <v>3.4458</v>
      </c>
      <c r="AG136" s="2369" t="n">
        <v>0.5937</v>
      </c>
      <c r="AH136" s="2369" t="n">
        <v>10.0688</v>
      </c>
      <c r="AI136" s="2369" t="n">
        <v>2.0543</v>
      </c>
      <c r="AJ136" s="2369" t="n">
        <v>12.123</v>
      </c>
      <c r="AK136" s="2369" t="n">
        <v>20.0676</v>
      </c>
      <c r="AL136" s="2365" t="n"/>
      <c r="AM136" s="2368" t="inlineStr">
        <is>
          <t>Actual accrual; govt tenants; 100% occ NNN; special assessments in Other</t>
        </is>
      </c>
    </row>
    <row r="137" ht="14.1" customHeight="1" s="1449">
      <c r="A137" s="2365" t="inlineStr">
        <is>
          <t>P068</t>
        </is>
      </c>
      <c r="B137" s="2338" t="n">
        <v>344</v>
      </c>
      <c r="C137" s="2365" t="inlineStr">
        <is>
          <t>R0193830</t>
        </is>
      </c>
      <c r="D137" s="2365" t="inlineStr">
        <is>
          <t>Justice Center Office Plaza</t>
        </is>
      </c>
      <c r="E137" s="2365" t="inlineStr">
        <is>
          <t>Denver</t>
        </is>
      </c>
      <c r="F137" s="2365" t="inlineStr">
        <is>
          <t>CO</t>
        </is>
      </c>
      <c r="G137" s="2365" t="inlineStr">
        <is>
          <t>Office</t>
        </is>
      </c>
      <c r="H137" s="2365" t="inlineStr">
        <is>
          <t>Multi-Tenant Office NNN</t>
        </is>
      </c>
      <c r="I137" s="2366" t="n"/>
      <c r="J137" s="2366" t="n">
        <v>41979</v>
      </c>
      <c r="K137" s="2366" t="n">
        <v>2024</v>
      </c>
      <c r="L137" s="2369" t="n">
        <v>20.4556</v>
      </c>
      <c r="M137" s="2365" t="n"/>
      <c r="N137" s="2369" t="n">
        <v>33.188</v>
      </c>
      <c r="O137" s="2369" t="n">
        <v>0.8289</v>
      </c>
      <c r="P137" s="2369" t="n">
        <v>2.1306</v>
      </c>
      <c r="Q137" s="2365" t="n"/>
      <c r="R137" s="2365" t="n"/>
      <c r="S137" s="2365" t="n"/>
      <c r="T137" s="2365" t="n"/>
      <c r="U137" s="2365" t="n"/>
      <c r="V137" s="2365" t="n"/>
      <c r="W137" s="2365" t="n"/>
      <c r="X137" s="2369" t="n">
        <v>2.7757</v>
      </c>
      <c r="Y137" s="2369" t="n">
        <v>2.7757</v>
      </c>
      <c r="Z137" s="2365" t="n"/>
      <c r="AA137" s="2365" t="n"/>
      <c r="AB137" s="2365" t="n"/>
      <c r="AC137" s="2365" t="n"/>
      <c r="AD137" s="2365" t="n"/>
      <c r="AE137" s="2365" t="n"/>
      <c r="AF137" s="2369" t="n">
        <v>3.5734</v>
      </c>
      <c r="AG137" s="2369" t="n">
        <v>0.7077</v>
      </c>
      <c r="AH137" s="2369" t="n">
        <v>10.1354</v>
      </c>
      <c r="AI137" s="2369" t="n">
        <v>2.0662</v>
      </c>
      <c r="AJ137" s="2369" t="n">
        <v>12.2016</v>
      </c>
      <c r="AK137" s="2369" t="n">
        <v>20.9864</v>
      </c>
      <c r="AL137" s="2365" t="n"/>
      <c r="AM137" s="2368" t="inlineStr">
        <is>
          <t>Actual accrual; govt tenants; 100% occ NNN; special assessments in Other</t>
        </is>
      </c>
    </row>
    <row r="138" ht="14.1" customHeight="1" s="1449">
      <c r="A138" s="2365" t="inlineStr">
        <is>
          <t>P069</t>
        </is>
      </c>
      <c r="B138" s="2338" t="n">
        <v>210</v>
      </c>
      <c r="C138" s="2365" t="inlineStr">
        <is>
          <t>R0098223</t>
        </is>
      </c>
      <c r="D138" s="2365" t="inlineStr">
        <is>
          <t>Washington Commerce Center</t>
        </is>
      </c>
      <c r="E138" s="2365" t="inlineStr">
        <is>
          <t>Commerce City</t>
        </is>
      </c>
      <c r="F138" s="2365" t="inlineStr">
        <is>
          <t>CO</t>
        </is>
      </c>
      <c r="G138" s="2365" t="inlineStr">
        <is>
          <t>Office/Industrial</t>
        </is>
      </c>
      <c r="H138" s="2365" t="inlineStr">
        <is>
          <t>Multi-Tenant Office/Industrial</t>
        </is>
      </c>
      <c r="I138" s="2366" t="n"/>
      <c r="J138" s="2366" t="n">
        <v>278538</v>
      </c>
      <c r="K138" s="2366" t="n">
        <v>2023</v>
      </c>
      <c r="L138" s="2369" t="n">
        <v>5.8736</v>
      </c>
      <c r="M138" s="2365" t="n"/>
      <c r="N138" s="2369" t="n">
        <v>5.7822</v>
      </c>
      <c r="O138" s="2369" t="n">
        <v>0.0183</v>
      </c>
      <c r="P138" s="2369" t="n">
        <v>0.0788</v>
      </c>
      <c r="Q138" s="2365" t="n"/>
      <c r="R138" s="2365" t="n"/>
      <c r="S138" s="2365" t="n"/>
      <c r="T138" s="2365" t="n"/>
      <c r="U138" s="2365" t="n"/>
      <c r="V138" s="2365" t="n"/>
      <c r="W138" s="2365" t="n"/>
      <c r="X138" s="2369" t="n">
        <v>0.9203</v>
      </c>
      <c r="Y138" s="2369" t="n">
        <v>0.9203</v>
      </c>
      <c r="Z138" s="2365" t="n"/>
      <c r="AA138" s="2369" t="n">
        <v>0.2083</v>
      </c>
      <c r="AB138" s="2369" t="n">
        <v>0.0116</v>
      </c>
      <c r="AC138" s="2369" t="n">
        <v>0.2199</v>
      </c>
      <c r="AD138" s="2365" t="n"/>
      <c r="AE138" s="2365" t="n"/>
      <c r="AF138" s="2369" t="n">
        <v>0.1146</v>
      </c>
      <c r="AG138" s="2365" t="n"/>
      <c r="AH138" s="2369" t="n">
        <v>1.3485</v>
      </c>
      <c r="AI138" s="2369" t="n">
        <v>0</v>
      </c>
      <c r="AJ138" s="2369" t="n">
        <v>1.3485</v>
      </c>
      <c r="AK138" s="2369" t="n">
        <v>0.2751</v>
      </c>
      <c r="AL138" s="2365" t="n"/>
      <c r="AM138" s="2368" t="inlineStr">
        <is>
          <t>Actual; tenants pay RE tax; high R&amp;M 2023 ($127k major maint); SF est.</t>
        </is>
      </c>
    </row>
    <row r="139" ht="14.1" customHeight="1" s="1449">
      <c r="A139" s="2365" t="inlineStr">
        <is>
          <t>P069</t>
        </is>
      </c>
      <c r="B139" s="2338" t="n">
        <v>210</v>
      </c>
      <c r="C139" s="2365" t="inlineStr">
        <is>
          <t>R0098223</t>
        </is>
      </c>
      <c r="D139" s="2365" t="inlineStr">
        <is>
          <t>Washington Commerce Center</t>
        </is>
      </c>
      <c r="E139" s="2365" t="inlineStr">
        <is>
          <t>Commerce City</t>
        </is>
      </c>
      <c r="F139" s="2365" t="inlineStr">
        <is>
          <t>CO</t>
        </is>
      </c>
      <c r="G139" s="2365" t="inlineStr">
        <is>
          <t>Office/Industrial</t>
        </is>
      </c>
      <c r="H139" s="2365" t="inlineStr">
        <is>
          <t>Multi-Tenant Office/Industrial</t>
        </is>
      </c>
      <c r="I139" s="2366" t="n"/>
      <c r="J139" s="2366" t="n">
        <v>278538</v>
      </c>
      <c r="K139" s="2366" t="n">
        <v>2024</v>
      </c>
      <c r="L139" s="2369" t="n">
        <v>5.4604</v>
      </c>
      <c r="M139" s="2365" t="n"/>
      <c r="N139" s="2369" t="n">
        <v>5.4604</v>
      </c>
      <c r="O139" s="2369" t="n">
        <v>0.032</v>
      </c>
      <c r="P139" s="2369" t="n">
        <v>0.09180000000000001</v>
      </c>
      <c r="Q139" s="2365" t="n"/>
      <c r="R139" s="2365" t="n"/>
      <c r="S139" s="2365" t="n"/>
      <c r="T139" s="2365" t="n"/>
      <c r="U139" s="2365" t="n"/>
      <c r="V139" s="2365" t="n"/>
      <c r="W139" s="2365" t="n"/>
      <c r="X139" s="2369" t="n">
        <v>0.4497</v>
      </c>
      <c r="Y139" s="2369" t="n">
        <v>0.4497</v>
      </c>
      <c r="Z139" s="2365" t="n"/>
      <c r="AA139" s="2369" t="n">
        <v>0.2083</v>
      </c>
      <c r="AB139" s="2369" t="n">
        <v>0.0357</v>
      </c>
      <c r="AC139" s="2369" t="n">
        <v>0.2441</v>
      </c>
      <c r="AD139" s="2365" t="n"/>
      <c r="AE139" s="2365" t="n"/>
      <c r="AF139" s="2369" t="n">
        <v>0.1146</v>
      </c>
      <c r="AG139" s="2365" t="n"/>
      <c r="AH139" s="2369" t="n">
        <v>0.9322</v>
      </c>
      <c r="AI139" s="2369" t="n">
        <v>0</v>
      </c>
      <c r="AJ139" s="2369" t="n">
        <v>0.9322</v>
      </c>
      <c r="AK139" s="2369" t="n">
        <v>0.3374</v>
      </c>
      <c r="AL139" s="2365" t="n"/>
      <c r="AM139" s="2368" t="inlineStr">
        <is>
          <t>Actual; tenants pay RE tax; lower R&amp;M 2024; SF est.</t>
        </is>
      </c>
    </row>
    <row r="140" ht="14.1" customHeight="1" s="1449">
      <c r="A140" s="2358" t="inlineStr">
        <is>
          <t>P070</t>
        </is>
      </c>
      <c r="B140" s="2338" t="n">
        <v>210</v>
      </c>
      <c r="C140" s="2358" t="inlineStr">
        <is>
          <t>R0084242</t>
        </is>
      </c>
      <c r="D140" s="2358" t="inlineStr">
        <is>
          <t>Upland Dist Ctr I (Bldg 1)</t>
        </is>
      </c>
      <c r="E140" s="2358" t="inlineStr">
        <is>
          <t>Aurora</t>
        </is>
      </c>
      <c r="F140" s="2358" t="inlineStr">
        <is>
          <t>CO</t>
        </is>
      </c>
      <c r="G140" s="2358" t="inlineStr">
        <is>
          <t>Industrial</t>
        </is>
      </c>
      <c r="H140" s="2358" t="inlineStr">
        <is>
          <t>Multi-Tenant Industrial NNN</t>
        </is>
      </c>
      <c r="I140" s="2359" t="n"/>
      <c r="J140" s="2359" t="n"/>
      <c r="K140" s="2359" t="n">
        <v>2024</v>
      </c>
      <c r="L140" s="2370" t="n">
        <v>693913</v>
      </c>
      <c r="M140" s="2358" t="n"/>
      <c r="N140" s="2370" t="n">
        <v>1038740</v>
      </c>
      <c r="O140" s="2370" t="n">
        <v>10142</v>
      </c>
      <c r="P140" s="2370" t="n">
        <v>11589</v>
      </c>
      <c r="Q140" s="2358" t="n"/>
      <c r="R140" s="2358" t="n"/>
      <c r="S140" s="2370" t="n">
        <v>10801</v>
      </c>
      <c r="T140" s="2370" t="n">
        <v>2121</v>
      </c>
      <c r="U140" s="2358" t="n"/>
      <c r="V140" s="2358" t="n"/>
      <c r="W140" s="2358" t="n"/>
      <c r="X140" s="2370" t="n">
        <v>1602</v>
      </c>
      <c r="Y140" s="2370" t="n">
        <v>14524</v>
      </c>
      <c r="Z140" s="2358" t="n"/>
      <c r="AA140" s="2370" t="n">
        <v>10822</v>
      </c>
      <c r="AB140" s="2370" t="n">
        <v>32162</v>
      </c>
      <c r="AC140" s="2370" t="n">
        <v>3096</v>
      </c>
      <c r="AD140" s="2370" t="n">
        <v>10863</v>
      </c>
      <c r="AE140" s="2358" t="n"/>
      <c r="AF140" s="2370" t="n">
        <v>10863</v>
      </c>
      <c r="AG140" s="2358" t="n"/>
      <c r="AH140" s="2370" t="n">
        <v>103843</v>
      </c>
      <c r="AI140" s="2370" t="n">
        <v>285245</v>
      </c>
      <c r="AJ140" s="2370" t="n">
        <v>389088</v>
      </c>
      <c r="AK140" s="2370" t="n">
        <v>649652</v>
      </c>
      <c r="AL140" s="2358" t="n"/>
      <c r="AM140" s="2361" t="inlineStr">
        <is>
          <t>[NO SF] Link Logistics actual accrual; security $3,096 in contract; mgmt non-billable</t>
        </is>
      </c>
    </row>
    <row r="141" ht="14.1" customHeight="1" s="1449">
      <c r="A141" s="2339" t="inlineStr">
        <is>
          <t>P070</t>
        </is>
      </c>
      <c r="B141" s="2338" t="n">
        <v>210</v>
      </c>
      <c r="C141" s="2339" t="inlineStr">
        <is>
          <t>R0084242</t>
        </is>
      </c>
      <c r="D141" s="2339" t="inlineStr">
        <is>
          <t>Upland Dist Ctr I (Bldg 1)</t>
        </is>
      </c>
      <c r="E141" s="2339" t="inlineStr">
        <is>
          <t>Aurora</t>
        </is>
      </c>
      <c r="F141" s="2339" t="inlineStr">
        <is>
          <t>CO</t>
        </is>
      </c>
      <c r="G141" s="2339" t="inlineStr">
        <is>
          <t>Industrial</t>
        </is>
      </c>
      <c r="H141" s="2339" t="inlineStr">
        <is>
          <t>Multi-Tenant Industrial NNN</t>
        </is>
      </c>
      <c r="I141" s="2362" t="n"/>
      <c r="J141" s="2362" t="n"/>
      <c r="K141" s="2362" t="n">
        <v>2023</v>
      </c>
      <c r="L141" s="2371" t="n">
        <v>636291</v>
      </c>
      <c r="M141" s="2339" t="n"/>
      <c r="N141" s="2371" t="n">
        <v>1062200</v>
      </c>
      <c r="O141" s="2371" t="n">
        <v>7751</v>
      </c>
      <c r="P141" s="2371" t="n">
        <v>9831</v>
      </c>
      <c r="Q141" s="2339" t="n"/>
      <c r="R141" s="2339" t="n"/>
      <c r="S141" s="2371" t="n">
        <v>6802</v>
      </c>
      <c r="T141" s="2371" t="n">
        <v>2340</v>
      </c>
      <c r="U141" s="2339" t="n"/>
      <c r="V141" s="2339" t="n"/>
      <c r="W141" s="2339" t="n"/>
      <c r="X141" s="2371" t="n">
        <v>1498</v>
      </c>
      <c r="Y141" s="2371" t="n">
        <v>10640</v>
      </c>
      <c r="Z141" s="2339" t="n"/>
      <c r="AA141" s="2371" t="n">
        <v>12695</v>
      </c>
      <c r="AB141" s="2371" t="n">
        <v>15327</v>
      </c>
      <c r="AC141" s="2371" t="n">
        <v>3871</v>
      </c>
      <c r="AD141" s="2371" t="n">
        <v>18104</v>
      </c>
      <c r="AE141" s="2339" t="n"/>
      <c r="AF141" s="2371" t="n">
        <v>18104</v>
      </c>
      <c r="AG141" s="2339" t="n"/>
      <c r="AH141" s="2371" t="n">
        <v>93172</v>
      </c>
      <c r="AI141" s="2371" t="n">
        <v>284308</v>
      </c>
      <c r="AJ141" s="2371" t="n">
        <v>377480</v>
      </c>
      <c r="AK141" s="2371" t="n">
        <v>684720</v>
      </c>
      <c r="AL141" s="2339" t="n"/>
      <c r="AM141" s="2364" t="inlineStr">
        <is>
          <t>[NO SF] Link Logistics actual accrual; security $3,871 in contract; mgmt non-billable</t>
        </is>
      </c>
    </row>
    <row r="142" ht="14.1" customHeight="1" s="1449">
      <c r="A142" s="2358" t="inlineStr">
        <is>
          <t>P071</t>
        </is>
      </c>
      <c r="B142" s="2338" t="n">
        <v>210</v>
      </c>
      <c r="C142" s="2358" t="inlineStr">
        <is>
          <t>R0084243</t>
        </is>
      </c>
      <c r="D142" s="2358" t="inlineStr">
        <is>
          <t>Upland Dist Ctr I (Bldg 2)</t>
        </is>
      </c>
      <c r="E142" s="2358" t="inlineStr">
        <is>
          <t>Aurora</t>
        </is>
      </c>
      <c r="F142" s="2358" t="inlineStr">
        <is>
          <t>CO</t>
        </is>
      </c>
      <c r="G142" s="2358" t="inlineStr">
        <is>
          <t>Industrial</t>
        </is>
      </c>
      <c r="H142" s="2358" t="inlineStr">
        <is>
          <t>Multi-Tenant Industrial NNN</t>
        </is>
      </c>
      <c r="I142" s="2359" t="n"/>
      <c r="J142" s="2359" t="n"/>
      <c r="K142" s="2359" t="n">
        <v>2024</v>
      </c>
      <c r="L142" s="2370" t="n">
        <v>559154</v>
      </c>
      <c r="M142" s="2358" t="n"/>
      <c r="N142" s="2370" t="n">
        <v>904777</v>
      </c>
      <c r="O142" s="2370" t="n">
        <v>9318</v>
      </c>
      <c r="P142" s="2370" t="n">
        <v>8966</v>
      </c>
      <c r="Q142" s="2358" t="n"/>
      <c r="R142" s="2358" t="n"/>
      <c r="S142" s="2370" t="n">
        <v>5962</v>
      </c>
      <c r="T142" s="2370" t="n">
        <v>2221</v>
      </c>
      <c r="U142" s="2370" t="n">
        <v>2465</v>
      </c>
      <c r="V142" s="2358" t="n"/>
      <c r="W142" s="2358" t="n"/>
      <c r="X142" s="2370" t="n">
        <v>1589</v>
      </c>
      <c r="Y142" s="2370" t="n">
        <v>12237</v>
      </c>
      <c r="Z142" s="2358" t="n"/>
      <c r="AA142" s="2370" t="n">
        <v>11302</v>
      </c>
      <c r="AB142" s="2370" t="n">
        <v>32413</v>
      </c>
      <c r="AC142" s="2370" t="n">
        <v>3096</v>
      </c>
      <c r="AD142" s="2370" t="n">
        <v>23773</v>
      </c>
      <c r="AE142" s="2358" t="n"/>
      <c r="AF142" s="2370" t="n">
        <v>23773</v>
      </c>
      <c r="AG142" s="2358" t="n"/>
      <c r="AH142" s="2370" t="n">
        <v>130296</v>
      </c>
      <c r="AI142" s="2370" t="n">
        <v>265848</v>
      </c>
      <c r="AJ142" s="2370" t="n">
        <v>396144</v>
      </c>
      <c r="AK142" s="2370" t="n">
        <v>508633</v>
      </c>
      <c r="AL142" s="2358" t="n"/>
      <c r="AM142" s="2361" t="inlineStr">
        <is>
          <t>[NO SF] Link Logistics actual accrual</t>
        </is>
      </c>
    </row>
    <row r="143" ht="14.1" customHeight="1" s="1449">
      <c r="A143" s="2339" t="inlineStr">
        <is>
          <t>P071</t>
        </is>
      </c>
      <c r="B143" s="2338" t="n">
        <v>210</v>
      </c>
      <c r="C143" s="2339" t="inlineStr">
        <is>
          <t>R0084243</t>
        </is>
      </c>
      <c r="D143" s="2339" t="inlineStr">
        <is>
          <t>Upland Dist Ctr I (Bldg 2)</t>
        </is>
      </c>
      <c r="E143" s="2339" t="inlineStr">
        <is>
          <t>Aurora</t>
        </is>
      </c>
      <c r="F143" s="2339" t="inlineStr">
        <is>
          <t>CO</t>
        </is>
      </c>
      <c r="G143" s="2339" t="inlineStr">
        <is>
          <t>Industrial</t>
        </is>
      </c>
      <c r="H143" s="2339" t="inlineStr">
        <is>
          <t>Multi-Tenant Industrial NNN</t>
        </is>
      </c>
      <c r="I143" s="2362" t="n"/>
      <c r="J143" s="2362" t="n"/>
      <c r="K143" s="2362" t="n">
        <v>2023</v>
      </c>
      <c r="L143" s="2371" t="n">
        <v>671895</v>
      </c>
      <c r="M143" s="2339" t="n"/>
      <c r="N143" s="2371" t="n">
        <v>1034507</v>
      </c>
      <c r="O143" s="2371" t="n">
        <v>7124</v>
      </c>
      <c r="P143" s="2371" t="n">
        <v>9660</v>
      </c>
      <c r="Q143" s="2339" t="n"/>
      <c r="R143" s="2339" t="n"/>
      <c r="S143" s="2371" t="n">
        <v>5338</v>
      </c>
      <c r="T143" s="2371" t="n">
        <v>2480</v>
      </c>
      <c r="U143" s="2371" t="n">
        <v>875</v>
      </c>
      <c r="V143" s="2339" t="n"/>
      <c r="W143" s="2339" t="n"/>
      <c r="X143" s="2371" t="n">
        <v>1484</v>
      </c>
      <c r="Y143" s="2371" t="n">
        <v>10177</v>
      </c>
      <c r="Z143" s="2339" t="n"/>
      <c r="AA143" s="2371" t="n">
        <v>8120</v>
      </c>
      <c r="AB143" s="2371" t="n">
        <v>15088</v>
      </c>
      <c r="AC143" s="2371" t="n">
        <v>3871</v>
      </c>
      <c r="AD143" s="2371" t="n">
        <v>13983</v>
      </c>
      <c r="AE143" s="2339" t="n"/>
      <c r="AF143" s="2371" t="n">
        <v>13983</v>
      </c>
      <c r="AG143" s="2339" t="n"/>
      <c r="AH143" s="2371" t="n">
        <v>29277</v>
      </c>
      <c r="AI143" s="2371" t="n">
        <v>265936</v>
      </c>
      <c r="AJ143" s="2371" t="n">
        <v>295213</v>
      </c>
      <c r="AK143" s="2371" t="n">
        <v>739294</v>
      </c>
      <c r="AL143" s="2339" t="n"/>
      <c r="AM143" s="2364" t="inlineStr">
        <is>
          <t>[NO SF] Link Logistics actual accrual</t>
        </is>
      </c>
    </row>
    <row r="144" ht="14.1" customHeight="1" s="1449">
      <c r="A144" s="2358" t="inlineStr">
        <is>
          <t>P072</t>
        </is>
      </c>
      <c r="B144" s="2338" t="n">
        <v>210</v>
      </c>
      <c r="C144" s="2358" t="inlineStr">
        <is>
          <t>R0084244</t>
        </is>
      </c>
      <c r="D144" s="2358" t="inlineStr">
        <is>
          <t>Upland Dist Ctr I (Bldg 3)</t>
        </is>
      </c>
      <c r="E144" s="2358" t="inlineStr">
        <is>
          <t>Aurora</t>
        </is>
      </c>
      <c r="F144" s="2358" t="inlineStr">
        <is>
          <t>CO</t>
        </is>
      </c>
      <c r="G144" s="2358" t="inlineStr">
        <is>
          <t>Industrial</t>
        </is>
      </c>
      <c r="H144" s="2358" t="inlineStr">
        <is>
          <t>Multi-Tenant Industrial NNN</t>
        </is>
      </c>
      <c r="I144" s="2359" t="n"/>
      <c r="J144" s="2359" t="n"/>
      <c r="K144" s="2359" t="n">
        <v>2023</v>
      </c>
      <c r="L144" s="2370" t="n">
        <v>633240</v>
      </c>
      <c r="M144" s="2358" t="n"/>
      <c r="N144" s="2370" t="n">
        <v>1026818</v>
      </c>
      <c r="O144" s="2370" t="n">
        <v>6101</v>
      </c>
      <c r="P144" s="2370" t="n">
        <v>8518</v>
      </c>
      <c r="Q144" s="2358" t="n"/>
      <c r="R144" s="2358" t="n"/>
      <c r="S144" s="2370" t="n">
        <v>32990</v>
      </c>
      <c r="T144" s="2370" t="n">
        <v>1965</v>
      </c>
      <c r="U144" s="2358" t="n"/>
      <c r="V144" s="2358" t="n"/>
      <c r="W144" s="2358" t="n"/>
      <c r="X144" s="2370" t="n">
        <v>1498</v>
      </c>
      <c r="Y144" s="2370" t="n">
        <v>34453</v>
      </c>
      <c r="Z144" s="2358" t="n"/>
      <c r="AA144" s="2370" t="n">
        <v>11861</v>
      </c>
      <c r="AB144" s="2370" t="n">
        <v>15620</v>
      </c>
      <c r="AC144" s="2370" t="n">
        <v>3871</v>
      </c>
      <c r="AD144" s="2370" t="n">
        <v>5672</v>
      </c>
      <c r="AE144" s="2370" t="n">
        <v>3430</v>
      </c>
      <c r="AF144" s="2370" t="n">
        <v>9102</v>
      </c>
      <c r="AG144" s="2358" t="n"/>
      <c r="AH144" s="2370" t="n">
        <v>107544</v>
      </c>
      <c r="AI144" s="2370" t="n">
        <v>284308</v>
      </c>
      <c r="AJ144" s="2370" t="n">
        <v>391852</v>
      </c>
      <c r="AK144" s="2370" t="n">
        <v>634966</v>
      </c>
      <c r="AL144" s="2358" t="n"/>
      <c r="AM144" s="2361" t="inlineStr">
        <is>
          <t>[NO SF] Link Logistics 2023 only; large warehouse; notable free rent ($111k) and lease-up period</t>
        </is>
      </c>
    </row>
    <row r="145" ht="14.1" customHeight="1" s="1449">
      <c r="A145" s="2339" t="inlineStr">
        <is>
          <t>P073</t>
        </is>
      </c>
      <c r="B145" s="2338" t="n">
        <v>210</v>
      </c>
      <c r="C145" s="2339" t="inlineStr">
        <is>
          <t>R0084247</t>
        </is>
      </c>
      <c r="D145" s="2339" t="inlineStr">
        <is>
          <t>13802 E 33rd Place</t>
        </is>
      </c>
      <c r="E145" s="2339" t="inlineStr">
        <is>
          <t>Aurora</t>
        </is>
      </c>
      <c r="F145" s="2339" t="inlineStr">
        <is>
          <t>CO</t>
        </is>
      </c>
      <c r="G145" s="2339" t="inlineStr">
        <is>
          <t>Industrial</t>
        </is>
      </c>
      <c r="H145" s="2339" t="inlineStr">
        <is>
          <t>Multi-Tenant Industrial NNN</t>
        </is>
      </c>
      <c r="I145" s="2362" t="n"/>
      <c r="J145" s="2362" t="n"/>
      <c r="K145" s="2362" t="n">
        <v>2024</v>
      </c>
      <c r="L145" s="2371" t="n">
        <v>318721</v>
      </c>
      <c r="M145" s="2339" t="n"/>
      <c r="N145" s="2371" t="n">
        <v>578332</v>
      </c>
      <c r="O145" s="2371" t="n">
        <v>7156</v>
      </c>
      <c r="P145" s="2371" t="n">
        <v>5471</v>
      </c>
      <c r="Q145" s="2339" t="n"/>
      <c r="R145" s="2339" t="n"/>
      <c r="S145" s="2371" t="n">
        <v>8874</v>
      </c>
      <c r="T145" s="2371" t="n">
        <v>1655</v>
      </c>
      <c r="U145" s="2339" t="n"/>
      <c r="V145" s="2339" t="n"/>
      <c r="W145" s="2339" t="n"/>
      <c r="X145" s="2371" t="n">
        <v>1556</v>
      </c>
      <c r="Y145" s="2371" t="n">
        <v>12085</v>
      </c>
      <c r="Z145" s="2339" t="n"/>
      <c r="AA145" s="2371" t="n">
        <v>9686</v>
      </c>
      <c r="AB145" s="2371" t="n">
        <v>20653</v>
      </c>
      <c r="AC145" s="2371" t="n">
        <v>6987</v>
      </c>
      <c r="AD145" s="2371" t="n">
        <v>10547</v>
      </c>
      <c r="AE145" s="2371" t="n">
        <v>1600</v>
      </c>
      <c r="AF145" s="2371" t="n">
        <v>12147</v>
      </c>
      <c r="AG145" s="2339" t="n"/>
      <c r="AH145" s="2371" t="n">
        <v>91002</v>
      </c>
      <c r="AI145" s="2371" t="n">
        <v>204010</v>
      </c>
      <c r="AJ145" s="2371" t="n">
        <v>295012</v>
      </c>
      <c r="AK145" s="2371" t="n">
        <v>283320</v>
      </c>
      <c r="AL145" s="2339" t="n"/>
      <c r="AM145" s="2364" t="inlineStr">
        <is>
          <t>[NO SF] Link Logistics actual accrual</t>
        </is>
      </c>
    </row>
    <row r="146" ht="14.1" customHeight="1" s="1449">
      <c r="A146" s="2358" t="inlineStr">
        <is>
          <t>P073</t>
        </is>
      </c>
      <c r="B146" s="2338" t="n">
        <v>210</v>
      </c>
      <c r="C146" s="2358" t="inlineStr">
        <is>
          <t>R0084247</t>
        </is>
      </c>
      <c r="D146" s="2358" t="inlineStr">
        <is>
          <t>13802 E 33rd Place</t>
        </is>
      </c>
      <c r="E146" s="2358" t="inlineStr">
        <is>
          <t>Aurora</t>
        </is>
      </c>
      <c r="F146" s="2358" t="inlineStr">
        <is>
          <t>CO</t>
        </is>
      </c>
      <c r="G146" s="2358" t="inlineStr">
        <is>
          <t>Industrial</t>
        </is>
      </c>
      <c r="H146" s="2358" t="inlineStr">
        <is>
          <t>Multi-Tenant Industrial NNN</t>
        </is>
      </c>
      <c r="I146" s="2359" t="n"/>
      <c r="J146" s="2359" t="n"/>
      <c r="K146" s="2359" t="n">
        <v>2023</v>
      </c>
      <c r="L146" s="2370" t="n">
        <v>394581</v>
      </c>
      <c r="M146" s="2358" t="n"/>
      <c r="N146" s="2370" t="n">
        <v>671481</v>
      </c>
      <c r="O146" s="2370" t="n">
        <v>6075</v>
      </c>
      <c r="P146" s="2370" t="n">
        <v>5987</v>
      </c>
      <c r="Q146" s="2358" t="n"/>
      <c r="R146" s="2358" t="n"/>
      <c r="S146" s="2370" t="n">
        <v>7762</v>
      </c>
      <c r="T146" s="2370" t="n">
        <v>1575</v>
      </c>
      <c r="U146" s="2358" t="n"/>
      <c r="V146" s="2358" t="n"/>
      <c r="W146" s="2358" t="n"/>
      <c r="X146" s="2370" t="n">
        <v>1452</v>
      </c>
      <c r="Y146" s="2370" t="n">
        <v>10789</v>
      </c>
      <c r="Z146" s="2358" t="n"/>
      <c r="AA146" s="2370" t="n">
        <v>11249</v>
      </c>
      <c r="AB146" s="2370" t="n">
        <v>12318</v>
      </c>
      <c r="AC146" s="2370" t="n">
        <v>6967</v>
      </c>
      <c r="AD146" s="2370" t="n">
        <v>11424</v>
      </c>
      <c r="AE146" s="2370" t="n">
        <v>1898</v>
      </c>
      <c r="AF146" s="2370" t="n">
        <v>13322</v>
      </c>
      <c r="AG146" s="2358" t="n"/>
      <c r="AH146" s="2370" t="n">
        <v>37127</v>
      </c>
      <c r="AI146" s="2370" t="n">
        <v>204497</v>
      </c>
      <c r="AJ146" s="2370" t="n">
        <v>241624</v>
      </c>
      <c r="AK146" s="2370" t="n">
        <v>429857</v>
      </c>
      <c r="AL146" s="2358" t="n"/>
      <c r="AM146" s="2361" t="inlineStr">
        <is>
          <t>[NO SF] Link Logistics actual accrual</t>
        </is>
      </c>
    </row>
    <row r="147" ht="14.1" customHeight="1" s="1449">
      <c r="A147" s="2339" t="inlineStr">
        <is>
          <t>P074</t>
        </is>
      </c>
      <c r="B147" s="2338" t="n">
        <v>210</v>
      </c>
      <c r="C147" s="2339" t="inlineStr">
        <is>
          <t>R0084248</t>
        </is>
      </c>
      <c r="D147" s="2339" t="inlineStr">
        <is>
          <t>14002 E 33rd Place</t>
        </is>
      </c>
      <c r="E147" s="2339" t="inlineStr">
        <is>
          <t>Aurora</t>
        </is>
      </c>
      <c r="F147" s="2339" t="inlineStr">
        <is>
          <t>CO</t>
        </is>
      </c>
      <c r="G147" s="2339" t="inlineStr">
        <is>
          <t>Industrial</t>
        </is>
      </c>
      <c r="H147" s="2339" t="inlineStr">
        <is>
          <t>Multi-Tenant Industrial NNN</t>
        </is>
      </c>
      <c r="I147" s="2362" t="n"/>
      <c r="J147" s="2362" t="n"/>
      <c r="K147" s="2362" t="n">
        <v>2024</v>
      </c>
      <c r="L147" s="2371" t="n">
        <v>352733</v>
      </c>
      <c r="M147" s="2339" t="n"/>
      <c r="N147" s="2371" t="n">
        <v>649568</v>
      </c>
      <c r="O147" s="2371" t="n">
        <v>6988</v>
      </c>
      <c r="P147" s="2371" t="n">
        <v>6207</v>
      </c>
      <c r="Q147" s="2339" t="n"/>
      <c r="R147" s="2339" t="n"/>
      <c r="S147" s="2371" t="n">
        <v>16981</v>
      </c>
      <c r="T147" s="2371" t="n">
        <v>1800</v>
      </c>
      <c r="U147" s="2339" t="n"/>
      <c r="V147" s="2339" t="n"/>
      <c r="W147" s="2339" t="n"/>
      <c r="X147" s="2371" t="n">
        <v>1556</v>
      </c>
      <c r="Y147" s="2371" t="n">
        <v>20337</v>
      </c>
      <c r="Z147" s="2339" t="n"/>
      <c r="AA147" s="2371" t="n">
        <v>8036</v>
      </c>
      <c r="AB147" s="2371" t="n">
        <v>22795</v>
      </c>
      <c r="AC147" s="2371" t="n">
        <v>6988</v>
      </c>
      <c r="AD147" s="2371" t="n">
        <v>8875</v>
      </c>
      <c r="AE147" s="2339" t="n"/>
      <c r="AF147" s="2371" t="n">
        <v>8875</v>
      </c>
      <c r="AG147" s="2339" t="n"/>
      <c r="AH147" s="2371" t="n">
        <v>94654</v>
      </c>
      <c r="AI147" s="2371" t="n">
        <v>204010</v>
      </c>
      <c r="AJ147" s="2371" t="n">
        <v>298664</v>
      </c>
      <c r="AK147" s="2371" t="n">
        <v>350904</v>
      </c>
      <c r="AL147" s="2339" t="n"/>
      <c r="AM147" s="2364" t="inlineStr">
        <is>
          <t>[NO SF] Link Logistics actual; 2023 RE tax net $53k refund; 2024 normal rate</t>
        </is>
      </c>
    </row>
    <row r="148" ht="14.1" customHeight="1" s="1449">
      <c r="A148" s="2358" t="inlineStr">
        <is>
          <t>P074</t>
        </is>
      </c>
      <c r="B148" s="2338" t="n">
        <v>210</v>
      </c>
      <c r="C148" s="2358" t="inlineStr">
        <is>
          <t>R0084248</t>
        </is>
      </c>
      <c r="D148" s="2358" t="inlineStr">
        <is>
          <t>14002 E 33rd Place</t>
        </is>
      </c>
      <c r="E148" s="2358" t="inlineStr">
        <is>
          <t>Aurora</t>
        </is>
      </c>
      <c r="F148" s="2358" t="inlineStr">
        <is>
          <t>CO</t>
        </is>
      </c>
      <c r="G148" s="2358" t="inlineStr">
        <is>
          <t>Industrial</t>
        </is>
      </c>
      <c r="H148" s="2358" t="inlineStr">
        <is>
          <t>Multi-Tenant Industrial NNN</t>
        </is>
      </c>
      <c r="I148" s="2359" t="n"/>
      <c r="J148" s="2359" t="n"/>
      <c r="K148" s="2359" t="n">
        <v>2023</v>
      </c>
      <c r="L148" s="2370" t="n">
        <v>345583</v>
      </c>
      <c r="M148" s="2358" t="n"/>
      <c r="N148" s="2370" t="n">
        <v>582999</v>
      </c>
      <c r="O148" s="2370" t="n">
        <v>6051</v>
      </c>
      <c r="P148" s="2370" t="n">
        <v>6115</v>
      </c>
      <c r="Q148" s="2358" t="n"/>
      <c r="R148" s="2358" t="n"/>
      <c r="S148" s="2370" t="n">
        <v>4932</v>
      </c>
      <c r="T148" s="2370" t="n">
        <v>1822</v>
      </c>
      <c r="U148" s="2358" t="n"/>
      <c r="V148" s="2358" t="n"/>
      <c r="W148" s="2358" t="n"/>
      <c r="X148" s="2370" t="n">
        <v>1452</v>
      </c>
      <c r="Y148" s="2370" t="n">
        <v>8206</v>
      </c>
      <c r="Z148" s="2358" t="n"/>
      <c r="AA148" s="2370" t="n">
        <v>6275</v>
      </c>
      <c r="AB148" s="2370" t="n">
        <v>13573</v>
      </c>
      <c r="AC148" s="2370" t="n">
        <v>6967</v>
      </c>
      <c r="AD148" s="2370" t="n">
        <v>11933</v>
      </c>
      <c r="AE148" s="2358" t="n"/>
      <c r="AF148" s="2370" t="n">
        <v>11933</v>
      </c>
      <c r="AG148" s="2358" t="n"/>
      <c r="AH148" s="2370" t="n">
        <v>71541</v>
      </c>
      <c r="AI148" s="2370" t="n">
        <v>162088</v>
      </c>
      <c r="AJ148" s="2370" t="n">
        <v>233629</v>
      </c>
      <c r="AK148" s="2370" t="n">
        <v>349370</v>
      </c>
      <c r="AL148" s="2358" t="n"/>
      <c r="AM148" s="2361" t="inlineStr">
        <is>
          <t>[NO SF] Link Logistics actual; 2023 RE tax net $53k refund; 2024 normal rate</t>
        </is>
      </c>
    </row>
    <row r="149" ht="14.1" customHeight="1" s="1449">
      <c r="A149" s="2339" t="inlineStr">
        <is>
          <t>P075</t>
        </is>
      </c>
      <c r="B149" s="2338" t="n">
        <v>210</v>
      </c>
      <c r="C149" s="2339" t="inlineStr">
        <is>
          <t>R0084250</t>
        </is>
      </c>
      <c r="D149" s="2339" t="inlineStr">
        <is>
          <t>3250 Abilene Street</t>
        </is>
      </c>
      <c r="E149" s="2339" t="inlineStr">
        <is>
          <t>Aurora</t>
        </is>
      </c>
      <c r="F149" s="2339" t="inlineStr">
        <is>
          <t>CO</t>
        </is>
      </c>
      <c r="G149" s="2339" t="inlineStr">
        <is>
          <t>Industrial</t>
        </is>
      </c>
      <c r="H149" s="2339" t="inlineStr">
        <is>
          <t>Multi-Tenant Industrial NNN</t>
        </is>
      </c>
      <c r="I149" s="2362" t="n"/>
      <c r="J149" s="2362" t="n"/>
      <c r="K149" s="2362" t="n">
        <v>2024</v>
      </c>
      <c r="L149" s="2371" t="n">
        <v>406844</v>
      </c>
      <c r="M149" s="2339" t="n"/>
      <c r="N149" s="2371" t="n">
        <v>797212</v>
      </c>
      <c r="O149" s="2371" t="n">
        <v>45992</v>
      </c>
      <c r="P149" s="2371" t="n">
        <v>6921</v>
      </c>
      <c r="Q149" s="2339" t="n"/>
      <c r="R149" s="2339" t="n"/>
      <c r="S149" s="2371" t="n">
        <v>10380</v>
      </c>
      <c r="T149" s="2371" t="n">
        <v>3470</v>
      </c>
      <c r="U149" s="2371" t="n">
        <v>2000</v>
      </c>
      <c r="V149" s="2339" t="n"/>
      <c r="W149" s="2339" t="n"/>
      <c r="X149" s="2371" t="n">
        <v>1676</v>
      </c>
      <c r="Y149" s="2371" t="n">
        <v>17526</v>
      </c>
      <c r="Z149" s="2339" t="n"/>
      <c r="AA149" s="2371" t="n">
        <v>8417</v>
      </c>
      <c r="AB149" s="2371" t="n">
        <v>30101</v>
      </c>
      <c r="AC149" s="2371" t="n">
        <v>8211</v>
      </c>
      <c r="AD149" s="2371" t="n">
        <v>12042</v>
      </c>
      <c r="AE149" s="2371" t="n">
        <v>3218</v>
      </c>
      <c r="AF149" s="2371" t="n">
        <v>15260</v>
      </c>
      <c r="AG149" s="2339" t="n"/>
      <c r="AH149" s="2371" t="n">
        <v>180865</v>
      </c>
      <c r="AI149" s="2371" t="n">
        <v>410137</v>
      </c>
      <c r="AJ149" s="2371" t="n">
        <v>591002</v>
      </c>
      <c r="AK149" s="2371" t="n">
        <v>206210</v>
      </c>
      <c r="AL149" s="2339" t="n"/>
      <c r="AM149" s="2364" t="inlineStr">
        <is>
          <t>[NO SF] Link Logistics actual; 2024 tenant turnover – NOI depressed; base rent $787k→$407k; 2024 ins inflated by $25k deductible</t>
        </is>
      </c>
    </row>
    <row r="150" ht="14.1" customHeight="1" s="1449">
      <c r="A150" s="2358" t="inlineStr">
        <is>
          <t>P075</t>
        </is>
      </c>
      <c r="B150" s="2338" t="n">
        <v>210</v>
      </c>
      <c r="C150" s="2358" t="inlineStr">
        <is>
          <t>R0084250</t>
        </is>
      </c>
      <c r="D150" s="2358" t="inlineStr">
        <is>
          <t>3250 Abilene Street</t>
        </is>
      </c>
      <c r="E150" s="2358" t="inlineStr">
        <is>
          <t>Aurora</t>
        </is>
      </c>
      <c r="F150" s="2358" t="inlineStr">
        <is>
          <t>CO</t>
        </is>
      </c>
      <c r="G150" s="2358" t="inlineStr">
        <is>
          <t>Industrial</t>
        </is>
      </c>
      <c r="H150" s="2358" t="inlineStr">
        <is>
          <t>Multi-Tenant Industrial NNN</t>
        </is>
      </c>
      <c r="I150" s="2359" t="n"/>
      <c r="J150" s="2359" t="n"/>
      <c r="K150" s="2359" t="n">
        <v>2023</v>
      </c>
      <c r="L150" s="2370" t="n">
        <v>787792</v>
      </c>
      <c r="M150" s="2358" t="n"/>
      <c r="N150" s="2370" t="n">
        <v>1333856</v>
      </c>
      <c r="O150" s="2370" t="n">
        <v>12351</v>
      </c>
      <c r="P150" s="2370" t="n">
        <v>13140</v>
      </c>
      <c r="Q150" s="2358" t="n"/>
      <c r="R150" s="2358" t="n"/>
      <c r="S150" s="2370" t="n">
        <v>10370</v>
      </c>
      <c r="T150" s="2370" t="n">
        <v>3061</v>
      </c>
      <c r="U150" s="2370" t="n">
        <v>0</v>
      </c>
      <c r="V150" s="2358" t="n"/>
      <c r="W150" s="2358" t="n"/>
      <c r="X150" s="2370" t="n">
        <v>1572</v>
      </c>
      <c r="Y150" s="2370" t="n">
        <v>15003</v>
      </c>
      <c r="Z150" s="2358" t="n"/>
      <c r="AA150" s="2370" t="n">
        <v>24879</v>
      </c>
      <c r="AB150" s="2370" t="n">
        <v>16871</v>
      </c>
      <c r="AC150" s="2370" t="n">
        <v>7678</v>
      </c>
      <c r="AD150" s="2370" t="n">
        <v>12785</v>
      </c>
      <c r="AE150" s="2358" t="n"/>
      <c r="AF150" s="2370" t="n">
        <v>12785</v>
      </c>
      <c r="AG150" s="2358" t="n"/>
      <c r="AH150" s="2370" t="n">
        <v>123031</v>
      </c>
      <c r="AI150" s="2370" t="n">
        <v>409295</v>
      </c>
      <c r="AJ150" s="2370" t="n">
        <v>532326</v>
      </c>
      <c r="AK150" s="2370" t="n">
        <v>801530</v>
      </c>
      <c r="AL150" s="2358" t="n"/>
      <c r="AM150" s="2361" t="inlineStr">
        <is>
          <t>[NO SF] Link Logistics actual; 2023 stable; 2024 ins inflated by $25k deductible</t>
        </is>
      </c>
    </row>
    <row r="151" ht="14.1" customHeight="1" s="1449">
      <c r="A151" s="2339" t="inlineStr">
        <is>
          <t>P076</t>
        </is>
      </c>
      <c r="B151" s="2338" t="n">
        <v>210</v>
      </c>
      <c r="C151" s="2339" t="inlineStr">
        <is>
          <t>R0084253</t>
        </is>
      </c>
      <c r="D151" s="2339" t="inlineStr">
        <is>
          <t>14509 E 33rd Place</t>
        </is>
      </c>
      <c r="E151" s="2339" t="inlineStr">
        <is>
          <t>Aurora</t>
        </is>
      </c>
      <c r="F151" s="2339" t="inlineStr">
        <is>
          <t>CO</t>
        </is>
      </c>
      <c r="G151" s="2339" t="inlineStr">
        <is>
          <t>Industrial</t>
        </is>
      </c>
      <c r="H151" s="2339" t="inlineStr">
        <is>
          <t>Multi-Tenant Industrial NNN</t>
        </is>
      </c>
      <c r="I151" s="2362" t="n"/>
      <c r="J151" s="2362" t="n"/>
      <c r="K151" s="2362" t="n">
        <v>2024</v>
      </c>
      <c r="L151" s="2371" t="n">
        <v>987101</v>
      </c>
      <c r="M151" s="2339" t="n"/>
      <c r="N151" s="2371" t="n">
        <v>1613814</v>
      </c>
      <c r="O151" s="2371" t="n">
        <v>26027</v>
      </c>
      <c r="P151" s="2371" t="n">
        <v>17785</v>
      </c>
      <c r="Q151" s="2339" t="n"/>
      <c r="R151" s="2339" t="n"/>
      <c r="S151" s="2371" t="n">
        <v>9496</v>
      </c>
      <c r="T151" s="2371" t="n">
        <v>2104</v>
      </c>
      <c r="U151" s="2339" t="n"/>
      <c r="V151" s="2339" t="n"/>
      <c r="W151" s="2339" t="n"/>
      <c r="X151" s="2371" t="n">
        <v>1676</v>
      </c>
      <c r="Y151" s="2371" t="n">
        <v>13276</v>
      </c>
      <c r="Z151" s="2339" t="n"/>
      <c r="AA151" s="2371" t="n">
        <v>11885</v>
      </c>
      <c r="AB151" s="2371" t="n">
        <v>37419</v>
      </c>
      <c r="AC151" s="2371" t="n">
        <v>5705</v>
      </c>
      <c r="AD151" s="2371" t="n">
        <v>39182</v>
      </c>
      <c r="AE151" s="2371" t="n">
        <v>1573</v>
      </c>
      <c r="AF151" s="2371" t="n">
        <v>40755</v>
      </c>
      <c r="AG151" s="2339" t="n"/>
      <c r="AH151" s="2371" t="n">
        <v>178810</v>
      </c>
      <c r="AI151" s="2371" t="n">
        <v>442744</v>
      </c>
      <c r="AJ151" s="2371" t="n">
        <v>621554</v>
      </c>
      <c r="AK151" s="2371" t="n">
        <v>992260</v>
      </c>
      <c r="AL151" s="2339" t="n"/>
      <c r="AM151" s="2364" t="inlineStr">
        <is>
          <t>[NO SF] Link Logistics actual; 2023 security includes one-time $54k</t>
        </is>
      </c>
    </row>
    <row r="152" ht="14.1" customHeight="1" s="1449">
      <c r="A152" s="2358" t="inlineStr">
        <is>
          <t>P076</t>
        </is>
      </c>
      <c r="B152" s="2338" t="n">
        <v>210</v>
      </c>
      <c r="C152" s="2358" t="inlineStr">
        <is>
          <t>R0084253</t>
        </is>
      </c>
      <c r="D152" s="2358" t="inlineStr">
        <is>
          <t>14509 E 33rd Place</t>
        </is>
      </c>
      <c r="E152" s="2358" t="inlineStr">
        <is>
          <t>Aurora</t>
        </is>
      </c>
      <c r="F152" s="2358" t="inlineStr">
        <is>
          <t>CO</t>
        </is>
      </c>
      <c r="G152" s="2358" t="inlineStr">
        <is>
          <t>Industrial</t>
        </is>
      </c>
      <c r="H152" s="2358" t="inlineStr">
        <is>
          <t>Multi-Tenant Industrial NNN</t>
        </is>
      </c>
      <c r="I152" s="2359" t="n"/>
      <c r="J152" s="2359" t="n"/>
      <c r="K152" s="2359" t="n">
        <v>2023</v>
      </c>
      <c r="L152" s="2370" t="n">
        <v>932587</v>
      </c>
      <c r="M152" s="2358" t="n"/>
      <c r="N152" s="2370" t="n">
        <v>1610926</v>
      </c>
      <c r="O152" s="2370" t="n">
        <v>12903</v>
      </c>
      <c r="P152" s="2370" t="n">
        <v>15271</v>
      </c>
      <c r="Q152" s="2358" t="n"/>
      <c r="R152" s="2358" t="n"/>
      <c r="S152" s="2370" t="n">
        <v>16438</v>
      </c>
      <c r="T152" s="2370" t="n">
        <v>17000</v>
      </c>
      <c r="U152" s="2358" t="n"/>
      <c r="V152" s="2358" t="n"/>
      <c r="W152" s="2358" t="n"/>
      <c r="X152" s="2370" t="n">
        <v>1572</v>
      </c>
      <c r="Y152" s="2370" t="n">
        <v>35010</v>
      </c>
      <c r="Z152" s="2358" t="n"/>
      <c r="AA152" s="2370" t="n">
        <v>11941</v>
      </c>
      <c r="AB152" s="2370" t="n">
        <v>21409</v>
      </c>
      <c r="AC152" s="2370" t="n">
        <v>54490</v>
      </c>
      <c r="AD152" s="2370" t="n">
        <v>34733</v>
      </c>
      <c r="AE152" s="2370" t="n">
        <v>1638</v>
      </c>
      <c r="AF152" s="2370" t="n">
        <v>36371</v>
      </c>
      <c r="AG152" s="2358" t="n"/>
      <c r="AH152" s="2370" t="n">
        <v>211012</v>
      </c>
      <c r="AI152" s="2370" t="n">
        <v>441491</v>
      </c>
      <c r="AJ152" s="2370" t="n">
        <v>652503</v>
      </c>
      <c r="AK152" s="2370" t="n">
        <v>958423</v>
      </c>
      <c r="AL152" s="2358" t="n"/>
      <c r="AM152" s="2361" t="inlineStr">
        <is>
          <t>[NO SF] Link Logistics actual; 2023 security includes one-time $54k</t>
        </is>
      </c>
    </row>
    <row r="153" ht="14.1" customHeight="1" s="1449">
      <c r="A153" s="2339" t="inlineStr">
        <is>
          <t>P077</t>
        </is>
      </c>
      <c r="B153" s="2338" t="n">
        <v>210</v>
      </c>
      <c r="C153" s="2339" t="inlineStr">
        <is>
          <t>R0084253</t>
        </is>
      </c>
      <c r="D153" s="2339" t="inlineStr">
        <is>
          <t>14704 E 33rd Place</t>
        </is>
      </c>
      <c r="E153" s="2339" t="inlineStr">
        <is>
          <t>Aurora</t>
        </is>
      </c>
      <c r="F153" s="2339" t="inlineStr">
        <is>
          <t>CO</t>
        </is>
      </c>
      <c r="G153" s="2339" t="inlineStr">
        <is>
          <t>Industrial</t>
        </is>
      </c>
      <c r="H153" s="2339" t="inlineStr">
        <is>
          <t>Multi-Tenant Industrial NNN</t>
        </is>
      </c>
      <c r="I153" s="2362" t="n"/>
      <c r="J153" s="2362" t="n"/>
      <c r="K153" s="2362" t="n">
        <v>2024</v>
      </c>
      <c r="L153" s="2371" t="n">
        <v>977394</v>
      </c>
      <c r="M153" s="2339" t="n"/>
      <c r="N153" s="2371" t="n">
        <v>1537076</v>
      </c>
      <c r="O153" s="2371" t="n">
        <v>12170</v>
      </c>
      <c r="P153" s="2371" t="n">
        <v>17077</v>
      </c>
      <c r="Q153" s="2339" t="n"/>
      <c r="R153" s="2339" t="n"/>
      <c r="S153" s="2371" t="n">
        <v>10377</v>
      </c>
      <c r="T153" s="2371" t="n">
        <v>1760</v>
      </c>
      <c r="U153" s="2371" t="n">
        <v>265</v>
      </c>
      <c r="V153" s="2339" t="n"/>
      <c r="W153" s="2339" t="n"/>
      <c r="X153" s="2371" t="n">
        <v>1636</v>
      </c>
      <c r="Y153" s="2371" t="n">
        <v>13036</v>
      </c>
      <c r="Z153" s="2339" t="n"/>
      <c r="AA153" s="2371" t="n">
        <v>10043</v>
      </c>
      <c r="AB153" s="2371" t="n">
        <v>41626</v>
      </c>
      <c r="AC153" s="2371" t="n">
        <v>5705</v>
      </c>
      <c r="AD153" s="2371" t="n">
        <v>19336</v>
      </c>
      <c r="AE153" s="2371" t="n">
        <v>2462</v>
      </c>
      <c r="AF153" s="2371" t="n">
        <v>21798</v>
      </c>
      <c r="AG153" s="2339" t="n"/>
      <c r="AH153" s="2371" t="n">
        <v>228019</v>
      </c>
      <c r="AI153" s="2371" t="n">
        <v>364330</v>
      </c>
      <c r="AJ153" s="2371" t="n">
        <v>592349</v>
      </c>
      <c r="AK153" s="2371" t="n">
        <v>944727</v>
      </c>
      <c r="AL153" s="2339" t="n"/>
      <c r="AM153" s="2364" t="inlineStr">
        <is>
          <t>[NO SF] Link Logistics 2024; partial vacancy (elec/gas $124k); NOI understated excl vacancy costs</t>
        </is>
      </c>
    </row>
    <row r="154" ht="14.1" customHeight="1" s="1449">
      <c r="A154" s="2358" t="inlineStr">
        <is>
          <t>P078</t>
        </is>
      </c>
      <c r="B154" s="2338" t="n">
        <v>210</v>
      </c>
      <c r="C154" s="2358" t="inlineStr">
        <is>
          <t>R0084253</t>
        </is>
      </c>
      <c r="D154" s="2358" t="inlineStr">
        <is>
          <t>14705 E 33rd Place</t>
        </is>
      </c>
      <c r="E154" s="2358" t="inlineStr">
        <is>
          <t>Aurora</t>
        </is>
      </c>
      <c r="F154" s="2358" t="inlineStr">
        <is>
          <t>CO</t>
        </is>
      </c>
      <c r="G154" s="2358" t="inlineStr">
        <is>
          <t>Industrial</t>
        </is>
      </c>
      <c r="H154" s="2358" t="inlineStr">
        <is>
          <t>Multi-Tenant Industrial NNN</t>
        </is>
      </c>
      <c r="I154" s="2359" t="n"/>
      <c r="J154" s="2359" t="n"/>
      <c r="K154" s="2359" t="n">
        <v>2024</v>
      </c>
      <c r="L154" s="2370" t="n">
        <v>436928</v>
      </c>
      <c r="M154" s="2358" t="n"/>
      <c r="N154" s="2370" t="n">
        <v>714461</v>
      </c>
      <c r="O154" s="2370" t="n">
        <v>6456</v>
      </c>
      <c r="P154" s="2370" t="n">
        <v>6962</v>
      </c>
      <c r="Q154" s="2358" t="n"/>
      <c r="R154" s="2358" t="n"/>
      <c r="S154" s="2370" t="n">
        <v>6889</v>
      </c>
      <c r="T154" s="2370" t="n">
        <v>1125</v>
      </c>
      <c r="U154" s="2370" t="n">
        <v>285</v>
      </c>
      <c r="V154" s="2358" t="n"/>
      <c r="W154" s="2358" t="n"/>
      <c r="X154" s="2370" t="n">
        <v>1546</v>
      </c>
      <c r="Y154" s="2370" t="n">
        <v>9845</v>
      </c>
      <c r="Z154" s="2358" t="n"/>
      <c r="AA154" s="2370" t="n">
        <v>6931</v>
      </c>
      <c r="AB154" s="2370" t="n">
        <v>27052</v>
      </c>
      <c r="AC154" s="2370" t="n">
        <v>5705</v>
      </c>
      <c r="AD154" s="2358" t="n"/>
      <c r="AE154" s="2370" t="n">
        <v>929</v>
      </c>
      <c r="AF154" s="2370" t="n">
        <v>929</v>
      </c>
      <c r="AG154" s="2358" t="n"/>
      <c r="AH154" s="2370" t="n">
        <v>77944</v>
      </c>
      <c r="AI154" s="2370" t="n">
        <v>188633</v>
      </c>
      <c r="AJ154" s="2370" t="n">
        <v>266577</v>
      </c>
      <c r="AK154" s="2370" t="n">
        <v>447884</v>
      </c>
      <c r="AL154" s="2358" t="n"/>
      <c r="AM154" s="2361" t="inlineStr">
        <is>
          <t>[NO SF] Link Logistics 2024; partial free rent ($38k); lease-up period</t>
        </is>
      </c>
    </row>
    <row r="155" ht="14.1" customHeight="1" s="1449">
      <c r="A155" s="2339" t="inlineStr">
        <is>
          <t>P079</t>
        </is>
      </c>
      <c r="B155" s="2338" t="n">
        <v>584</v>
      </c>
      <c r="C155" s="2339" t="inlineStr">
        <is>
          <t>R0086214</t>
        </is>
      </c>
      <c r="D155" s="2339" t="inlineStr">
        <is>
          <t>Aurora Warehouse (Polar)</t>
        </is>
      </c>
      <c r="E155" s="2339" t="inlineStr">
        <is>
          <t>Aurora</t>
        </is>
      </c>
      <c r="F155" s="2339" t="inlineStr">
        <is>
          <t>CO</t>
        </is>
      </c>
      <c r="G155" s="2339" t="inlineStr">
        <is>
          <t>Industrial</t>
        </is>
      </c>
      <c r="H155" s="2339" t="inlineStr">
        <is>
          <t>Mega Warehouse NNN</t>
        </is>
      </c>
      <c r="I155" s="2362" t="n"/>
      <c r="J155" s="2362" t="n"/>
      <c r="K155" s="2362" t="n">
        <v>2024</v>
      </c>
      <c r="L155" s="2371" t="n">
        <v>3771986</v>
      </c>
      <c r="M155" s="2339" t="n"/>
      <c r="N155" s="2371" t="n">
        <v>7045455</v>
      </c>
      <c r="O155" s="2371" t="n">
        <v>83764</v>
      </c>
      <c r="P155" s="2371" t="n">
        <v>67999</v>
      </c>
      <c r="Q155" s="2339" t="n"/>
      <c r="R155" s="2339" t="n"/>
      <c r="S155" s="2339" t="n"/>
      <c r="T155" s="2339" t="n"/>
      <c r="U155" s="2339" t="n"/>
      <c r="V155" s="2339" t="n"/>
      <c r="W155" s="2339" t="n"/>
      <c r="X155" s="2371" t="n">
        <v>5829</v>
      </c>
      <c r="Y155" s="2371" t="n">
        <v>5829</v>
      </c>
      <c r="Z155" s="2339" t="n"/>
      <c r="AA155" s="2339" t="n"/>
      <c r="AB155" s="2339" t="n"/>
      <c r="AC155" s="2339" t="n"/>
      <c r="AD155" s="2339" t="n"/>
      <c r="AE155" s="2339" t="n"/>
      <c r="AF155" s="2339" t="n"/>
      <c r="AG155" s="2339" t="n"/>
      <c r="AH155" s="2371" t="n">
        <v>381011</v>
      </c>
      <c r="AI155" s="2371" t="n">
        <v>2407392</v>
      </c>
      <c r="AJ155" s="2371" t="n">
        <v>2788403</v>
      </c>
      <c r="AK155" s="2371" t="n">
        <v>4257052</v>
      </c>
      <c r="AL155" s="2339" t="n"/>
      <c r="AM155" s="2364" t="inlineStr">
        <is>
          <t>[NO SF] Link Logistics; very large – RE tax $2.2-2.4M; minimal CAM (near-absolute NNN); SF not confirmed</t>
        </is>
      </c>
    </row>
    <row r="156" ht="14.1" customHeight="1" s="1449">
      <c r="A156" s="2358" t="inlineStr">
        <is>
          <t>P079</t>
        </is>
      </c>
      <c r="B156" s="2338" t="n">
        <v>584</v>
      </c>
      <c r="C156" s="2358" t="inlineStr">
        <is>
          <t>R0086214</t>
        </is>
      </c>
      <c r="D156" s="2358" t="inlineStr">
        <is>
          <t>Aurora Warehouse (Polar)</t>
        </is>
      </c>
      <c r="E156" s="2358" t="inlineStr">
        <is>
          <t>Aurora</t>
        </is>
      </c>
      <c r="F156" s="2358" t="inlineStr">
        <is>
          <t>CO</t>
        </is>
      </c>
      <c r="G156" s="2358" t="inlineStr">
        <is>
          <t>Industrial</t>
        </is>
      </c>
      <c r="H156" s="2358" t="inlineStr">
        <is>
          <t>Mega Warehouse NNN</t>
        </is>
      </c>
      <c r="I156" s="2359" t="n"/>
      <c r="J156" s="2359" t="n"/>
      <c r="K156" s="2359" t="n">
        <v>2023</v>
      </c>
      <c r="L156" s="2370" t="n">
        <v>3679986</v>
      </c>
      <c r="M156" s="2358" t="n"/>
      <c r="N156" s="2370" t="n">
        <v>6546351</v>
      </c>
      <c r="O156" s="2370" t="n">
        <v>60105</v>
      </c>
      <c r="P156" s="2370" t="n">
        <v>54144</v>
      </c>
      <c r="Q156" s="2358" t="n"/>
      <c r="R156" s="2358" t="n"/>
      <c r="S156" s="2358" t="n"/>
      <c r="T156" s="2358" t="n"/>
      <c r="U156" s="2358" t="n"/>
      <c r="V156" s="2358" t="n"/>
      <c r="W156" s="2358" t="n"/>
      <c r="X156" s="2370" t="n">
        <v>4184</v>
      </c>
      <c r="Y156" s="2370" t="n">
        <v>4184</v>
      </c>
      <c r="Z156" s="2358" t="n"/>
      <c r="AA156" s="2358" t="n"/>
      <c r="AB156" s="2358" t="n"/>
      <c r="AC156" s="2358" t="n"/>
      <c r="AD156" s="2358" t="n"/>
      <c r="AE156" s="2358" t="n"/>
      <c r="AF156" s="2358" t="n"/>
      <c r="AG156" s="2358" t="n"/>
      <c r="AH156" s="2370" t="n">
        <v>101213</v>
      </c>
      <c r="AI156" s="2370" t="n">
        <v>2175995</v>
      </c>
      <c r="AJ156" s="2370" t="n">
        <v>2277208</v>
      </c>
      <c r="AK156" s="2370" t="n">
        <v>4269143</v>
      </c>
      <c r="AL156" s="2358" t="n"/>
      <c r="AM156" s="2361" t="inlineStr">
        <is>
          <t>[NO SF] Link Logistics; very large – RE tax $2.2-2.4M; minimal CAM (near-absolute NNN); SF not confirmed</t>
        </is>
      </c>
    </row>
    <row r="157" ht="14.1" customHeight="1" s="1449">
      <c r="A157" s="2339" t="inlineStr">
        <is>
          <t>P080</t>
        </is>
      </c>
      <c r="B157" s="2338" t="n">
        <v>407</v>
      </c>
      <c r="C157" s="2339" t="inlineStr">
        <is>
          <t>R0194277</t>
        </is>
      </c>
      <c r="D157" s="2339" t="inlineStr">
        <is>
          <t>8251 Quintero St</t>
        </is>
      </c>
      <c r="E157" s="2339" t="inlineStr">
        <is>
          <t>Commerce City</t>
        </is>
      </c>
      <c r="F157" s="2339" t="inlineStr">
        <is>
          <t>CO</t>
        </is>
      </c>
      <c r="G157" s="2339" t="inlineStr">
        <is>
          <t>Industrial</t>
        </is>
      </c>
      <c r="H157" s="2339" t="inlineStr">
        <is>
          <t>Industrial Warehouse NNN</t>
        </is>
      </c>
      <c r="I157" s="2362" t="n"/>
      <c r="J157" s="2362" t="n"/>
      <c r="K157" s="2362" t="n">
        <v>2024</v>
      </c>
      <c r="L157" s="2371" t="n">
        <v>2966529</v>
      </c>
      <c r="M157" s="2339" t="n"/>
      <c r="N157" s="2371" t="n">
        <v>7433451</v>
      </c>
      <c r="O157" s="2371" t="n">
        <v>32539</v>
      </c>
      <c r="P157" s="2371" t="n">
        <v>86633</v>
      </c>
      <c r="Q157" s="2339" t="n"/>
      <c r="R157" s="2339" t="n"/>
      <c r="S157" s="2371" t="n">
        <v>21784</v>
      </c>
      <c r="T157" s="2339" t="n"/>
      <c r="U157" s="2339" t="n"/>
      <c r="V157" s="2339" t="n"/>
      <c r="W157" s="2339" t="n"/>
      <c r="X157" s="2339" t="n"/>
      <c r="Y157" s="2371" t="n">
        <v>21784</v>
      </c>
      <c r="Z157" s="2339" t="n"/>
      <c r="AA157" s="2371" t="n">
        <v>30810</v>
      </c>
      <c r="AB157" s="2371" t="n">
        <v>188483</v>
      </c>
      <c r="AC157" s="2339" t="n"/>
      <c r="AD157" s="2371" t="n">
        <v>29080</v>
      </c>
      <c r="AE157" s="2339" t="n"/>
      <c r="AF157" s="2371" t="n">
        <v>29080</v>
      </c>
      <c r="AG157" s="2339" t="n"/>
      <c r="AH157" s="2371" t="n">
        <v>1433299</v>
      </c>
      <c r="AI157" s="2371" t="n">
        <v>3137254</v>
      </c>
      <c r="AJ157" s="2371" t="n">
        <v>4570553</v>
      </c>
      <c r="AK157" s="2371" t="n">
        <v>2862898</v>
      </c>
      <c r="AL157" s="2339" t="n"/>
      <c r="AM157" s="2364" t="inlineStr">
        <is>
          <t>[NO SF] Becknell Industrial; 2024 EGI/OPX inflated by $967k PY RE tax true-up; normalized NOI ~$2.86M</t>
        </is>
      </c>
    </row>
    <row r="158" ht="14.1" customHeight="1" s="1449">
      <c r="A158" s="2358" t="inlineStr">
        <is>
          <t>P080</t>
        </is>
      </c>
      <c r="B158" s="2338" t="n">
        <v>407</v>
      </c>
      <c r="C158" s="2358" t="inlineStr">
        <is>
          <t>R0194277</t>
        </is>
      </c>
      <c r="D158" s="2358" t="inlineStr">
        <is>
          <t>8251 Quintero St</t>
        </is>
      </c>
      <c r="E158" s="2358" t="inlineStr">
        <is>
          <t>Commerce City</t>
        </is>
      </c>
      <c r="F158" s="2358" t="inlineStr">
        <is>
          <t>CO</t>
        </is>
      </c>
      <c r="G158" s="2358" t="inlineStr">
        <is>
          <t>Industrial</t>
        </is>
      </c>
      <c r="H158" s="2358" t="inlineStr">
        <is>
          <t>Industrial Warehouse NNN</t>
        </is>
      </c>
      <c r="I158" s="2359" t="n"/>
      <c r="J158" s="2359" t="n"/>
      <c r="K158" s="2359" t="n">
        <v>2023</v>
      </c>
      <c r="L158" s="2370" t="n">
        <v>2897673</v>
      </c>
      <c r="M158" s="2358" t="n"/>
      <c r="N158" s="2370" t="n">
        <v>5335437</v>
      </c>
      <c r="O158" s="2370" t="n">
        <v>29390</v>
      </c>
      <c r="P158" s="2370" t="n">
        <v>83488</v>
      </c>
      <c r="Q158" s="2358" t="n"/>
      <c r="R158" s="2358" t="n"/>
      <c r="S158" s="2370" t="n">
        <v>35137</v>
      </c>
      <c r="T158" s="2358" t="n"/>
      <c r="U158" s="2358" t="n"/>
      <c r="V158" s="2358" t="n"/>
      <c r="W158" s="2358" t="n"/>
      <c r="X158" s="2358" t="n"/>
      <c r="Y158" s="2370" t="n">
        <v>35137</v>
      </c>
      <c r="Z158" s="2358" t="n"/>
      <c r="AA158" s="2370" t="n">
        <v>33419</v>
      </c>
      <c r="AB158" s="2370" t="n">
        <v>151223</v>
      </c>
      <c r="AC158" s="2358" t="n"/>
      <c r="AD158" s="2370" t="n">
        <v>24034</v>
      </c>
      <c r="AE158" s="2358" t="n"/>
      <c r="AF158" s="2370" t="n">
        <v>24034</v>
      </c>
      <c r="AG158" s="2358" t="n"/>
      <c r="AH158" s="2370" t="n">
        <v>541522</v>
      </c>
      <c r="AI158" s="2370" t="n">
        <v>2045093</v>
      </c>
      <c r="AJ158" s="2370" t="n">
        <v>2586615</v>
      </c>
      <c r="AK158" s="2370" t="n">
        <v>2748822</v>
      </c>
      <c r="AL158" s="2358" t="n"/>
      <c r="AM158" s="2361" t="inlineStr">
        <is>
          <t>[NO SF] Becknell Industrial; actual accrual</t>
        </is>
      </c>
    </row>
    <row r="159" ht="14.1" customHeight="1" s="1449">
      <c r="A159" s="2339" t="inlineStr">
        <is>
          <t>P081</t>
        </is>
      </c>
      <c r="B159" s="2338" t="n">
        <v>407</v>
      </c>
      <c r="C159" s="2339" t="inlineStr">
        <is>
          <t>R0198176</t>
        </is>
      </c>
      <c r="D159" s="2339" t="inlineStr">
        <is>
          <t>21800 E 19th Ave</t>
        </is>
      </c>
      <c r="E159" s="2339" t="inlineStr">
        <is>
          <t>Aurora</t>
        </is>
      </c>
      <c r="F159" s="2339" t="inlineStr">
        <is>
          <t>CO</t>
        </is>
      </c>
      <c r="G159" s="2339" t="inlineStr">
        <is>
          <t>Industrial</t>
        </is>
      </c>
      <c r="H159" s="2339" t="inlineStr">
        <is>
          <t>Industrial Warehouse NNN</t>
        </is>
      </c>
      <c r="I159" s="2362" t="n"/>
      <c r="J159" s="2362" t="n"/>
      <c r="K159" s="2362" t="n">
        <v>2024</v>
      </c>
      <c r="L159" s="2371" t="n">
        <v>1502445</v>
      </c>
      <c r="M159" s="2339" t="n"/>
      <c r="N159" s="2371" t="n">
        <v>1698847</v>
      </c>
      <c r="O159" s="2371" t="n">
        <v>18279</v>
      </c>
      <c r="P159" s="2371" t="n">
        <v>45073</v>
      </c>
      <c r="Q159" s="2339" t="n"/>
      <c r="R159" s="2339" t="n"/>
      <c r="S159" s="2371" t="n">
        <v>14583</v>
      </c>
      <c r="T159" s="2339" t="n"/>
      <c r="U159" s="2339" t="n"/>
      <c r="V159" s="2339" t="n"/>
      <c r="W159" s="2339" t="n"/>
      <c r="X159" s="2339" t="n"/>
      <c r="Y159" s="2371" t="n">
        <v>14583</v>
      </c>
      <c r="Z159" s="2339" t="n"/>
      <c r="AA159" s="2371" t="n">
        <v>30156</v>
      </c>
      <c r="AB159" s="2371" t="n">
        <v>117922</v>
      </c>
      <c r="AC159" s="2339" t="n"/>
      <c r="AD159" s="2339" t="n"/>
      <c r="AE159" s="2339" t="n"/>
      <c r="AF159" s="2339" t="n"/>
      <c r="AG159" s="2339" t="n"/>
      <c r="AH159" s="2371" t="n">
        <v>268829</v>
      </c>
      <c r="AI159" s="2371" t="n">
        <v>0</v>
      </c>
      <c r="AJ159" s="2371" t="n">
        <v>268829</v>
      </c>
      <c r="AK159" s="2371" t="n">
        <v>1430018</v>
      </c>
      <c r="AL159" s="2339" t="n"/>
      <c r="AM159" s="2364" t="inlineStr">
        <is>
          <t>[NO SF] Becknell; absolute NNN – tenant pays RE taxes directly; opex = CAM only</t>
        </is>
      </c>
    </row>
    <row r="160" ht="14.1" customHeight="1" s="1449">
      <c r="A160" s="2358" t="inlineStr">
        <is>
          <t>P081</t>
        </is>
      </c>
      <c r="B160" s="2338" t="n">
        <v>407</v>
      </c>
      <c r="C160" s="2358" t="inlineStr">
        <is>
          <t>R0198176</t>
        </is>
      </c>
      <c r="D160" s="2358" t="inlineStr">
        <is>
          <t>21800 E 19th Ave</t>
        </is>
      </c>
      <c r="E160" s="2358" t="inlineStr">
        <is>
          <t>Aurora</t>
        </is>
      </c>
      <c r="F160" s="2358" t="inlineStr">
        <is>
          <t>CO</t>
        </is>
      </c>
      <c r="G160" s="2358" t="inlineStr">
        <is>
          <t>Industrial</t>
        </is>
      </c>
      <c r="H160" s="2358" t="inlineStr">
        <is>
          <t>Industrial Warehouse NNN</t>
        </is>
      </c>
      <c r="I160" s="2359" t="n"/>
      <c r="J160" s="2359" t="n"/>
      <c r="K160" s="2359" t="n">
        <v>2023</v>
      </c>
      <c r="L160" s="2370" t="n">
        <v>1458685</v>
      </c>
      <c r="M160" s="2358" t="n"/>
      <c r="N160" s="2370" t="n">
        <v>1647477</v>
      </c>
      <c r="O160" s="2370" t="n">
        <v>15865</v>
      </c>
      <c r="P160" s="2370" t="n">
        <v>43761</v>
      </c>
      <c r="Q160" s="2358" t="n"/>
      <c r="R160" s="2358" t="n"/>
      <c r="S160" s="2370" t="n">
        <v>12850</v>
      </c>
      <c r="T160" s="2358" t="n"/>
      <c r="U160" s="2358" t="n"/>
      <c r="V160" s="2358" t="n"/>
      <c r="W160" s="2358" t="n"/>
      <c r="X160" s="2358" t="n"/>
      <c r="Y160" s="2370" t="n">
        <v>12850</v>
      </c>
      <c r="Z160" s="2358" t="n"/>
      <c r="AA160" s="2370" t="n">
        <v>31555</v>
      </c>
      <c r="AB160" s="2370" t="n">
        <v>112261</v>
      </c>
      <c r="AC160" s="2358" t="n"/>
      <c r="AD160" s="2358" t="n"/>
      <c r="AE160" s="2358" t="n"/>
      <c r="AF160" s="2358" t="n"/>
      <c r="AG160" s="2358" t="n"/>
      <c r="AH160" s="2370" t="n">
        <v>238940</v>
      </c>
      <c r="AI160" s="2370" t="n">
        <v>0</v>
      </c>
      <c r="AJ160" s="2370" t="n">
        <v>238940</v>
      </c>
      <c r="AK160" s="2370" t="n">
        <v>1408537</v>
      </c>
      <c r="AL160" s="2358" t="n"/>
      <c r="AM160" s="2361" t="inlineStr">
        <is>
          <t>[NO SF] Becknell; absolute NNN – tenant pays RE taxes directly; opex = CAM only</t>
        </is>
      </c>
    </row>
    <row r="161" ht="14.1" customHeight="1" s="1449">
      <c r="A161" s="2339" t="inlineStr">
        <is>
          <t>P082</t>
        </is>
      </c>
      <c r="B161" s="2338" t="n">
        <v>407</v>
      </c>
      <c r="C161" s="2339" t="inlineStr">
        <is>
          <t>R0201311</t>
        </is>
      </c>
      <c r="D161" s="2339" t="inlineStr">
        <is>
          <t>Ascent Commerce Center Bldg I</t>
        </is>
      </c>
      <c r="E161" s="2339" t="inlineStr">
        <is>
          <t>Aurora</t>
        </is>
      </c>
      <c r="F161" s="2339" t="inlineStr">
        <is>
          <t>CO</t>
        </is>
      </c>
      <c r="G161" s="2339" t="inlineStr">
        <is>
          <t>Industrial</t>
        </is>
      </c>
      <c r="H161" s="2339" t="inlineStr">
        <is>
          <t>Industrial Warehouse NNN</t>
        </is>
      </c>
      <c r="I161" s="2362" t="n"/>
      <c r="J161" s="2362" t="n"/>
      <c r="K161" s="2362" t="n">
        <v>2024</v>
      </c>
      <c r="L161" s="2371" t="n">
        <v>187536</v>
      </c>
      <c r="M161" s="2339" t="n"/>
      <c r="N161" s="2371" t="n">
        <v>335936</v>
      </c>
      <c r="O161" s="2371" t="n">
        <v>185</v>
      </c>
      <c r="P161" s="2371" t="n">
        <v>6539</v>
      </c>
      <c r="Q161" s="2339" t="n"/>
      <c r="R161" s="2339" t="n"/>
      <c r="S161" s="2371" t="n">
        <v>6694</v>
      </c>
      <c r="T161" s="2339" t="n"/>
      <c r="U161" s="2339" t="n"/>
      <c r="V161" s="2339" t="n"/>
      <c r="W161" s="2339" t="n"/>
      <c r="X161" s="2339" t="n"/>
      <c r="Y161" s="2371" t="n">
        <v>6694</v>
      </c>
      <c r="Z161" s="2339" t="n"/>
      <c r="AA161" s="2371" t="n">
        <v>1378</v>
      </c>
      <c r="AB161" s="2371" t="n">
        <v>13095</v>
      </c>
      <c r="AC161" s="2339" t="n"/>
      <c r="AD161" s="2371" t="n">
        <v>52</v>
      </c>
      <c r="AE161" s="2371" t="n">
        <v>6714</v>
      </c>
      <c r="AF161" s="2371" t="n">
        <v>6766</v>
      </c>
      <c r="AG161" s="2339" t="n"/>
      <c r="AH161" s="2371" t="n">
        <v>42252</v>
      </c>
      <c r="AI161" s="2371" t="n">
        <v>100794</v>
      </c>
      <c r="AJ161" s="2371" t="n">
        <v>143046</v>
      </c>
      <c r="AK161" s="2371" t="n">
        <v>181918</v>
      </c>
      <c r="AL161" s="2339" t="n"/>
      <c r="AM161" s="2364" t="inlineStr">
        <is>
          <t>[NO SF] Ambrose; Q4 2024 ONLY (Oct–Dec, 3 months); lease-up/stabilizing; DO NOT use for annual PSF</t>
        </is>
      </c>
    </row>
    <row r="162" ht="14.1" customHeight="1" s="1449">
      <c r="A162" s="2358" t="inlineStr">
        <is>
          <t>P083</t>
        </is>
      </c>
      <c r="B162" s="2338" t="n">
        <v>407</v>
      </c>
      <c r="C162" s="2358" t="inlineStr">
        <is>
          <t>R0201311</t>
        </is>
      </c>
      <c r="D162" s="2358" t="inlineStr">
        <is>
          <t>Ascent Commerce Center Bldg II</t>
        </is>
      </c>
      <c r="E162" s="2358" t="inlineStr">
        <is>
          <t>Aurora</t>
        </is>
      </c>
      <c r="F162" s="2358" t="inlineStr">
        <is>
          <t>CO</t>
        </is>
      </c>
      <c r="G162" s="2358" t="inlineStr">
        <is>
          <t>Industrial</t>
        </is>
      </c>
      <c r="H162" s="2358" t="inlineStr">
        <is>
          <t>Industrial Warehouse NNN</t>
        </is>
      </c>
      <c r="I162" s="2359" t="n"/>
      <c r="J162" s="2359" t="n"/>
      <c r="K162" s="2359" t="n">
        <v>2024</v>
      </c>
      <c r="L162" s="2370" t="n">
        <v>143974</v>
      </c>
      <c r="M162" s="2358" t="n"/>
      <c r="N162" s="2370" t="n">
        <v>314952</v>
      </c>
      <c r="O162" s="2370" t="n">
        <v>375</v>
      </c>
      <c r="P162" s="2370" t="n">
        <v>6224</v>
      </c>
      <c r="Q162" s="2358" t="n"/>
      <c r="R162" s="2358" t="n"/>
      <c r="S162" s="2370" t="n">
        <v>13434</v>
      </c>
      <c r="T162" s="2358" t="n"/>
      <c r="U162" s="2358" t="n"/>
      <c r="V162" s="2358" t="n"/>
      <c r="W162" s="2358" t="n"/>
      <c r="X162" s="2358" t="n"/>
      <c r="Y162" s="2370" t="n">
        <v>13434</v>
      </c>
      <c r="Z162" s="2358" t="n"/>
      <c r="AA162" s="2370" t="n">
        <v>1877</v>
      </c>
      <c r="AB162" s="2370" t="n">
        <v>25288</v>
      </c>
      <c r="AC162" s="2358" t="n"/>
      <c r="AD162" s="2370" t="n">
        <v>104</v>
      </c>
      <c r="AE162" s="2370" t="n">
        <v>11552</v>
      </c>
      <c r="AF162" s="2370" t="n">
        <v>11656</v>
      </c>
      <c r="AG162" s="2358" t="n"/>
      <c r="AH162" s="2370" t="n">
        <v>70908</v>
      </c>
      <c r="AI162" s="2370" t="n">
        <v>203797</v>
      </c>
      <c r="AJ162" s="2370" t="n">
        <v>274705</v>
      </c>
      <c r="AK162" s="2370" t="n">
        <v>22624</v>
      </c>
      <c r="AL162" s="2358" t="n"/>
      <c r="AM162" s="2361" t="inlineStr">
        <is>
          <t>[NO SF] Ambrose; Q4 2024 ONLY (Oct–Dec, 3 months); lease-up/stabilizing; DO NOT use for annual PSF</t>
        </is>
      </c>
    </row>
    <row r="163" ht="14.1" customHeight="1" s="1449">
      <c r="A163" s="2339" t="inlineStr">
        <is>
          <t>P084</t>
        </is>
      </c>
      <c r="B163" s="2338" t="n">
        <v>407</v>
      </c>
      <c r="C163" s="2339" t="inlineStr">
        <is>
          <t>R0201311</t>
        </is>
      </c>
      <c r="D163" s="2339" t="inlineStr">
        <is>
          <t>Ascent Commerce Center Bldg III</t>
        </is>
      </c>
      <c r="E163" s="2339" t="inlineStr">
        <is>
          <t>Aurora</t>
        </is>
      </c>
      <c r="F163" s="2339" t="inlineStr">
        <is>
          <t>CO</t>
        </is>
      </c>
      <c r="G163" s="2339" t="inlineStr">
        <is>
          <t>Industrial</t>
        </is>
      </c>
      <c r="H163" s="2339" t="inlineStr">
        <is>
          <t>Industrial Warehouse NNN</t>
        </is>
      </c>
      <c r="I163" s="2362" t="n"/>
      <c r="J163" s="2362" t="n"/>
      <c r="K163" s="2362" t="n">
        <v>2024</v>
      </c>
      <c r="L163" s="2371" t="n">
        <v>49334</v>
      </c>
      <c r="M163" s="2339" t="n"/>
      <c r="N163" s="2371" t="n">
        <v>85139</v>
      </c>
      <c r="O163" s="2371" t="n">
        <v>153</v>
      </c>
      <c r="P163" s="2371" t="n">
        <v>5032</v>
      </c>
      <c r="Q163" s="2339" t="n"/>
      <c r="R163" s="2339" t="n"/>
      <c r="S163" s="2371" t="n">
        <v>10772</v>
      </c>
      <c r="T163" s="2339" t="n"/>
      <c r="U163" s="2339" t="n"/>
      <c r="V163" s="2339" t="n"/>
      <c r="W163" s="2339" t="n"/>
      <c r="X163" s="2339" t="n"/>
      <c r="Y163" s="2371" t="n">
        <v>10772</v>
      </c>
      <c r="Z163" s="2339" t="n"/>
      <c r="AA163" s="2371" t="n">
        <v>949</v>
      </c>
      <c r="AB163" s="2371" t="n">
        <v>10894</v>
      </c>
      <c r="AC163" s="2339" t="n"/>
      <c r="AD163" s="2371" t="n">
        <v>207</v>
      </c>
      <c r="AE163" s="2371" t="n">
        <v>8484</v>
      </c>
      <c r="AF163" s="2371" t="n">
        <v>8691</v>
      </c>
      <c r="AG163" s="2339" t="n"/>
      <c r="AH163" s="2371" t="n">
        <v>57603</v>
      </c>
      <c r="AI163" s="2371" t="n">
        <v>83077</v>
      </c>
      <c r="AJ163" s="2371" t="n">
        <v>140680</v>
      </c>
      <c r="AK163" s="2371" t="n">
        <v>-69674</v>
      </c>
      <c r="AL163" s="2339" t="n"/>
      <c r="AM163" s="2364" t="inlineStr">
        <is>
          <t>[NO SF] Ambrose; Q4 2024 ONLY (Oct–Dec, 3 months); lease-up/stabilizing; DO NOT use for annual PSF</t>
        </is>
      </c>
    </row>
    <row r="164" ht="14.1" customHeight="1" s="1449">
      <c r="A164" s="2358" t="inlineStr">
        <is>
          <t>P085</t>
        </is>
      </c>
      <c r="B164" s="2338" t="n">
        <v>210</v>
      </c>
      <c r="C164" s="2358" t="inlineStr">
        <is>
          <t>R0093018</t>
        </is>
      </c>
      <c r="D164" s="2358" t="inlineStr">
        <is>
          <t>3350 Peoria St</t>
        </is>
      </c>
      <c r="E164" s="2358" t="inlineStr">
        <is>
          <t>Denver</t>
        </is>
      </c>
      <c r="F164" s="2358" t="inlineStr">
        <is>
          <t>CO</t>
        </is>
      </c>
      <c r="G164" s="2358" t="inlineStr">
        <is>
          <t>Industrial</t>
        </is>
      </c>
      <c r="H164" s="2358" t="inlineStr">
        <is>
          <t>Office/Industrial Flex</t>
        </is>
      </c>
      <c r="I164" s="2359" t="n"/>
      <c r="J164" s="2359" t="n">
        <v>33057</v>
      </c>
      <c r="K164" s="2359" t="n">
        <v>2024</v>
      </c>
      <c r="L164" s="2358" t="n"/>
      <c r="M164" s="2358" t="n"/>
      <c r="N164" s="2360" t="n">
        <v>11.7474</v>
      </c>
      <c r="O164" s="2360" t="n">
        <v>0.8464</v>
      </c>
      <c r="P164" s="2360" t="n">
        <v>0.4718</v>
      </c>
      <c r="Q164" s="2358" t="n"/>
      <c r="R164" s="2358" t="n"/>
      <c r="S164" s="2358" t="n"/>
      <c r="T164" s="2358" t="n"/>
      <c r="U164" s="2360" t="n">
        <v>0.2489</v>
      </c>
      <c r="V164" s="2358" t="n"/>
      <c r="W164" s="2358" t="n"/>
      <c r="X164" s="2360" t="n">
        <v>2.7614</v>
      </c>
      <c r="Y164" s="2358" t="n"/>
      <c r="Z164" s="2358" t="n"/>
      <c r="AA164" s="2360" t="n">
        <v>0.1383</v>
      </c>
      <c r="AB164" s="2360" t="n">
        <v>0.07580000000000001</v>
      </c>
      <c r="AC164" s="2360" t="n">
        <v>1.6023</v>
      </c>
      <c r="AD164" s="2358" t="n"/>
      <c r="AE164" s="2358" t="n"/>
      <c r="AF164" s="2360" t="n">
        <v>1.6128</v>
      </c>
      <c r="AG164" s="2358" t="n"/>
      <c r="AH164" s="2360" t="n">
        <v>7.4837</v>
      </c>
      <c r="AI164" s="2358" t="n"/>
      <c r="AJ164" s="2360" t="n">
        <v>7.4837</v>
      </c>
      <c r="AK164" s="2360" t="n">
        <v>4.2637</v>
      </c>
      <c r="AL164" s="2358" t="n"/>
      <c r="AM164" s="2361" t="inlineStr">
        <is>
          <t>Owner P&amp;L 2024; RE taxes not broken out separately; contracts incl HVAC $8,229/alarm $9,124/landscape $4,573/snow $2,505</t>
        </is>
      </c>
    </row>
    <row r="165" ht="14.1" customHeight="1" s="1449">
      <c r="A165" s="2339" t="inlineStr">
        <is>
          <t>P086</t>
        </is>
      </c>
      <c r="B165" s="2338" t="n">
        <v>406</v>
      </c>
      <c r="C165" s="2339" t="inlineStr">
        <is>
          <t>R0210684</t>
        </is>
      </c>
      <c r="D165" s="2339" t="inlineStr">
        <is>
          <t>14200 E Moncrieff Place</t>
        </is>
      </c>
      <c r="E165" s="2339" t="inlineStr">
        <is>
          <t>Aurora</t>
        </is>
      </c>
      <c r="F165" s="2339" t="inlineStr">
        <is>
          <t>CO</t>
        </is>
      </c>
      <c r="G165" s="2339" t="inlineStr">
        <is>
          <t>Industrial</t>
        </is>
      </c>
      <c r="H165" s="2339" t="inlineStr">
        <is>
          <t>Industrial Warehouse</t>
        </is>
      </c>
      <c r="I165" s="2362" t="n">
        <v>1980</v>
      </c>
      <c r="J165" s="2362" t="n">
        <v>233808</v>
      </c>
      <c r="K165" s="2362" t="n">
        <v>2023</v>
      </c>
      <c r="L165" s="2339" t="n"/>
      <c r="M165" s="2339" t="n"/>
      <c r="N165" s="2363" t="n">
        <v>8.609299999999999</v>
      </c>
      <c r="O165" s="2363" t="n">
        <v>0.0521</v>
      </c>
      <c r="P165" s="2363" t="n">
        <v>0.167</v>
      </c>
      <c r="Q165" s="2339" t="n"/>
      <c r="R165" s="2339" t="n"/>
      <c r="S165" s="2339" t="n"/>
      <c r="T165" s="2339" t="n"/>
      <c r="U165" s="2339" t="n"/>
      <c r="V165" s="2339" t="n"/>
      <c r="W165" s="2339" t="n"/>
      <c r="X165" s="2363" t="n">
        <v>0.1877</v>
      </c>
      <c r="Y165" s="2363" t="n">
        <v>0.1877</v>
      </c>
      <c r="Z165" s="2339" t="n"/>
      <c r="AA165" s="2363" t="n">
        <v>0.0527</v>
      </c>
      <c r="AB165" s="2363" t="n">
        <v>0.138</v>
      </c>
      <c r="AC165" s="2363" t="n">
        <v>0.2173</v>
      </c>
      <c r="AD165" s="2363" t="n">
        <v>0.1223</v>
      </c>
      <c r="AE165" s="2339" t="n"/>
      <c r="AF165" s="2363" t="n">
        <v>0.1223</v>
      </c>
      <c r="AG165" s="2339" t="n"/>
      <c r="AH165" s="2363" t="n">
        <v>0.7875</v>
      </c>
      <c r="AI165" s="2363" t="n">
        <v>2.6041</v>
      </c>
      <c r="AJ165" s="2363" t="n">
        <v>3.3916</v>
      </c>
      <c r="AK165" s="2363" t="n">
        <v>5.2177</v>
      </c>
      <c r="AL165" s="2339" t="n"/>
      <c r="AM165" s="2364" t="inlineStr">
        <is>
          <t>Owner P&amp;L 2023; large industrial 233,808 SF; 1980 YOC; landscape $12,324/snow $32,256 in CAM</t>
        </is>
      </c>
    </row>
    <row r="166" ht="14.1" customHeight="1" s="1449">
      <c r="A166" s="2358" t="inlineStr">
        <is>
          <t>P086</t>
        </is>
      </c>
      <c r="B166" s="2338" t="n">
        <v>406</v>
      </c>
      <c r="C166" s="2358" t="inlineStr">
        <is>
          <t>R0210684</t>
        </is>
      </c>
      <c r="D166" s="2358" t="inlineStr">
        <is>
          <t>14200 E Moncrieff Place</t>
        </is>
      </c>
      <c r="E166" s="2358" t="inlineStr">
        <is>
          <t>Aurora</t>
        </is>
      </c>
      <c r="F166" s="2358" t="inlineStr">
        <is>
          <t>CO</t>
        </is>
      </c>
      <c r="G166" s="2358" t="inlineStr">
        <is>
          <t>Industrial</t>
        </is>
      </c>
      <c r="H166" s="2358" t="inlineStr">
        <is>
          <t>Industrial Warehouse</t>
        </is>
      </c>
      <c r="I166" s="2359" t="n">
        <v>1980</v>
      </c>
      <c r="J166" s="2359" t="n">
        <v>233808</v>
      </c>
      <c r="K166" s="2359" t="n">
        <v>2024</v>
      </c>
      <c r="L166" s="2358" t="n"/>
      <c r="M166" s="2358" t="n"/>
      <c r="N166" s="2360" t="n">
        <v>8.7334</v>
      </c>
      <c r="O166" s="2358" t="n"/>
      <c r="P166" s="2358" t="n"/>
      <c r="Q166" s="2358" t="n"/>
      <c r="R166" s="2358" t="n"/>
      <c r="S166" s="2358" t="n"/>
      <c r="T166" s="2358" t="n"/>
      <c r="U166" s="2358" t="n"/>
      <c r="V166" s="2358" t="n"/>
      <c r="W166" s="2358" t="n"/>
      <c r="X166" s="2358" t="n"/>
      <c r="Y166" s="2358" t="n"/>
      <c r="Z166" s="2358" t="n"/>
      <c r="AA166" s="2358" t="n"/>
      <c r="AB166" s="2358" t="n"/>
      <c r="AC166" s="2358" t="n"/>
      <c r="AD166" s="2358" t="n"/>
      <c r="AE166" s="2358" t="n"/>
      <c r="AF166" s="2358" t="n"/>
      <c r="AG166" s="2358" t="n"/>
      <c r="AH166" s="2358" t="n"/>
      <c r="AI166" s="2358" t="n"/>
      <c r="AJ166" s="2360" t="n">
        <v>3.5718</v>
      </c>
      <c r="AK166" s="2360" t="n">
        <v>5.1616</v>
      </c>
      <c r="AL166" s="2358" t="n"/>
      <c r="AM166" s="2361" t="inlineStr">
        <is>
          <t>Owner P&amp;L 2024; total OPX only – line items not fully detailed for 2024</t>
        </is>
      </c>
    </row>
    <row r="167" ht="14.1" customHeight="1" s="1449">
      <c r="A167" s="2339" t="inlineStr">
        <is>
          <t>P087</t>
        </is>
      </c>
      <c r="B167" s="2338" t="n">
        <v>407</v>
      </c>
      <c r="C167" s="2339" t="inlineStr">
        <is>
          <t>R0102985</t>
        </is>
      </c>
      <c r="D167" s="2339" t="inlineStr">
        <is>
          <t>5861 Tennyson St</t>
        </is>
      </c>
      <c r="E167" s="2339" t="inlineStr">
        <is>
          <t>Arvada</t>
        </is>
      </c>
      <c r="F167" s="2339" t="inlineStr">
        <is>
          <t>CO</t>
        </is>
      </c>
      <c r="G167" s="2339" t="inlineStr">
        <is>
          <t>Industrial</t>
        </is>
      </c>
      <c r="H167" s="2339" t="inlineStr">
        <is>
          <t>Industrial NNN</t>
        </is>
      </c>
      <c r="I167" s="2362" t="n">
        <v>2000</v>
      </c>
      <c r="J167" s="2362" t="n">
        <v>80640</v>
      </c>
      <c r="K167" s="2362" t="n">
        <v>2023</v>
      </c>
      <c r="L167" s="2363" t="n">
        <v>6.2378</v>
      </c>
      <c r="M167" s="2339" t="n"/>
      <c r="N167" s="2339" t="n"/>
      <c r="O167" s="2339" t="n"/>
      <c r="P167" s="2339" t="n"/>
      <c r="Q167" s="2339" t="n"/>
      <c r="R167" s="2339" t="n"/>
      <c r="S167" s="2339" t="n"/>
      <c r="T167" s="2339" t="n"/>
      <c r="U167" s="2339" t="n"/>
      <c r="V167" s="2339" t="n"/>
      <c r="W167" s="2339" t="n"/>
      <c r="X167" s="2339" t="n"/>
      <c r="Y167" s="2339" t="n"/>
      <c r="Z167" s="2339" t="n"/>
      <c r="AA167" s="2339" t="n"/>
      <c r="AB167" s="2339" t="n"/>
      <c r="AC167" s="2339" t="n"/>
      <c r="AD167" s="2339" t="n"/>
      <c r="AE167" s="2339" t="n"/>
      <c r="AF167" s="2339" t="n"/>
      <c r="AG167" s="2339" t="n"/>
      <c r="AH167" s="2363" t="n">
        <v>0.2057</v>
      </c>
      <c r="AI167" s="2339" t="n"/>
      <c r="AJ167" s="2363" t="n">
        <v>0.2057</v>
      </c>
      <c r="AK167" s="2363" t="n">
        <v>6.0321</v>
      </c>
      <c r="AL167" s="2339" t="n"/>
      <c r="AM167" s="2364" t="inlineStr">
        <is>
          <t>NNN; landlord expenses only; tenant pays RE taxes; 2023</t>
        </is>
      </c>
    </row>
    <row r="168" ht="14.1" customHeight="1" s="1449">
      <c r="A168" s="2358" t="inlineStr">
        <is>
          <t>P087</t>
        </is>
      </c>
      <c r="B168" s="2338" t="n">
        <v>407</v>
      </c>
      <c r="C168" s="2358" t="inlineStr">
        <is>
          <t>R0102985</t>
        </is>
      </c>
      <c r="D168" s="2358" t="inlineStr">
        <is>
          <t>5861 Tennyson St</t>
        </is>
      </c>
      <c r="E168" s="2358" t="inlineStr">
        <is>
          <t>Arvada</t>
        </is>
      </c>
      <c r="F168" s="2358" t="inlineStr">
        <is>
          <t>CO</t>
        </is>
      </c>
      <c r="G168" s="2358" t="inlineStr">
        <is>
          <t>Industrial</t>
        </is>
      </c>
      <c r="H168" s="2358" t="inlineStr">
        <is>
          <t>Industrial NNN</t>
        </is>
      </c>
      <c r="I168" s="2359" t="n">
        <v>2000</v>
      </c>
      <c r="J168" s="2359" t="n">
        <v>80640</v>
      </c>
      <c r="K168" s="2359" t="n">
        <v>2024</v>
      </c>
      <c r="L168" s="2360" t="n">
        <v>6.3625</v>
      </c>
      <c r="M168" s="2358" t="n"/>
      <c r="N168" s="2358" t="n"/>
      <c r="O168" s="2358" t="n"/>
      <c r="P168" s="2358" t="n"/>
      <c r="Q168" s="2358" t="n"/>
      <c r="R168" s="2358" t="n"/>
      <c r="S168" s="2358" t="n"/>
      <c r="T168" s="2358" t="n"/>
      <c r="U168" s="2358" t="n"/>
      <c r="V168" s="2358" t="n"/>
      <c r="W168" s="2358" t="n"/>
      <c r="X168" s="2358" t="n"/>
      <c r="Y168" s="2358" t="n"/>
      <c r="Z168" s="2358" t="n"/>
      <c r="AA168" s="2358" t="n"/>
      <c r="AB168" s="2358" t="n"/>
      <c r="AC168" s="2358" t="n"/>
      <c r="AD168" s="2358" t="n"/>
      <c r="AE168" s="2358" t="n"/>
      <c r="AF168" s="2358" t="n"/>
      <c r="AG168" s="2358" t="n"/>
      <c r="AH168" s="2360" t="n">
        <v>0.1921</v>
      </c>
      <c r="AI168" s="2358" t="n"/>
      <c r="AJ168" s="2360" t="n">
        <v>0.1921</v>
      </c>
      <c r="AK168" s="2360" t="n">
        <v>6.1704</v>
      </c>
      <c r="AL168" s="2358" t="n"/>
      <c r="AM168" s="2361" t="inlineStr">
        <is>
          <t>NNN; landlord expenses only; tenant pays RE taxes; 2024</t>
        </is>
      </c>
    </row>
    <row r="169" ht="14.1" customHeight="1" s="1449">
      <c r="A169" s="2339" t="inlineStr">
        <is>
          <t>P088</t>
        </is>
      </c>
      <c r="B169" s="2338" t="n">
        <v>210</v>
      </c>
      <c r="C169" s="2339" t="inlineStr">
        <is>
          <t>R0090973</t>
        </is>
      </c>
      <c r="D169" s="2339" t="inlineStr">
        <is>
          <t>3975 E 56th Ave</t>
        </is>
      </c>
      <c r="E169" s="2339" t="inlineStr">
        <is>
          <t>Commerce City</t>
        </is>
      </c>
      <c r="F169" s="2339" t="inlineStr">
        <is>
          <t>CO</t>
        </is>
      </c>
      <c r="G169" s="2339" t="inlineStr">
        <is>
          <t>Industrial</t>
        </is>
      </c>
      <c r="H169" s="2339" t="inlineStr">
        <is>
          <t>Multi-Tenant Industrial</t>
        </is>
      </c>
      <c r="I169" s="2362" t="n"/>
      <c r="J169" s="2362" t="n">
        <v>42299</v>
      </c>
      <c r="K169" s="2362" t="n">
        <v>2024</v>
      </c>
      <c r="L169" s="2339" t="n"/>
      <c r="M169" s="2339" t="n"/>
      <c r="N169" s="2363" t="n">
        <v>9.259499999999999</v>
      </c>
      <c r="O169" s="2339" t="n"/>
      <c r="P169" s="2339" t="n"/>
      <c r="Q169" s="2339" t="n"/>
      <c r="R169" s="2339" t="n"/>
      <c r="S169" s="2339" t="n"/>
      <c r="T169" s="2339" t="n"/>
      <c r="U169" s="2339" t="n"/>
      <c r="V169" s="2339" t="n"/>
      <c r="W169" s="2339" t="n"/>
      <c r="X169" s="2339" t="n"/>
      <c r="Y169" s="2339" t="n"/>
      <c r="Z169" s="2339" t="n"/>
      <c r="AA169" s="2339" t="n"/>
      <c r="AB169" s="2339" t="n"/>
      <c r="AC169" s="2339" t="n"/>
      <c r="AD169" s="2339" t="n"/>
      <c r="AE169" s="2339" t="n"/>
      <c r="AF169" s="2339" t="n"/>
      <c r="AG169" s="2339" t="n"/>
      <c r="AH169" s="2363" t="n">
        <v>0.7408</v>
      </c>
      <c r="AI169" s="2339" t="n"/>
      <c r="AJ169" s="2363" t="n">
        <v>0.7408</v>
      </c>
      <c r="AK169" s="2363" t="n">
        <v>8.518800000000001</v>
      </c>
      <c r="AL169" s="2339" t="n"/>
      <c r="AM169" s="2364" t="inlineStr">
        <is>
          <t>Sand Creek Business Park; owner P&amp;L 2024; limited line-item detail</t>
        </is>
      </c>
    </row>
    <row r="170" ht="14.1" customHeight="1" s="1449">
      <c r="A170" s="2358" t="inlineStr">
        <is>
          <t>P089</t>
        </is>
      </c>
      <c r="B170" s="2338" t="n">
        <v>407</v>
      </c>
      <c r="C170" s="2358" t="inlineStr">
        <is>
          <t>R0180951</t>
        </is>
      </c>
      <c r="D170" s="2358" t="inlineStr">
        <is>
          <t>(Address TBD – R0180951)</t>
        </is>
      </c>
      <c r="E170" s="2358" t="inlineStr">
        <is>
          <t>Adams County</t>
        </is>
      </c>
      <c r="F170" s="2358" t="inlineStr">
        <is>
          <t>CO</t>
        </is>
      </c>
      <c r="G170" s="2358" t="inlineStr">
        <is>
          <t>Industrial</t>
        </is>
      </c>
      <c r="H170" s="2358" t="inlineStr">
        <is>
          <t>Industrial NNN</t>
        </is>
      </c>
      <c r="I170" s="2359" t="n">
        <v>2016</v>
      </c>
      <c r="J170" s="2359" t="n">
        <v>122106</v>
      </c>
      <c r="K170" s="2359" t="n">
        <v>2023</v>
      </c>
      <c r="L170" s="2358" t="n"/>
      <c r="M170" s="2358" t="n"/>
      <c r="N170" s="2358" t="n"/>
      <c r="O170" s="2360" t="n">
        <v>0.0609</v>
      </c>
      <c r="P170" s="2358" t="n"/>
      <c r="Q170" s="2358" t="n"/>
      <c r="R170" s="2358" t="n"/>
      <c r="S170" s="2358" t="n"/>
      <c r="T170" s="2358" t="n"/>
      <c r="U170" s="2358" t="n"/>
      <c r="V170" s="2358" t="n"/>
      <c r="W170" s="2358" t="n"/>
      <c r="X170" s="2358" t="n"/>
      <c r="Y170" s="2358" t="n"/>
      <c r="Z170" s="2358" t="n"/>
      <c r="AA170" s="2358" t="n"/>
      <c r="AB170" s="2358" t="n"/>
      <c r="AC170" s="2360" t="n">
        <v>0.415</v>
      </c>
      <c r="AD170" s="2360" t="n">
        <v>0.4794</v>
      </c>
      <c r="AE170" s="2358" t="n"/>
      <c r="AF170" s="2360" t="n">
        <v>0.4794</v>
      </c>
      <c r="AG170" s="2358" t="n"/>
      <c r="AH170" s="2358" t="n"/>
      <c r="AI170" s="2360" t="n">
        <v>3.233</v>
      </c>
      <c r="AJ170" s="2360" t="n">
        <v>4.1884</v>
      </c>
      <c r="AK170" s="2358" t="n"/>
      <c r="AL170" s="2358" t="n"/>
      <c r="AM170" s="2361" t="inlineStr">
        <is>
          <t>NNN; landlord expenses only from WH Expenses 2026; 2016 YOC; 2023: RE Tax $394,774/Ins $7,435/Utils $58,541/CAM $50,680</t>
        </is>
      </c>
    </row>
    <row r="171" ht="14.1" customHeight="1" s="1449">
      <c r="A171" s="2339" t="inlineStr">
        <is>
          <t>P089</t>
        </is>
      </c>
      <c r="B171" s="2338" t="n">
        <v>407</v>
      </c>
      <c r="C171" s="2339" t="inlineStr">
        <is>
          <t>R0180951</t>
        </is>
      </c>
      <c r="D171" s="2339" t="inlineStr">
        <is>
          <t>(Address TBD – R0180951)</t>
        </is>
      </c>
      <c r="E171" s="2339" t="inlineStr">
        <is>
          <t>Adams County</t>
        </is>
      </c>
      <c r="F171" s="2339" t="inlineStr">
        <is>
          <t>CO</t>
        </is>
      </c>
      <c r="G171" s="2339" t="inlineStr">
        <is>
          <t>Industrial</t>
        </is>
      </c>
      <c r="H171" s="2339" t="inlineStr">
        <is>
          <t>Industrial NNN</t>
        </is>
      </c>
      <c r="I171" s="2362" t="n">
        <v>2016</v>
      </c>
      <c r="J171" s="2362" t="n">
        <v>122106</v>
      </c>
      <c r="K171" s="2362" t="n">
        <v>2024</v>
      </c>
      <c r="L171" s="2339" t="n"/>
      <c r="M171" s="2339" t="n"/>
      <c r="N171" s="2339" t="n"/>
      <c r="O171" s="2363" t="n">
        <v>0.0625</v>
      </c>
      <c r="P171" s="2339" t="n"/>
      <c r="Q171" s="2339" t="n"/>
      <c r="R171" s="2339" t="n"/>
      <c r="S171" s="2339" t="n"/>
      <c r="T171" s="2339" t="n"/>
      <c r="U171" s="2339" t="n"/>
      <c r="V171" s="2339" t="n"/>
      <c r="W171" s="2339" t="n"/>
      <c r="X171" s="2339" t="n"/>
      <c r="Y171" s="2339" t="n"/>
      <c r="Z171" s="2339" t="n"/>
      <c r="AA171" s="2339" t="n"/>
      <c r="AB171" s="2339" t="n"/>
      <c r="AC171" s="2363" t="n">
        <v>0.5279</v>
      </c>
      <c r="AD171" s="2363" t="n">
        <v>0.4794</v>
      </c>
      <c r="AE171" s="2339" t="n"/>
      <c r="AF171" s="2363" t="n">
        <v>0.4794</v>
      </c>
      <c r="AG171" s="2339" t="n"/>
      <c r="AH171" s="2339" t="n"/>
      <c r="AI171" s="2363" t="n">
        <v>4.358</v>
      </c>
      <c r="AJ171" s="2363" t="n">
        <v>5.4279</v>
      </c>
      <c r="AK171" s="2339" t="n"/>
      <c r="AL171" s="2339" t="n"/>
      <c r="AM171" s="2364" t="inlineStr">
        <is>
          <t>NNN; landlord expenses only from WH Expenses 2026; 2024: RE Tax $532,140/Ins $7,635/Utils $58,541/CAM $64,465</t>
        </is>
      </c>
    </row>
    <row r="172" ht="14.1" customHeight="1" s="1449">
      <c r="A172" s="2358" t="inlineStr">
        <is>
          <t>P090</t>
        </is>
      </c>
      <c r="B172" s="2338" t="n">
        <v>407</v>
      </c>
      <c r="C172" s="2358" t="inlineStr">
        <is>
          <t>R0110351</t>
        </is>
      </c>
      <c r="D172" s="2358" t="inlineStr">
        <is>
          <t>(Address TBD – R0110351)</t>
        </is>
      </c>
      <c r="E172" s="2358" t="inlineStr">
        <is>
          <t>Adams County</t>
        </is>
      </c>
      <c r="F172" s="2358" t="inlineStr">
        <is>
          <t>CO</t>
        </is>
      </c>
      <c r="G172" s="2358" t="inlineStr">
        <is>
          <t>Industrial</t>
        </is>
      </c>
      <c r="H172" s="2358" t="inlineStr">
        <is>
          <t>Industrial NNN</t>
        </is>
      </c>
      <c r="I172" s="2359" t="n">
        <v>2000</v>
      </c>
      <c r="J172" s="2359" t="n">
        <v>85200</v>
      </c>
      <c r="K172" s="2359" t="n">
        <v>2023</v>
      </c>
      <c r="L172" s="2358" t="n"/>
      <c r="M172" s="2358" t="n"/>
      <c r="N172" s="2358" t="n"/>
      <c r="O172" s="2360" t="n">
        <v>0.2413</v>
      </c>
      <c r="P172" s="2358" t="n"/>
      <c r="Q172" s="2358" t="n"/>
      <c r="R172" s="2358" t="n"/>
      <c r="S172" s="2358" t="n"/>
      <c r="T172" s="2358" t="n"/>
      <c r="U172" s="2358" t="n"/>
      <c r="V172" s="2358" t="n"/>
      <c r="W172" s="2358" t="n"/>
      <c r="X172" s="2358" t="n"/>
      <c r="Y172" s="2358" t="n"/>
      <c r="Z172" s="2358" t="n"/>
      <c r="AA172" s="2358" t="n"/>
      <c r="AB172" s="2358" t="n"/>
      <c r="AC172" s="2360" t="n">
        <v>0.2176</v>
      </c>
      <c r="AD172" s="2358" t="n"/>
      <c r="AE172" s="2358" t="n"/>
      <c r="AF172" s="2358" t="n"/>
      <c r="AG172" s="2358" t="n"/>
      <c r="AH172" s="2358" t="n"/>
      <c r="AI172" s="2360" t="n">
        <v>3.5826</v>
      </c>
      <c r="AJ172" s="2360" t="n">
        <v>4.0415</v>
      </c>
      <c r="AK172" s="2358" t="n"/>
      <c r="AL172" s="2358" t="n"/>
      <c r="AM172" s="2361" t="inlineStr">
        <is>
          <t>NNN; landlord expenses only from WH Expenses 2026; 2000 YOC; 2023: RE Tax $305,241/Ins $20,559/CAM $18,539</t>
        </is>
      </c>
    </row>
    <row r="173" ht="14.1" customHeight="1" s="1449">
      <c r="A173" s="2339" t="inlineStr">
        <is>
          <t>P090</t>
        </is>
      </c>
      <c r="B173" s="2338" t="n">
        <v>407</v>
      </c>
      <c r="C173" s="2339" t="inlineStr">
        <is>
          <t>R0110351</t>
        </is>
      </c>
      <c r="D173" s="2339" t="inlineStr">
        <is>
          <t>(Address TBD – R0110351)</t>
        </is>
      </c>
      <c r="E173" s="2339" t="inlineStr">
        <is>
          <t>Adams County</t>
        </is>
      </c>
      <c r="F173" s="2339" t="inlineStr">
        <is>
          <t>CO</t>
        </is>
      </c>
      <c r="G173" s="2339" t="inlineStr">
        <is>
          <t>Industrial</t>
        </is>
      </c>
      <c r="H173" s="2339" t="inlineStr">
        <is>
          <t>Industrial NNN</t>
        </is>
      </c>
      <c r="I173" s="2362" t="n">
        <v>2000</v>
      </c>
      <c r="J173" s="2362" t="n">
        <v>85200</v>
      </c>
      <c r="K173" s="2362" t="n">
        <v>2024</v>
      </c>
      <c r="L173" s="2339" t="n"/>
      <c r="M173" s="2339" t="n"/>
      <c r="N173" s="2339" t="n"/>
      <c r="O173" s="2363" t="n">
        <v>0.3002</v>
      </c>
      <c r="P173" s="2339" t="n"/>
      <c r="Q173" s="2339" t="n"/>
      <c r="R173" s="2339" t="n"/>
      <c r="S173" s="2339" t="n"/>
      <c r="T173" s="2339" t="n"/>
      <c r="U173" s="2339" t="n"/>
      <c r="V173" s="2339" t="n"/>
      <c r="W173" s="2339" t="n"/>
      <c r="X173" s="2339" t="n"/>
      <c r="Y173" s="2339" t="n"/>
      <c r="Z173" s="2339" t="n"/>
      <c r="AA173" s="2339" t="n"/>
      <c r="AB173" s="2339" t="n"/>
      <c r="AC173" s="2363" t="n">
        <v>0.2508</v>
      </c>
      <c r="AD173" s="2339" t="n"/>
      <c r="AE173" s="2339" t="n"/>
      <c r="AF173" s="2339" t="n"/>
      <c r="AG173" s="2339" t="n"/>
      <c r="AH173" s="2339" t="n"/>
      <c r="AI173" s="2363" t="n">
        <v>3.8945</v>
      </c>
      <c r="AJ173" s="2363" t="n">
        <v>4.4456</v>
      </c>
      <c r="AK173" s="2339" t="n"/>
      <c r="AL173" s="2339" t="n"/>
      <c r="AM173" s="2364" t="inlineStr">
        <is>
          <t>NNN; landlord expenses only from WH Expenses 2026; 2024: RE Tax $331,811/Ins $25,578/CAM $21,372</t>
        </is>
      </c>
    </row>
    <row r="174" ht="14.1" customHeight="1" s="1449">
      <c r="A174" s="2358" t="inlineStr">
        <is>
          <t>P091</t>
        </is>
      </c>
      <c r="B174" s="2338" t="n">
        <v>584</v>
      </c>
      <c r="C174" s="2358" t="inlineStr">
        <is>
          <t>R0198530</t>
        </is>
      </c>
      <c r="D174" s="2358" t="inlineStr">
        <is>
          <t>(Address TBD – R0198530)</t>
        </is>
      </c>
      <c r="E174" s="2358" t="inlineStr">
        <is>
          <t>Adams County</t>
        </is>
      </c>
      <c r="F174" s="2358" t="inlineStr">
        <is>
          <t>CO</t>
        </is>
      </c>
      <c r="G174" s="2358" t="inlineStr">
        <is>
          <t>Industrial</t>
        </is>
      </c>
      <c r="H174" s="2358" t="inlineStr">
        <is>
          <t>Industrial Mega-Warehouse NNN</t>
        </is>
      </c>
      <c r="I174" s="2359" t="n">
        <v>2019</v>
      </c>
      <c r="J174" s="2359" t="n">
        <v>555867</v>
      </c>
      <c r="K174" s="2359" t="n">
        <v>2024</v>
      </c>
      <c r="L174" s="2358" t="n"/>
      <c r="M174" s="2358" t="n"/>
      <c r="N174" s="2358" t="n"/>
      <c r="O174" s="2360" t="n">
        <v>0.1549</v>
      </c>
      <c r="P174" s="2360" t="n">
        <v>0.1152</v>
      </c>
      <c r="Q174" s="2358" t="n"/>
      <c r="R174" s="2358" t="n"/>
      <c r="S174" s="2358" t="n"/>
      <c r="T174" s="2358" t="n"/>
      <c r="U174" s="2358" t="n"/>
      <c r="V174" s="2358" t="n"/>
      <c r="W174" s="2358" t="n"/>
      <c r="X174" s="2358" t="n"/>
      <c r="Y174" s="2358" t="n"/>
      <c r="Z174" s="2358" t="n"/>
      <c r="AA174" s="2358" t="n"/>
      <c r="AB174" s="2358" t="n"/>
      <c r="AC174" s="2358" t="n"/>
      <c r="AD174" s="2358" t="n"/>
      <c r="AE174" s="2358" t="n"/>
      <c r="AF174" s="2358" t="n"/>
      <c r="AG174" s="2358" t="n"/>
      <c r="AH174" s="2358" t="n"/>
      <c r="AI174" s="2360" t="n">
        <v>3.8872</v>
      </c>
      <c r="AJ174" s="2360" t="n">
        <v>4.1573</v>
      </c>
      <c r="AK174" s="2358" t="n"/>
      <c r="AL174" s="2358" t="n"/>
      <c r="AM174" s="2361" t="inlineStr">
        <is>
          <t>Mega-warehouse 555,867 SF; NNN; landlord only: RE Tax $2,160,792/Ins $86,084/Mgmt $64,029; 2019 YOC</t>
        </is>
      </c>
    </row>
    <row r="175" ht="14.1" customHeight="1" s="1449">
      <c r="A175" s="2339" t="inlineStr">
        <is>
          <t>P092</t>
        </is>
      </c>
      <c r="B175" s="2338" t="n">
        <v>447</v>
      </c>
      <c r="C175" s="2339" t="inlineStr">
        <is>
          <t>R0180834</t>
        </is>
      </c>
      <c r="D175" s="2339" t="inlineStr">
        <is>
          <t>(Address TBD – R0180834)</t>
        </is>
      </c>
      <c r="E175" s="2339" t="inlineStr">
        <is>
          <t>Adams County</t>
        </is>
      </c>
      <c r="F175" s="2339" t="inlineStr">
        <is>
          <t>CO</t>
        </is>
      </c>
      <c r="G175" s="2339" t="inlineStr">
        <is>
          <t>Industrial</t>
        </is>
      </c>
      <c r="H175" s="2339" t="inlineStr">
        <is>
          <t>Cold Storage/Mega-Warehouse NNN</t>
        </is>
      </c>
      <c r="I175" s="2362" t="n">
        <v>2012</v>
      </c>
      <c r="J175" s="2362" t="n">
        <v>550031</v>
      </c>
      <c r="K175" s="2362" t="n">
        <v>2024</v>
      </c>
      <c r="L175" s="2339" t="n"/>
      <c r="M175" s="2339" t="n"/>
      <c r="N175" s="2339" t="n"/>
      <c r="O175" s="2363" t="n">
        <v>0.1402</v>
      </c>
      <c r="P175" s="2363" t="n">
        <v>0.251</v>
      </c>
      <c r="Q175" s="2339" t="n"/>
      <c r="R175" s="2339" t="n"/>
      <c r="S175" s="2339" t="n"/>
      <c r="T175" s="2339" t="n"/>
      <c r="U175" s="2339" t="n"/>
      <c r="V175" s="2339" t="n"/>
      <c r="W175" s="2339" t="n"/>
      <c r="X175" s="2339" t="n"/>
      <c r="Y175" s="2339" t="n"/>
      <c r="Z175" s="2339" t="n"/>
      <c r="AA175" s="2339" t="n"/>
      <c r="AB175" s="2339" t="n"/>
      <c r="AC175" s="2339" t="n"/>
      <c r="AD175" s="2339" t="n"/>
      <c r="AE175" s="2339" t="n"/>
      <c r="AF175" s="2339" t="n"/>
      <c r="AG175" s="2339" t="n"/>
      <c r="AH175" s="2339" t="n"/>
      <c r="AI175" s="2363" t="n">
        <v>3.8519</v>
      </c>
      <c r="AJ175" s="2363" t="n">
        <v>4.2431</v>
      </c>
      <c r="AK175" s="2339" t="n"/>
      <c r="AL175" s="2339" t="n"/>
      <c r="AM175" s="2364" t="inlineStr">
        <is>
          <t>Cold storage/mega-WH 550,031 SF; NNN; landlord only: RE Tax $2,118,655/Ins $77,117/Mgmt $138,053; 2012 YOC</t>
        </is>
      </c>
    </row>
    <row r="176" ht="14.1" customHeight="1" s="1449">
      <c r="A176" s="2358" t="inlineStr">
        <is>
          <t>P093</t>
        </is>
      </c>
      <c r="B176" s="2338" t="n">
        <v>407</v>
      </c>
      <c r="C176" s="2358" t="inlineStr">
        <is>
          <t>R0114792</t>
        </is>
      </c>
      <c r="D176" s="2358" t="inlineStr">
        <is>
          <t>(Address TBD – R0114792)</t>
        </is>
      </c>
      <c r="E176" s="2358" t="inlineStr">
        <is>
          <t>Adams County</t>
        </is>
      </c>
      <c r="F176" s="2358" t="inlineStr">
        <is>
          <t>CO</t>
        </is>
      </c>
      <c r="G176" s="2358" t="inlineStr">
        <is>
          <t>Industrial</t>
        </is>
      </c>
      <c r="H176" s="2358" t="inlineStr">
        <is>
          <t>Industrial NNN</t>
        </is>
      </c>
      <c r="I176" s="2359" t="n">
        <v>1998</v>
      </c>
      <c r="J176" s="2359" t="n">
        <v>64501</v>
      </c>
      <c r="K176" s="2359" t="n">
        <v>2023</v>
      </c>
      <c r="L176" s="2358" t="n"/>
      <c r="M176" s="2358" t="n"/>
      <c r="N176" s="2358" t="n"/>
      <c r="O176" s="2360" t="n">
        <v>0.1487</v>
      </c>
      <c r="P176" s="2360" t="n">
        <v>0.365</v>
      </c>
      <c r="Q176" s="2358" t="n"/>
      <c r="R176" s="2358" t="n"/>
      <c r="S176" s="2358" t="n"/>
      <c r="T176" s="2358" t="n"/>
      <c r="U176" s="2358" t="n"/>
      <c r="V176" s="2358" t="n"/>
      <c r="W176" s="2358" t="n"/>
      <c r="X176" s="2358" t="n"/>
      <c r="Y176" s="2358" t="n"/>
      <c r="Z176" s="2358" t="n"/>
      <c r="AA176" s="2358" t="n"/>
      <c r="AB176" s="2358" t="n"/>
      <c r="AC176" s="2358" t="n"/>
      <c r="AD176" s="2358" t="n"/>
      <c r="AE176" s="2358" t="n"/>
      <c r="AF176" s="2358" t="n"/>
      <c r="AG176" s="2358" t="n"/>
      <c r="AH176" s="2358" t="n"/>
      <c r="AI176" s="2360" t="n">
        <v>3.1201</v>
      </c>
      <c r="AJ176" s="2360" t="n">
        <v>3.6337</v>
      </c>
      <c r="AK176" s="2358" t="n"/>
      <c r="AL176" s="2358" t="n"/>
      <c r="AM176" s="2361" t="inlineStr">
        <is>
          <t>NNN; landlord only: RE Tax $201,248/Ins $9,589/Mgmt $23,542; 1998 YOC</t>
        </is>
      </c>
    </row>
    <row r="177" ht="14.1" customHeight="1" s="1449">
      <c r="A177" s="2339" t="inlineStr">
        <is>
          <t>P093</t>
        </is>
      </c>
      <c r="B177" s="2338" t="n">
        <v>407</v>
      </c>
      <c r="C177" s="2339" t="inlineStr">
        <is>
          <t>R0114792</t>
        </is>
      </c>
      <c r="D177" s="2339" t="inlineStr">
        <is>
          <t>(Address TBD – R0114792)</t>
        </is>
      </c>
      <c r="E177" s="2339" t="inlineStr">
        <is>
          <t>Adams County</t>
        </is>
      </c>
      <c r="F177" s="2339" t="inlineStr">
        <is>
          <t>CO</t>
        </is>
      </c>
      <c r="G177" s="2339" t="inlineStr">
        <is>
          <t>Industrial</t>
        </is>
      </c>
      <c r="H177" s="2339" t="inlineStr">
        <is>
          <t>Industrial NNN</t>
        </is>
      </c>
      <c r="I177" s="2362" t="n">
        <v>1998</v>
      </c>
      <c r="J177" s="2362" t="n">
        <v>64501</v>
      </c>
      <c r="K177" s="2362" t="n">
        <v>2024</v>
      </c>
      <c r="L177" s="2339" t="n"/>
      <c r="M177" s="2339" t="n"/>
      <c r="N177" s="2339" t="n"/>
      <c r="O177" s="2363" t="n">
        <v>0.1168</v>
      </c>
      <c r="P177" s="2363" t="n">
        <v>0.3704</v>
      </c>
      <c r="Q177" s="2339" t="n"/>
      <c r="R177" s="2339" t="n"/>
      <c r="S177" s="2339" t="n"/>
      <c r="T177" s="2339" t="n"/>
      <c r="U177" s="2339" t="n"/>
      <c r="V177" s="2339" t="n"/>
      <c r="W177" s="2339" t="n"/>
      <c r="X177" s="2339" t="n"/>
      <c r="Y177" s="2339" t="n"/>
      <c r="Z177" s="2339" t="n"/>
      <c r="AA177" s="2339" t="n"/>
      <c r="AB177" s="2339" t="n"/>
      <c r="AC177" s="2339" t="n"/>
      <c r="AD177" s="2339" t="n"/>
      <c r="AE177" s="2339" t="n"/>
      <c r="AF177" s="2339" t="n"/>
      <c r="AG177" s="2339" t="n"/>
      <c r="AH177" s="2339" t="n"/>
      <c r="AI177" s="2363" t="n">
        <v>3.7914</v>
      </c>
      <c r="AJ177" s="2363" t="n">
        <v>4.2786</v>
      </c>
      <c r="AK177" s="2339" t="n"/>
      <c r="AL177" s="2339" t="n"/>
      <c r="AM177" s="2364" t="inlineStr">
        <is>
          <t>NNN; landlord only: RE Tax $244,551/Ins $7,536/Mgmt $23,889</t>
        </is>
      </c>
    </row>
    <row r="178" ht="14.1" customHeight="1" s="1449">
      <c r="A178" s="2358" t="inlineStr">
        <is>
          <t>P027</t>
        </is>
      </c>
      <c r="B178" s="2338" t="n">
        <v>407</v>
      </c>
      <c r="C178" s="2358" t="inlineStr">
        <is>
          <t>R0132030</t>
        </is>
      </c>
      <c r="D178" s="2358" t="inlineStr">
        <is>
          <t>(R0132030)</t>
        </is>
      </c>
      <c r="E178" s="2358" t="inlineStr">
        <is>
          <t>Adams County</t>
        </is>
      </c>
      <c r="F178" s="2358" t="inlineStr">
        <is>
          <t>CO</t>
        </is>
      </c>
      <c r="G178" s="2358" t="inlineStr">
        <is>
          <t>Industrial</t>
        </is>
      </c>
      <c r="H178" s="2358" t="inlineStr">
        <is>
          <t>Industrial NNN</t>
        </is>
      </c>
      <c r="I178" s="2359" t="n"/>
      <c r="J178" s="2359" t="n">
        <v>200094</v>
      </c>
      <c r="K178" s="2359" t="n">
        <v>2024</v>
      </c>
      <c r="L178" s="2358" t="n"/>
      <c r="M178" s="2358" t="n"/>
      <c r="N178" s="2358" t="n"/>
      <c r="O178" s="2360" t="n">
        <v>0.1315</v>
      </c>
      <c r="P178" s="2360" t="n">
        <v>0.2443</v>
      </c>
      <c r="Q178" s="2358" t="n"/>
      <c r="R178" s="2358" t="n"/>
      <c r="S178" s="2358" t="n"/>
      <c r="T178" s="2358" t="n"/>
      <c r="U178" s="2358" t="n"/>
      <c r="V178" s="2358" t="n"/>
      <c r="W178" s="2358" t="n"/>
      <c r="X178" s="2358" t="n"/>
      <c r="Y178" s="2358" t="n"/>
      <c r="Z178" s="2358" t="n"/>
      <c r="AA178" s="2358" t="n"/>
      <c r="AB178" s="2358" t="n"/>
      <c r="AC178" s="2360" t="n">
        <v>0.4013</v>
      </c>
      <c r="AD178" s="2360" t="n">
        <v>0.321</v>
      </c>
      <c r="AE178" s="2358" t="n"/>
      <c r="AF178" s="2360" t="n">
        <v>0.321</v>
      </c>
      <c r="AG178" s="2358" t="n"/>
      <c r="AH178" s="2358" t="n"/>
      <c r="AI178" s="2360" t="n">
        <v>2.2004</v>
      </c>
      <c r="AJ178" s="2360" t="n">
        <v>3.297</v>
      </c>
      <c r="AK178" s="2358" t="n"/>
      <c r="AL178" s="2358" t="n"/>
      <c r="AM178" s="2361" t="inlineStr">
        <is>
          <t>NNN; WH Expenses 2026 landlord data: RE Tax $440,287/Ins $26,308/Utils $64,237/Mgmt $48,882/CAM $80,298</t>
        </is>
      </c>
    </row>
    <row r="179" ht="14.1" customHeight="1" s="1449">
      <c r="A179" s="2339" t="inlineStr">
        <is>
          <t>P028</t>
        </is>
      </c>
      <c r="B179" s="2338" t="n">
        <v>407</v>
      </c>
      <c r="C179" s="2339" t="inlineStr">
        <is>
          <t>R0084040</t>
        </is>
      </c>
      <c r="D179" s="2339" t="inlineStr">
        <is>
          <t>(R0084040)</t>
        </is>
      </c>
      <c r="E179" s="2339" t="inlineStr">
        <is>
          <t>Adams County</t>
        </is>
      </c>
      <c r="F179" s="2339" t="inlineStr">
        <is>
          <t>CO</t>
        </is>
      </c>
      <c r="G179" s="2339" t="inlineStr">
        <is>
          <t>Industrial</t>
        </is>
      </c>
      <c r="H179" s="2339" t="inlineStr">
        <is>
          <t>Industrial NNN</t>
        </is>
      </c>
      <c r="I179" s="2362" t="n"/>
      <c r="J179" s="2362" t="n"/>
      <c r="K179" s="2362" t="n">
        <v>2024</v>
      </c>
      <c r="L179" s="2339" t="n"/>
      <c r="M179" s="2339" t="n"/>
      <c r="N179" s="2339" t="n"/>
      <c r="O179" s="2371" t="n">
        <v>24025</v>
      </c>
      <c r="P179" s="2371" t="n">
        <v>65817</v>
      </c>
      <c r="Q179" s="2339" t="n"/>
      <c r="R179" s="2339" t="n"/>
      <c r="S179" s="2339" t="n"/>
      <c r="T179" s="2339" t="n"/>
      <c r="U179" s="2339" t="n"/>
      <c r="V179" s="2339" t="n"/>
      <c r="W179" s="2339" t="n"/>
      <c r="X179" s="2339" t="n"/>
      <c r="Y179" s="2339" t="n"/>
      <c r="Z179" s="2339" t="n"/>
      <c r="AA179" s="2339" t="n"/>
      <c r="AB179" s="2339" t="n"/>
      <c r="AC179" s="2371" t="n">
        <v>128840</v>
      </c>
      <c r="AD179" s="2371" t="n">
        <v>69481</v>
      </c>
      <c r="AE179" s="2339" t="n"/>
      <c r="AF179" s="2371" t="n">
        <v>69481</v>
      </c>
      <c r="AG179" s="2339" t="n"/>
      <c r="AH179" s="2339" t="n"/>
      <c r="AI179" s="2371" t="n">
        <v>598274</v>
      </c>
      <c r="AJ179" s="2371" t="n">
        <v>886437</v>
      </c>
      <c r="AK179" s="2339" t="n"/>
      <c r="AL179" s="2339" t="n"/>
      <c r="AM179" s="2364" t="inlineStr">
        <is>
          <t>[NO SF] NNN; WH Expenses 2026 landlord data: RE Tax $598,274/Ins $24,025/Utils $69,481/Mgmt $65,817/CAM $128,840</t>
        </is>
      </c>
    </row>
    <row r="180" ht="14.1" customHeight="1" s="1449">
      <c r="A180" s="2358" t="inlineStr">
        <is>
          <t>P034</t>
        </is>
      </c>
      <c r="B180" s="2338" t="n">
        <v>407</v>
      </c>
      <c r="C180" s="2358" t="inlineStr">
        <is>
          <t>R0172865</t>
        </is>
      </c>
      <c r="D180" s="2358" t="inlineStr">
        <is>
          <t>(R0172865)</t>
        </is>
      </c>
      <c r="E180" s="2358" t="inlineStr">
        <is>
          <t>Adams County</t>
        </is>
      </c>
      <c r="F180" s="2358" t="inlineStr">
        <is>
          <t>CO</t>
        </is>
      </c>
      <c r="G180" s="2358" t="inlineStr">
        <is>
          <t>Industrial</t>
        </is>
      </c>
      <c r="H180" s="2358" t="inlineStr">
        <is>
          <t>Industrial NNN</t>
        </is>
      </c>
      <c r="I180" s="2359" t="n"/>
      <c r="J180" s="2359" t="n">
        <v>215461</v>
      </c>
      <c r="K180" s="2359" t="n">
        <v>2024</v>
      </c>
      <c r="L180" s="2358" t="n"/>
      <c r="M180" s="2358" t="n"/>
      <c r="N180" s="2358" t="n"/>
      <c r="O180" s="2360" t="n">
        <v>0.1431</v>
      </c>
      <c r="P180" s="2360" t="n">
        <v>0.331</v>
      </c>
      <c r="Q180" s="2358" t="n"/>
      <c r="R180" s="2358" t="n"/>
      <c r="S180" s="2358" t="n"/>
      <c r="T180" s="2358" t="n"/>
      <c r="U180" s="2358" t="n"/>
      <c r="V180" s="2358" t="n"/>
      <c r="W180" s="2358" t="n"/>
      <c r="X180" s="2358" t="n"/>
      <c r="Y180" s="2358" t="n"/>
      <c r="Z180" s="2358" t="n"/>
      <c r="AA180" s="2358" t="n"/>
      <c r="AB180" s="2358" t="n"/>
      <c r="AC180" s="2360" t="n">
        <v>0.5903</v>
      </c>
      <c r="AD180" s="2360" t="n">
        <v>0.4731</v>
      </c>
      <c r="AE180" s="2358" t="n"/>
      <c r="AF180" s="2360" t="n">
        <v>0.4731</v>
      </c>
      <c r="AG180" s="2358" t="n"/>
      <c r="AH180" s="2358" t="n"/>
      <c r="AI180" s="2360" t="n">
        <v>2.6197</v>
      </c>
      <c r="AJ180" s="2360" t="n">
        <v>4.1572</v>
      </c>
      <c r="AK180" s="2358" t="n"/>
      <c r="AL180" s="2358" t="n"/>
      <c r="AM180" s="2361" t="inlineStr">
        <is>
          <t>NNN; WH Expenses 2026 landlord data: RE Tax $564,450/Ins $30,832/Utils $101,924/Mgmt $71,321/CAM $127,177</t>
        </is>
      </c>
    </row>
    <row r="181" ht="14.1" customHeight="1" s="1449">
      <c r="A181" s="2339" t="inlineStr">
        <is>
          <t>P036</t>
        </is>
      </c>
      <c r="B181" s="2338" t="n">
        <v>407</v>
      </c>
      <c r="C181" s="2339" t="inlineStr">
        <is>
          <t>R0172868</t>
        </is>
      </c>
      <c r="D181" s="2339" t="inlineStr">
        <is>
          <t>(R0172868)</t>
        </is>
      </c>
      <c r="E181" s="2339" t="inlineStr">
        <is>
          <t>Adams County</t>
        </is>
      </c>
      <c r="F181" s="2339" t="inlineStr">
        <is>
          <t>CO</t>
        </is>
      </c>
      <c r="G181" s="2339" t="inlineStr">
        <is>
          <t>Industrial</t>
        </is>
      </c>
      <c r="H181" s="2339" t="inlineStr">
        <is>
          <t>Industrial NNN</t>
        </is>
      </c>
      <c r="I181" s="2362" t="n"/>
      <c r="J181" s="2362" t="n">
        <v>200000</v>
      </c>
      <c r="K181" s="2362" t="n">
        <v>2024</v>
      </c>
      <c r="L181" s="2339" t="n"/>
      <c r="M181" s="2339" t="n"/>
      <c r="N181" s="2339" t="n"/>
      <c r="O181" s="2363" t="n">
        <v>0.153</v>
      </c>
      <c r="P181" s="2363" t="n">
        <v>0.1804</v>
      </c>
      <c r="Q181" s="2339" t="n"/>
      <c r="R181" s="2339" t="n"/>
      <c r="S181" s="2339" t="n"/>
      <c r="T181" s="2339" t="n"/>
      <c r="U181" s="2339" t="n"/>
      <c r="V181" s="2339" t="n"/>
      <c r="W181" s="2339" t="n"/>
      <c r="X181" s="2339" t="n"/>
      <c r="Y181" s="2339" t="n"/>
      <c r="Z181" s="2339" t="n"/>
      <c r="AA181" s="2339" t="n"/>
      <c r="AB181" s="2339" t="n"/>
      <c r="AC181" s="2363" t="n">
        <v>0.479</v>
      </c>
      <c r="AD181" s="2339" t="n"/>
      <c r="AE181" s="2339" t="n"/>
      <c r="AF181" s="2339" t="n"/>
      <c r="AG181" s="2339" t="n"/>
      <c r="AH181" s="2339" t="n"/>
      <c r="AI181" s="2363" t="n">
        <v>3.041</v>
      </c>
      <c r="AJ181" s="2363" t="n">
        <v>3.8534</v>
      </c>
      <c r="AK181" s="2339" t="n"/>
      <c r="AL181" s="2339" t="n"/>
      <c r="AM181" s="2364" t="inlineStr">
        <is>
          <t>NNN; WH Expenses 2026 landlord data: RE Tax $608,209/Ins $30,594/Mgmt $36,085/CAM $95,792</t>
        </is>
      </c>
    </row>
    <row r="182" ht="14.1" customHeight="1" s="1449">
      <c r="A182" s="2358" t="inlineStr">
        <is>
          <t>P061</t>
        </is>
      </c>
      <c r="B182" s="2338" t="n">
        <v>584</v>
      </c>
      <c r="C182" s="2358" t="inlineStr">
        <is>
          <t>R0083935</t>
        </is>
      </c>
      <c r="D182" s="2358" t="inlineStr">
        <is>
          <t>(R0083935)</t>
        </is>
      </c>
      <c r="E182" s="2358" t="inlineStr">
        <is>
          <t>Adams County</t>
        </is>
      </c>
      <c r="F182" s="2358" t="inlineStr">
        <is>
          <t>CO</t>
        </is>
      </c>
      <c r="G182" s="2358" t="inlineStr">
        <is>
          <t>Industrial</t>
        </is>
      </c>
      <c r="H182" s="2358" t="inlineStr">
        <is>
          <t>Industrial NNN</t>
        </is>
      </c>
      <c r="I182" s="2359" t="n"/>
      <c r="J182" s="2359" t="n">
        <v>277690</v>
      </c>
      <c r="K182" s="2359" t="n">
        <v>2024</v>
      </c>
      <c r="L182" s="2358" t="n"/>
      <c r="M182" s="2358" t="n"/>
      <c r="N182" s="2358" t="n"/>
      <c r="O182" s="2360" t="n">
        <v>0.2911</v>
      </c>
      <c r="P182" s="2360" t="n">
        <v>0.6228</v>
      </c>
      <c r="Q182" s="2358" t="n"/>
      <c r="R182" s="2358" t="n"/>
      <c r="S182" s="2358" t="n"/>
      <c r="T182" s="2358" t="n"/>
      <c r="U182" s="2358" t="n"/>
      <c r="V182" s="2358" t="n"/>
      <c r="W182" s="2358" t="n"/>
      <c r="X182" s="2358" t="n"/>
      <c r="Y182" s="2358" t="n"/>
      <c r="Z182" s="2358" t="n"/>
      <c r="AA182" s="2358" t="n"/>
      <c r="AB182" s="2358" t="n"/>
      <c r="AC182" s="2360" t="n">
        <v>1.0179</v>
      </c>
      <c r="AD182" s="2360" t="n">
        <v>0.7056</v>
      </c>
      <c r="AE182" s="2358" t="n"/>
      <c r="AF182" s="2360" t="n">
        <v>0.7056</v>
      </c>
      <c r="AG182" s="2358" t="n"/>
      <c r="AH182" s="2358" t="n"/>
      <c r="AI182" s="2360" t="n">
        <v>2.8384</v>
      </c>
      <c r="AJ182" s="2360" t="n">
        <v>5.4758</v>
      </c>
      <c r="AK182" s="2358" t="n"/>
      <c r="AL182" s="2358" t="n"/>
      <c r="AM182" s="2361" t="inlineStr">
        <is>
          <t>NNN; WH Expenses 2026 landlord data 2024; ranges used (midpoints): RE Tax ~$788k/Ins ~$81k/Utils $195,945/Mgmt $172,937/CAM ~$283k</t>
        </is>
      </c>
    </row>
    <row r="183" ht="14.1" customHeight="1" s="1449">
      <c r="A183" s="2339" t="inlineStr">
        <is>
          <t>P069</t>
        </is>
      </c>
      <c r="B183" s="2338" t="n">
        <v>210</v>
      </c>
      <c r="C183" s="2339" t="inlineStr">
        <is>
          <t>R0098223</t>
        </is>
      </c>
      <c r="D183" s="2339" t="inlineStr">
        <is>
          <t>(R0098223)</t>
        </is>
      </c>
      <c r="E183" s="2339" t="inlineStr">
        <is>
          <t>Adams County</t>
        </is>
      </c>
      <c r="F183" s="2339" t="inlineStr">
        <is>
          <t>CO</t>
        </is>
      </c>
      <c r="G183" s="2339" t="inlineStr">
        <is>
          <t>Industrial</t>
        </is>
      </c>
      <c r="H183" s="2339" t="inlineStr">
        <is>
          <t>Industrial</t>
        </is>
      </c>
      <c r="I183" s="2362" t="n"/>
      <c r="J183" s="2362" t="n"/>
      <c r="K183" s="2362" t="n">
        <v>2023</v>
      </c>
      <c r="L183" s="2339" t="n"/>
      <c r="M183" s="2339" t="n"/>
      <c r="N183" s="2339" t="n"/>
      <c r="O183" s="2339" t="n"/>
      <c r="P183" s="2339" t="n"/>
      <c r="Q183" s="2339" t="n"/>
      <c r="R183" s="2339" t="n"/>
      <c r="S183" s="2339" t="n"/>
      <c r="T183" s="2339" t="n"/>
      <c r="U183" s="2339" t="n"/>
      <c r="V183" s="2339" t="n"/>
      <c r="W183" s="2339" t="n"/>
      <c r="X183" s="2339" t="n"/>
      <c r="Y183" s="2339" t="n"/>
      <c r="Z183" s="2339" t="n"/>
      <c r="AA183" s="2339" t="n"/>
      <c r="AB183" s="2339" t="n"/>
      <c r="AC183" s="2339" t="n"/>
      <c r="AD183" s="2339" t="n"/>
      <c r="AE183" s="2339" t="n"/>
      <c r="AF183" s="2339" t="n"/>
      <c r="AG183" s="2339" t="n"/>
      <c r="AH183" s="2339" t="n"/>
      <c r="AI183" s="2339" t="n"/>
      <c r="AJ183" s="2339" t="n"/>
      <c r="AK183" s="2371" t="n">
        <v>951113</v>
      </c>
      <c r="AL183" s="2339" t="n"/>
      <c r="AM183" s="2364" t="inlineStr">
        <is>
          <t>[NO SF] CORRECTED: previous entry had wrong NOI ($76,629). Correct 2023 NOI = $951,113 per WH Expenses 2026</t>
        </is>
      </c>
    </row>
    <row r="184" ht="14.1" customHeight="1" s="1449">
      <c r="A184" s="2358" t="inlineStr">
        <is>
          <t>P069</t>
        </is>
      </c>
      <c r="B184" s="2338" t="n">
        <v>210</v>
      </c>
      <c r="C184" s="2358" t="inlineStr">
        <is>
          <t>R0098223</t>
        </is>
      </c>
      <c r="D184" s="2358" t="inlineStr">
        <is>
          <t>(R0098223)</t>
        </is>
      </c>
      <c r="E184" s="2358" t="inlineStr">
        <is>
          <t>Adams County</t>
        </is>
      </c>
      <c r="F184" s="2358" t="inlineStr">
        <is>
          <t>CO</t>
        </is>
      </c>
      <c r="G184" s="2358" t="inlineStr">
        <is>
          <t>Industrial</t>
        </is>
      </c>
      <c r="H184" s="2358" t="inlineStr">
        <is>
          <t>Industrial</t>
        </is>
      </c>
      <c r="I184" s="2359" t="n"/>
      <c r="J184" s="2359" t="n"/>
      <c r="K184" s="2359" t="n">
        <v>2024</v>
      </c>
      <c r="L184" s="2358" t="n"/>
      <c r="M184" s="2358" t="n"/>
      <c r="N184" s="2358" t="n"/>
      <c r="O184" s="2358" t="n"/>
      <c r="P184" s="2358" t="n"/>
      <c r="Q184" s="2358" t="n"/>
      <c r="R184" s="2358" t="n"/>
      <c r="S184" s="2358" t="n"/>
      <c r="T184" s="2358" t="n"/>
      <c r="U184" s="2358" t="n"/>
      <c r="V184" s="2358" t="n"/>
      <c r="W184" s="2358" t="n"/>
      <c r="X184" s="2358" t="n"/>
      <c r="Y184" s="2358" t="n"/>
      <c r="Z184" s="2358" t="n"/>
      <c r="AA184" s="2358" t="n"/>
      <c r="AB184" s="2358" t="n"/>
      <c r="AC184" s="2358" t="n"/>
      <c r="AD184" s="2358" t="n"/>
      <c r="AE184" s="2358" t="n"/>
      <c r="AF184" s="2358" t="n"/>
      <c r="AG184" s="2358" t="n"/>
      <c r="AH184" s="2358" t="n"/>
      <c r="AI184" s="2358" t="n"/>
      <c r="AJ184" s="2358" t="n"/>
      <c r="AK184" s="2370" t="n">
        <v>1005999</v>
      </c>
      <c r="AL184" s="2358" t="n"/>
      <c r="AM184" s="2361" t="inlineStr">
        <is>
          <t>[NO SF] New 2024 row from WH Expenses 2026; NOI $1,005,999</t>
        </is>
      </c>
    </row>
    <row r="185" ht="14.1" customHeight="1" s="1449">
      <c r="A185" s="2339" t="inlineStr">
        <is>
          <t>P094</t>
        </is>
      </c>
      <c r="B185" s="2338" t="n">
        <v>407</v>
      </c>
      <c r="C185" s="2339" t="inlineStr">
        <is>
          <t>R0104122</t>
        </is>
      </c>
      <c r="D185" s="2339" t="inlineStr">
        <is>
          <t>550 W 53rd Pl</t>
        </is>
      </c>
      <c r="E185" s="2339" t="inlineStr">
        <is>
          <t>Denver</t>
        </is>
      </c>
      <c r="F185" s="2339" t="inlineStr">
        <is>
          <t>CO</t>
        </is>
      </c>
      <c r="G185" s="2339" t="inlineStr">
        <is>
          <t>Industrial</t>
        </is>
      </c>
      <c r="H185" s="2339" t="inlineStr">
        <is>
          <t>Distribution Warehouse</t>
        </is>
      </c>
      <c r="I185" s="2362" t="n">
        <v>1971</v>
      </c>
      <c r="J185" s="2362" t="n">
        <v>127900</v>
      </c>
      <c r="K185" s="2362" t="n">
        <v>2024</v>
      </c>
      <c r="L185" s="2363" t="n">
        <v>6.5</v>
      </c>
      <c r="M185" s="2339" t="n"/>
      <c r="N185" s="2363" t="n">
        <v>6.11</v>
      </c>
      <c r="O185" s="2339" t="n"/>
      <c r="P185" s="2339" t="n"/>
      <c r="Q185" s="2339" t="n"/>
      <c r="R185" s="2339" t="n"/>
      <c r="S185" s="2339" t="n"/>
      <c r="T185" s="2339" t="n"/>
      <c r="U185" s="2339" t="n"/>
      <c r="V185" s="2339" t="n"/>
      <c r="W185" s="2339" t="n"/>
      <c r="X185" s="2339" t="n"/>
      <c r="Y185" s="2339" t="n"/>
      <c r="Z185" s="2339" t="n"/>
      <c r="AA185" s="2339" t="n"/>
      <c r="AB185" s="2339" t="n"/>
      <c r="AC185" s="2339" t="n"/>
      <c r="AD185" s="2339" t="n"/>
      <c r="AE185" s="2339" t="n"/>
      <c r="AF185" s="2339" t="n"/>
      <c r="AG185" s="2339" t="n"/>
      <c r="AH185" s="2363" t="n">
        <v>0.4888</v>
      </c>
      <c r="AI185" s="2339" t="n"/>
      <c r="AJ185" s="2363" t="n">
        <v>0.4888</v>
      </c>
      <c r="AK185" s="2363" t="n">
        <v>5.6212</v>
      </c>
      <c r="AL185" s="2339" t="n"/>
      <c r="AM185" s="2364" t="inlineStr">
        <is>
          <t>Appraiser income approach (CBOE 2024 abatement); market rent $6.50/SF; vac 6%; OPX 5% + reserves 3%; 6.00% OAR; value $11,985,000</t>
        </is>
      </c>
    </row>
    <row r="186" ht="14.1" customHeight="1" s="1449">
      <c r="A186" s="2372" t="inlineStr">
        <is>
          <t>P095</t>
        </is>
      </c>
      <c r="B186" s="2338" t="n">
        <v>386</v>
      </c>
      <c r="C186" s="2372" t="inlineStr">
        <is>
          <t>R0086010</t>
        </is>
      </c>
      <c r="D186" s="2372" t="inlineStr">
        <is>
          <t>15413 E 18th Ave</t>
        </is>
      </c>
      <c r="E186" s="2372" t="inlineStr">
        <is>
          <t>Aurora</t>
        </is>
      </c>
      <c r="F186" s="2372" t="inlineStr">
        <is>
          <t>CO</t>
        </is>
      </c>
      <c r="G186" s="2372" t="inlineStr">
        <is>
          <t>Self-Storage</t>
        </is>
      </c>
      <c r="H186" s="2372" t="inlineStr">
        <is>
          <t>Self-Storage</t>
        </is>
      </c>
      <c r="I186" s="2373" t="n">
        <v>1984</v>
      </c>
      <c r="J186" s="2373" t="n">
        <v>63989</v>
      </c>
      <c r="K186" s="2373" t="n">
        <v>2024</v>
      </c>
      <c r="L186" s="2374" t="n">
        <v>15.0547</v>
      </c>
      <c r="M186" s="2374" t="n">
        <v>0.1953</v>
      </c>
      <c r="N186" s="2374" t="n">
        <v>12.9919</v>
      </c>
      <c r="O186" s="2372" t="n"/>
      <c r="P186" s="2372" t="n"/>
      <c r="Q186" s="2372" t="n"/>
      <c r="R186" s="2372" t="n"/>
      <c r="S186" s="2372" t="n"/>
      <c r="T186" s="2372" t="n"/>
      <c r="U186" s="2372" t="n"/>
      <c r="V186" s="2372" t="n"/>
      <c r="W186" s="2372" t="n"/>
      <c r="X186" s="2372" t="n"/>
      <c r="Y186" s="2372" t="n"/>
      <c r="Z186" s="2372" t="n"/>
      <c r="AA186" s="2372" t="n"/>
      <c r="AB186" s="2372" t="n"/>
      <c r="AC186" s="2372" t="n"/>
      <c r="AD186" s="2372" t="n"/>
      <c r="AE186" s="2372" t="n"/>
      <c r="AF186" s="2372" t="n"/>
      <c r="AG186" s="2372" t="n"/>
      <c r="AH186" s="2374" t="n">
        <v>2.5984</v>
      </c>
      <c r="AI186" s="2372" t="n"/>
      <c r="AJ186" s="2374" t="n">
        <v>3.118</v>
      </c>
      <c r="AK186" s="2374" t="n">
        <v>9.873799999999999</v>
      </c>
      <c r="AL186" s="2374" t="n">
        <v>0.5197000000000001</v>
      </c>
      <c r="AM186" s="2375" t="inlineStr">
        <is>
          <t>Appraiser pro forma (AXG CBOE 2024); NRA 57,754 SF; market rent $1.39/mo/SF NRA; vac 15%; OPX 20% EGI; reserves 4%; 7.90% loaded cap; value $8,000,000</t>
        </is>
      </c>
    </row>
    <row r="187" ht="14.1" customHeight="1" s="1449">
      <c r="A187" s="2339" t="inlineStr">
        <is>
          <t>P096</t>
        </is>
      </c>
      <c r="B187" s="2338" t="n">
        <v>407</v>
      </c>
      <c r="C187" s="2339" t="inlineStr">
        <is>
          <t>R0083917</t>
        </is>
      </c>
      <c r="D187" s="2339" t="inlineStr">
        <is>
          <t>14701 E 38th Ave</t>
        </is>
      </c>
      <c r="E187" s="2339" t="inlineStr">
        <is>
          <t>Aurora</t>
        </is>
      </c>
      <c r="F187" s="2339" t="inlineStr">
        <is>
          <t>CO</t>
        </is>
      </c>
      <c r="G187" s="2339" t="inlineStr">
        <is>
          <t>Industrial</t>
        </is>
      </c>
      <c r="H187" s="2339" t="inlineStr">
        <is>
          <t>Industrial Owner-User</t>
        </is>
      </c>
      <c r="I187" s="2362" t="n"/>
      <c r="J187" s="2362" t="n">
        <v>117280</v>
      </c>
      <c r="K187" s="2362" t="n">
        <v>2024</v>
      </c>
      <c r="L187" s="2339" t="n"/>
      <c r="M187" s="2339" t="n"/>
      <c r="N187" s="2339" t="n"/>
      <c r="O187" s="2363" t="n">
        <v>0.4818</v>
      </c>
      <c r="P187" s="2363" t="n">
        <v>3.8578</v>
      </c>
      <c r="Q187" s="2339" t="n"/>
      <c r="R187" s="2339" t="n"/>
      <c r="S187" s="2339" t="n"/>
      <c r="T187" s="2339" t="n"/>
      <c r="U187" s="2339" t="n"/>
      <c r="V187" s="2339" t="n"/>
      <c r="W187" s="2339" t="n"/>
      <c r="X187" s="2363" t="n">
        <v>1.8719</v>
      </c>
      <c r="Y187" s="2363" t="n">
        <v>1.8719</v>
      </c>
      <c r="Z187" s="2363" t="n">
        <v>0.1178</v>
      </c>
      <c r="AA187" s="2363" t="n">
        <v>0.04</v>
      </c>
      <c r="AB187" s="2339" t="n"/>
      <c r="AC187" s="2363" t="n">
        <v>0.1578</v>
      </c>
      <c r="AD187" s="2339" t="n"/>
      <c r="AE187" s="2339" t="n"/>
      <c r="AF187" s="2363" t="n">
        <v>3.1677</v>
      </c>
      <c r="AG187" s="2339" t="n"/>
      <c r="AH187" s="2363" t="n">
        <v>9.537000000000001</v>
      </c>
      <c r="AI187" s="2339" t="n"/>
      <c r="AJ187" s="2363" t="n">
        <v>9.537000000000001</v>
      </c>
      <c r="AK187" s="2339" t="n"/>
      <c r="AL187" s="2339" t="n"/>
      <c r="AM187" s="2364" t="inlineStr">
        <is>
          <t>I&amp;E Survey 2024; owner-user; CAUTION: expenses likely include non-RE business costs (mgmt $452k + utils $372k very high); 117,280 SF</t>
        </is>
      </c>
    </row>
    <row r="188" ht="14.1" customHeight="1" s="1449">
      <c r="A188" s="2358" t="inlineStr">
        <is>
          <t>P097</t>
        </is>
      </c>
      <c r="B188" s="2338" t="n">
        <v>210</v>
      </c>
      <c r="C188" s="2358" t="inlineStr">
        <is>
          <t>R0137586</t>
        </is>
      </c>
      <c r="D188" s="2358" t="inlineStr">
        <is>
          <t>7273-7285 E 96th Ave</t>
        </is>
      </c>
      <c r="E188" s="2358" t="inlineStr">
        <is>
          <t>Commerce City</t>
        </is>
      </c>
      <c r="F188" s="2358" t="inlineStr">
        <is>
          <t>CO</t>
        </is>
      </c>
      <c r="G188" s="2358" t="inlineStr">
        <is>
          <t>Industrial</t>
        </is>
      </c>
      <c r="H188" s="2358" t="inlineStr">
        <is>
          <t>Multi-Tenant Industrial</t>
        </is>
      </c>
      <c r="I188" s="2359" t="n"/>
      <c r="J188" s="2359" t="n">
        <v>57200</v>
      </c>
      <c r="K188" s="2359" t="n">
        <v>2023</v>
      </c>
      <c r="L188" s="2360" t="n">
        <v>14.0542</v>
      </c>
      <c r="M188" s="2358" t="n"/>
      <c r="N188" s="2358" t="n"/>
      <c r="O188" s="2360" t="n">
        <v>0.2194</v>
      </c>
      <c r="P188" s="2360" t="n">
        <v>0.9815</v>
      </c>
      <c r="Q188" s="2358" t="n"/>
      <c r="R188" s="2358" t="n"/>
      <c r="S188" s="2358" t="n"/>
      <c r="T188" s="2358" t="n"/>
      <c r="U188" s="2358" t="n"/>
      <c r="V188" s="2358" t="n"/>
      <c r="W188" s="2358" t="n"/>
      <c r="X188" s="2360" t="n">
        <v>0.6945</v>
      </c>
      <c r="Y188" s="2360" t="n">
        <v>0.6945</v>
      </c>
      <c r="Z188" s="2360" t="n">
        <v>0.3918</v>
      </c>
      <c r="AA188" s="2360" t="n">
        <v>0.0257</v>
      </c>
      <c r="AB188" s="2358" t="n"/>
      <c r="AC188" s="2360" t="n">
        <v>0.4175</v>
      </c>
      <c r="AD188" s="2358" t="n"/>
      <c r="AE188" s="2360" t="n">
        <v>0.1169</v>
      </c>
      <c r="AF188" s="2360" t="n">
        <v>0.1169</v>
      </c>
      <c r="AG188" s="2358" t="n"/>
      <c r="AH188" s="2360" t="n">
        <v>2.4266</v>
      </c>
      <c r="AI188" s="2358" t="n"/>
      <c r="AJ188" s="2360" t="n">
        <v>2.4266</v>
      </c>
      <c r="AK188" s="2358" t="n"/>
      <c r="AL188" s="2358" t="n"/>
      <c r="AM188" s="2361" t="inlineStr">
        <is>
          <t>I&amp;E Survey 2023; modified lease; 57,200 SF; total expenses approx (excludes RE taxes not reported)</t>
        </is>
      </c>
    </row>
    <row r="189" ht="14.1" customHeight="1" s="1449">
      <c r="A189" s="2339" t="inlineStr">
        <is>
          <t>P098</t>
        </is>
      </c>
      <c r="B189" s="2338" t="n">
        <v>210</v>
      </c>
      <c r="C189" s="2339" t="inlineStr">
        <is>
          <t>R0187010</t>
        </is>
      </c>
      <c r="D189" s="2339" t="inlineStr">
        <is>
          <t>8020 Steele St</t>
        </is>
      </c>
      <c r="E189" s="2339" t="inlineStr">
        <is>
          <t>Denver</t>
        </is>
      </c>
      <c r="F189" s="2339" t="inlineStr">
        <is>
          <t>CO</t>
        </is>
      </c>
      <c r="G189" s="2339" t="inlineStr">
        <is>
          <t>Industrial</t>
        </is>
      </c>
      <c r="H189" s="2339" t="inlineStr">
        <is>
          <t>Industrial Modified Gross</t>
        </is>
      </c>
      <c r="I189" s="2362" t="n"/>
      <c r="J189" s="2362" t="n">
        <v>70000</v>
      </c>
      <c r="K189" s="2362" t="n">
        <v>2024</v>
      </c>
      <c r="L189" s="2363" t="n">
        <v>7.7</v>
      </c>
      <c r="M189" s="2339" t="n"/>
      <c r="N189" s="2339" t="n"/>
      <c r="O189" s="2339" t="n"/>
      <c r="P189" s="2363" t="n">
        <v>0.231</v>
      </c>
      <c r="Q189" s="2339" t="n"/>
      <c r="R189" s="2339" t="n"/>
      <c r="S189" s="2339" t="n"/>
      <c r="T189" s="2339" t="n"/>
      <c r="U189" s="2339" t="n"/>
      <c r="V189" s="2339" t="n"/>
      <c r="W189" s="2339" t="n"/>
      <c r="X189" s="2363" t="n">
        <v>0.0514</v>
      </c>
      <c r="Y189" s="2363" t="n">
        <v>0.0514</v>
      </c>
      <c r="Z189" s="2339" t="n"/>
      <c r="AA189" s="2363" t="n">
        <v>0.0571</v>
      </c>
      <c r="AB189" s="2339" t="n"/>
      <c r="AC189" s="2363" t="n">
        <v>0.0571</v>
      </c>
      <c r="AD189" s="2339" t="n"/>
      <c r="AE189" s="2339" t="n"/>
      <c r="AF189" s="2339" t="n"/>
      <c r="AG189" s="2339" t="n"/>
      <c r="AH189" s="2363" t="n">
        <v>0.3396</v>
      </c>
      <c r="AI189" s="2339" t="n"/>
      <c r="AJ189" s="2363" t="n">
        <v>0.3396</v>
      </c>
      <c r="AK189" s="2339" t="n"/>
      <c r="AL189" s="2339" t="n"/>
      <c r="AM189" s="2364" t="inlineStr">
        <is>
          <t>I&amp;E Survey 2024; modified gross; owner pays ins/R&amp;M/mgmt only; tenant pays utils/trash; 70,000 SF; partial expense data</t>
        </is>
      </c>
    </row>
    <row r="190" ht="14.1" customHeight="1" s="1449">
      <c r="A190" s="2358" t="inlineStr">
        <is>
          <t>P099</t>
        </is>
      </c>
      <c r="B190" s="2338" t="n">
        <v>210</v>
      </c>
      <c r="C190" s="2358" t="inlineStr">
        <is>
          <t>R0111914</t>
        </is>
      </c>
      <c r="D190" s="2358" t="inlineStr">
        <is>
          <t>1963 Jasper St</t>
        </is>
      </c>
      <c r="E190" s="2358" t="inlineStr">
        <is>
          <t>Aurora</t>
        </is>
      </c>
      <c r="F190" s="2358" t="inlineStr">
        <is>
          <t>CO</t>
        </is>
      </c>
      <c r="G190" s="2358" t="inlineStr">
        <is>
          <t>Industrial</t>
        </is>
      </c>
      <c r="H190" s="2358" t="inlineStr">
        <is>
          <t>Multi-Tenant Industrial Gross</t>
        </is>
      </c>
      <c r="I190" s="2359" t="n"/>
      <c r="J190" s="2359" t="n">
        <v>33574</v>
      </c>
      <c r="K190" s="2359" t="n">
        <v>2024</v>
      </c>
      <c r="L190" s="2360" t="n">
        <v>9.829000000000001</v>
      </c>
      <c r="M190" s="2358" t="n"/>
      <c r="N190" s="2360" t="n">
        <v>9.829000000000001</v>
      </c>
      <c r="O190" s="2360" t="n">
        <v>0.2475</v>
      </c>
      <c r="P190" s="2360" t="n">
        <v>0.4915</v>
      </c>
      <c r="Q190" s="2358" t="n"/>
      <c r="R190" s="2358" t="n"/>
      <c r="S190" s="2358" t="n"/>
      <c r="T190" s="2358" t="n"/>
      <c r="U190" s="2358" t="n"/>
      <c r="V190" s="2358" t="n"/>
      <c r="W190" s="2358" t="n"/>
      <c r="X190" s="2360" t="n">
        <v>0.5624</v>
      </c>
      <c r="Y190" s="2360" t="n">
        <v>0.5624</v>
      </c>
      <c r="Z190" s="2360" t="n">
        <v>0.2949</v>
      </c>
      <c r="AA190" s="2360" t="n">
        <v>0.3366</v>
      </c>
      <c r="AB190" s="2358" t="n"/>
      <c r="AC190" s="2360" t="n">
        <v>0.6314</v>
      </c>
      <c r="AD190" s="2358" t="n"/>
      <c r="AE190" s="2360" t="n">
        <v>0.3437</v>
      </c>
      <c r="AF190" s="2360" t="n">
        <v>0.3437</v>
      </c>
      <c r="AG190" s="2358" t="n"/>
      <c r="AH190" s="2360" t="n">
        <v>2.2765</v>
      </c>
      <c r="AI190" s="2358" t="n"/>
      <c r="AJ190" s="2360" t="n">
        <v>2.2765</v>
      </c>
      <c r="AK190" s="2360" t="n">
        <v>7.5525</v>
      </c>
      <c r="AL190" s="2358" t="n"/>
      <c r="AM190" s="2361" t="inlineStr">
        <is>
          <t>I&amp;E Survey 2024; gross lease (tenant pays gas/elec); approx NOI = GRI minus owner expenses; 33,574 SF</t>
        </is>
      </c>
    </row>
    <row r="191" ht="14.1" customHeight="1" s="1449">
      <c r="A191" s="2376" t="inlineStr">
        <is>
          <t>P100</t>
        </is>
      </c>
      <c r="B191" s="2338" t="n">
        <v>1332</v>
      </c>
      <c r="C191" s="2376" t="inlineStr">
        <is>
          <t>R0111965</t>
        </is>
      </c>
      <c r="D191" s="2376" t="inlineStr">
        <is>
          <t>12101 Grant St</t>
        </is>
      </c>
      <c r="E191" s="2376" t="inlineStr">
        <is>
          <t>Thornton</t>
        </is>
      </c>
      <c r="F191" s="2376" t="inlineStr">
        <is>
          <t>CO</t>
        </is>
      </c>
      <c r="G191" s="2376" t="inlineStr">
        <is>
          <t>Hospitality</t>
        </is>
      </c>
      <c r="H191" s="2376" t="inlineStr">
        <is>
          <t>Hotel Limited Service</t>
        </is>
      </c>
      <c r="I191" s="2377" t="n">
        <v>1998</v>
      </c>
      <c r="J191" s="2377" t="n"/>
      <c r="K191" s="2377" t="n">
        <v>2024</v>
      </c>
      <c r="L191" s="2378" t="n">
        <v>3007421</v>
      </c>
      <c r="M191" s="2376" t="n"/>
      <c r="N191" s="2378" t="n">
        <v>3007421</v>
      </c>
      <c r="O191" s="2378" t="n">
        <v>45111</v>
      </c>
      <c r="P191" s="2376" t="n"/>
      <c r="Q191" s="2376" t="n"/>
      <c r="R191" s="2376" t="n"/>
      <c r="S191" s="2376" t="n"/>
      <c r="T191" s="2376" t="n"/>
      <c r="U191" s="2376" t="n"/>
      <c r="V191" s="2376" t="n"/>
      <c r="W191" s="2376" t="n"/>
      <c r="X191" s="2376" t="n"/>
      <c r="Y191" s="2376" t="n"/>
      <c r="Z191" s="2376" t="n"/>
      <c r="AA191" s="2376" t="n"/>
      <c r="AB191" s="2376" t="n"/>
      <c r="AC191" s="2376" t="n"/>
      <c r="AD191" s="2376" t="n"/>
      <c r="AE191" s="2376" t="n"/>
      <c r="AF191" s="2376" t="n"/>
      <c r="AG191" s="2378" t="n">
        <v>1975907</v>
      </c>
      <c r="AH191" s="2378" t="n">
        <v>2143856</v>
      </c>
      <c r="AI191" s="2376" t="n"/>
      <c r="AJ191" s="2378" t="n">
        <v>2143856</v>
      </c>
      <c r="AK191" s="2378" t="n">
        <v>863565</v>
      </c>
      <c r="AL191" s="2376" t="n"/>
      <c r="AM191" s="2379" t="inlineStr">
        <is>
          <t>[NO SF] Appraiser Rushmore income approach (AXG CBOE 2024); 100 rooms; ADR $115; occ 70%; RevPAR $80.50; loaded cap 11.30%; RE prop value ~$7.49M. Total Revenue breakout: Rooms+F&amp;B+Other</t>
        </is>
      </c>
    </row>
    <row r="192" ht="14.1" customHeight="1" s="1449">
      <c r="A192" s="2376" t="inlineStr">
        <is>
          <t>P101</t>
        </is>
      </c>
      <c r="B192" s="2338" t="n">
        <v>332</v>
      </c>
      <c r="C192" s="2376" t="inlineStr">
        <is>
          <t>R0202410</t>
        </is>
      </c>
      <c r="D192" s="2376" t="inlineStr">
        <is>
          <t>2556 Oswego St</t>
        </is>
      </c>
      <c r="E192" s="2376" t="inlineStr">
        <is>
          <t>Aurora</t>
        </is>
      </c>
      <c r="F192" s="2376" t="inlineStr">
        <is>
          <t>CO</t>
        </is>
      </c>
      <c r="G192" s="2376" t="inlineStr">
        <is>
          <t>Hospitality</t>
        </is>
      </c>
      <c r="H192" s="2376" t="inlineStr">
        <is>
          <t>Hotel Full Service</t>
        </is>
      </c>
      <c r="I192" s="2377" t="n">
        <v>2023</v>
      </c>
      <c r="J192" s="2377" t="n"/>
      <c r="K192" s="2377" t="n">
        <v>2024</v>
      </c>
      <c r="L192" s="2378" t="n">
        <v>11899487</v>
      </c>
      <c r="M192" s="2376" t="n"/>
      <c r="N192" s="2378" t="n">
        <v>11899487</v>
      </c>
      <c r="O192" s="2378" t="n">
        <v>154693</v>
      </c>
      <c r="P192" s="2376" t="n"/>
      <c r="Q192" s="2376" t="n"/>
      <c r="R192" s="2376" t="n"/>
      <c r="S192" s="2376" t="n"/>
      <c r="T192" s="2376" t="n"/>
      <c r="U192" s="2376" t="n"/>
      <c r="V192" s="2376" t="n"/>
      <c r="W192" s="2376" t="n"/>
      <c r="X192" s="2376" t="n"/>
      <c r="Y192" s="2376" t="n"/>
      <c r="Z192" s="2376" t="n"/>
      <c r="AA192" s="2376" t="n"/>
      <c r="AB192" s="2376" t="n"/>
      <c r="AC192" s="2376" t="n"/>
      <c r="AD192" s="2376" t="n"/>
      <c r="AE192" s="2376" t="n"/>
      <c r="AF192" s="2376" t="n"/>
      <c r="AG192" s="2378" t="n">
        <v>8760469</v>
      </c>
      <c r="AH192" s="2378" t="n">
        <v>8915468</v>
      </c>
      <c r="AI192" s="2376" t="n"/>
      <c r="AJ192" s="2378" t="n">
        <v>9391447</v>
      </c>
      <c r="AK192" s="2378" t="n">
        <v>2984019</v>
      </c>
      <c r="AL192" s="2378" t="n">
        <v>475979</v>
      </c>
      <c r="AM192" s="2379" t="inlineStr">
        <is>
          <t>[NO SF] Appraiser Rushmore income approach (AXG CBOE 2024); 227 rooms; built 2023; ADR $140; occ 70%; RevPAR $98; loaded cap 12.45%; RE value ~$23.47M (less FF&amp;E)</t>
        </is>
      </c>
    </row>
    <row r="193" ht="14.1" customHeight="1" s="1449">
      <c r="A193" s="2376" t="inlineStr">
        <is>
          <t>P102</t>
        </is>
      </c>
      <c r="B193" s="2338" t="n">
        <v>332</v>
      </c>
      <c r="C193" s="2376" t="inlineStr">
        <is>
          <t>R0024498</t>
        </is>
      </c>
      <c r="D193" s="2376" t="inlineStr">
        <is>
          <t>83 E 120th Ave</t>
        </is>
      </c>
      <c r="E193" s="2376" t="inlineStr">
        <is>
          <t>Thornton</t>
        </is>
      </c>
      <c r="F193" s="2376" t="inlineStr">
        <is>
          <t>CO</t>
        </is>
      </c>
      <c r="G193" s="2376" t="inlineStr">
        <is>
          <t>Hospitality</t>
        </is>
      </c>
      <c r="H193" s="2376" t="inlineStr">
        <is>
          <t>Hotel Full Service</t>
        </is>
      </c>
      <c r="I193" s="2377" t="n">
        <v>1984</v>
      </c>
      <c r="J193" s="2377" t="n">
        <v>114796</v>
      </c>
      <c r="K193" s="2377" t="n">
        <v>2024</v>
      </c>
      <c r="L193" s="2380" t="n">
        <v>66.4378</v>
      </c>
      <c r="M193" s="2376" t="n"/>
      <c r="N193" s="2380" t="n">
        <v>66.4378</v>
      </c>
      <c r="O193" s="2380" t="n">
        <v>0.8637</v>
      </c>
      <c r="P193" s="2376" t="n"/>
      <c r="Q193" s="2376" t="n"/>
      <c r="R193" s="2376" t="n"/>
      <c r="S193" s="2376" t="n"/>
      <c r="T193" s="2376" t="n"/>
      <c r="U193" s="2376" t="n"/>
      <c r="V193" s="2376" t="n"/>
      <c r="W193" s="2376" t="n"/>
      <c r="X193" s="2376" t="n"/>
      <c r="Y193" s="2376" t="n"/>
      <c r="Z193" s="2376" t="n"/>
      <c r="AA193" s="2376" t="n"/>
      <c r="AB193" s="2376" t="n"/>
      <c r="AC193" s="2376" t="n"/>
      <c r="AD193" s="2376" t="n"/>
      <c r="AE193" s="2376" t="n"/>
      <c r="AF193" s="2376" t="n"/>
      <c r="AG193" s="2380" t="n">
        <v>48.7513</v>
      </c>
      <c r="AH193" s="2380" t="n">
        <v>51.4075</v>
      </c>
      <c r="AI193" s="2376" t="n"/>
      <c r="AJ193" s="2380" t="n">
        <v>54.0651</v>
      </c>
      <c r="AK193" s="2380" t="n">
        <v>15.0303</v>
      </c>
      <c r="AL193" s="2380" t="n">
        <v>2.6575</v>
      </c>
      <c r="AM193" s="2379" t="inlineStr">
        <is>
          <t>Appraiser Rushmore income approach (AXG CBOE 2024); 137 rooms; 114,796 SF; 2 bldgs; 1984 YOC; ADR $142; occ 70%; loaded cap 10.56%; RE value $15.78M (less FF&amp;E); STR data: occ ~73%, ADR ~$147-161</t>
        </is>
      </c>
    </row>
    <row r="194" ht="14.1" customHeight="1" s="1449">
      <c r="A194" s="2358" t="inlineStr">
        <is>
          <t>P103</t>
        </is>
      </c>
      <c r="B194" s="2338" t="n">
        <v>407</v>
      </c>
      <c r="C194" s="2358" t="inlineStr">
        <is>
          <t>R0075212</t>
        </is>
      </c>
      <c r="D194" s="2358" t="inlineStr">
        <is>
          <t>10500 Havana Ct</t>
        </is>
      </c>
      <c r="E194" s="2358" t="inlineStr">
        <is>
          <t>Commerce City</t>
        </is>
      </c>
      <c r="F194" s="2358" t="inlineStr">
        <is>
          <t>CO</t>
        </is>
      </c>
      <c r="G194" s="2358" t="inlineStr">
        <is>
          <t>Industrial</t>
        </is>
      </c>
      <c r="H194" s="2358" t="inlineStr">
        <is>
          <t>Industrial NNN</t>
        </is>
      </c>
      <c r="I194" s="2359" t="n"/>
      <c r="J194" s="2359" t="n">
        <v>30000</v>
      </c>
      <c r="K194" s="2359" t="n">
        <v>2024</v>
      </c>
      <c r="L194" s="2360" t="n">
        <v>8.4</v>
      </c>
      <c r="M194" s="2358" t="n"/>
      <c r="N194" s="2358" t="n"/>
      <c r="O194" s="2360" t="n">
        <v>0.7568</v>
      </c>
      <c r="P194" s="2360" t="n">
        <v>0.3167</v>
      </c>
      <c r="Q194" s="2358" t="n"/>
      <c r="R194" s="2358" t="n"/>
      <c r="S194" s="2358" t="n"/>
      <c r="T194" s="2358" t="n"/>
      <c r="U194" s="2358" t="n"/>
      <c r="V194" s="2358" t="n"/>
      <c r="W194" s="2358" t="n"/>
      <c r="X194" s="2360" t="n">
        <v>0.3647</v>
      </c>
      <c r="Y194" s="2360" t="n">
        <v>0.3647</v>
      </c>
      <c r="Z194" s="2360" t="n">
        <v>0.1164</v>
      </c>
      <c r="AA194" s="2360" t="n">
        <v>0.2303</v>
      </c>
      <c r="AB194" s="2358" t="n"/>
      <c r="AC194" s="2360" t="n">
        <v>0.3468</v>
      </c>
      <c r="AD194" s="2358" t="n"/>
      <c r="AE194" s="2360" t="n">
        <v>0.06519999999999999</v>
      </c>
      <c r="AF194" s="2360" t="n">
        <v>0.06519999999999999</v>
      </c>
      <c r="AG194" s="2358" t="n"/>
      <c r="AH194" s="2360" t="n">
        <v>1.8501</v>
      </c>
      <c r="AI194" s="2358" t="n"/>
      <c r="AJ194" s="2360" t="n">
        <v>1.8501</v>
      </c>
      <c r="AK194" s="2358" t="n"/>
      <c r="AL194" s="2358" t="n"/>
      <c r="AM194" s="2361" t="inlineStr">
        <is>
          <t>I&amp;E Survey 2024; NNN lease; owner-reported; 30,000 SF; no NOI computed (no EGI reported)</t>
        </is>
      </c>
    </row>
    <row r="195" ht="14.1" customHeight="1" s="1449">
      <c r="A195" s="2339" t="inlineStr">
        <is>
          <t>P089</t>
        </is>
      </c>
      <c r="B195" s="2338" t="n">
        <v>407</v>
      </c>
      <c r="C195" s="2339" t="inlineStr">
        <is>
          <t>R0180951</t>
        </is>
      </c>
      <c r="D195" s="2339" t="inlineStr">
        <is>
          <t>21200 E 36th Dr</t>
        </is>
      </c>
      <c r="E195" s="2339" t="inlineStr">
        <is>
          <t>Aurora</t>
        </is>
      </c>
      <c r="F195" s="2339" t="inlineStr">
        <is>
          <t>CO</t>
        </is>
      </c>
      <c r="G195" s="2339" t="inlineStr">
        <is>
          <t>Industrial</t>
        </is>
      </c>
      <c r="H195" s="2339" t="inlineStr">
        <is>
          <t>Industrial NNN</t>
        </is>
      </c>
      <c r="I195" s="2362" t="n">
        <v>2016</v>
      </c>
      <c r="J195" s="2362" t="n">
        <v>122106</v>
      </c>
      <c r="K195" s="2362" t="n">
        <v>2024</v>
      </c>
      <c r="L195" s="2339" t="n"/>
      <c r="M195" s="2339" t="n"/>
      <c r="N195" s="2339" t="n"/>
      <c r="O195" s="2363" t="n">
        <v>0.0625</v>
      </c>
      <c r="P195" s="2339" t="n"/>
      <c r="Q195" s="2339" t="n"/>
      <c r="R195" s="2339" t="n"/>
      <c r="S195" s="2339" t="n"/>
      <c r="T195" s="2339" t="n"/>
      <c r="U195" s="2339" t="n"/>
      <c r="V195" s="2339" t="n"/>
      <c r="W195" s="2339" t="n"/>
      <c r="X195" s="2363" t="n">
        <v>0.3183</v>
      </c>
      <c r="Y195" s="2363" t="n">
        <v>0.3183</v>
      </c>
      <c r="Z195" s="2363" t="n">
        <v>0.1129</v>
      </c>
      <c r="AA195" s="2363" t="n">
        <v>0.09669999999999999</v>
      </c>
      <c r="AB195" s="2339" t="n"/>
      <c r="AC195" s="2363" t="n">
        <v>0.2096</v>
      </c>
      <c r="AD195" s="2363" t="n">
        <v>0.4794</v>
      </c>
      <c r="AE195" s="2339" t="n"/>
      <c r="AF195" s="2363" t="n">
        <v>0.4794</v>
      </c>
      <c r="AG195" s="2339" t="n"/>
      <c r="AH195" s="2339" t="n"/>
      <c r="AI195" s="2363" t="n">
        <v>4.358</v>
      </c>
      <c r="AJ195" s="2363" t="n">
        <v>5.4279</v>
      </c>
      <c r="AK195" s="2339" t="n"/>
      <c r="AL195" s="2339" t="n"/>
      <c r="AM195" s="2364" t="inlineStr">
        <is>
          <t>MT.xlsx 2024 survey — DETAIL UPDATE for R0180951; R&amp;M $38,871/Grd Maint $11,809/Snow-Trash $13,785 additional breakdown (matches WH Expenses totals)</t>
        </is>
      </c>
    </row>
    <row r="196" ht="14.1" customHeight="1" s="1449">
      <c r="A196" s="2358" t="inlineStr">
        <is>
          <t>P104</t>
        </is>
      </c>
      <c r="B196" s="2338" t="n">
        <v>210</v>
      </c>
      <c r="C196" s="2358" t="inlineStr">
        <is>
          <t>R0226379</t>
        </is>
      </c>
      <c r="D196" s="2358" t="inlineStr">
        <is>
          <t>26100 E 68th Ave</t>
        </is>
      </c>
      <c r="E196" s="2358" t="inlineStr">
        <is>
          <t>Aurora</t>
        </is>
      </c>
      <c r="F196" s="2358" t="inlineStr">
        <is>
          <t>CO</t>
        </is>
      </c>
      <c r="G196" s="2358" t="inlineStr">
        <is>
          <t>Industrial</t>
        </is>
      </c>
      <c r="H196" s="2358" t="inlineStr">
        <is>
          <t>Industrial Multi-Tenant</t>
        </is>
      </c>
      <c r="I196" s="2359" t="n"/>
      <c r="J196" s="2359" t="n">
        <v>187720</v>
      </c>
      <c r="K196" s="2359" t="n">
        <v>2024</v>
      </c>
      <c r="L196" s="2360" t="n">
        <v>7.35</v>
      </c>
      <c r="M196" s="2360" t="n">
        <v>6.1013</v>
      </c>
      <c r="N196" s="2360" t="n">
        <v>13.4512</v>
      </c>
      <c r="O196" s="2360" t="n">
        <v>0.9408</v>
      </c>
      <c r="P196" s="2360" t="n">
        <v>0.6045</v>
      </c>
      <c r="Q196" s="2358" t="n"/>
      <c r="R196" s="2358" t="n"/>
      <c r="S196" s="2360" t="n">
        <v>0.091</v>
      </c>
      <c r="T196" s="2360" t="n">
        <v>0.0133</v>
      </c>
      <c r="U196" s="2358" t="n"/>
      <c r="V196" s="2360" t="n">
        <v>0.0316</v>
      </c>
      <c r="W196" s="2360" t="n">
        <v>0.073</v>
      </c>
      <c r="X196" s="2360" t="n">
        <v>0.08649999999999999</v>
      </c>
      <c r="Y196" s="2360" t="n">
        <v>0.2954</v>
      </c>
      <c r="Z196" s="2358" t="n"/>
      <c r="AA196" s="2360" t="n">
        <v>0.0495</v>
      </c>
      <c r="AB196" s="2360" t="n">
        <v>0.1714</v>
      </c>
      <c r="AC196" s="2360" t="n">
        <v>0.3656</v>
      </c>
      <c r="AD196" s="2360" t="n">
        <v>0.1559</v>
      </c>
      <c r="AE196" s="2360" t="n">
        <v>0.0609</v>
      </c>
      <c r="AF196" s="2360" t="n">
        <v>0.2168</v>
      </c>
      <c r="AG196" s="2360" t="n">
        <v>0.0238</v>
      </c>
      <c r="AH196" s="2360" t="n">
        <v>3.1568</v>
      </c>
      <c r="AI196" s="2360" t="n">
        <v>3.6317</v>
      </c>
      <c r="AJ196" s="2360" t="n">
        <v>6.7886</v>
      </c>
      <c r="AK196" s="2360" t="n">
        <v>6.6627</v>
      </c>
      <c r="AL196" s="2358" t="n"/>
      <c r="AM196" s="2361" t="inlineStr">
        <is>
          <t>2024 actuals; CAM reimb + TBB structure; TBBs (178,730.57) included in Total OPX; RE Taxes include Metro District (179,316.74); Mgmt = CAM Mgmt + non-recov mgmt; Landscape+Snow+Security+Sweeping in Contract Svcs; SF unknown</t>
        </is>
      </c>
    </row>
    <row r="197" ht="14.1" customHeight="1" s="1449">
      <c r="A197" s="2339" t="inlineStr">
        <is>
          <t>P104</t>
        </is>
      </c>
      <c r="B197" s="2338" t="n">
        <v>210</v>
      </c>
      <c r="C197" s="2339" t="inlineStr">
        <is>
          <t>R0226379</t>
        </is>
      </c>
      <c r="D197" s="2339" t="inlineStr">
        <is>
          <t>26100 E 68th Ave</t>
        </is>
      </c>
      <c r="E197" s="2339" t="inlineStr">
        <is>
          <t>Aurora</t>
        </is>
      </c>
      <c r="F197" s="2339" t="inlineStr">
        <is>
          <t>CO</t>
        </is>
      </c>
      <c r="G197" s="2339" t="inlineStr">
        <is>
          <t>Industrial</t>
        </is>
      </c>
      <c r="H197" s="2339" t="inlineStr">
        <is>
          <t>Industrial Multi-Tenant</t>
        </is>
      </c>
      <c r="I197" s="2362" t="n"/>
      <c r="J197" s="2362" t="n">
        <v>187720</v>
      </c>
      <c r="K197" s="2362" t="n">
        <v>2023</v>
      </c>
      <c r="L197" s="2363" t="n">
        <v>6.3132</v>
      </c>
      <c r="M197" s="2363" t="n">
        <v>6.0317</v>
      </c>
      <c r="N197" s="2363" t="n">
        <v>12.3449</v>
      </c>
      <c r="O197" s="2363" t="n">
        <v>0.6231</v>
      </c>
      <c r="P197" s="2363" t="n">
        <v>0.5661</v>
      </c>
      <c r="Q197" s="2339" t="n"/>
      <c r="R197" s="2339" t="n"/>
      <c r="S197" s="2363" t="n">
        <v>0.0179</v>
      </c>
      <c r="T197" s="2363" t="n">
        <v>0.0238</v>
      </c>
      <c r="U197" s="2339" t="n"/>
      <c r="V197" s="2363" t="n">
        <v>0.1469</v>
      </c>
      <c r="W197" s="2363" t="n">
        <v>0.0926</v>
      </c>
      <c r="X197" s="2363" t="n">
        <v>0.0829</v>
      </c>
      <c r="Y197" s="2363" t="n">
        <v>0.3641</v>
      </c>
      <c r="Z197" s="2339" t="n"/>
      <c r="AA197" s="2363" t="n">
        <v>0.057</v>
      </c>
      <c r="AB197" s="2363" t="n">
        <v>0.1505</v>
      </c>
      <c r="AC197" s="2363" t="n">
        <v>0.485</v>
      </c>
      <c r="AD197" s="2363" t="n">
        <v>0.138</v>
      </c>
      <c r="AE197" s="2363" t="n">
        <v>0.0588</v>
      </c>
      <c r="AF197" s="2363" t="n">
        <v>0.1967</v>
      </c>
      <c r="AG197" s="2363" t="n">
        <v>0.0498</v>
      </c>
      <c r="AH197" s="2363" t="n">
        <v>2.8811</v>
      </c>
      <c r="AI197" s="2363" t="n">
        <v>3.5113</v>
      </c>
      <c r="AJ197" s="2363" t="n">
        <v>6.3924</v>
      </c>
      <c r="AK197" s="2363" t="n">
        <v>5.9525</v>
      </c>
      <c r="AL197" s="2339" t="n"/>
      <c r="AM197" s="2364"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M2"/>
    <mergeCell ref="A1:AM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298"/>
  <sheetViews>
    <sheetView workbookViewId="0">
      <selection activeCell="O12" sqref="O12"/>
    </sheetView>
  </sheetViews>
  <sheetFormatPr baseColWidth="8" defaultRowHeight="15"/>
  <cols>
    <col width="41" customWidth="1" style="1449" min="1" max="1"/>
    <col width="32.5703125" customWidth="1" style="1449" min="2" max="2"/>
    <col width="45.5703125" customWidth="1" style="1449" min="3" max="3"/>
    <col width="134.7109375" customWidth="1" style="1449" min="4" max="4"/>
    <col width="52.7109375" customWidth="1" style="1449" min="5" max="5"/>
    <col width="51.7109375" customWidth="1" style="1449" min="6" max="6"/>
    <col width="47.28515625" customWidth="1" style="1449" min="7" max="7"/>
  </cols>
  <sheetData>
    <row r="1">
      <c r="A1" t="inlineStr">
        <is>
          <t>Municipality</t>
        </is>
      </c>
      <c r="B1" t="inlineStr">
        <is>
          <t>Category</t>
        </is>
      </c>
      <c r="C1" t="inlineStr">
        <is>
          <t>Resource Name</t>
        </is>
      </c>
      <c r="D1" t="inlineStr">
        <is>
          <t>URL</t>
        </is>
      </c>
      <c r="E1" t="inlineStr">
        <is>
          <t>Notes</t>
        </is>
      </c>
      <c r="F1" t="inlineStr">
        <is>
          <t>Unnamed: 5</t>
        </is>
      </c>
      <c r="G1" t="inlineStr">
        <is>
          <t>Unnamed: 6</t>
        </is>
      </c>
    </row>
    <row r="2">
      <c r="A2" s="1438" t="inlineStr">
        <is>
          <t>Adams County (Unincorporated)</t>
        </is>
      </c>
      <c r="B2" s="1438" t="inlineStr">
        <is>
          <t>Property Assessment</t>
        </is>
      </c>
      <c r="C2" s="1438" t="inlineStr">
        <is>
          <t>Assessor Property Lookup</t>
        </is>
      </c>
      <c r="D2" s="1438" t="inlineStr">
        <is>
          <t>https://adcogov.org/property-look</t>
        </is>
      </c>
      <c r="E2" s="1438" t="inlineStr">
        <is>
          <t>Primary parcel/property search tool for all of Adams County</t>
        </is>
      </c>
      <c r="F2" s="1438" t="n"/>
      <c r="G2" s="1438" t="n"/>
    </row>
    <row r="3">
      <c r="A3" s="1438" t="inlineStr">
        <is>
          <t>Adams County (Unincorporated)</t>
        </is>
      </c>
      <c r="B3" s="1438" t="inlineStr">
        <is>
          <t>Property Assessment</t>
        </is>
      </c>
      <c r="C3" s="1438" t="inlineStr">
        <is>
          <t>Assessor GIS QuickSearch</t>
        </is>
      </c>
      <c r="D3" s="1438" t="inlineStr">
        <is>
          <t>https://gisapp.adcogov.org/quicksearch/</t>
        </is>
      </c>
      <c r="E3" s="1438" t="inlineStr">
        <is>
          <t>Address or parcel-based search with map</t>
        </is>
      </c>
      <c r="F3" s="1438" t="n"/>
      <c r="G3" s="1438" t="n"/>
    </row>
    <row r="4">
      <c r="A4" s="1438" t="inlineStr">
        <is>
          <t>Adams County (Unincorporated)</t>
        </is>
      </c>
      <c r="B4" s="1438" t="inlineStr">
        <is>
          <t>Property Assessment</t>
        </is>
      </c>
      <c r="C4" s="1438" t="inlineStr">
        <is>
          <t>Assessor Main Page</t>
        </is>
      </c>
      <c r="D4" s="1438" t="inlineStr">
        <is>
          <t>https://adcogov.org/assessor</t>
        </is>
      </c>
      <c r="E4" s="1438" t="inlineStr">
        <is>
          <t>Assessor office info and resources</t>
        </is>
      </c>
      <c r="F4" s="1438" t="n"/>
      <c r="G4" s="1438" t="n"/>
    </row>
    <row r="5">
      <c r="A5" s="1438" t="inlineStr">
        <is>
          <t>Adams County (Unincorporated)</t>
        </is>
      </c>
      <c r="B5" s="1438" t="inlineStr">
        <is>
          <t>Property Assessment</t>
        </is>
      </c>
      <c r="C5" s="1438" t="inlineStr">
        <is>
          <t>NOV / Online Appeals Portal</t>
        </is>
      </c>
      <c r="D5" s="1438" t="inlineStr">
        <is>
          <t>https://assessor.adcogov.org/</t>
        </is>
      </c>
      <c r="E5" s="1438" t="inlineStr">
        <is>
          <t>Notice of Valuation and assessment appeals</t>
        </is>
      </c>
      <c r="F5" s="1438" t="n"/>
      <c r="G5" s="1438" t="n"/>
    </row>
    <row r="6">
      <c r="A6" s="1438" t="inlineStr">
        <is>
          <t>Adams County (Unincorporated)</t>
        </is>
      </c>
      <c r="B6" s="1438" t="inlineStr">
        <is>
          <t>Property Assessment</t>
        </is>
      </c>
      <c r="C6" s="1438" t="inlineStr">
        <is>
          <t>Public Data Download</t>
        </is>
      </c>
      <c r="D6" s="1438" t="inlineStr">
        <is>
          <t>https://assessornovs.adcogov.org/adamscountynovs</t>
        </is>
      </c>
      <c r="E6" s="1438" t="inlineStr">
        <is>
          <t>Weekly-updated bulk assessor data download</t>
        </is>
      </c>
      <c r="F6" s="1438" t="n"/>
      <c r="G6" s="1438" t="n"/>
    </row>
    <row r="7">
      <c r="A7" s="1438" t="inlineStr">
        <is>
          <t>Adams County (Unincorporated)</t>
        </is>
      </c>
      <c r="B7" s="1438" t="inlineStr">
        <is>
          <t>Property Tax / Treasurer</t>
        </is>
      </c>
      <c r="C7" s="1438" t="inlineStr">
        <is>
          <t>Treasurer Division</t>
        </is>
      </c>
      <c r="D7" s="1438" t="inlineStr">
        <is>
          <t>https://adamscountyco.gov/our-county/elected-officials/treasurer-public-trustee/treasurer-division/</t>
        </is>
      </c>
      <c r="E7" s="1438" t="inlineStr">
        <is>
          <t>Main treasurer page</t>
        </is>
      </c>
      <c r="F7" s="1438" t="n"/>
      <c r="G7" s="1438" t="n"/>
    </row>
    <row r="8">
      <c r="A8" s="1438" t="inlineStr">
        <is>
          <t>Adams County (Unincorporated)</t>
        </is>
      </c>
      <c r="B8" s="1438" t="inlineStr">
        <is>
          <t>Property Tax / Treasurer</t>
        </is>
      </c>
      <c r="C8" s="1438" t="inlineStr">
        <is>
          <t>Online Tax Payment</t>
        </is>
      </c>
      <c r="D8" s="1438" t="inlineStr">
        <is>
          <t>https://adcotax.com/treasurer/web/login.jsp</t>
        </is>
      </c>
      <c r="E8" s="1438" t="inlineStr">
        <is>
          <t>Pay property taxes online</t>
        </is>
      </c>
      <c r="F8" s="1438" t="n"/>
      <c r="G8" s="1438" t="n"/>
    </row>
    <row r="9">
      <c r="A9" s="1438" t="inlineStr">
        <is>
          <t>Adams County (Unincorporated)</t>
        </is>
      </c>
      <c r="B9" s="1438" t="inlineStr">
        <is>
          <t>Property Tax / Treasurer</t>
        </is>
      </c>
      <c r="C9" s="1438" t="inlineStr">
        <is>
          <t>Property Tax Inquiry</t>
        </is>
      </c>
      <c r="D9" s="1438" t="inlineStr">
        <is>
          <t>https://adamsil.devnetwedge.com/</t>
        </is>
      </c>
      <c r="E9" s="1438" t="inlineStr">
        <is>
          <t>Look up tax balances and payment history</t>
        </is>
      </c>
      <c r="F9" s="1438" t="n"/>
      <c r="G9" s="1438" t="n"/>
    </row>
    <row r="10">
      <c r="A10" s="1438" t="inlineStr">
        <is>
          <t>Adams County (Unincorporated)</t>
        </is>
      </c>
      <c r="B10" s="1438" t="inlineStr">
        <is>
          <t>Property Tax / Treasurer</t>
        </is>
      </c>
      <c r="C10" s="1438" t="inlineStr">
        <is>
          <t>Taxing Authorities / Mill Levy</t>
        </is>
      </c>
      <c r="D10" s="1438" t="inlineStr">
        <is>
          <t>https://adamscountyco.gov/our-county/elected-officials/treasurer-public-trustee/treasurer-division/property-tax-information/taxing-authorities/</t>
        </is>
      </c>
      <c r="E10" s="1438" t="inlineStr">
        <is>
          <t>Mill levy lookup by taxing district</t>
        </is>
      </c>
      <c r="F10" s="1438" t="n"/>
      <c r="G10" s="1438" t="n"/>
    </row>
    <row r="11">
      <c r="A11" s="1438" t="inlineStr">
        <is>
          <t>Adams County (Unincorporated)</t>
        </is>
      </c>
      <c r="B11" s="1438" t="inlineStr">
        <is>
          <t>Property Tax / Treasurer</t>
        </is>
      </c>
      <c r="C11" s="1438" t="inlineStr">
        <is>
          <t>DOLA Division of Property Taxation</t>
        </is>
      </c>
      <c r="D11" s="1438" t="inlineStr">
        <is>
          <t>https://dpt.colorado.gov/locality/adams-county-treasurer</t>
        </is>
      </c>
      <c r="E11" s="1438" t="inlineStr">
        <is>
          <t>Colorado state-level property tax data for Adams County</t>
        </is>
      </c>
      <c r="F11" s="1438" t="n"/>
      <c r="G11" s="1438" t="n"/>
    </row>
    <row r="12">
      <c r="A12" s="1438" t="inlineStr">
        <is>
          <t>Adams County (Unincorporated)</t>
        </is>
      </c>
      <c r="B12" s="1438" t="inlineStr">
        <is>
          <t>Property Tax / Treasurer</t>
        </is>
      </c>
      <c r="C12" s="1438" t="inlineStr">
        <is>
          <t>DOLA Mill Levy Public Info (HB24-1302)</t>
        </is>
      </c>
      <c r="D12" s="1438" t="inlineStr">
        <is>
          <t>https://dlg.colorado.gov/hb24-1302-mill-levy-public-information</t>
        </is>
      </c>
      <c r="E12" s="1438" t="inlineStr">
        <is>
          <t>Statewide mill levy transparency portal</t>
        </is>
      </c>
      <c r="F12" s="1438" t="n"/>
      <c r="G12" s="1438" t="n"/>
    </row>
    <row r="13">
      <c r="A13" s="1438" t="inlineStr">
        <is>
          <t>Adams County (Unincorporated)</t>
        </is>
      </c>
      <c r="B13" s="1438" t="inlineStr">
        <is>
          <t>Deed / Title Records</t>
        </is>
      </c>
      <c r="C13" s="1438" t="inlineStr">
        <is>
          <t>Clerk &amp; Recorder Recording Page</t>
        </is>
      </c>
      <c r="D13" s="1438" t="inlineStr">
        <is>
          <t>https://adcogov.org/recording</t>
        </is>
      </c>
      <c r="E13" s="1438" t="inlineStr">
        <is>
          <t>Official recording office</t>
        </is>
      </c>
      <c r="F13" s="1438" t="n"/>
      <c r="G13" s="1438" t="n"/>
    </row>
    <row r="14">
      <c r="A14" s="1438" t="inlineStr">
        <is>
          <t>Adams County (Unincorporated)</t>
        </is>
      </c>
      <c r="B14" s="1438" t="inlineStr">
        <is>
          <t>Deed / Title Records</t>
        </is>
      </c>
      <c r="C14" s="1438" t="inlineStr">
        <is>
          <t>Landmark Web Document Search</t>
        </is>
      </c>
      <c r="D14" s="1438" t="inlineStr">
        <is>
          <t>https://recording.adcogov.org/landmarkweb</t>
        </is>
      </c>
      <c r="E14" s="1438" t="inlineStr">
        <is>
          <t>Grantor/Grantee deed search</t>
        </is>
      </c>
      <c r="F14" s="1438" t="n"/>
      <c r="G14" s="1438" t="n"/>
    </row>
    <row r="15">
      <c r="A15" s="1438" t="inlineStr">
        <is>
          <t>Adams County (Unincorporated)</t>
        </is>
      </c>
      <c r="B15" s="1438" t="inlineStr">
        <is>
          <t>Deed / Title Records</t>
        </is>
      </c>
      <c r="C15" s="1438" t="inlineStr">
        <is>
          <t>Public Records / Recorded Documents</t>
        </is>
      </c>
      <c r="D15" s="1438" t="inlineStr">
        <is>
          <t>https://adamscountyco.gov/service/find-public-records-recorded-documents/</t>
        </is>
      </c>
      <c r="E15" s="1438" t="inlineStr">
        <is>
          <t>How to find recorded docs</t>
        </is>
      </c>
      <c r="F15" s="1438" t="n"/>
      <c r="G15" s="1438" t="n"/>
    </row>
    <row r="16">
      <c r="A16" s="1438" t="inlineStr">
        <is>
          <t>Adams County (Unincorporated)</t>
        </is>
      </c>
      <c r="B16" s="1438" t="inlineStr">
        <is>
          <t>Deed / Title Records</t>
        </is>
      </c>
      <c r="C16" s="1438" t="inlineStr">
        <is>
          <t>E-Recording</t>
        </is>
      </c>
      <c r="D16" s="1438" t="inlineStr">
        <is>
          <t>https://www.adcogov.org/e-recording</t>
        </is>
      </c>
      <c r="E16" s="1438" t="inlineStr">
        <is>
          <t>Electronic document recording</t>
        </is>
      </c>
      <c r="F16" s="1438" t="n"/>
      <c r="G16" s="1438" t="n"/>
    </row>
    <row r="17">
      <c r="A17" s="1438" t="inlineStr">
        <is>
          <t>Adams County (Unincorporated)</t>
        </is>
      </c>
      <c r="B17" s="1438" t="inlineStr">
        <is>
          <t>GIS / Mapping</t>
        </is>
      </c>
      <c r="C17" s="1438" t="inlineStr">
        <is>
          <t>Advanced GIS Map Viewer</t>
        </is>
      </c>
      <c r="D17" s="1438" t="inlineStr">
        <is>
          <t>https://gisapp.adcogov.org/Html5Viewer/index.html?viewer=AdvancedExt.Advanced_HTML</t>
        </is>
      </c>
      <c r="E17" s="1438" t="inlineStr">
        <is>
          <t>Full-featured interactive map</t>
        </is>
      </c>
      <c r="F17" s="1438" t="n"/>
      <c r="G17" s="1438" t="n"/>
    </row>
    <row r="18">
      <c r="A18" s="1438" t="inlineStr">
        <is>
          <t>Adams County (Unincorporated)</t>
        </is>
      </c>
      <c r="B18" s="1438" t="inlineStr">
        <is>
          <t>GIS / Mapping</t>
        </is>
      </c>
      <c r="C18" s="1438" t="inlineStr">
        <is>
          <t>Open Data Hub (ArcGIS)</t>
        </is>
      </c>
      <c r="D18" s="1438" t="inlineStr">
        <is>
          <t>https://data-adcogov.opendata.arcgis.com/</t>
        </is>
      </c>
      <c r="E18" s="1438" t="inlineStr">
        <is>
          <t>Downloadable datasets including zoning</t>
        </is>
      </c>
      <c r="F18" s="1438" t="inlineStr">
        <is>
          <t xml:space="preserve"> parcels</t>
        </is>
      </c>
      <c r="G18" s="1438" t="inlineStr">
        <is>
          <t xml:space="preserve"> flood zones</t>
        </is>
      </c>
    </row>
    <row r="19">
      <c r="A19" s="1438" t="inlineStr">
        <is>
          <t>Adams County (Unincorporated)</t>
        </is>
      </c>
      <c r="B19" s="1438" t="inlineStr">
        <is>
          <t>GIS / Mapping</t>
        </is>
      </c>
      <c r="C19" s="1438" t="inlineStr">
        <is>
          <t>GIS Interactive Maps Page</t>
        </is>
      </c>
      <c r="D19" s="1438" t="inlineStr">
        <is>
          <t>https://adamscountyco.gov/service/gis-interactive-maps/</t>
        </is>
      </c>
      <c r="E19" s="1438" t="inlineStr">
        <is>
          <t>Links to all county GIS tools</t>
        </is>
      </c>
      <c r="F19" s="1438" t="n"/>
      <c r="G19" s="1438" t="n"/>
    </row>
    <row r="20">
      <c r="A20" s="1438" t="inlineStr">
        <is>
          <t>Adams County (Unincorporated)</t>
        </is>
      </c>
      <c r="B20" s="1438" t="inlineStr">
        <is>
          <t>Permits</t>
        </is>
      </c>
      <c r="C20" s="1438" t="inlineStr">
        <is>
          <t>E-Permit Center (Accela)</t>
        </is>
      </c>
      <c r="D20" s="1438" t="inlineStr">
        <is>
          <t>https://aca-prod.accela.com/ADAMSCO/Default.aspx</t>
        </is>
      </c>
      <c r="E20" s="1438" t="inlineStr">
        <is>
          <t>Online permit applications and search</t>
        </is>
      </c>
      <c r="F20" s="1438" t="n"/>
      <c r="G20" s="1438" t="n"/>
    </row>
    <row r="21">
      <c r="A21" s="1438" t="inlineStr">
        <is>
          <t>Adams County (Unincorporated)</t>
        </is>
      </c>
      <c r="B21" s="1438" t="inlineStr">
        <is>
          <t>Permits</t>
        </is>
      </c>
      <c r="C21" s="1438" t="inlineStr">
        <is>
          <t>E-Permit Center Landing</t>
        </is>
      </c>
      <c r="D21" s="1438" t="inlineStr">
        <is>
          <t>https://epermits.adcogov.org/</t>
        </is>
      </c>
      <c r="E21" s="1438" t="inlineStr">
        <is>
          <t>Permit portal landing page</t>
        </is>
      </c>
      <c r="F21" s="1438" t="n"/>
      <c r="G21" s="1438" t="n"/>
    </row>
    <row r="22">
      <c r="A22" s="1438" t="inlineStr">
        <is>
          <t>Adams County (Unincorporated)</t>
        </is>
      </c>
      <c r="B22" s="1438" t="inlineStr">
        <is>
          <t>Permits</t>
        </is>
      </c>
      <c r="C22" s="1438" t="inlineStr">
        <is>
          <t>Building Safety</t>
        </is>
      </c>
      <c r="D22" s="1438" t="inlineStr">
        <is>
          <t>https://adcogov.org/building-safety</t>
        </is>
      </c>
      <c r="E22" s="1438" t="inlineStr">
        <is>
          <t>Building department info</t>
        </is>
      </c>
      <c r="F22" s="1438" t="n"/>
      <c r="G22" s="1438" t="n"/>
    </row>
    <row r="23">
      <c r="A23" s="1438" t="inlineStr">
        <is>
          <t>Adams County (Unincorporated)</t>
        </is>
      </c>
      <c r="B23" s="1438" t="inlineStr">
        <is>
          <t>Code Enforcement</t>
        </is>
      </c>
      <c r="C23" s="1438" t="inlineStr">
        <is>
          <t>Eye on Adams (Permits + Violations)</t>
        </is>
      </c>
      <c r="D23" s="1438" t="inlineStr">
        <is>
          <t>https://adamscounty.buildingeye.com/</t>
        </is>
      </c>
      <c r="E23" s="1438" t="inlineStr">
        <is>
          <t>Track permits and code enforcement cases</t>
        </is>
      </c>
      <c r="F23" s="1438" t="n"/>
      <c r="G23" s="1438" t="n"/>
    </row>
    <row r="24">
      <c r="A24" s="1438" t="inlineStr">
        <is>
          <t>Adams County (Unincorporated)</t>
        </is>
      </c>
      <c r="B24" s="1438" t="inlineStr">
        <is>
          <t>Code Enforcement</t>
        </is>
      </c>
      <c r="C24" s="1438" t="inlineStr">
        <is>
          <t>Code Violations Enforcement Search</t>
        </is>
      </c>
      <c r="D24" s="1438" t="inlineStr">
        <is>
          <t>https://adamscounty.buildingeye.com/enforcement</t>
        </is>
      </c>
      <c r="E24" s="1438" t="inlineStr">
        <is>
          <t>Violation lookup only</t>
        </is>
      </c>
      <c r="F24" s="1438" t="n"/>
      <c r="G24" s="1438" t="n"/>
    </row>
    <row r="25">
      <c r="A25" s="1438" t="inlineStr">
        <is>
          <t>Adams County (Unincorporated)</t>
        </is>
      </c>
      <c r="B25" s="1438" t="inlineStr">
        <is>
          <t>Code Enforcement</t>
        </is>
      </c>
      <c r="C25" s="1438" t="inlineStr">
        <is>
          <t>Neighborhood Services</t>
        </is>
      </c>
      <c r="D25" s="1438" t="inlineStr">
        <is>
          <t>https://adcogov.org/neighborhood-services</t>
        </is>
      </c>
      <c r="E25" s="1438" t="inlineStr">
        <is>
          <t>Report and track code complaints</t>
        </is>
      </c>
      <c r="F25" s="1438" t="n"/>
      <c r="G25" s="1438" t="n"/>
    </row>
    <row r="26">
      <c r="A26" s="1438" t="inlineStr">
        <is>
          <t>Adams County (Unincorporated)</t>
        </is>
      </c>
      <c r="B26" s="1438" t="inlineStr">
        <is>
          <t>Zoning / Planning</t>
        </is>
      </c>
      <c r="C26" s="1438" t="inlineStr">
        <is>
          <t>Planning &amp; Development Main Page</t>
        </is>
      </c>
      <c r="D26" s="1438" t="inlineStr">
        <is>
          <t>https://adamscountyco.gov/our-county/community-economic-development/planning-development/</t>
        </is>
      </c>
      <c r="E26" s="1438" t="inlineStr">
        <is>
          <t>Unincorporated area zoning authority</t>
        </is>
      </c>
      <c r="F26" s="1438" t="n"/>
      <c r="G26" s="1438" t="n"/>
    </row>
    <row r="27">
      <c r="A27" s="1438" t="inlineStr">
        <is>
          <t>Adams County (Unincorporated)</t>
        </is>
      </c>
      <c r="B27" s="1438" t="inlineStr">
        <is>
          <t>Zoning / Planning</t>
        </is>
      </c>
      <c r="C27" s="1438" t="inlineStr">
        <is>
          <t>Zoning Dataset (ArcGIS Open Data)</t>
        </is>
      </c>
      <c r="D27" s="1438" t="inlineStr">
        <is>
          <t>https://data-adcogov.opendata.arcgis.com/datasets/ADCOGOV::zoning/about</t>
        </is>
      </c>
      <c r="E27" s="1438" t="inlineStr">
        <is>
          <t>Downloadable zoning GIS layer</t>
        </is>
      </c>
      <c r="F27" s="1438" t="n"/>
      <c r="G27" s="1438" t="n"/>
    </row>
    <row r="28">
      <c r="A28" s="1438" t="inlineStr">
        <is>
          <t>Adams County (Unincorporated)</t>
        </is>
      </c>
      <c r="B28" s="1438" t="inlineStr">
        <is>
          <t>Zoning / Planning</t>
        </is>
      </c>
      <c r="C28" s="1438" t="inlineStr">
        <is>
          <t>Development Standards &amp; Regulations</t>
        </is>
      </c>
      <c r="D28" s="1438" t="inlineStr">
        <is>
          <t>https://online.encodeplus.com/regs/adamscounty-co/doc-viewer.aspx?secid=6410</t>
        </is>
      </c>
      <c r="E28" s="1438" t="inlineStr">
        <is>
          <t>Online land development code</t>
        </is>
      </c>
      <c r="F28" s="1438" t="n"/>
      <c r="G28" s="1438" t="n"/>
    </row>
    <row r="29">
      <c r="A29" s="1438" t="inlineStr">
        <is>
          <t>Adams County (Unincorporated)</t>
        </is>
      </c>
      <c r="B29" s="1438" t="inlineStr">
        <is>
          <t>Flood Zone</t>
        </is>
      </c>
      <c r="C29" s="1438" t="inlineStr">
        <is>
          <t>Floodplain Management Page</t>
        </is>
      </c>
      <c r="D29" s="1438" t="inlineStr">
        <is>
          <t>https://adamscountyco.gov/our-county/community-economic-development/floodplain-management/</t>
        </is>
      </c>
      <c r="E29" s="1438" t="inlineStr">
        <is>
          <t>County floodplain administrator</t>
        </is>
      </c>
      <c r="F29" s="1438" t="n"/>
      <c r="G29" s="1438" t="n"/>
    </row>
    <row r="30">
      <c r="A30" s="1438" t="inlineStr">
        <is>
          <t>Adams County (Unincorporated)</t>
        </is>
      </c>
      <c r="B30" s="1438" t="inlineStr">
        <is>
          <t>Flood Zone</t>
        </is>
      </c>
      <c r="C30" s="1438" t="inlineStr">
        <is>
          <t>Flood Zones GIS Dataset</t>
        </is>
      </c>
      <c r="D30" s="1438" t="inlineStr">
        <is>
          <t>https://data-adcogov.opendata.arcgis.com/datasets/flood-zones</t>
        </is>
      </c>
      <c r="E30" s="1438" t="inlineStr">
        <is>
          <t>Downloadable FEMA flood zone layer</t>
        </is>
      </c>
      <c r="F30" s="1438" t="n"/>
      <c r="G30" s="1438" t="n"/>
    </row>
    <row r="31">
      <c r="A31" s="1438" t="inlineStr">
        <is>
          <t>Adams County (Unincorporated)</t>
        </is>
      </c>
      <c r="B31" s="1438" t="inlineStr">
        <is>
          <t>Flood Zone</t>
        </is>
      </c>
      <c r="C31" s="1438" t="inlineStr">
        <is>
          <t>FEMA Map Service Center</t>
        </is>
      </c>
      <c r="D31" s="1438" t="inlineStr">
        <is>
          <t>https://msc.fema.gov/</t>
        </is>
      </c>
      <c r="E31" s="1438" t="inlineStr">
        <is>
          <t>Official FEMA FIRM lookup by address</t>
        </is>
      </c>
      <c r="F31" s="1438" t="n"/>
      <c r="G31" s="1438" t="n"/>
    </row>
    <row r="32">
      <c r="A32" s="1438" t="inlineStr">
        <is>
          <t>Adams County (Unincorporated)</t>
        </is>
      </c>
      <c r="B32" s="1438" t="inlineStr">
        <is>
          <t>Flood Zone</t>
        </is>
      </c>
      <c r="C32" s="1438" t="inlineStr">
        <is>
          <t>Colorado Hazard Mapping / RiskMAP</t>
        </is>
      </c>
      <c r="D32" s="1438" t="inlineStr">
        <is>
          <t>https://coloradohazardmapping.com/hazardMapping/floodplainMapping</t>
        </is>
      </c>
      <c r="E32" s="1438" t="inlineStr">
        <is>
          <t>State-level flood mapping portal</t>
        </is>
      </c>
      <c r="F32" s="1438" t="n"/>
      <c r="G32" s="1438" t="n"/>
    </row>
    <row r="33">
      <c r="A33" s="1438" t="inlineStr">
        <is>
          <t>Adams County (Unincorporated)</t>
        </is>
      </c>
      <c r="B33" s="1438" t="inlineStr">
        <is>
          <t>Flood Zone</t>
        </is>
      </c>
      <c r="C33" s="1438" t="inlineStr">
        <is>
          <t>FEMA National Flood Hazard Layer</t>
        </is>
      </c>
      <c r="D33" s="1438" t="inlineStr">
        <is>
          <t>https://www.fema.gov/flood-maps/national-flood-hazard-layer</t>
        </is>
      </c>
      <c r="E33" s="1438" t="inlineStr">
        <is>
          <t>National FEMA flood layer viewer</t>
        </is>
      </c>
      <c r="F33" s="1438" t="n"/>
      <c r="G33" s="1438" t="n"/>
    </row>
    <row r="34">
      <c r="A34" s="1438" t="inlineStr">
        <is>
          <t>Adams County (Unincorporated)</t>
        </is>
      </c>
      <c r="B34" s="1438" t="inlineStr">
        <is>
          <t>Comprehensive Plan</t>
        </is>
      </c>
      <c r="C34" s="1438" t="inlineStr">
        <is>
          <t>Advancing Adams Comprehensive Plan</t>
        </is>
      </c>
      <c r="D34" s="1438" t="inlineStr">
        <is>
          <t>https://adamscountyco.gov/our-county/community-economic-development/advancing-adams/comprehensive-plan/</t>
        </is>
      </c>
      <c r="E34" s="1438" t="inlineStr">
        <is>
          <t>County master plan</t>
        </is>
      </c>
      <c r="F34" s="1438" t="n"/>
      <c r="G34" s="1438" t="n"/>
    </row>
    <row r="35">
      <c r="A35" s="1438" t="inlineStr">
        <is>
          <t>Adams County (Unincorporated)</t>
        </is>
      </c>
      <c r="B35" s="1438" t="inlineStr">
        <is>
          <t>Comprehensive Plan</t>
        </is>
      </c>
      <c r="C35" s="1438" t="inlineStr">
        <is>
          <t>Master Plans &amp; Maps</t>
        </is>
      </c>
      <c r="D35" s="1438" t="inlineStr">
        <is>
          <t>https://adcogov.org/master-plans-maps</t>
        </is>
      </c>
      <c r="E35" s="1438" t="inlineStr">
        <is>
          <t>All county master plans</t>
        </is>
      </c>
      <c r="F35" s="1438" t="n"/>
      <c r="G35" s="1438" t="n"/>
    </row>
    <row r="36">
      <c r="A36" s="1438" t="inlineStr">
        <is>
          <t>Adams County (Unincorporated)</t>
        </is>
      </c>
      <c r="B36" s="1438" t="inlineStr">
        <is>
          <t>Comprehensive Plan</t>
        </is>
      </c>
      <c r="C36" s="1438" t="inlineStr">
        <is>
          <t>Sustainable Adams County 2030 Plan</t>
        </is>
      </c>
      <c r="D36" s="1438" t="inlineStr">
        <is>
          <t>https://adamscountyco.gov/wp-content/uploads/2026/01/CED-2030-Sustainability-Plan-011426.pdf</t>
        </is>
      </c>
      <c r="E36" s="1438" t="inlineStr">
        <is>
          <t>2030 sustainability/land use plan PDF</t>
        </is>
      </c>
      <c r="F36" s="1438" t="n"/>
      <c r="G36" s="1438" t="n"/>
    </row>
    <row r="37">
      <c r="A37" s="1438" t="inlineStr">
        <is>
          <t>Adams County (Unincorporated)</t>
        </is>
      </c>
      <c r="B37" s="1438" t="inlineStr">
        <is>
          <t>Economic Development</t>
        </is>
      </c>
      <c r="C37" s="1438" t="inlineStr">
        <is>
          <t>Community &amp; Economic Development (CEDD)</t>
        </is>
      </c>
      <c r="D37" s="1438" t="inlineStr">
        <is>
          <t>https://adamscountyco.gov/our-county/community-economic-development/</t>
        </is>
      </c>
      <c r="E37" s="1438" t="inlineStr">
        <is>
          <t>County economic dev office</t>
        </is>
      </c>
      <c r="F37" s="1438" t="n"/>
      <c r="G37" s="1438" t="n"/>
    </row>
    <row r="38">
      <c r="A38" s="1438" t="inlineStr">
        <is>
          <t>Adams County (Unincorporated)</t>
        </is>
      </c>
      <c r="B38" s="1438" t="inlineStr">
        <is>
          <t>Economic Development</t>
        </is>
      </c>
      <c r="C38" s="1438" t="inlineStr">
        <is>
          <t>ChooseAdams</t>
        </is>
      </c>
      <c r="D38" s="1438" t="inlineStr">
        <is>
          <t>https://chooseadams.org/business-services/</t>
        </is>
      </c>
      <c r="E38" s="1438" t="inlineStr">
        <is>
          <t>Business attraction portal</t>
        </is>
      </c>
      <c r="F38" s="1438" t="n"/>
      <c r="G38" s="1438" t="n"/>
    </row>
    <row r="39">
      <c r="A39" s="1438" t="inlineStr">
        <is>
          <t>Adams County (Unincorporated)</t>
        </is>
      </c>
      <c r="B39" s="1438" t="inlineStr">
        <is>
          <t>Economic Development</t>
        </is>
      </c>
      <c r="C39" s="1438" t="inlineStr">
        <is>
          <t>Adams County EDC</t>
        </is>
      </c>
      <c r="D39" s="1438" t="inlineStr">
        <is>
          <t>https://adamscountyedc.com/</t>
        </is>
      </c>
      <c r="E39" s="1438" t="inlineStr">
        <is>
          <t>Economic Development Corporation</t>
        </is>
      </c>
      <c r="F39" s="1438" t="n"/>
      <c r="G39" s="1438" t="n"/>
    </row>
    <row r="40">
      <c r="A40" s="1438" t="inlineStr">
        <is>
          <t>Adams County (Unincorporated)</t>
        </is>
      </c>
      <c r="B40" s="1438" t="inlineStr">
        <is>
          <t>Economic Development</t>
        </is>
      </c>
      <c r="C40" s="1438" t="inlineStr">
        <is>
          <t>2025 Economic Profile</t>
        </is>
      </c>
      <c r="D40" s="1438" t="inlineStr">
        <is>
          <t>https://adamscountyco.gov/wp-content/uploads/2025/11/2025-Adams-County-Economic-Profile-CED.pdf</t>
        </is>
      </c>
      <c r="E40" s="1438" t="inlineStr">
        <is>
          <t>Annual economic profile PDF</t>
        </is>
      </c>
      <c r="F40" s="1438" t="n"/>
      <c r="G40" s="1438" t="n"/>
    </row>
    <row r="41">
      <c r="A41" s="1438" t="inlineStr">
        <is>
          <t>Adams County (Unincorporated)</t>
        </is>
      </c>
      <c r="B41" s="1438" t="inlineStr">
        <is>
          <t>Public Works / ROW</t>
        </is>
      </c>
      <c r="C41" s="1438" t="inlineStr">
        <is>
          <t>Public Works</t>
        </is>
      </c>
      <c r="D41" s="1438" t="inlineStr">
        <is>
          <t>https://adcogov.org/public-works</t>
        </is>
      </c>
      <c r="E41" s="1438" t="inlineStr">
        <is>
          <t>ROW permits and infrastructure info</t>
        </is>
      </c>
      <c r="F41" s="1438" t="n"/>
      <c r="G41" s="1438" t="n"/>
    </row>
    <row r="42">
      <c r="A42" s="1439" t="inlineStr">
        <is>
          <t>Brighton</t>
        </is>
      </c>
      <c r="B42" s="1439" t="inlineStr">
        <is>
          <t>Property Assessment</t>
        </is>
      </c>
      <c r="C42" s="1439" t="inlineStr">
        <is>
          <t>Adams County Assessor (Property Lookup)</t>
        </is>
      </c>
      <c r="D42" s="1439" t="inlineStr">
        <is>
          <t>https://adcogov.org/property-look</t>
        </is>
      </c>
      <c r="E42" s="1439" t="inlineStr">
        <is>
          <t>Brighton is fully within Adams County</t>
        </is>
      </c>
      <c r="F42" s="1439" t="n"/>
      <c r="G42" s="1439" t="n"/>
    </row>
    <row r="43">
      <c r="A43" s="1439" t="inlineStr">
        <is>
          <t>Brighton</t>
        </is>
      </c>
      <c r="B43" s="1439" t="inlineStr">
        <is>
          <t>Property Tax / Treasurer</t>
        </is>
      </c>
      <c r="C43" s="1439" t="inlineStr">
        <is>
          <t>Online Tax Payment</t>
        </is>
      </c>
      <c r="D43" s="1439" t="inlineStr">
        <is>
          <t>https://adcotax.com/treasurer/web/login.jsp</t>
        </is>
      </c>
      <c r="E43" s="1439" t="inlineStr">
        <is>
          <t>Adams County tax payment portal</t>
        </is>
      </c>
      <c r="F43" s="1439" t="n"/>
      <c r="G43" s="1439" t="n"/>
    </row>
    <row r="44">
      <c r="A44" s="1439" t="inlineStr">
        <is>
          <t>Brighton</t>
        </is>
      </c>
      <c r="B44" s="1439" t="inlineStr">
        <is>
          <t>Property Tax / Treasurer</t>
        </is>
      </c>
      <c r="C44" s="1439" t="inlineStr">
        <is>
          <t>Property Tax Inquiry</t>
        </is>
      </c>
      <c r="D44" s="1439" t="inlineStr">
        <is>
          <t>https://adamsil.devnetwedge.com/</t>
        </is>
      </c>
      <c r="E44" s="1439" t="inlineStr">
        <is>
          <t>Tax balance and history lookup</t>
        </is>
      </c>
      <c r="F44" s="1439" t="n"/>
      <c r="G44" s="1439" t="n"/>
    </row>
    <row r="45">
      <c r="A45" s="1439" t="inlineStr">
        <is>
          <t>Brighton</t>
        </is>
      </c>
      <c r="B45" s="1439" t="inlineStr">
        <is>
          <t>Deed / Title Records</t>
        </is>
      </c>
      <c r="C45" s="1439" t="inlineStr">
        <is>
          <t>Landmark Web Document Search</t>
        </is>
      </c>
      <c r="D45" s="1439" t="inlineStr">
        <is>
          <t>https://recording.adcogov.org/landmarkweb</t>
        </is>
      </c>
      <c r="E45" s="1439" t="inlineStr">
        <is>
          <t>Adams County deed/title records</t>
        </is>
      </c>
      <c r="F45" s="1439" t="n"/>
      <c r="G45" s="1439" t="n"/>
    </row>
    <row r="46">
      <c r="A46" s="1439" t="inlineStr">
        <is>
          <t>Brighton</t>
        </is>
      </c>
      <c r="B46" s="1439" t="inlineStr">
        <is>
          <t>GIS / Mapping</t>
        </is>
      </c>
      <c r="C46" s="1439" t="inlineStr">
        <is>
          <t>GIS Division</t>
        </is>
      </c>
      <c r="D46" s="1439" t="inlineStr">
        <is>
          <t>https://www.brightonco.gov/248/Geographic-Information-Systems</t>
        </is>
      </c>
      <c r="E46" s="1439" t="inlineStr">
        <is>
          <t>Brighton GIS maps and data</t>
        </is>
      </c>
      <c r="F46" s="1439" t="n"/>
      <c r="G46" s="1439" t="n"/>
    </row>
    <row r="47">
      <c r="A47" s="1439" t="inlineStr">
        <is>
          <t>Brighton</t>
        </is>
      </c>
      <c r="B47" s="1439" t="inlineStr">
        <is>
          <t>GIS / Mapping</t>
        </is>
      </c>
      <c r="C47" s="1439" t="inlineStr">
        <is>
          <t>Interactive Development Map</t>
        </is>
      </c>
      <c r="D47" s="1439" t="inlineStr">
        <is>
          <t>https://www.brightonco.gov/1596/Interactive-Development-Map</t>
        </is>
      </c>
      <c r="E47" s="1439" t="inlineStr">
        <is>
          <t>Active development projects map</t>
        </is>
      </c>
      <c r="F47" s="1439" t="n"/>
      <c r="G47" s="1439" t="n"/>
    </row>
    <row r="48">
      <c r="A48" s="1439" t="inlineStr">
        <is>
          <t>Brighton</t>
        </is>
      </c>
      <c r="B48" s="1439" t="inlineStr">
        <is>
          <t>Permits</t>
        </is>
      </c>
      <c r="C48" s="1439" t="inlineStr">
        <is>
          <t>Permitting Portal</t>
        </is>
      </c>
      <c r="D48" s="1439" t="inlineStr">
        <is>
          <t>https://www.brightonco.gov/222/Permitting</t>
        </is>
      </c>
      <c r="E48" s="1439" t="inlineStr">
        <is>
          <t>Building permit applications and search</t>
        </is>
      </c>
      <c r="F48" s="1439" t="n"/>
      <c r="G48" s="1439" t="n"/>
    </row>
    <row r="49">
      <c r="A49" s="1439" t="inlineStr">
        <is>
          <t>Brighton</t>
        </is>
      </c>
      <c r="B49" s="1439" t="inlineStr">
        <is>
          <t>Permits</t>
        </is>
      </c>
      <c r="C49" s="1439" t="inlineStr">
        <is>
          <t>Inspections</t>
        </is>
      </c>
      <c r="D49" s="1439" t="inlineStr">
        <is>
          <t>https://www.brightonco.gov/1130/Inspections</t>
        </is>
      </c>
      <c r="E49" s="1439" t="inlineStr">
        <is>
          <t>Schedule and track inspections</t>
        </is>
      </c>
      <c r="F49" s="1439" t="n"/>
      <c r="G49" s="1439" t="n"/>
    </row>
    <row r="50">
      <c r="A50" s="1439" t="inlineStr">
        <is>
          <t>Brighton</t>
        </is>
      </c>
      <c r="B50" s="1439" t="inlineStr">
        <is>
          <t>Permits</t>
        </is>
      </c>
      <c r="C50" s="1439" t="inlineStr">
        <is>
          <t>Land Use &amp; Development Applications</t>
        </is>
      </c>
      <c r="D50" s="1439" t="inlineStr">
        <is>
          <t>https://www.brightonco.gov/1142/Land-Use-Development-Applications</t>
        </is>
      </c>
      <c r="E50" s="1439" t="inlineStr">
        <is>
          <t>Development application tracker</t>
        </is>
      </c>
      <c r="F50" s="1439" t="n"/>
      <c r="G50" s="1439" t="n"/>
    </row>
    <row r="51">
      <c r="A51" s="1439" t="inlineStr">
        <is>
          <t>Brighton</t>
        </is>
      </c>
      <c r="B51" s="1439" t="inlineStr">
        <is>
          <t>Permits</t>
        </is>
      </c>
      <c r="C51" s="1439" t="inlineStr">
        <is>
          <t>Development Services</t>
        </is>
      </c>
      <c r="D51" s="1439" t="inlineStr">
        <is>
          <t>https://www.brightonco.gov/1162/Development-Services</t>
        </is>
      </c>
      <c r="E51" s="1439" t="inlineStr">
        <is>
          <t>Development services department</t>
        </is>
      </c>
      <c r="F51" s="1439" t="n"/>
      <c r="G51" s="1439" t="n"/>
    </row>
    <row r="52">
      <c r="A52" s="1439" t="inlineStr">
        <is>
          <t>Brighton</t>
        </is>
      </c>
      <c r="B52" s="1439" t="inlineStr">
        <is>
          <t>Permits</t>
        </is>
      </c>
      <c r="C52" s="1439" t="inlineStr">
        <is>
          <t>Permit Reports (Commercial/Residential)</t>
        </is>
      </c>
      <c r="D52" s="1439" t="inlineStr">
        <is>
          <t>https://brightonco.gov/1143/Reports</t>
        </is>
      </c>
      <c r="E52" s="1439" t="inlineStr">
        <is>
          <t>Issued permit statistics</t>
        </is>
      </c>
      <c r="F52" s="1439" t="n"/>
      <c r="G52" s="1439" t="n"/>
    </row>
    <row r="53">
      <c r="A53" s="1439" t="inlineStr">
        <is>
          <t>Brighton</t>
        </is>
      </c>
      <c r="B53" s="1439" t="inlineStr">
        <is>
          <t>Zoning / Planning</t>
        </is>
      </c>
      <c r="C53" s="1439" t="inlineStr">
        <is>
          <t>Planning &amp; Zoning Main Page</t>
        </is>
      </c>
      <c r="D53" s="1439" t="inlineStr">
        <is>
          <t>https://www.brightonco.gov/224/Planning-Zoning</t>
        </is>
      </c>
      <c r="E53" s="1439" t="inlineStr">
        <is>
          <t>Zoning information and staff contacts</t>
        </is>
      </c>
      <c r="F53" s="1439" t="n"/>
      <c r="G53" s="1439" t="n"/>
    </row>
    <row r="54">
      <c r="A54" s="1439" t="inlineStr">
        <is>
          <t>Brighton</t>
        </is>
      </c>
      <c r="B54" s="1439" t="inlineStr">
        <is>
          <t>Zoning / Planning</t>
        </is>
      </c>
      <c r="C54" s="1439" t="inlineStr">
        <is>
          <t>Land Use &amp; Development Code</t>
        </is>
      </c>
      <c r="D54" s="1439" t="inlineStr">
        <is>
          <t>https://www.brightonco.gov/363/Land-Use-Development-Code</t>
        </is>
      </c>
      <c r="E54" s="1439" t="inlineStr">
        <is>
          <t>Brighton's zoning code (Article 17 of Municipal Code)</t>
        </is>
      </c>
      <c r="F54" s="1439" t="n"/>
      <c r="G54" s="1439" t="n"/>
    </row>
    <row r="55">
      <c r="A55" s="1439" t="inlineStr">
        <is>
          <t>Brighton</t>
        </is>
      </c>
      <c r="B55" s="1439" t="inlineStr">
        <is>
          <t>Zoning / Planning</t>
        </is>
      </c>
      <c r="C55" s="1439" t="inlineStr">
        <is>
          <t>Long Range Planning / Comprehensive Plan</t>
        </is>
      </c>
      <c r="D55" s="1439" t="inlineStr">
        <is>
          <t>https://www.brightonco.gov/553/Long-Range-Planning</t>
        </is>
      </c>
      <c r="E55" s="1439" t="inlineStr">
        <is>
          <t>Be Brighton Comprehensive Plan</t>
        </is>
      </c>
      <c r="F55" s="1439" t="n"/>
      <c r="G55" s="1439" t="n"/>
    </row>
    <row r="56">
      <c r="A56" s="1439" t="inlineStr">
        <is>
          <t>Brighton</t>
        </is>
      </c>
      <c r="B56" s="1439" t="inlineStr">
        <is>
          <t>Flood Zone</t>
        </is>
      </c>
      <c r="C56" s="1439" t="inlineStr">
        <is>
          <t>FEMA Map Service Center</t>
        </is>
      </c>
      <c r="D56" s="1439" t="inlineStr">
        <is>
          <t>https://msc.fema.gov/</t>
        </is>
      </c>
      <c r="E56" s="1439" t="inlineStr">
        <is>
          <t>Address-specific FEMA FIRM lookup</t>
        </is>
      </c>
      <c r="F56" s="1439" t="n"/>
      <c r="G56" s="1439" t="n"/>
    </row>
    <row r="57">
      <c r="A57" s="1439" t="inlineStr">
        <is>
          <t>Brighton</t>
        </is>
      </c>
      <c r="B57" s="1439" t="inlineStr">
        <is>
          <t>Flood Zone</t>
        </is>
      </c>
      <c r="C57" s="1439" t="inlineStr">
        <is>
          <t>Adams County Floodplain Management</t>
        </is>
      </c>
      <c r="D57" s="1439" t="inlineStr">
        <is>
          <t>https://adamscountyco.gov/our-county/community-economic-development/floodplain-management/</t>
        </is>
      </c>
      <c r="E57" s="1439" t="inlineStr">
        <is>
          <t>County floodplain resources</t>
        </is>
      </c>
      <c r="F57" s="1439" t="n"/>
      <c r="G57" s="1439" t="n"/>
    </row>
    <row r="58">
      <c r="A58" s="1439" t="inlineStr">
        <is>
          <t>Brighton</t>
        </is>
      </c>
      <c r="B58" s="1439" t="inlineStr">
        <is>
          <t>Crime / Safety</t>
        </is>
      </c>
      <c r="C58" s="1439" t="inlineStr">
        <is>
          <t>Weekly Crime Reports &amp; Crime Map</t>
        </is>
      </c>
      <c r="D58" s="1439" t="inlineStr">
        <is>
          <t>https://www.brightonco.gov/1862/Weekly-Crime-Reports-Crime-Map</t>
        </is>
      </c>
      <c r="E58" s="1439" t="inlineStr">
        <is>
          <t>Brighton PD crime map and reports</t>
        </is>
      </c>
      <c r="F58" s="1439" t="n"/>
      <c r="G58" s="1439" t="n"/>
    </row>
    <row r="59">
      <c r="A59" s="1439" t="inlineStr">
        <is>
          <t>Brighton</t>
        </is>
      </c>
      <c r="B59" s="1439" t="inlineStr">
        <is>
          <t>Public Records</t>
        </is>
      </c>
      <c r="C59" s="1439" t="inlineStr">
        <is>
          <t>Requesting Records (CORA)</t>
        </is>
      </c>
      <c r="D59" s="1439" t="inlineStr">
        <is>
          <t>https://www.brightonco.gov/213/Requesting-Records-Information</t>
        </is>
      </c>
      <c r="E59" s="1439" t="inlineStr">
        <is>
          <t>Public records request process</t>
        </is>
      </c>
      <c r="F59" s="1439" t="n"/>
      <c r="G59" s="1439" t="n"/>
    </row>
    <row r="60">
      <c r="A60" s="1439" t="inlineStr">
        <is>
          <t>Brighton</t>
        </is>
      </c>
      <c r="B60" s="1439" t="inlineStr">
        <is>
          <t>School Districts</t>
        </is>
      </c>
      <c r="C60" s="1439" t="inlineStr">
        <is>
          <t>School District 27J (Brighton)</t>
        </is>
      </c>
      <c r="D60" s="1439" t="inlineStr">
        <is>
          <t>https://www.sd27j.org/</t>
        </is>
      </c>
      <c r="E60" s="1439" t="inlineStr">
        <is>
          <t>Primary school district for Brighton</t>
        </is>
      </c>
      <c r="F60" s="1439" t="n"/>
      <c r="G60" s="1439" t="n"/>
    </row>
    <row r="61">
      <c r="A61" s="1440" t="inlineStr">
        <is>
          <t>Commerce City</t>
        </is>
      </c>
      <c r="B61" s="1440" t="inlineStr">
        <is>
          <t>Property Assessment</t>
        </is>
      </c>
      <c r="C61" s="1440" t="inlineStr">
        <is>
          <t>Adams County Assessor (Property Lookup)</t>
        </is>
      </c>
      <c r="D61" s="1440" t="inlineStr">
        <is>
          <t>https://adcogov.org/property-look</t>
        </is>
      </c>
      <c r="E61" s="1440" t="inlineStr">
        <is>
          <t>Commerce City is fully within Adams County</t>
        </is>
      </c>
      <c r="F61" s="1440" t="n"/>
      <c r="G61" s="1440" t="n"/>
    </row>
    <row r="62">
      <c r="A62" s="1440" t="inlineStr">
        <is>
          <t>Commerce City</t>
        </is>
      </c>
      <c r="B62" s="1440" t="inlineStr">
        <is>
          <t>Property Tax / Treasurer</t>
        </is>
      </c>
      <c r="C62" s="1440" t="inlineStr">
        <is>
          <t>Online Tax Payment</t>
        </is>
      </c>
      <c r="D62" s="1440" t="inlineStr">
        <is>
          <t>https://adcotax.com/treasurer/web/login.jsp</t>
        </is>
      </c>
      <c r="E62" s="1440" t="inlineStr">
        <is>
          <t>Adams County tax payment portal</t>
        </is>
      </c>
      <c r="F62" s="1440" t="n"/>
      <c r="G62" s="1440" t="n"/>
    </row>
    <row r="63">
      <c r="A63" s="1440" t="inlineStr">
        <is>
          <t>Commerce City</t>
        </is>
      </c>
      <c r="B63" s="1440" t="inlineStr">
        <is>
          <t>Property Tax / Treasurer</t>
        </is>
      </c>
      <c r="C63" s="1440" t="inlineStr">
        <is>
          <t>Property Tax Inquiry</t>
        </is>
      </c>
      <c r="D63" s="1440" t="inlineStr">
        <is>
          <t>https://adamsil.devnetwedge.com/</t>
        </is>
      </c>
      <c r="E63" s="1440" t="inlineStr">
        <is>
          <t>Tax balance and history lookup</t>
        </is>
      </c>
      <c r="F63" s="1440" t="n"/>
      <c r="G63" s="1440" t="n"/>
    </row>
    <row r="64">
      <c r="A64" s="1440" t="inlineStr">
        <is>
          <t>Commerce City</t>
        </is>
      </c>
      <c r="B64" s="1440" t="inlineStr">
        <is>
          <t>Deed / Title Records</t>
        </is>
      </c>
      <c r="C64" s="1440" t="inlineStr">
        <is>
          <t>Landmark Web Document Search</t>
        </is>
      </c>
      <c r="D64" s="1440" t="inlineStr">
        <is>
          <t>https://recording.adcogov.org/landmarkweb</t>
        </is>
      </c>
      <c r="E64" s="1440" t="inlineStr">
        <is>
          <t>Adams County deed/title records</t>
        </is>
      </c>
      <c r="F64" s="1440" t="n"/>
      <c r="G64" s="1440" t="n"/>
    </row>
    <row r="65">
      <c r="A65" s="1440" t="inlineStr">
        <is>
          <t>Commerce City</t>
        </is>
      </c>
      <c r="B65" s="1440" t="inlineStr">
        <is>
          <t>GIS / Mapping</t>
        </is>
      </c>
      <c r="C65" s="1440" t="inlineStr">
        <is>
          <t>Maps Data &amp; GIS</t>
        </is>
      </c>
      <c r="D65" s="1440" t="inlineStr">
        <is>
          <t>https://www.c3gov.com/Residents/Maps-Data-GIS</t>
        </is>
      </c>
      <c r="E65" s="1440" t="inlineStr">
        <is>
          <t>City GIS maps and data</t>
        </is>
      </c>
      <c r="F65" s="1440" t="n"/>
      <c r="G65" s="1440" t="n"/>
    </row>
    <row r="66">
      <c r="A66" s="1440" t="inlineStr">
        <is>
          <t>Commerce City</t>
        </is>
      </c>
      <c r="B66" s="1440" t="inlineStr">
        <is>
          <t>GIS / Mapping</t>
        </is>
      </c>
      <c r="C66" s="1440" t="inlineStr">
        <is>
          <t>Commerce City Open Data (ArcGIS Hub)</t>
        </is>
      </c>
      <c r="D66" s="1440" t="inlineStr">
        <is>
          <t>https://data-c3.opendata.arcgis.com/</t>
        </is>
      </c>
      <c r="E66" s="1440" t="inlineStr">
        <is>
          <t>Downloadable GIS datasets</t>
        </is>
      </c>
      <c r="F66" s="1440" t="n"/>
      <c r="G66" s="1440" t="n"/>
    </row>
    <row r="67">
      <c r="A67" s="1440" t="inlineStr">
        <is>
          <t>Commerce City</t>
        </is>
      </c>
      <c r="B67" s="1440" t="inlineStr">
        <is>
          <t>Permits</t>
        </is>
      </c>
      <c r="C67" s="1440" t="inlineStr">
        <is>
          <t>eTRAKiT Permits Page</t>
        </is>
      </c>
      <c r="D67" s="1440" t="inlineStr">
        <is>
          <t>https://www.c3gov.com/doing-business/developing-in-commerce-city/building-permits</t>
        </is>
      </c>
      <c r="E67" s="1440" t="inlineStr">
        <is>
          <t>Building permit info and portal link</t>
        </is>
      </c>
      <c r="F67" s="1440" t="n"/>
      <c r="G67" s="1440" t="n"/>
    </row>
    <row r="68">
      <c r="A68" s="1440" t="inlineStr">
        <is>
          <t>Commerce City</t>
        </is>
      </c>
      <c r="B68" s="1440" t="inlineStr">
        <is>
          <t>Permits</t>
        </is>
      </c>
      <c r="C68" s="1440" t="inlineStr">
        <is>
          <t>eTRAKiT Login / Permit Search</t>
        </is>
      </c>
      <c r="D68" s="1440" t="inlineStr">
        <is>
          <t>https://comc.csqrcloud.com/community-etrakit/</t>
        </is>
      </c>
      <c r="E68" s="1440" t="inlineStr">
        <is>
          <t>Online permit search and applications</t>
        </is>
      </c>
      <c r="F68" s="1440" t="n"/>
      <c r="G68" s="1440" t="n"/>
    </row>
    <row r="69">
      <c r="A69" s="1440" t="inlineStr">
        <is>
          <t>Commerce City</t>
        </is>
      </c>
      <c r="B69" s="1440" t="inlineStr">
        <is>
          <t>Permits</t>
        </is>
      </c>
      <c r="C69" s="1440" t="inlineStr">
        <is>
          <t>Building Permit Process</t>
        </is>
      </c>
      <c r="D69" s="1440" t="inlineStr">
        <is>
          <t>https://www.c3gov.com/doing-business/developing-in-commerce-city/building-permits-inspections/step-2-permit-application-contractor-licensing-reviews/building-permit-process</t>
        </is>
      </c>
      <c r="E69" s="1440" t="inlineStr">
        <is>
          <t>Step-by-step permit guide</t>
        </is>
      </c>
      <c r="F69" s="1440" t="n"/>
      <c r="G69" s="1440" t="n"/>
    </row>
    <row r="70">
      <c r="A70" s="1440" t="inlineStr">
        <is>
          <t>Commerce City</t>
        </is>
      </c>
      <c r="B70" s="1440" t="inlineStr">
        <is>
          <t>Permits</t>
        </is>
      </c>
      <c r="C70" s="1440" t="inlineStr">
        <is>
          <t>Civil Plan Approval / Grading Permits</t>
        </is>
      </c>
      <c r="D70" s="1440" t="inlineStr">
        <is>
          <t>https://www.c3gov.com/doing-business/developing-in-commerce-city/civil-plan-approval-grading-permits</t>
        </is>
      </c>
      <c r="E70" s="1440" t="inlineStr">
        <is>
          <t>Civil/grading permits</t>
        </is>
      </c>
      <c r="F70" s="1440" t="n"/>
      <c r="G70" s="1440" t="n"/>
    </row>
    <row r="71">
      <c r="A71" s="1440" t="inlineStr">
        <is>
          <t>Commerce City</t>
        </is>
      </c>
      <c r="B71" s="1440" t="inlineStr">
        <is>
          <t>Code Enforcement</t>
        </is>
      </c>
      <c r="C71" s="1440" t="inlineStr">
        <is>
          <t>Code Enforcement</t>
        </is>
      </c>
      <c r="D71" s="1440" t="inlineStr">
        <is>
          <t>https://www.c3gov.com/Government/Departments-Divisions/Code-Enforcement</t>
        </is>
      </c>
      <c r="E71" s="1440" t="inlineStr">
        <is>
          <t>Code enforcement department</t>
        </is>
      </c>
      <c r="F71" s="1440" t="n"/>
      <c r="G71" s="1440" t="n"/>
    </row>
    <row r="72">
      <c r="A72" s="1440" t="inlineStr">
        <is>
          <t>Commerce City</t>
        </is>
      </c>
      <c r="B72" s="1440" t="inlineStr">
        <is>
          <t>Zoning / Planning</t>
        </is>
      </c>
      <c r="C72" s="1440" t="inlineStr">
        <is>
          <t>Land Use Approvals</t>
        </is>
      </c>
      <c r="D72" s="1440" t="inlineStr">
        <is>
          <t>https://www.c3gov.com/Business-Development/Developing-in-Commerce-City/Land-Use-Approvals</t>
        </is>
      </c>
      <c r="E72" s="1440" t="inlineStr">
        <is>
          <t>Entitlement and approval process</t>
        </is>
      </c>
      <c r="F72" s="1440" t="n"/>
      <c r="G72" s="1440" t="n"/>
    </row>
    <row r="73">
      <c r="A73" s="1440" t="inlineStr">
        <is>
          <t>Commerce City</t>
        </is>
      </c>
      <c r="B73" s="1440" t="inlineStr">
        <is>
          <t>Zoning / Planning</t>
        </is>
      </c>
      <c r="C73" s="1440" t="inlineStr">
        <is>
          <t>Land Use Standards</t>
        </is>
      </c>
      <c r="D73" s="1440" t="inlineStr">
        <is>
          <t>https://www.c3gov.com/Business-Development/Developing-in-Commerce-City/Land-Use-Standards</t>
        </is>
      </c>
      <c r="E73" s="1440" t="inlineStr">
        <is>
          <t>Land use regulations and standards</t>
        </is>
      </c>
      <c r="F73" s="1440" t="n"/>
      <c r="G73" s="1440" t="n"/>
    </row>
    <row r="74">
      <c r="A74" s="1440" t="inlineStr">
        <is>
          <t>Commerce City</t>
        </is>
      </c>
      <c r="B74" s="1440" t="inlineStr">
        <is>
          <t>Zoning / Planning</t>
        </is>
      </c>
      <c r="C74" s="1440" t="inlineStr">
        <is>
          <t>Land Development Code</t>
        </is>
      </c>
      <c r="D74" s="1440" t="inlineStr">
        <is>
          <t>https://www.c3gov.com/Government/City-Codes/Land-Development-Code</t>
        </is>
      </c>
      <c r="E74" s="1440" t="inlineStr">
        <is>
          <t>Zoning code (updated 2025)</t>
        </is>
      </c>
      <c r="F74" s="1440" t="n"/>
      <c r="G74" s="1440" t="n"/>
    </row>
    <row r="75">
      <c r="A75" s="1440" t="inlineStr">
        <is>
          <t>Commerce City</t>
        </is>
      </c>
      <c r="B75" s="1440" t="inlineStr">
        <is>
          <t>Zoning / Planning</t>
        </is>
      </c>
      <c r="C75" s="1440" t="inlineStr">
        <is>
          <t>Comprehensive Plan</t>
        </is>
      </c>
      <c r="D75" s="1440" t="inlineStr">
        <is>
          <t>https://www.c3gov.com/Government/City-Charter-Master-Plans/Comprehensive-Plan</t>
        </is>
      </c>
      <c r="E75" s="1440" t="inlineStr">
        <is>
          <t>City comprehensive plan</t>
        </is>
      </c>
      <c r="F75" s="1440" t="n"/>
      <c r="G75" s="1440" t="n"/>
    </row>
    <row r="76">
      <c r="A76" s="1440" t="inlineStr">
        <is>
          <t>Commerce City</t>
        </is>
      </c>
      <c r="B76" s="1440" t="inlineStr">
        <is>
          <t>Flood Zone</t>
        </is>
      </c>
      <c r="C76" s="1440" t="inlineStr">
        <is>
          <t>FEMA Map Service Center</t>
        </is>
      </c>
      <c r="D76" s="1440" t="inlineStr">
        <is>
          <t>https://msc.fema.gov/</t>
        </is>
      </c>
      <c r="E76" s="1440" t="inlineStr">
        <is>
          <t>Address-specific FEMA FIRM lookup</t>
        </is>
      </c>
      <c r="F76" s="1440" t="n"/>
      <c r="G76" s="1440" t="n"/>
    </row>
    <row r="77">
      <c r="A77" s="1440" t="inlineStr">
        <is>
          <t>Commerce City</t>
        </is>
      </c>
      <c r="B77" s="1440" t="inlineStr">
        <is>
          <t>Flood Zone</t>
        </is>
      </c>
      <c r="C77" s="1440" t="inlineStr">
        <is>
          <t>Adams County Floodplain Management</t>
        </is>
      </c>
      <c r="D77" s="1440" t="inlineStr">
        <is>
          <t>https://adamscountyco.gov/our-county/community-economic-development/floodplain-management/</t>
        </is>
      </c>
      <c r="E77" s="1440" t="inlineStr">
        <is>
          <t>County floodplain resources</t>
        </is>
      </c>
      <c r="F77" s="1440" t="n"/>
      <c r="G77" s="1440" t="n"/>
    </row>
    <row r="78">
      <c r="A78" s="1440" t="inlineStr">
        <is>
          <t>Commerce City</t>
        </is>
      </c>
      <c r="B78" s="1440" t="inlineStr">
        <is>
          <t>Economic Development</t>
        </is>
      </c>
      <c r="C78" s="1440" t="inlineStr">
        <is>
          <t>Economic Development Department</t>
        </is>
      </c>
      <c r="D78" s="1440" t="inlineStr">
        <is>
          <t>https://www.c3gov.com/Government/Departments-Divisions/Economic-Development</t>
        </is>
      </c>
      <c r="E78" s="1440" t="inlineStr">
        <is>
          <t>City economic development office</t>
        </is>
      </c>
      <c r="F78" s="1440" t="n"/>
      <c r="G78" s="1440" t="n"/>
    </row>
    <row r="79">
      <c r="A79" s="1440" t="inlineStr">
        <is>
          <t>Commerce City</t>
        </is>
      </c>
      <c r="B79" s="1440" t="inlineStr">
        <is>
          <t>Crime / Safety</t>
        </is>
      </c>
      <c r="C79" s="1440" t="inlineStr">
        <is>
          <t>Records and Crime Statistics</t>
        </is>
      </c>
      <c r="D79" s="1440" t="inlineStr">
        <is>
          <t>https://www.c3gov.com/Public-Safety/Police-Department/Records-and-Crime-Statistics</t>
        </is>
      </c>
      <c r="E79" s="1440" t="inlineStr">
        <is>
          <t>Crime reports and statistics</t>
        </is>
      </c>
      <c r="F79" s="1440" t="n"/>
      <c r="G79" s="1440" t="n"/>
    </row>
    <row r="80">
      <c r="A80" s="1440" t="inlineStr">
        <is>
          <t>Commerce City</t>
        </is>
      </c>
      <c r="B80" s="1440" t="inlineStr">
        <is>
          <t>School Districts</t>
        </is>
      </c>
      <c r="C80" s="1440" t="inlineStr">
        <is>
          <t>Adams 12 Five Star Schools</t>
        </is>
      </c>
      <c r="D80" s="1440" t="inlineStr">
        <is>
          <t>https://www.adams12.org/</t>
        </is>
      </c>
      <c r="E80" s="1440" t="inlineStr">
        <is>
          <t>Primary district for Commerce City</t>
        </is>
      </c>
      <c r="F80" s="1440" t="n"/>
      <c r="G80" s="1440" t="n"/>
    </row>
    <row r="81">
      <c r="A81" s="1440" t="inlineStr">
        <is>
          <t>Commerce City</t>
        </is>
      </c>
      <c r="B81" s="1440" t="inlineStr">
        <is>
          <t>School Districts</t>
        </is>
      </c>
      <c r="C81" s="1440" t="inlineStr">
        <is>
          <t>School District 27J</t>
        </is>
      </c>
      <c r="D81" s="1440" t="inlineStr">
        <is>
          <t>https://www.sd27j.org/</t>
        </is>
      </c>
      <c r="E81" s="1440" t="inlineStr">
        <is>
          <t>Serves northern portions of Commerce City</t>
        </is>
      </c>
      <c r="F81" s="1440" t="n"/>
      <c r="G81" s="1440" t="n"/>
    </row>
    <row r="82">
      <c r="A82" s="1440" t="inlineStr">
        <is>
          <t>Commerce City</t>
        </is>
      </c>
      <c r="B82" s="1440" t="inlineStr">
        <is>
          <t>School Districts</t>
        </is>
      </c>
      <c r="C82" s="1440" t="inlineStr">
        <is>
          <t>Mapleton School District 1</t>
        </is>
      </c>
      <c r="D82" s="1440" t="inlineStr">
        <is>
          <t>https://www.mapleton.us/</t>
        </is>
      </c>
      <c r="E82" s="1440" t="inlineStr">
        <is>
          <t>Serves portions of Commerce City</t>
        </is>
      </c>
      <c r="F82" s="1440" t="n"/>
      <c r="G82" s="1440" t="n"/>
    </row>
    <row r="83">
      <c r="A83" s="1441" t="inlineStr">
        <is>
          <t>Federal Heights</t>
        </is>
      </c>
      <c r="B83" s="1441" t="inlineStr">
        <is>
          <t>Property Assessment</t>
        </is>
      </c>
      <c r="C83" s="1441" t="inlineStr">
        <is>
          <t>Adams County Assessor (Property Lookup)</t>
        </is>
      </c>
      <c r="D83" s="1441" t="inlineStr">
        <is>
          <t>https://adcogov.org/property-look</t>
        </is>
      </c>
      <c r="E83" s="1441" t="inlineStr">
        <is>
          <t>Federal Heights is fully within Adams County</t>
        </is>
      </c>
      <c r="F83" s="1441" t="n"/>
      <c r="G83" s="1441" t="n"/>
    </row>
    <row r="84">
      <c r="A84" s="1441" t="inlineStr">
        <is>
          <t>Federal Heights</t>
        </is>
      </c>
      <c r="B84" s="1441" t="inlineStr">
        <is>
          <t>Property Tax / Treasurer</t>
        </is>
      </c>
      <c r="C84" s="1441" t="inlineStr">
        <is>
          <t>Online Tax Payment</t>
        </is>
      </c>
      <c r="D84" s="1441" t="inlineStr">
        <is>
          <t>https://adcotax.com/treasurer/web/login.jsp</t>
        </is>
      </c>
      <c r="E84" s="1441" t="inlineStr">
        <is>
          <t>Adams County tax payment portal</t>
        </is>
      </c>
      <c r="F84" s="1441" t="n"/>
      <c r="G84" s="1441" t="n"/>
    </row>
    <row r="85">
      <c r="A85" s="1441" t="inlineStr">
        <is>
          <t>Federal Heights</t>
        </is>
      </c>
      <c r="B85" s="1441" t="inlineStr">
        <is>
          <t>Property Tax / Treasurer</t>
        </is>
      </c>
      <c r="C85" s="1441" t="inlineStr">
        <is>
          <t>Property Tax Inquiry</t>
        </is>
      </c>
      <c r="D85" s="1441" t="inlineStr">
        <is>
          <t>https://adamsil.devnetwedge.com/</t>
        </is>
      </c>
      <c r="E85" s="1441" t="inlineStr">
        <is>
          <t>Tax balance and history lookup</t>
        </is>
      </c>
      <c r="F85" s="1441" t="n"/>
      <c r="G85" s="1441" t="n"/>
    </row>
    <row r="86">
      <c r="A86" s="1441" t="inlineStr">
        <is>
          <t>Federal Heights</t>
        </is>
      </c>
      <c r="B86" s="1441" t="inlineStr">
        <is>
          <t>Deed / Title Records</t>
        </is>
      </c>
      <c r="C86" s="1441" t="inlineStr">
        <is>
          <t>Landmark Web Document Search</t>
        </is>
      </c>
      <c r="D86" s="1441" t="inlineStr">
        <is>
          <t>https://recording.adcogov.org/landmarkweb</t>
        </is>
      </c>
      <c r="E86" s="1441" t="inlineStr">
        <is>
          <t>Adams County deed/title records</t>
        </is>
      </c>
      <c r="F86" s="1441" t="n"/>
      <c r="G86" s="1441" t="n"/>
    </row>
    <row r="87">
      <c r="A87" s="1441" t="inlineStr">
        <is>
          <t>Federal Heights</t>
        </is>
      </c>
      <c r="B87" s="1441" t="inlineStr">
        <is>
          <t>GIS / Mapping</t>
        </is>
      </c>
      <c r="C87" s="1441" t="inlineStr">
        <is>
          <t>City Maps</t>
        </is>
      </c>
      <c r="D87" s="1441" t="inlineStr">
        <is>
          <t>https://www.fedheights.org/?SEC=D1A883BE-0C29-4602-8CC9-5D6A08DA5503</t>
        </is>
      </c>
      <c r="E87" s="1441" t="inlineStr">
        <is>
          <t>City map resources</t>
        </is>
      </c>
      <c r="F87" s="1441" t="n"/>
      <c r="G87" s="1441" t="n"/>
    </row>
    <row r="88">
      <c r="A88" s="1441" t="inlineStr">
        <is>
          <t>Federal Heights</t>
        </is>
      </c>
      <c r="B88" s="1441" t="inlineStr">
        <is>
          <t>Permits</t>
        </is>
      </c>
      <c r="C88" s="1441" t="inlineStr">
        <is>
          <t>Building Department</t>
        </is>
      </c>
      <c r="D88" s="1441" t="inlineStr">
        <is>
          <t>https://www.fedheights.org/building</t>
        </is>
      </c>
      <c r="E88" s="1441" t="inlineStr">
        <is>
          <t>Building permits and inspections</t>
        </is>
      </c>
      <c r="F88" s="1441" t="n"/>
      <c r="G88" s="1441" t="n"/>
    </row>
    <row r="89">
      <c r="A89" s="1441" t="inlineStr">
        <is>
          <t>Federal Heights</t>
        </is>
      </c>
      <c r="B89" s="1441" t="inlineStr">
        <is>
          <t>Code Enforcement</t>
        </is>
      </c>
      <c r="C89" s="1441" t="inlineStr">
        <is>
          <t>Code Enforcement</t>
        </is>
      </c>
      <c r="D89" s="1441" t="inlineStr">
        <is>
          <t>https://www.fedheights.org/codeenforcement</t>
        </is>
      </c>
      <c r="E89" s="1441" t="inlineStr">
        <is>
          <t>Code enforcement department</t>
        </is>
      </c>
      <c r="F89" s="1441" t="n"/>
      <c r="G89" s="1441" t="n"/>
    </row>
    <row r="90">
      <c r="A90" s="1441" t="inlineStr">
        <is>
          <t>Federal Heights</t>
        </is>
      </c>
      <c r="B90" s="1441" t="inlineStr">
        <is>
          <t>Zoning / Planning</t>
        </is>
      </c>
      <c r="C90" s="1441" t="inlineStr">
        <is>
          <t>Planning Department</t>
        </is>
      </c>
      <c r="D90" s="1441" t="inlineStr">
        <is>
          <t>https://www.fedheights.org/planning</t>
        </is>
      </c>
      <c r="E90" s="1441" t="inlineStr">
        <is>
          <t>Planning and zoning info</t>
        </is>
      </c>
      <c r="F90" s="1441" t="n"/>
      <c r="G90" s="1441" t="n"/>
    </row>
    <row r="91">
      <c r="A91" s="1441" t="inlineStr">
        <is>
          <t>Federal Heights</t>
        </is>
      </c>
      <c r="B91" s="1441" t="inlineStr">
        <is>
          <t>Zoning / Planning</t>
        </is>
      </c>
      <c r="C91" s="1441" t="inlineStr">
        <is>
          <t>Zoning Information Page</t>
        </is>
      </c>
      <c r="D91" s="1441" t="inlineStr">
        <is>
          <t>https://www.fedheights.org/index.asp?SEC=D7AA9940-8607-468A-8215-7308DD3BF799&amp;Type=B_BASIC</t>
        </is>
      </c>
      <c r="E91" s="1441" t="inlineStr">
        <is>
          <t>Zoning district info and lookup</t>
        </is>
      </c>
      <c r="F91" s="1441" t="n"/>
      <c r="G91" s="1441" t="n"/>
    </row>
    <row r="92">
      <c r="A92" s="1441" t="inlineStr">
        <is>
          <t>Federal Heights</t>
        </is>
      </c>
      <c r="B92" s="1441" t="inlineStr">
        <is>
          <t>Zoning / Planning</t>
        </is>
      </c>
      <c r="C92" s="1441" t="inlineStr">
        <is>
          <t>Municipal Code (Municode)</t>
        </is>
      </c>
      <c r="D92" s="1441" t="inlineStr">
        <is>
          <t>https://library.municode.com/co/federal_heights</t>
        </is>
      </c>
      <c r="E92" s="1441" t="inlineStr">
        <is>
          <t>Full zoning and municipal code</t>
        </is>
      </c>
      <c r="F92" s="1441" t="n"/>
      <c r="G92" s="1441" t="n"/>
    </row>
    <row r="93">
      <c r="A93" s="1441" t="inlineStr">
        <is>
          <t>Federal Heights</t>
        </is>
      </c>
      <c r="B93" s="1441" t="inlineStr">
        <is>
          <t>Flood Zone</t>
        </is>
      </c>
      <c r="C93" s="1441" t="inlineStr">
        <is>
          <t>FEMA Map Service Center</t>
        </is>
      </c>
      <c r="D93" s="1441" t="inlineStr">
        <is>
          <t>https://msc.fema.gov/</t>
        </is>
      </c>
      <c r="E93" s="1441" t="inlineStr">
        <is>
          <t>Address-specific FEMA FIRM lookup</t>
        </is>
      </c>
      <c r="F93" s="1441" t="n"/>
      <c r="G93" s="1441" t="n"/>
    </row>
    <row r="94">
      <c r="A94" s="1441" t="inlineStr">
        <is>
          <t>Federal Heights</t>
        </is>
      </c>
      <c r="B94" s="1441" t="inlineStr">
        <is>
          <t>Economic Development</t>
        </is>
      </c>
      <c r="C94" s="1441" t="inlineStr">
        <is>
          <t>Economic Development / FHRA</t>
        </is>
      </c>
      <c r="D94" s="1441" t="inlineStr">
        <is>
          <t>https://www.fedheights.org/economicdevelopment</t>
        </is>
      </c>
      <c r="E94" s="1441" t="inlineStr">
        <is>
          <t>City economic development office</t>
        </is>
      </c>
      <c r="F94" s="1441" t="n"/>
      <c r="G94" s="1441" t="n"/>
    </row>
    <row r="95">
      <c r="A95" s="1441" t="inlineStr">
        <is>
          <t>Federal Heights</t>
        </is>
      </c>
      <c r="B95" s="1441" t="inlineStr">
        <is>
          <t>Utilities</t>
        </is>
      </c>
      <c r="C95" s="1441" t="inlineStr">
        <is>
          <t>Utilities Page</t>
        </is>
      </c>
      <c r="D95" s="1441" t="inlineStr">
        <is>
          <t>https://www.fedheights.org/utilities</t>
        </is>
      </c>
      <c r="E95" s="1441" t="inlineStr">
        <is>
          <t>Water/sewer utility info</t>
        </is>
      </c>
      <c r="F95" s="1441" t="n"/>
      <c r="G95" s="1441" t="n"/>
    </row>
    <row r="96">
      <c r="A96" s="1441" t="inlineStr">
        <is>
          <t>Federal Heights</t>
        </is>
      </c>
      <c r="B96" s="1441" t="inlineStr">
        <is>
          <t>Utilities</t>
        </is>
      </c>
      <c r="C96" s="1441" t="inlineStr">
        <is>
          <t>Public Works</t>
        </is>
      </c>
      <c r="D96" s="1441" t="inlineStr">
        <is>
          <t>https://www.fedheights.org/publicworks</t>
        </is>
      </c>
      <c r="E96" s="1441" t="inlineStr">
        <is>
          <t>Public works department</t>
        </is>
      </c>
      <c r="F96" s="1441" t="n"/>
      <c r="G96" s="1441" t="n"/>
    </row>
    <row r="97">
      <c r="A97" s="1441" t="inlineStr">
        <is>
          <t>Federal Heights</t>
        </is>
      </c>
      <c r="B97" s="1441" t="inlineStr">
        <is>
          <t>Utilities</t>
        </is>
      </c>
      <c r="C97" s="1441" t="inlineStr">
        <is>
          <t>Xcel Energy</t>
        </is>
      </c>
      <c r="D97" s="1441" t="inlineStr">
        <is>
          <t>https://www.xcelenergy.com/</t>
        </is>
      </c>
      <c r="E97" s="1441" t="inlineStr">
        <is>
          <t>Electric and gas provider for Federal Heights</t>
        </is>
      </c>
      <c r="F97" s="1441" t="n"/>
      <c r="G97" s="1441" t="n"/>
    </row>
    <row r="98">
      <c r="A98" s="1441" t="inlineStr">
        <is>
          <t>Federal Heights</t>
        </is>
      </c>
      <c r="B98" s="1441" t="inlineStr">
        <is>
          <t>School Districts</t>
        </is>
      </c>
      <c r="C98" s="1441" t="inlineStr">
        <is>
          <t>Adams 12 Five Star Schools</t>
        </is>
      </c>
      <c r="D98" s="1441" t="inlineStr">
        <is>
          <t>https://www.adams12.org/</t>
        </is>
      </c>
      <c r="E98" s="1441" t="inlineStr">
        <is>
          <t>Primary school district for Federal Heights</t>
        </is>
      </c>
      <c r="F98" s="1441" t="n"/>
      <c r="G98" s="1441" t="n"/>
    </row>
    <row r="99">
      <c r="A99" s="1442" t="inlineStr">
        <is>
          <t>Northglenn</t>
        </is>
      </c>
      <c r="B99" s="1442" t="inlineStr">
        <is>
          <t>Property Assessment</t>
        </is>
      </c>
      <c r="C99" s="1442" t="inlineStr">
        <is>
          <t>Adams County Assessor (Property Lookup)</t>
        </is>
      </c>
      <c r="D99" s="1442" t="inlineStr">
        <is>
          <t>https://adcogov.org/property-look</t>
        </is>
      </c>
      <c r="E99" s="1442" t="inlineStr">
        <is>
          <t>Northglenn is fully within Adams County</t>
        </is>
      </c>
      <c r="F99" s="1442" t="n"/>
      <c r="G99" s="1442" t="n"/>
    </row>
    <row r="100">
      <c r="A100" s="1442" t="inlineStr">
        <is>
          <t>Northglenn</t>
        </is>
      </c>
      <c r="B100" s="1442" t="inlineStr">
        <is>
          <t>Property Tax / Treasurer</t>
        </is>
      </c>
      <c r="C100" s="1442" t="inlineStr">
        <is>
          <t>Online Tax Payment</t>
        </is>
      </c>
      <c r="D100" s="1442" t="inlineStr">
        <is>
          <t>https://adcotax.com/treasurer/web/login.jsp</t>
        </is>
      </c>
      <c r="E100" s="1442" t="inlineStr">
        <is>
          <t>Adams County tax payment portal</t>
        </is>
      </c>
      <c r="F100" s="1442" t="n"/>
      <c r="G100" s="1442" t="n"/>
    </row>
    <row r="101">
      <c r="A101" s="1442" t="inlineStr">
        <is>
          <t>Northglenn</t>
        </is>
      </c>
      <c r="B101" s="1442" t="inlineStr">
        <is>
          <t>Property Tax / Treasurer</t>
        </is>
      </c>
      <c r="C101" s="1442" t="inlineStr">
        <is>
          <t>Property Tax Inquiry</t>
        </is>
      </c>
      <c r="D101" s="1442" t="inlineStr">
        <is>
          <t>https://adamsil.devnetwedge.com/</t>
        </is>
      </c>
      <c r="E101" s="1442" t="inlineStr">
        <is>
          <t>Tax balance and history lookup</t>
        </is>
      </c>
      <c r="F101" s="1442" t="n"/>
      <c r="G101" s="1442" t="n"/>
    </row>
    <row r="102">
      <c r="A102" s="1442" t="inlineStr">
        <is>
          <t>Northglenn</t>
        </is>
      </c>
      <c r="B102" s="1442" t="inlineStr">
        <is>
          <t>Deed / Title Records</t>
        </is>
      </c>
      <c r="C102" s="1442" t="inlineStr">
        <is>
          <t>Landmark Web Document Search</t>
        </is>
      </c>
      <c r="D102" s="1442" t="inlineStr">
        <is>
          <t>https://recording.adcogov.org/landmarkweb</t>
        </is>
      </c>
      <c r="E102" s="1442" t="inlineStr">
        <is>
          <t>Adams County deed/title records</t>
        </is>
      </c>
      <c r="F102" s="1442" t="n"/>
      <c r="G102" s="1442" t="n"/>
    </row>
    <row r="103">
      <c r="A103" s="1442" t="inlineStr">
        <is>
          <t>Northglenn</t>
        </is>
      </c>
      <c r="B103" s="1442" t="inlineStr">
        <is>
          <t>GIS / Mapping</t>
        </is>
      </c>
      <c r="C103" s="1442" t="inlineStr">
        <is>
          <t>Maps Page</t>
        </is>
      </c>
      <c r="D103" s="1442" t="inlineStr">
        <is>
          <t>https://www.northglenn.org/residents/about_northglenn/maps.php</t>
        </is>
      </c>
      <c r="E103" s="1442" t="inlineStr">
        <is>
          <t>City maps</t>
        </is>
      </c>
      <c r="F103" s="1442" t="n"/>
      <c r="G103" s="1442" t="n"/>
    </row>
    <row r="104">
      <c r="A104" s="1442" t="inlineStr">
        <is>
          <t>Northglenn</t>
        </is>
      </c>
      <c r="B104" s="1442" t="inlineStr">
        <is>
          <t>GIS / Mapping</t>
        </is>
      </c>
      <c r="C104" s="1442" t="inlineStr">
        <is>
          <t>Interactive Zoning Map (ArcGIS)</t>
        </is>
      </c>
      <c r="D104" s="1442" t="inlineStr">
        <is>
          <t>https://www.arcgis.com/home/webmap/viewer.html?webmap=39b7188473574a07bcc84ca0ec3807fc</t>
        </is>
      </c>
      <c r="E104" s="1442" t="inlineStr">
        <is>
          <t>Citywide zoning map viewer</t>
        </is>
      </c>
      <c r="F104" s="1442" t="n"/>
      <c r="G104" s="1442" t="n"/>
    </row>
    <row r="105">
      <c r="A105" s="1442" t="inlineStr">
        <is>
          <t>Northglenn</t>
        </is>
      </c>
      <c r="B105" s="1442" t="inlineStr">
        <is>
          <t>Permits</t>
        </is>
      </c>
      <c r="C105" s="1442" t="inlineStr">
        <is>
          <t>Building Department</t>
        </is>
      </c>
      <c r="D105" s="1442" t="inlineStr">
        <is>
          <t>https://www.northglenn.org/government/departments/building/</t>
        </is>
      </c>
      <c r="E105" s="1442" t="inlineStr">
        <is>
          <t>Building dept (contracted to SAFEbuilt)</t>
        </is>
      </c>
      <c r="F105" s="1442" t="n"/>
      <c r="G105" s="1442" t="n"/>
    </row>
    <row r="106">
      <c r="A106" s="1442" t="inlineStr">
        <is>
          <t>Northglenn</t>
        </is>
      </c>
      <c r="B106" s="1442" t="inlineStr">
        <is>
          <t>Permits</t>
        </is>
      </c>
      <c r="C106" s="1442" t="inlineStr">
        <is>
          <t>Permits Page</t>
        </is>
      </c>
      <c r="D106" s="1442" t="inlineStr">
        <is>
          <t>https://www.northglenn.org/government/departments/building/permits.php</t>
        </is>
      </c>
      <c r="E106" s="1442" t="inlineStr">
        <is>
          <t>Permit types and applications</t>
        </is>
      </c>
      <c r="F106" s="1442" t="n"/>
      <c r="G106" s="1442" t="n"/>
    </row>
    <row r="107">
      <c r="A107" s="1442" t="inlineStr">
        <is>
          <t>Northglenn</t>
        </is>
      </c>
      <c r="B107" s="1442" t="inlineStr">
        <is>
          <t>Permits</t>
        </is>
      </c>
      <c r="C107" s="1442" t="inlineStr">
        <is>
          <t>Building Permit Info</t>
        </is>
      </c>
      <c r="D107" s="1442" t="inlineStr">
        <is>
          <t>https://www.northglenn.org/government/licenses_and_permits/building_permit.php</t>
        </is>
      </c>
      <c r="E107" s="1442" t="inlineStr">
        <is>
          <t>How to apply for a building permit</t>
        </is>
      </c>
      <c r="F107" s="1442" t="n"/>
      <c r="G107" s="1442" t="n"/>
    </row>
    <row r="108">
      <c r="A108" s="1442" t="inlineStr">
        <is>
          <t>Northglenn</t>
        </is>
      </c>
      <c r="B108" s="1442" t="inlineStr">
        <is>
          <t>Zoning / Planning</t>
        </is>
      </c>
      <c r="C108" s="1442" t="inlineStr">
        <is>
          <t>QuickZone (Address Zoning Lookup)</t>
        </is>
      </c>
      <c r="D108" s="1442" t="inlineStr">
        <is>
          <t>https://secure.northglenn.org/quickzone</t>
        </is>
      </c>
      <c r="E108" s="1442" t="inlineStr">
        <is>
          <t>Instant zoning lookup by address — most user-friendly in county</t>
        </is>
      </c>
      <c r="F108" s="1442" t="n"/>
      <c r="G108" s="1442" t="n"/>
    </row>
    <row r="109">
      <c r="A109" s="1442" t="inlineStr">
        <is>
          <t>Northglenn</t>
        </is>
      </c>
      <c r="B109" s="1442" t="inlineStr">
        <is>
          <t>Zoning / Planning</t>
        </is>
      </c>
      <c r="C109" s="1442" t="inlineStr">
        <is>
          <t>Land Use and Zoning Main Page</t>
        </is>
      </c>
      <c r="D109" s="1442" t="inlineStr">
        <is>
          <t>https://www.northglenn.org/government/land_use_and_zoning/</t>
        </is>
      </c>
      <c r="E109" s="1442" t="inlineStr">
        <is>
          <t>Zoning department</t>
        </is>
      </c>
      <c r="F109" s="1442" t="n"/>
      <c r="G109" s="1442" t="n"/>
    </row>
    <row r="110">
      <c r="A110" s="1442" t="inlineStr">
        <is>
          <t>Northglenn</t>
        </is>
      </c>
      <c r="B110" s="1442" t="inlineStr">
        <is>
          <t>Zoning / Planning</t>
        </is>
      </c>
      <c r="C110" s="1442" t="inlineStr">
        <is>
          <t>Zoning Map</t>
        </is>
      </c>
      <c r="D110" s="1442" t="inlineStr">
        <is>
          <t>https://www.northglenn.org/government/land_use_and_zoning/zoning_map.php</t>
        </is>
      </c>
      <c r="E110" s="1442" t="inlineStr">
        <is>
          <t>Official citywide zoning map</t>
        </is>
      </c>
      <c r="F110" s="1442" t="n"/>
      <c r="G110" s="1442" t="n"/>
    </row>
    <row r="111">
      <c r="A111" s="1442" t="inlineStr">
        <is>
          <t>Northglenn</t>
        </is>
      </c>
      <c r="B111" s="1442" t="inlineStr">
        <is>
          <t>Zoning / Planning</t>
        </is>
      </c>
      <c r="C111" s="1442" t="inlineStr">
        <is>
          <t>Comprehensive Plan</t>
        </is>
      </c>
      <c r="D111" s="1442" t="inlineStr">
        <is>
          <t>https://www.northglenn.org/government/land_use_and_zoning/comprehensive_plan.php</t>
        </is>
      </c>
      <c r="E111" s="1442" t="inlineStr">
        <is>
          <t>City comprehensive plan</t>
        </is>
      </c>
      <c r="F111" s="1442" t="n"/>
      <c r="G111" s="1442" t="n"/>
    </row>
    <row r="112">
      <c r="A112" s="1442" t="inlineStr">
        <is>
          <t>Northglenn</t>
        </is>
      </c>
      <c r="B112" s="1442" t="inlineStr">
        <is>
          <t>Zoning / Planning</t>
        </is>
      </c>
      <c r="C112" s="1442" t="inlineStr">
        <is>
          <t>Planning and Development Department</t>
        </is>
      </c>
      <c r="D112" s="1442" t="inlineStr">
        <is>
          <t>https://www.northglenn.org/government/departments/planning_department/index.php</t>
        </is>
      </c>
      <c r="E112" s="1442" t="inlineStr">
        <is>
          <t>Planning department</t>
        </is>
      </c>
      <c r="F112" s="1442" t="n"/>
      <c r="G112" s="1442" t="n"/>
    </row>
    <row r="113">
      <c r="A113" s="1442" t="inlineStr">
        <is>
          <t>Northglenn</t>
        </is>
      </c>
      <c r="B113" s="1442" t="inlineStr">
        <is>
          <t>Flood Zone</t>
        </is>
      </c>
      <c r="C113" s="1442" t="inlineStr">
        <is>
          <t>FEMA Map Service Center</t>
        </is>
      </c>
      <c r="D113" s="1442" t="inlineStr">
        <is>
          <t>https://msc.fema.gov/</t>
        </is>
      </c>
      <c r="E113" s="1442" t="inlineStr">
        <is>
          <t>Address-specific FEMA FIRM lookup</t>
        </is>
      </c>
      <c r="F113" s="1442" t="n"/>
      <c r="G113" s="1442" t="n"/>
    </row>
    <row r="114">
      <c r="A114" s="1442" t="inlineStr">
        <is>
          <t>Northglenn</t>
        </is>
      </c>
      <c r="B114" s="1442" t="inlineStr">
        <is>
          <t>Flood Zone</t>
        </is>
      </c>
      <c r="C114" s="1442" t="inlineStr">
        <is>
          <t>Adams County Floodplain Management</t>
        </is>
      </c>
      <c r="D114" s="1442" t="inlineStr">
        <is>
          <t>https://adamscountyco.gov/our-county/community-economic-development/floodplain-management/</t>
        </is>
      </c>
      <c r="E114" s="1442" t="inlineStr">
        <is>
          <t>County floodplain resources</t>
        </is>
      </c>
      <c r="F114" s="1442" t="n"/>
      <c r="G114" s="1442" t="n"/>
    </row>
    <row r="115">
      <c r="A115" s="1442" t="inlineStr">
        <is>
          <t>Northglenn</t>
        </is>
      </c>
      <c r="B115" s="1442" t="inlineStr">
        <is>
          <t>Economic Development</t>
        </is>
      </c>
      <c r="C115" s="1442" t="inlineStr">
        <is>
          <t>Business Help / Economic Development</t>
        </is>
      </c>
      <c r="D115" s="1442" t="inlineStr">
        <is>
          <t>https://www.northglenn.org/biz/</t>
        </is>
      </c>
      <c r="E115" s="1442" t="inlineStr">
        <is>
          <t>City business resources</t>
        </is>
      </c>
      <c r="F115" s="1442" t="n"/>
      <c r="G115" s="1442" t="n"/>
    </row>
    <row r="116">
      <c r="A116" s="1442" t="inlineStr">
        <is>
          <t>Northglenn</t>
        </is>
      </c>
      <c r="B116" s="1442" t="inlineStr">
        <is>
          <t>Business License</t>
        </is>
      </c>
      <c r="C116" s="1442" t="inlineStr">
        <is>
          <t>Business License</t>
        </is>
      </c>
      <c r="D116" s="1442" t="inlineStr">
        <is>
          <t>https://www.northglenn.org/government/licenses_and_permits/business_license.php</t>
        </is>
      </c>
      <c r="E116" s="1442" t="inlineStr">
        <is>
          <t>Business license portal</t>
        </is>
      </c>
      <c r="F116" s="1442" t="n"/>
      <c r="G116" s="1442" t="n"/>
    </row>
    <row r="117">
      <c r="A117" s="1442" t="inlineStr">
        <is>
          <t>Northglenn</t>
        </is>
      </c>
      <c r="B117" s="1442" t="inlineStr">
        <is>
          <t>Short-Term Rental</t>
        </is>
      </c>
      <c r="C117" s="1442" t="inlineStr">
        <is>
          <t>Short-Term Rental License</t>
        </is>
      </c>
      <c r="D117" s="1442" t="inlineStr">
        <is>
          <t>https://www.northglenn.org/government/licenses_and_permits/short_term_rental_license.php</t>
        </is>
      </c>
      <c r="E117" s="1442" t="inlineStr">
        <is>
          <t>STR license requirements</t>
        </is>
      </c>
      <c r="F117" s="1442" t="n"/>
      <c r="G117" s="1442" t="n"/>
    </row>
    <row r="118">
      <c r="A118" s="1442" t="inlineStr">
        <is>
          <t>Northglenn</t>
        </is>
      </c>
      <c r="B118" s="1442" t="inlineStr">
        <is>
          <t>Crime / Safety</t>
        </is>
      </c>
      <c r="C118" s="1442" t="inlineStr">
        <is>
          <t>Crime Maps</t>
        </is>
      </c>
      <c r="D118" s="1442" t="inlineStr">
        <is>
          <t>https://secure.northglenn.org/maps/crime</t>
        </is>
      </c>
      <c r="E118" s="1442" t="inlineStr">
        <is>
          <t>Interactive crime map</t>
        </is>
      </c>
      <c r="F118" s="1442" t="n"/>
      <c r="G118" s="1442" t="n"/>
    </row>
    <row r="119">
      <c r="A119" s="1442" t="inlineStr">
        <is>
          <t>Northglenn</t>
        </is>
      </c>
      <c r="B119" s="1442" t="inlineStr">
        <is>
          <t>Crime / Safety</t>
        </is>
      </c>
      <c r="C119" s="1442" t="inlineStr">
        <is>
          <t>Crime Stats</t>
        </is>
      </c>
      <c r="D119" s="1442" t="inlineStr">
        <is>
          <t>https://www.northglenn.org/public_safety/police/crime_stats.php</t>
        </is>
      </c>
      <c r="E119" s="1442" t="inlineStr">
        <is>
          <t>Crime statistics</t>
        </is>
      </c>
      <c r="F119" s="1442" t="n"/>
      <c r="G119" s="1442" t="n"/>
    </row>
    <row r="120">
      <c r="A120" s="1442" t="inlineStr">
        <is>
          <t>Northglenn</t>
        </is>
      </c>
      <c r="B120" s="1442" t="inlineStr">
        <is>
          <t>Utilities</t>
        </is>
      </c>
      <c r="C120" s="1442" t="inlineStr">
        <is>
          <t>Water</t>
        </is>
      </c>
      <c r="D120" s="1442" t="inlineStr">
        <is>
          <t>https://www.northglenn.org/residents/water/</t>
        </is>
      </c>
      <c r="E120" s="1442" t="inlineStr">
        <is>
          <t>City water utility</t>
        </is>
      </c>
      <c r="F120" s="1442" t="n"/>
      <c r="G120" s="1442" t="n"/>
    </row>
    <row r="121">
      <c r="A121" s="1442" t="inlineStr">
        <is>
          <t>Northglenn</t>
        </is>
      </c>
      <c r="B121" s="1442" t="inlineStr">
        <is>
          <t>School Districts</t>
        </is>
      </c>
      <c r="C121" s="1442" t="inlineStr">
        <is>
          <t>Adams 12 Five Star Schools</t>
        </is>
      </c>
      <c r="D121" s="1442" t="inlineStr">
        <is>
          <t>https://www.adams12.org/</t>
        </is>
      </c>
      <c r="E121" s="1442" t="inlineStr">
        <is>
          <t>Primary school district for Northglenn</t>
        </is>
      </c>
      <c r="F121" s="1442" t="n"/>
      <c r="G121" s="1442" t="n"/>
    </row>
    <row r="122">
      <c r="A122" s="1442" t="inlineStr">
        <is>
          <t>Northglenn</t>
        </is>
      </c>
      <c r="B122" s="1442" t="inlineStr">
        <is>
          <t>School Districts</t>
        </is>
      </c>
      <c r="C122" s="1442" t="inlineStr">
        <is>
          <t>Schools Listing</t>
        </is>
      </c>
      <c r="D122" s="1442" t="inlineStr">
        <is>
          <t>https://www.northglenn.org/residents/schools.php</t>
        </is>
      </c>
      <c r="E122" s="1442" t="inlineStr">
        <is>
          <t>Northglenn school directory</t>
        </is>
      </c>
      <c r="F122" s="1442" t="n"/>
      <c r="G122" s="1442" t="n"/>
    </row>
    <row r="123">
      <c r="A123" s="1443" t="inlineStr">
        <is>
          <t>Thornton</t>
        </is>
      </c>
      <c r="B123" s="1443" t="inlineStr">
        <is>
          <t>Property Assessment</t>
        </is>
      </c>
      <c r="C123" s="1443" t="inlineStr">
        <is>
          <t>Thornton CityView Property Locator</t>
        </is>
      </c>
      <c r="D123" s="1443" t="inlineStr">
        <is>
          <t>https://cityviewportal.thorntonco.gov/Property</t>
        </is>
      </c>
      <c r="E123" s="1443" t="inlineStr">
        <is>
          <t>City-run parcel info portal with permit history</t>
        </is>
      </c>
      <c r="F123" s="1443" t="n"/>
      <c r="G123" s="1443" t="n"/>
    </row>
    <row r="124">
      <c r="A124" s="1443" t="inlineStr">
        <is>
          <t>Thornton</t>
        </is>
      </c>
      <c r="B124" s="1443" t="inlineStr">
        <is>
          <t>Property Assessment</t>
        </is>
      </c>
      <c r="C124" s="1443" t="inlineStr">
        <is>
          <t>Adams County Assessor (Property Lookup)</t>
        </is>
      </c>
      <c r="D124" s="1443" t="inlineStr">
        <is>
          <t>https://adcogov.org/property-look</t>
        </is>
      </c>
      <c r="E124" s="1443" t="inlineStr">
        <is>
          <t>County assessment data</t>
        </is>
      </c>
      <c r="F124" s="1443" t="n"/>
      <c r="G124" s="1443" t="n"/>
    </row>
    <row r="125">
      <c r="A125" s="1443" t="inlineStr">
        <is>
          <t>Thornton</t>
        </is>
      </c>
      <c r="B125" s="1443" t="inlineStr">
        <is>
          <t>Property Tax / Treasurer</t>
        </is>
      </c>
      <c r="C125" s="1443" t="inlineStr">
        <is>
          <t>Online Tax Payment</t>
        </is>
      </c>
      <c r="D125" s="1443" t="inlineStr">
        <is>
          <t>https://adcotax.com/treasurer/web/login.jsp</t>
        </is>
      </c>
      <c r="E125" s="1443" t="inlineStr">
        <is>
          <t>Adams County tax payment portal</t>
        </is>
      </c>
      <c r="F125" s="1443" t="n"/>
      <c r="G125" s="1443" t="n"/>
    </row>
    <row r="126">
      <c r="A126" s="1443" t="inlineStr">
        <is>
          <t>Thornton</t>
        </is>
      </c>
      <c r="B126" s="1443" t="inlineStr">
        <is>
          <t>Property Tax / Treasurer</t>
        </is>
      </c>
      <c r="C126" s="1443" t="inlineStr">
        <is>
          <t>Property Tax Inquiry</t>
        </is>
      </c>
      <c r="D126" s="1443" t="inlineStr">
        <is>
          <t>https://adamsil.devnetwedge.com/</t>
        </is>
      </c>
      <c r="E126" s="1443" t="inlineStr">
        <is>
          <t>Tax balance and history lookup</t>
        </is>
      </c>
      <c r="F126" s="1443" t="n"/>
      <c r="G126" s="1443" t="n"/>
    </row>
    <row r="127">
      <c r="A127" s="1443" t="inlineStr">
        <is>
          <t>Thornton</t>
        </is>
      </c>
      <c r="B127" s="1443" t="inlineStr">
        <is>
          <t>Deed / Title Records</t>
        </is>
      </c>
      <c r="C127" s="1443" t="inlineStr">
        <is>
          <t>Landmark Web Document Search</t>
        </is>
      </c>
      <c r="D127" s="1443" t="inlineStr">
        <is>
          <t>https://recording.adcogov.org/landmarkweb</t>
        </is>
      </c>
      <c r="E127" s="1443" t="inlineStr">
        <is>
          <t>Adams County deed/title records</t>
        </is>
      </c>
      <c r="F127" s="1443" t="n"/>
      <c r="G127" s="1443" t="n"/>
    </row>
    <row r="128">
      <c r="A128" s="1443" t="inlineStr">
        <is>
          <t>Thornton</t>
        </is>
      </c>
      <c r="B128" s="1443" t="inlineStr">
        <is>
          <t>GIS / Mapping</t>
        </is>
      </c>
      <c r="C128" s="1443" t="inlineStr">
        <is>
          <t>Open Data Site (ArcGIS)</t>
        </is>
      </c>
      <c r="D128" s="1443" t="inlineStr">
        <is>
          <t>https://data-cityofthornton.opendata.arcgis.com/</t>
        </is>
      </c>
      <c r="E128" s="1443" t="inlineStr">
        <is>
          <t>Downloadable GIS datasets including zoning</t>
        </is>
      </c>
      <c r="F128" s="1443" t="n"/>
      <c r="G128" s="1443" t="n"/>
    </row>
    <row r="129">
      <c r="A129" s="1443" t="inlineStr">
        <is>
          <t>Thornton</t>
        </is>
      </c>
      <c r="B129" s="1443" t="inlineStr">
        <is>
          <t>GIS / Mapping</t>
        </is>
      </c>
      <c r="C129" s="1443" t="inlineStr">
        <is>
          <t>Interactive GIS Map Viewer</t>
        </is>
      </c>
      <c r="D129" s="1443" t="inlineStr">
        <is>
          <t>https://maps.thorntonco.gov/portal/apps/webappviewer/index.html?id=3ca678047c5b48568a9322c364808f7e</t>
        </is>
      </c>
      <c r="E129" s="1443" t="inlineStr">
        <is>
          <t>Full interactive city GIS map</t>
        </is>
      </c>
      <c r="F129" s="1443" t="n"/>
      <c r="G129" s="1443" t="n"/>
    </row>
    <row r="130">
      <c r="A130" s="1443" t="inlineStr">
        <is>
          <t>Thornton</t>
        </is>
      </c>
      <c r="B130" s="1443" t="inlineStr">
        <is>
          <t>GIS / Mapping</t>
        </is>
      </c>
      <c r="C130" s="1443" t="inlineStr">
        <is>
          <t>Development Code Hub (ArcGIS)</t>
        </is>
      </c>
      <c r="D130" s="1443" t="inlineStr">
        <is>
          <t>https://city-of-thornton-development-code-cityofthornton.hub.arcgis.com/</t>
        </is>
      </c>
      <c r="E130" s="1443" t="inlineStr">
        <is>
          <t>Zoning and development code in map format</t>
        </is>
      </c>
      <c r="F130" s="1443" t="n"/>
      <c r="G130" s="1443" t="n"/>
    </row>
    <row r="131">
      <c r="A131" s="1443" t="inlineStr">
        <is>
          <t>Thornton</t>
        </is>
      </c>
      <c r="B131" s="1443" t="inlineStr">
        <is>
          <t>Permits</t>
        </is>
      </c>
      <c r="C131" s="1443" t="inlineStr">
        <is>
          <t>CityView Portal</t>
        </is>
      </c>
      <c r="D131" s="1443" t="inlineStr">
        <is>
          <t>https://cityviewportal.thorntonco.gov/</t>
        </is>
      </c>
      <c r="E131" s="1443" t="inlineStr">
        <is>
          <t>Permits search and property info</t>
        </is>
      </c>
      <c r="F131" s="1443" t="n"/>
      <c r="G131" s="1443" t="n"/>
    </row>
    <row r="132">
      <c r="A132" s="1443" t="inlineStr">
        <is>
          <t>Thornton</t>
        </is>
      </c>
      <c r="B132" s="1443" t="inlineStr">
        <is>
          <t>Permits</t>
        </is>
      </c>
      <c r="C132" s="1443" t="inlineStr">
        <is>
          <t>Permits &amp; Inspections Portal</t>
        </is>
      </c>
      <c r="D132" s="1443" t="inlineStr">
        <is>
          <t>https://permits.thorntonco.gov/</t>
        </is>
      </c>
      <c r="E132" s="1443" t="inlineStr">
        <is>
          <t>Online permit applications and tracking</t>
        </is>
      </c>
      <c r="F132" s="1443" t="n"/>
      <c r="G132" s="1443" t="n"/>
    </row>
    <row r="133">
      <c r="A133" s="1443" t="inlineStr">
        <is>
          <t>Thornton</t>
        </is>
      </c>
      <c r="B133" s="1443" t="inlineStr">
        <is>
          <t>Code Enforcement</t>
        </is>
      </c>
      <c r="C133" s="1443" t="inlineStr">
        <is>
          <t>Code Compliance</t>
        </is>
      </c>
      <c r="D133" s="1443" t="inlineStr">
        <is>
          <t>https://www.thorntonco.gov/city-services/code-compliance</t>
        </is>
      </c>
      <c r="E133" s="1443" t="inlineStr">
        <is>
          <t>Code compliance department</t>
        </is>
      </c>
      <c r="F133" s="1443" t="n"/>
      <c r="G133" s="1443" t="n"/>
    </row>
    <row r="134">
      <c r="A134" s="1443" t="inlineStr">
        <is>
          <t>Thornton</t>
        </is>
      </c>
      <c r="B134" s="1443" t="inlineStr">
        <is>
          <t>Zoning / Planning</t>
        </is>
      </c>
      <c r="C134" s="1443" t="inlineStr">
        <is>
          <t>Current Planning &amp; Zoning</t>
        </is>
      </c>
      <c r="D134" s="1443" t="inlineStr">
        <is>
          <t>https://www.thorntonco.gov/business-development/city-development/current-planning-zoning</t>
        </is>
      </c>
      <c r="E134" s="1443" t="inlineStr">
        <is>
          <t>Zoning department main page</t>
        </is>
      </c>
      <c r="F134" s="1443" t="n"/>
      <c r="G134" s="1443" t="n"/>
    </row>
    <row r="135">
      <c r="A135" s="1443" t="inlineStr">
        <is>
          <t>Thornton</t>
        </is>
      </c>
      <c r="B135" s="1443" t="inlineStr">
        <is>
          <t>Zoning / Planning</t>
        </is>
      </c>
      <c r="C135" s="1443" t="inlineStr">
        <is>
          <t>Zoning Districts Uses and Regulations</t>
        </is>
      </c>
      <c r="D135" s="1443" t="inlineStr">
        <is>
          <t>https://www.thorntonco.gov/business-development/city-development/current-planning-zoning/zoning-districts-uses-and-regulations</t>
        </is>
      </c>
      <c r="E135" s="1443" t="inlineStr">
        <is>
          <t>Detailed zoning district regulations</t>
        </is>
      </c>
      <c r="F135" s="1443" t="n"/>
      <c r="G135" s="1443" t="n"/>
    </row>
    <row r="136">
      <c r="A136" s="1443" t="inlineStr">
        <is>
          <t>Thornton</t>
        </is>
      </c>
      <c r="B136" s="1443" t="inlineStr">
        <is>
          <t>Zoning / Planning</t>
        </is>
      </c>
      <c r="C136" s="1443" t="inlineStr">
        <is>
          <t>Active Development</t>
        </is>
      </c>
      <c r="D136" s="1443" t="inlineStr">
        <is>
          <t>https://www.thorntonco.gov/business-development/active-development</t>
        </is>
      </c>
      <c r="E136" s="1443" t="inlineStr">
        <is>
          <t>Active and pending development projects</t>
        </is>
      </c>
      <c r="F136" s="1443" t="n"/>
      <c r="G136" s="1443" t="n"/>
    </row>
    <row r="137">
      <c r="A137" s="1443" t="inlineStr">
        <is>
          <t>Thornton</t>
        </is>
      </c>
      <c r="B137" s="1443" t="inlineStr">
        <is>
          <t>Zoning / Planning</t>
        </is>
      </c>
      <c r="C137" s="1443" t="inlineStr">
        <is>
          <t>Long Range Planning</t>
        </is>
      </c>
      <c r="D137" s="1443" t="inlineStr">
        <is>
          <t>https://www.thorntonco.gov/business-development/city-development/long-range-planning</t>
        </is>
      </c>
      <c r="E137" s="1443" t="inlineStr">
        <is>
          <t>Long range planning division</t>
        </is>
      </c>
      <c r="F137" s="1443" t="n"/>
      <c r="G137" s="1443" t="n"/>
    </row>
    <row r="138">
      <c r="A138" s="1443" t="inlineStr">
        <is>
          <t>Thornton</t>
        </is>
      </c>
      <c r="B138" s="1443" t="inlineStr">
        <is>
          <t>Zoning / Planning</t>
        </is>
      </c>
      <c r="C138" s="1443" t="inlineStr">
        <is>
          <t>Comprehensive Plan</t>
        </is>
      </c>
      <c r="D138" s="1443" t="inlineStr">
        <is>
          <t>https://www.thorntonco.gov/business-development/city-development/long-range-planning/plans/thornton-comprehensive-plan</t>
        </is>
      </c>
      <c r="E138" s="1443" t="inlineStr">
        <is>
          <t>City comprehensive plan</t>
        </is>
      </c>
      <c r="F138" s="1443" t="n"/>
      <c r="G138" s="1443" t="n"/>
    </row>
    <row r="139">
      <c r="A139" s="1443" t="inlineStr">
        <is>
          <t>Thornton</t>
        </is>
      </c>
      <c r="B139" s="1443" t="inlineStr">
        <is>
          <t>Zoning / Planning</t>
        </is>
      </c>
      <c r="C139" s="1443" t="inlineStr">
        <is>
          <t>Functional Strategic &amp; Master Plans</t>
        </is>
      </c>
      <c r="D139" s="1443" t="inlineStr">
        <is>
          <t>https://www.thorntonco.gov/business-development/city-development/long-range-planning/plans/functional-strategic-master-plans</t>
        </is>
      </c>
      <c r="E139" s="1443" t="inlineStr">
        <is>
          <t>All city master plans</t>
        </is>
      </c>
      <c r="F139" s="1443" t="n"/>
      <c r="G139" s="1443" t="n"/>
    </row>
    <row r="140">
      <c r="A140" s="1443" t="inlineStr">
        <is>
          <t>Thornton</t>
        </is>
      </c>
      <c r="B140" s="1443" t="inlineStr">
        <is>
          <t>Flood Zone</t>
        </is>
      </c>
      <c r="C140" s="1443" t="inlineStr">
        <is>
          <t>FEMA Map Service Center</t>
        </is>
      </c>
      <c r="D140" s="1443" t="inlineStr">
        <is>
          <t>https://msc.fema.gov/</t>
        </is>
      </c>
      <c r="E140" s="1443" t="inlineStr">
        <is>
          <t>Address-specific FEMA FIRM lookup</t>
        </is>
      </c>
      <c r="F140" s="1443" t="n"/>
      <c r="G140" s="1443" t="n"/>
    </row>
    <row r="141">
      <c r="A141" s="1443" t="inlineStr">
        <is>
          <t>Thornton</t>
        </is>
      </c>
      <c r="B141" s="1443" t="inlineStr">
        <is>
          <t>Flood Zone</t>
        </is>
      </c>
      <c r="C141" s="1443" t="inlineStr">
        <is>
          <t>Adams County Floodplain Management</t>
        </is>
      </c>
      <c r="D141" s="1443" t="inlineStr">
        <is>
          <t>https://adamscountyco.gov/our-county/community-economic-development/floodplain-management/</t>
        </is>
      </c>
      <c r="E141" s="1443" t="inlineStr">
        <is>
          <t>County floodplain resources</t>
        </is>
      </c>
      <c r="F141" s="1443" t="n"/>
      <c r="G141" s="1443" t="n"/>
    </row>
    <row r="142">
      <c r="A142" s="1443" t="inlineStr">
        <is>
          <t>Thornton</t>
        </is>
      </c>
      <c r="B142" s="1443" t="inlineStr">
        <is>
          <t>Economic Development</t>
        </is>
      </c>
      <c r="C142" s="1443" t="inlineStr">
        <is>
          <t>City Development</t>
        </is>
      </c>
      <c r="D142" s="1443" t="inlineStr">
        <is>
          <t>https://www.thorntonco.gov/business-development/city-development</t>
        </is>
      </c>
      <c r="E142" s="1443" t="inlineStr">
        <is>
          <t>Business and development services</t>
        </is>
      </c>
      <c r="F142" s="1443" t="n"/>
      <c r="G142" s="1443" t="n"/>
    </row>
    <row r="143">
      <c r="A143" s="1443" t="inlineStr">
        <is>
          <t>Thornton</t>
        </is>
      </c>
      <c r="B143" s="1443" t="inlineStr">
        <is>
          <t>Business License</t>
        </is>
      </c>
      <c r="C143" s="1443" t="inlineStr">
        <is>
          <t>Business Licenses</t>
        </is>
      </c>
      <c r="D143" s="1443" t="inlineStr">
        <is>
          <t>https://www.thorntonco.gov/business-development/business-licenses</t>
        </is>
      </c>
      <c r="E143" s="1443" t="inlineStr">
        <is>
          <t>Business license portal</t>
        </is>
      </c>
      <c r="F143" s="1443" t="n"/>
      <c r="G143" s="1443" t="n"/>
    </row>
    <row r="144">
      <c r="A144" s="1443" t="inlineStr">
        <is>
          <t>Thornton</t>
        </is>
      </c>
      <c r="B144" s="1443" t="inlineStr">
        <is>
          <t>Short-Term Rental</t>
        </is>
      </c>
      <c r="C144" s="1443" t="inlineStr">
        <is>
          <t>STR Ordinance</t>
        </is>
      </c>
      <c r="D144" s="1443" t="inlineStr">
        <is>
          <t>https://www.thorntonco.gov/media/file/short-term-rental-ordinance</t>
        </is>
      </c>
      <c r="E144" s="1443" t="inlineStr">
        <is>
          <t>$180 annual fee; primary residence only</t>
        </is>
      </c>
      <c r="F144" s="1443" t="n"/>
      <c r="G144" s="1443" t="n"/>
    </row>
    <row r="145">
      <c r="A145" s="1443" t="inlineStr">
        <is>
          <t>Thornton</t>
        </is>
      </c>
      <c r="B145" s="1443" t="inlineStr">
        <is>
          <t>Crime / Safety</t>
        </is>
      </c>
      <c r="C145" s="1443" t="inlineStr">
        <is>
          <t>Thornton PD Crime Info</t>
        </is>
      </c>
      <c r="D145" s="1443" t="inlineStr">
        <is>
          <t>https://www.thorntonpd.org/crime-info</t>
        </is>
      </c>
      <c r="E145" s="1443" t="inlineStr">
        <is>
          <t>Crime statistics and reports</t>
        </is>
      </c>
      <c r="F145" s="1443" t="n"/>
      <c r="G145" s="1443" t="n"/>
    </row>
    <row r="146">
      <c r="A146" s="1443" t="inlineStr">
        <is>
          <t>Thornton</t>
        </is>
      </c>
      <c r="B146" s="1443" t="inlineStr">
        <is>
          <t>Utilities</t>
        </is>
      </c>
      <c r="C146" s="1443" t="inlineStr">
        <is>
          <t>Water</t>
        </is>
      </c>
      <c r="D146" s="1443" t="inlineStr">
        <is>
          <t>https://www.thorntonco.gov/city-services/water</t>
        </is>
      </c>
      <c r="E146" s="1443" t="inlineStr">
        <is>
          <t>City water services</t>
        </is>
      </c>
      <c r="F146" s="1443" t="n"/>
      <c r="G146" s="1443" t="n"/>
    </row>
    <row r="147">
      <c r="A147" s="1443" t="inlineStr">
        <is>
          <t>Thornton</t>
        </is>
      </c>
      <c r="B147" s="1443" t="inlineStr">
        <is>
          <t>Utilities</t>
        </is>
      </c>
      <c r="C147" s="1443" t="inlineStr">
        <is>
          <t>Thornton Water Authority</t>
        </is>
      </c>
      <c r="D147" s="1443" t="inlineStr">
        <is>
          <t>https://www.thorntonwater.com/</t>
        </is>
      </c>
      <c r="E147" s="1443" t="inlineStr">
        <is>
          <t>Thornton water authority</t>
        </is>
      </c>
      <c r="F147" s="1443" t="n"/>
      <c r="G147" s="1443" t="n"/>
    </row>
    <row r="148">
      <c r="A148" s="1443" t="inlineStr">
        <is>
          <t>Thornton</t>
        </is>
      </c>
      <c r="B148" s="1443" t="inlineStr">
        <is>
          <t>Utilities</t>
        </is>
      </c>
      <c r="C148" s="1443" t="inlineStr">
        <is>
          <t>Utility Billing</t>
        </is>
      </c>
      <c r="D148" s="1443" t="inlineStr">
        <is>
          <t>https://www.thorntonco.gov/city-services/utility-billing</t>
        </is>
      </c>
      <c r="E148" s="1443" t="inlineStr">
        <is>
          <t>Utility billing portal</t>
        </is>
      </c>
      <c r="F148" s="1443" t="n"/>
      <c r="G148" s="1443" t="n"/>
    </row>
    <row r="149">
      <c r="A149" s="1443" t="inlineStr">
        <is>
          <t>Thornton</t>
        </is>
      </c>
      <c r="B149" s="1443" t="inlineStr">
        <is>
          <t>Utilities</t>
        </is>
      </c>
      <c r="C149" s="1443" t="inlineStr">
        <is>
          <t>Electric &amp; Gas Utility Services</t>
        </is>
      </c>
      <c r="D149" s="1443" t="inlineStr">
        <is>
          <t>https://www.thorntonco.gov/electric-gas-utility-services</t>
        </is>
      </c>
      <c r="E149" s="1443" t="inlineStr">
        <is>
          <t>Xcel Energy or United Power depending on location</t>
        </is>
      </c>
      <c r="F149" s="1443" t="n"/>
      <c r="G149" s="1443" t="n"/>
    </row>
    <row r="150">
      <c r="A150" s="1443" t="inlineStr">
        <is>
          <t>Thornton</t>
        </is>
      </c>
      <c r="B150" s="1443" t="inlineStr">
        <is>
          <t>Utilities</t>
        </is>
      </c>
      <c r="C150" s="1443" t="inlineStr">
        <is>
          <t>United Power</t>
        </is>
      </c>
      <c r="D150" s="1443" t="inlineStr">
        <is>
          <t>https://www.unitedpower.com/</t>
        </is>
      </c>
      <c r="E150" s="1443" t="inlineStr">
        <is>
          <t>Electric co-op serving parts of Thornton</t>
        </is>
      </c>
      <c r="F150" s="1443" t="n"/>
      <c r="G150" s="1443" t="n"/>
    </row>
    <row r="151">
      <c r="A151" s="1443" t="inlineStr">
        <is>
          <t>Thornton</t>
        </is>
      </c>
      <c r="B151" s="1443" t="inlineStr">
        <is>
          <t>Utilities</t>
        </is>
      </c>
      <c r="C151" s="1443" t="inlineStr">
        <is>
          <t>Xcel Energy</t>
        </is>
      </c>
      <c r="D151" s="1443" t="inlineStr">
        <is>
          <t>https://www.xcelenergy.com/</t>
        </is>
      </c>
      <c r="E151" s="1443" t="inlineStr">
        <is>
          <t>Electric/gas provider for parts of Thornton</t>
        </is>
      </c>
      <c r="F151" s="1443" t="n"/>
      <c r="G151" s="1443" t="n"/>
    </row>
    <row r="152">
      <c r="A152" s="1443" t="inlineStr">
        <is>
          <t>Thornton</t>
        </is>
      </c>
      <c r="B152" s="1443" t="inlineStr">
        <is>
          <t>School Districts</t>
        </is>
      </c>
      <c r="C152" s="1443" t="inlineStr">
        <is>
          <t>Adams 12 Five Star Schools</t>
        </is>
      </c>
      <c r="D152" s="1443" t="inlineStr">
        <is>
          <t>https://www.adams12.org/</t>
        </is>
      </c>
      <c r="E152" s="1443" t="inlineStr">
        <is>
          <t>Primary school district for Thornton</t>
        </is>
      </c>
      <c r="F152" s="1443" t="n"/>
      <c r="G152" s="1443" t="n"/>
    </row>
    <row r="153">
      <c r="A153" s="1443" t="inlineStr">
        <is>
          <t>Thornton</t>
        </is>
      </c>
      <c r="B153" s="1443" t="inlineStr">
        <is>
          <t>School Districts</t>
        </is>
      </c>
      <c r="C153" s="1443" t="inlineStr">
        <is>
          <t>School District 27J</t>
        </is>
      </c>
      <c r="D153" s="1443" t="inlineStr">
        <is>
          <t>https://www.sd27j.org/</t>
        </is>
      </c>
      <c r="E153" s="1443" t="inlineStr">
        <is>
          <t>Serves northeast Thornton</t>
        </is>
      </c>
      <c r="F153" s="1443" t="n"/>
      <c r="G153" s="1443" t="n"/>
    </row>
    <row r="154">
      <c r="A154" s="1444" t="inlineStr">
        <is>
          <t>Westminster</t>
        </is>
      </c>
      <c r="B154" s="1444" t="inlineStr">
        <is>
          <t>Property Assessment</t>
        </is>
      </c>
      <c r="C154" s="1444" t="inlineStr">
        <is>
          <t>Westminster eTRAKiT Parcel Search</t>
        </is>
      </c>
      <c r="D154" s="1444" t="inlineStr">
        <is>
          <t>https://develop.cityofwestminster.us/ETRAKIT/Search/parcel.aspx</t>
        </is>
      </c>
      <c r="E154" s="1444" t="inlineStr">
        <is>
          <t>City parcel/permit search</t>
        </is>
      </c>
      <c r="F154" s="1444" t="n"/>
      <c r="G154" s="1444" t="n"/>
    </row>
    <row r="155">
      <c r="A155" s="1444" t="inlineStr">
        <is>
          <t>Westminster</t>
        </is>
      </c>
      <c r="B155" s="1444" t="inlineStr">
        <is>
          <t>Property Assessment</t>
        </is>
      </c>
      <c r="C155" s="1444" t="inlineStr">
        <is>
          <t>Adams County Assessor (Adams Co. portion)</t>
        </is>
      </c>
      <c r="D155" s="1444" t="inlineStr">
        <is>
          <t>https://adcogov.org/property-look</t>
        </is>
      </c>
      <c r="E155" s="1444" t="inlineStr">
        <is>
          <t>For parcels in eastern Westminster (Adams County)</t>
        </is>
      </c>
      <c r="F155" s="1444" t="n"/>
      <c r="G155" s="1444" t="n"/>
    </row>
    <row r="156">
      <c r="A156" s="1444" t="inlineStr">
        <is>
          <t>Westminster</t>
        </is>
      </c>
      <c r="B156" s="1444" t="inlineStr">
        <is>
          <t>Property Assessment</t>
        </is>
      </c>
      <c r="C156" s="1444" t="inlineStr">
        <is>
          <t>Jefferson County Assessor (Jefferson Co. portion)</t>
        </is>
      </c>
      <c r="D156" s="1444" t="inlineStr">
        <is>
          <t>https://propertysearch.jeffco.us/</t>
        </is>
      </c>
      <c r="E156" s="1444" t="inlineStr">
        <is>
          <t>For parcels in western Westminster (Jefferson County)</t>
        </is>
      </c>
      <c r="F156" s="1444" t="n"/>
      <c r="G156" s="1444" t="n"/>
    </row>
    <row r="157">
      <c r="A157" s="1444" t="inlineStr">
        <is>
          <t>Westminster</t>
        </is>
      </c>
      <c r="B157" s="1444" t="inlineStr">
        <is>
          <t>Property Tax / Treasurer</t>
        </is>
      </c>
      <c r="C157" s="1444" t="inlineStr">
        <is>
          <t>Adams County Tax Payment (Adams Co. portion)</t>
        </is>
      </c>
      <c r="D157" s="1444" t="inlineStr">
        <is>
          <t>https://adcotax.com/treasurer/web/login.jsp</t>
        </is>
      </c>
      <c r="E157" s="1444" t="inlineStr">
        <is>
          <t>For Adams County parcels</t>
        </is>
      </c>
      <c r="F157" s="1444" t="n"/>
      <c r="G157" s="1444" t="n"/>
    </row>
    <row r="158">
      <c r="A158" s="1444" t="inlineStr">
        <is>
          <t>Westminster</t>
        </is>
      </c>
      <c r="B158" s="1444" t="inlineStr">
        <is>
          <t>Property Tax / Treasurer</t>
        </is>
      </c>
      <c r="C158" s="1444" t="inlineStr">
        <is>
          <t>Jefferson County Treasurer (Jefferson Co. portion)</t>
        </is>
      </c>
      <c r="D158" s="1444" t="inlineStr">
        <is>
          <t>https://jeffco.us/1293/Treasurer</t>
        </is>
      </c>
      <c r="E158" s="1444" t="inlineStr">
        <is>
          <t>For Jefferson County parcels</t>
        </is>
      </c>
      <c r="F158" s="1444" t="n"/>
      <c r="G158" s="1444" t="n"/>
    </row>
    <row r="159">
      <c r="A159" s="1444" t="inlineStr">
        <is>
          <t>Westminster</t>
        </is>
      </c>
      <c r="B159" s="1444" t="inlineStr">
        <is>
          <t>Deed / Title Records</t>
        </is>
      </c>
      <c r="C159" s="1444" t="inlineStr">
        <is>
          <t>Adams Co. Landmark Web Document Search</t>
        </is>
      </c>
      <c r="D159" s="1444" t="inlineStr">
        <is>
          <t>https://recording.adcogov.org/landmarkweb</t>
        </is>
      </c>
      <c r="E159" s="1444" t="inlineStr">
        <is>
          <t>For Adams County parcels</t>
        </is>
      </c>
      <c r="F159" s="1444" t="n"/>
      <c r="G159" s="1444" t="n"/>
    </row>
    <row r="160">
      <c r="A160" s="1444" t="inlineStr">
        <is>
          <t>Westminster</t>
        </is>
      </c>
      <c r="B160" s="1444" t="inlineStr">
        <is>
          <t>Deed / Title Records</t>
        </is>
      </c>
      <c r="C160" s="1444" t="inlineStr">
        <is>
          <t>Jefferson County Clerk &amp; Recorder</t>
        </is>
      </c>
      <c r="D160" s="1444" t="inlineStr">
        <is>
          <t>https://www.jeffco.us/1288/Clerk-Recorder</t>
        </is>
      </c>
      <c r="E160" s="1444" t="inlineStr">
        <is>
          <t>For Jefferson County parcels</t>
        </is>
      </c>
      <c r="F160" s="1444" t="n"/>
      <c r="G160" s="1444" t="n"/>
    </row>
    <row r="161">
      <c r="A161" s="1444" t="inlineStr">
        <is>
          <t>Westminster</t>
        </is>
      </c>
      <c r="B161" s="1444" t="inlineStr">
        <is>
          <t>GIS / Mapping</t>
        </is>
      </c>
      <c r="C161" s="1444" t="inlineStr">
        <is>
          <t>Westminster Open Data Hub (ArcGIS)</t>
        </is>
      </c>
      <c r="D161" s="1444" t="inlineStr">
        <is>
          <t>https://opendata-westminster.hub.arcgis.com/</t>
        </is>
      </c>
      <c r="E161" s="1444" t="inlineStr">
        <is>
          <t>Downloadable GIS datasets</t>
        </is>
      </c>
      <c r="F161" s="1444" t="n"/>
      <c r="G161" s="1444" t="n"/>
    </row>
    <row r="162">
      <c r="A162" s="1444" t="inlineStr">
        <is>
          <t>Westminster</t>
        </is>
      </c>
      <c r="B162" s="1444" t="inlineStr">
        <is>
          <t>GIS / Mapping</t>
        </is>
      </c>
      <c r="C162" s="1444" t="inlineStr">
        <is>
          <t>Westminster Zoning Map (ArcGIS)</t>
        </is>
      </c>
      <c r="D162" s="1444" t="inlineStr">
        <is>
          <t>https://maps.cityofwestminster.us/portal/apps/webappviewer/index.html?id=840164f9c48d49109f884695afe3f714</t>
        </is>
      </c>
      <c r="E162" s="1444" t="inlineStr">
        <is>
          <t>Official interactive zoning map</t>
        </is>
      </c>
      <c r="F162" s="1444" t="n"/>
      <c r="G162" s="1444" t="n"/>
    </row>
    <row r="163">
      <c r="A163" s="1444" t="inlineStr">
        <is>
          <t>Westminster</t>
        </is>
      </c>
      <c r="B163" s="1444" t="inlineStr">
        <is>
          <t>GIS / Mapping</t>
        </is>
      </c>
      <c r="C163" s="1444" t="inlineStr">
        <is>
          <t>Maps Page</t>
        </is>
      </c>
      <c r="D163" s="1444" t="inlineStr">
        <is>
          <t>https://www.westminsterco.gov/471/Maps</t>
        </is>
      </c>
      <c r="E163" s="1444" t="inlineStr">
        <is>
          <t>City maps</t>
        </is>
      </c>
      <c r="F163" s="1444" t="n"/>
      <c r="G163" s="1444" t="n"/>
    </row>
    <row r="164">
      <c r="A164" s="1444" t="inlineStr">
        <is>
          <t>Westminster</t>
        </is>
      </c>
      <c r="B164" s="1444" t="inlineStr">
        <is>
          <t>Permits</t>
        </is>
      </c>
      <c r="C164" s="1444" t="inlineStr">
        <is>
          <t>eTRAKiT Portal</t>
        </is>
      </c>
      <c r="D164" s="1444" t="inlineStr">
        <is>
          <t>https://develop.cityofwestminster.us/etrakit/</t>
        </is>
      </c>
      <c r="E164" s="1444" t="inlineStr">
        <is>
          <t>Online permit search and applications</t>
        </is>
      </c>
      <c r="F164" s="1444" t="n"/>
      <c r="G164" s="1444" t="n"/>
    </row>
    <row r="165">
      <c r="A165" s="1444" t="inlineStr">
        <is>
          <t>Westminster</t>
        </is>
      </c>
      <c r="B165" s="1444" t="inlineStr">
        <is>
          <t>Permits</t>
        </is>
      </c>
      <c r="C165" s="1444" t="inlineStr">
        <is>
          <t>Permit Search</t>
        </is>
      </c>
      <c r="D165" s="1444" t="inlineStr">
        <is>
          <t>https://develop.cityofwestminster.us/etrakit/Search/permit.aspx</t>
        </is>
      </c>
      <c r="E165" s="1444" t="inlineStr">
        <is>
          <t>Direct permit lookup</t>
        </is>
      </c>
      <c r="F165" s="1444" t="n"/>
      <c r="G165" s="1444" t="n"/>
    </row>
    <row r="166">
      <c r="A166" s="1444" t="inlineStr">
        <is>
          <t>Westminster</t>
        </is>
      </c>
      <c r="B166" s="1444" t="inlineStr">
        <is>
          <t>Permits</t>
        </is>
      </c>
      <c r="C166" s="1444" t="inlineStr">
        <is>
          <t>Apply for a Permit</t>
        </is>
      </c>
      <c r="D166" s="1444" t="inlineStr">
        <is>
          <t>https://www.westminsterco.gov/617/Apply-for-a-Permit-Project</t>
        </is>
      </c>
      <c r="E166" s="1444" t="inlineStr">
        <is>
          <t>Permit application guide</t>
        </is>
      </c>
      <c r="F166" s="1444" t="n"/>
      <c r="G166" s="1444" t="n"/>
    </row>
    <row r="167">
      <c r="A167" s="1444" t="inlineStr">
        <is>
          <t>Westminster</t>
        </is>
      </c>
      <c r="B167" s="1444" t="inlineStr">
        <is>
          <t>Permits</t>
        </is>
      </c>
      <c r="C167" s="1444" t="inlineStr">
        <is>
          <t>Building Division</t>
        </is>
      </c>
      <c r="D167" s="1444" t="inlineStr">
        <is>
          <t>https://www.westminsterco.gov/621/Building-Division</t>
        </is>
      </c>
      <c r="E167" s="1444" t="inlineStr">
        <is>
          <t>Building department</t>
        </is>
      </c>
      <c r="F167" s="1444" t="n"/>
      <c r="G167" s="1444" t="n"/>
    </row>
    <row r="168">
      <c r="A168" s="1444" t="inlineStr">
        <is>
          <t>Westminster</t>
        </is>
      </c>
      <c r="B168" s="1444" t="inlineStr">
        <is>
          <t>Permits</t>
        </is>
      </c>
      <c r="C168" s="1444" t="inlineStr">
        <is>
          <t>Right-of-Way Permits</t>
        </is>
      </c>
      <c r="D168" s="1444" t="inlineStr">
        <is>
          <t>https://www.westminsterco.gov/746/Right-of-Way-Permits</t>
        </is>
      </c>
      <c r="E168" s="1444" t="inlineStr">
        <is>
          <t>ROW encroachment permits</t>
        </is>
      </c>
      <c r="F168" s="1444" t="n"/>
      <c r="G168" s="1444" t="n"/>
    </row>
    <row r="169">
      <c r="A169" s="1444" t="inlineStr">
        <is>
          <t>Westminster</t>
        </is>
      </c>
      <c r="B169" s="1444" t="inlineStr">
        <is>
          <t>Zoning / Planning</t>
        </is>
      </c>
      <c r="C169" s="1444" t="inlineStr">
        <is>
          <t>Planning Main Page</t>
        </is>
      </c>
      <c r="D169" s="1444" t="inlineStr">
        <is>
          <t>https://www.westminsterco.gov/707/Planning</t>
        </is>
      </c>
      <c r="E169" s="1444" t="inlineStr">
        <is>
          <t>Planning department</t>
        </is>
      </c>
      <c r="F169" s="1444" t="n"/>
      <c r="G169" s="1444" t="n"/>
    </row>
    <row r="170">
      <c r="A170" s="1444" t="inlineStr">
        <is>
          <t>Westminster</t>
        </is>
      </c>
      <c r="B170" s="1444" t="inlineStr">
        <is>
          <t>Zoning / Planning</t>
        </is>
      </c>
      <c r="C170" s="1444" t="inlineStr">
        <is>
          <t>Develop in Westminster</t>
        </is>
      </c>
      <c r="D170" s="1444" t="inlineStr">
        <is>
          <t>https://www.westminsterco.gov/703/Develop-in-Westminster</t>
        </is>
      </c>
      <c r="E170" s="1444" t="inlineStr">
        <is>
          <t>Development guide</t>
        </is>
      </c>
      <c r="F170" s="1444" t="n"/>
      <c r="G170" s="1444" t="n"/>
    </row>
    <row r="171">
      <c r="A171" s="1444" t="inlineStr">
        <is>
          <t>Westminster</t>
        </is>
      </c>
      <c r="B171" s="1444" t="inlineStr">
        <is>
          <t>Zoning / Planning</t>
        </is>
      </c>
      <c r="C171" s="1444" t="inlineStr">
        <is>
          <t>Comprehensive Plan Executive Summary</t>
        </is>
      </c>
      <c r="D171" s="1444" t="inlineStr">
        <is>
          <t>https://www.westminsterco.gov/DocumentCenter/View/1467/Executive-Summary-PDF</t>
        </is>
      </c>
      <c r="E171" s="1444" t="inlineStr">
        <is>
          <t>City comprehensive plan summary</t>
        </is>
      </c>
      <c r="F171" s="1444" t="n"/>
      <c r="G171" s="1444" t="n"/>
    </row>
    <row r="172">
      <c r="A172" s="1444" t="inlineStr">
        <is>
          <t>Westminster</t>
        </is>
      </c>
      <c r="B172" s="1444" t="inlineStr">
        <is>
          <t>Flood Zone</t>
        </is>
      </c>
      <c r="C172" s="1444" t="inlineStr">
        <is>
          <t>FEMA Map Service Center</t>
        </is>
      </c>
      <c r="D172" s="1444" t="inlineStr">
        <is>
          <t>https://msc.fema.gov/</t>
        </is>
      </c>
      <c r="E172" s="1444" t="inlineStr">
        <is>
          <t>Address-specific FEMA FIRM lookup</t>
        </is>
      </c>
      <c r="F172" s="1444" t="n"/>
      <c r="G172" s="1444" t="n"/>
    </row>
    <row r="173">
      <c r="A173" s="1444" t="inlineStr">
        <is>
          <t>Westminster</t>
        </is>
      </c>
      <c r="B173" s="1444" t="inlineStr">
        <is>
          <t>Flood Zone</t>
        </is>
      </c>
      <c r="C173" s="1444" t="inlineStr">
        <is>
          <t>Adams County Floodplain (eastern Westminster)</t>
        </is>
      </c>
      <c r="D173" s="1444" t="inlineStr">
        <is>
          <t>https://adamscountyco.gov/our-county/community-economic-development/floodplain-management/</t>
        </is>
      </c>
      <c r="E173" s="1444" t="inlineStr">
        <is>
          <t>For Adams County portion</t>
        </is>
      </c>
      <c r="F173" s="1444" t="n"/>
      <c r="G173" s="1444" t="n"/>
    </row>
    <row r="174">
      <c r="A174" s="1444" t="inlineStr">
        <is>
          <t>Westminster</t>
        </is>
      </c>
      <c r="B174" s="1444" t="inlineStr">
        <is>
          <t>Economic Development</t>
        </is>
      </c>
      <c r="C174" s="1444" t="inlineStr">
        <is>
          <t>Westminster Economic Development</t>
        </is>
      </c>
      <c r="D174" s="1444" t="inlineStr">
        <is>
          <t>https://www.westminstereconomicdevelopment.org/</t>
        </is>
      </c>
      <c r="E174" s="1444" t="inlineStr">
        <is>
          <t>Economic development office</t>
        </is>
      </c>
      <c r="F174" s="1444" t="n"/>
      <c r="G174" s="1444" t="n"/>
    </row>
    <row r="175">
      <c r="A175" s="1444" t="inlineStr">
        <is>
          <t>Westminster</t>
        </is>
      </c>
      <c r="B175" s="1444" t="inlineStr">
        <is>
          <t>Economic Development</t>
        </is>
      </c>
      <c r="C175" s="1444" t="inlineStr">
        <is>
          <t>Proposed Developments Map</t>
        </is>
      </c>
      <c r="D175" s="1444" t="inlineStr">
        <is>
          <t>https://www.westminstereconomicdevelopment.org/area-maps/</t>
        </is>
      </c>
      <c r="E175" s="1444" t="inlineStr">
        <is>
          <t>Development pipeline and comp plan maps</t>
        </is>
      </c>
      <c r="F175" s="1444" t="n"/>
      <c r="G175" s="1444" t="n"/>
    </row>
    <row r="176">
      <c r="A176" s="1444" t="inlineStr">
        <is>
          <t>Westminster</t>
        </is>
      </c>
      <c r="B176" s="1444" t="inlineStr">
        <is>
          <t>Economic Development</t>
        </is>
      </c>
      <c r="C176" s="1444" t="inlineStr">
        <is>
          <t>Utilities &amp; Tax Info</t>
        </is>
      </c>
      <c r="D176" s="1444" t="inlineStr">
        <is>
          <t>https://www.westminstereconomicdevelopment.org/about-westminster/water-utilities-taxes/</t>
        </is>
      </c>
      <c r="E176" s="1444" t="inlineStr">
        <is>
          <t>Utility providers and tax information</t>
        </is>
      </c>
      <c r="F176" s="1444" t="n"/>
      <c r="G176" s="1444" t="n"/>
    </row>
    <row r="177">
      <c r="A177" s="1444" t="inlineStr">
        <is>
          <t>Westminster</t>
        </is>
      </c>
      <c r="B177" s="1444" t="inlineStr">
        <is>
          <t>Short-Term Rental</t>
        </is>
      </c>
      <c r="C177" s="1444" t="inlineStr">
        <is>
          <t>Short-Term Rentals</t>
        </is>
      </c>
      <c r="D177" s="1444" t="inlineStr">
        <is>
          <t>https://www.westminsterco.gov/Short-TermRentals</t>
        </is>
      </c>
      <c r="E177" s="1444" t="inlineStr">
        <is>
          <t>STR regulations and licensing</t>
        </is>
      </c>
      <c r="F177" s="1444" t="n"/>
      <c r="G177" s="1444" t="n"/>
    </row>
    <row r="178">
      <c r="A178" s="1444" t="inlineStr">
        <is>
          <t>Westminster</t>
        </is>
      </c>
      <c r="B178" s="1444" t="inlineStr">
        <is>
          <t>Crime / Safety</t>
        </is>
      </c>
      <c r="C178" s="1444" t="inlineStr">
        <is>
          <t>CrimeMapping.com (Westminster PD)</t>
        </is>
      </c>
      <c r="D178" s="1444" t="inlineStr">
        <is>
          <t>https://www.crimemapping.com/map/co/westminster</t>
        </is>
      </c>
      <c r="E178" s="1444" t="inlineStr">
        <is>
          <t>Interactive crime map</t>
        </is>
      </c>
      <c r="F178" s="1444" t="n"/>
      <c r="G178" s="1444" t="n"/>
    </row>
    <row r="179">
      <c r="A179" s="1444" t="inlineStr">
        <is>
          <t>Westminster</t>
        </is>
      </c>
      <c r="B179" s="1444" t="inlineStr">
        <is>
          <t>Crime / Safety</t>
        </is>
      </c>
      <c r="C179" s="1444" t="inlineStr">
        <is>
          <t>Westminster PD News / Crime Mapping</t>
        </is>
      </c>
      <c r="D179" s="1444" t="inlineStr">
        <is>
          <t>https://www.westminsterpdnews.com/crime-mapping</t>
        </is>
      </c>
      <c r="E179" s="1444" t="inlineStr">
        <is>
          <t>PD crime map</t>
        </is>
      </c>
      <c r="F179" s="1444" t="n"/>
      <c r="G179" s="1444" t="n"/>
    </row>
    <row r="180">
      <c r="A180" s="1444" t="inlineStr">
        <is>
          <t>Westminster</t>
        </is>
      </c>
      <c r="B180" s="1444" t="inlineStr">
        <is>
          <t>Utilities</t>
        </is>
      </c>
      <c r="C180" s="1444" t="inlineStr">
        <is>
          <t>Public Works &amp; Utilities (Water)</t>
        </is>
      </c>
      <c r="D180" s="1444" t="inlineStr">
        <is>
          <t>https://www.westminsterco.gov/water</t>
        </is>
      </c>
      <c r="E180" s="1444" t="inlineStr">
        <is>
          <t>City water utility</t>
        </is>
      </c>
      <c r="F180" s="1444" t="n"/>
      <c r="G180" s="1444" t="n"/>
    </row>
    <row r="181">
      <c r="A181" s="1444" t="inlineStr">
        <is>
          <t>Westminster</t>
        </is>
      </c>
      <c r="B181" s="1444" t="inlineStr">
        <is>
          <t>School Districts</t>
        </is>
      </c>
      <c r="C181" s="1444" t="inlineStr">
        <is>
          <t>Adams 12 Five Star Schools (east Westminster)</t>
        </is>
      </c>
      <c r="D181" s="1444" t="inlineStr">
        <is>
          <t>https://www.adams12.org/</t>
        </is>
      </c>
      <c r="E181" s="1444" t="inlineStr">
        <is>
          <t>Serves eastern Adams County portion</t>
        </is>
      </c>
      <c r="F181" s="1444" t="n"/>
      <c r="G181" s="1444" t="n"/>
    </row>
    <row r="182">
      <c r="A182" s="1444" t="inlineStr">
        <is>
          <t>Westminster</t>
        </is>
      </c>
      <c r="B182" s="1444" t="inlineStr">
        <is>
          <t>School Districts</t>
        </is>
      </c>
      <c r="C182" s="1444" t="inlineStr">
        <is>
          <t>Jefferson County Public Schools (west Westminster)</t>
        </is>
      </c>
      <c r="D182" s="1444" t="inlineStr">
        <is>
          <t>https://www.jeffcopublicschools.org/</t>
        </is>
      </c>
      <c r="E182" s="1444" t="inlineStr">
        <is>
          <t>Serves western Jefferson County portion</t>
        </is>
      </c>
      <c r="F182" s="1444" t="n"/>
      <c r="G182" s="1444" t="n"/>
    </row>
    <row r="183">
      <c r="A183" s="1445" t="inlineStr">
        <is>
          <t>Aurora</t>
        </is>
      </c>
      <c r="B183" s="1445" t="inlineStr">
        <is>
          <t>Property Assessment</t>
        </is>
      </c>
      <c r="C183" s="1445" t="inlineStr">
        <is>
          <t>Aurora Property Info Portal</t>
        </is>
      </c>
      <c r="D183" s="1445" t="inlineStr">
        <is>
          <t>https://ags.auroragov.org/propinfo/propinfo.html</t>
        </is>
      </c>
      <c r="E183" s="1445" t="inlineStr">
        <is>
          <t>City-run parcel info portal (all Aurora regardless of county)</t>
        </is>
      </c>
      <c r="F183" s="1445" t="n"/>
      <c r="G183" s="1445" t="n"/>
    </row>
    <row r="184">
      <c r="A184" s="1445" t="inlineStr">
        <is>
          <t>Aurora</t>
        </is>
      </c>
      <c r="B184" s="1445" t="inlineStr">
        <is>
          <t>Property Assessment</t>
        </is>
      </c>
      <c r="C184" s="1445" t="inlineStr">
        <is>
          <t>Aurora Property Information Page</t>
        </is>
      </c>
      <c r="D184" s="1445" t="inlineStr">
        <is>
          <t>https://www.auroragov.org/city_hall/maps/property_information</t>
        </is>
      </c>
      <c r="E184" s="1445" t="inlineStr">
        <is>
          <t>Property info map links</t>
        </is>
      </c>
      <c r="F184" s="1445" t="n"/>
      <c r="G184" s="1445" t="n"/>
    </row>
    <row r="185">
      <c r="A185" s="1445" t="inlineStr">
        <is>
          <t>Aurora</t>
        </is>
      </c>
      <c r="B185" s="1445" t="inlineStr">
        <is>
          <t>Property Assessment</t>
        </is>
      </c>
      <c r="C185" s="1445" t="inlineStr">
        <is>
          <t>Adams County Assessor (Adams Co. portion)</t>
        </is>
      </c>
      <c r="D185" s="1445" t="inlineStr">
        <is>
          <t>https://adcogov.org/property-look</t>
        </is>
      </c>
      <c r="E185" s="1445" t="inlineStr">
        <is>
          <t>For parcels in northern Aurora (Adams County)</t>
        </is>
      </c>
      <c r="F185" s="1445" t="n"/>
      <c r="G185" s="1445" t="n"/>
    </row>
    <row r="186">
      <c r="A186" s="1445" t="inlineStr">
        <is>
          <t>Aurora</t>
        </is>
      </c>
      <c r="B186" s="1445" t="inlineStr">
        <is>
          <t>Property Assessment</t>
        </is>
      </c>
      <c r="C186" s="1445" t="inlineStr">
        <is>
          <t>Arapahoe County Assessor</t>
        </is>
      </c>
      <c r="D186" s="1445" t="inlineStr">
        <is>
          <t>https://www.arapahoegov.com/assessor</t>
        </is>
      </c>
      <c r="E186" s="1445" t="inlineStr">
        <is>
          <t>For parcels in central/southern Aurora (Arapahoe County)</t>
        </is>
      </c>
      <c r="F186" s="1445" t="n"/>
      <c r="G186" s="1445" t="n"/>
    </row>
    <row r="187">
      <c r="A187" s="1445" t="inlineStr">
        <is>
          <t>Aurora</t>
        </is>
      </c>
      <c r="B187" s="1445" t="inlineStr">
        <is>
          <t>Property Assessment</t>
        </is>
      </c>
      <c r="C187" s="1445" t="inlineStr">
        <is>
          <t>Douglas County Assessor</t>
        </is>
      </c>
      <c r="D187" s="1445" t="inlineStr">
        <is>
          <t>https://www.douglas.co.us/assessor/</t>
        </is>
      </c>
      <c r="E187" s="1445" t="inlineStr">
        <is>
          <t>For parcels in southern Aurora (Douglas County)</t>
        </is>
      </c>
      <c r="F187" s="1445" t="n"/>
      <c r="G187" s="1445" t="n"/>
    </row>
    <row r="188">
      <c r="A188" s="1445" t="inlineStr">
        <is>
          <t>Aurora</t>
        </is>
      </c>
      <c r="B188" s="1445" t="inlineStr">
        <is>
          <t>Property Tax / Treasurer</t>
        </is>
      </c>
      <c r="C188" s="1445" t="inlineStr">
        <is>
          <t>Adams County Tax Payment</t>
        </is>
      </c>
      <c r="D188" s="1445" t="inlineStr">
        <is>
          <t>https://adcotax.com/treasurer/web/login.jsp</t>
        </is>
      </c>
      <c r="E188" s="1445" t="inlineStr">
        <is>
          <t>For Adams County parcels</t>
        </is>
      </c>
      <c r="F188" s="1445" t="n"/>
      <c r="G188" s="1445" t="n"/>
    </row>
    <row r="189">
      <c r="A189" s="1445" t="inlineStr">
        <is>
          <t>Aurora</t>
        </is>
      </c>
      <c r="B189" s="1445" t="inlineStr">
        <is>
          <t>Property Tax / Treasurer</t>
        </is>
      </c>
      <c r="C189" s="1445" t="inlineStr">
        <is>
          <t>Arapahoe County Treasurer</t>
        </is>
      </c>
      <c r="D189" s="1445" t="inlineStr">
        <is>
          <t>https://www.arapahoegov.com/1053/Treasurer</t>
        </is>
      </c>
      <c r="E189" s="1445" t="inlineStr">
        <is>
          <t>For Arapahoe County parcels</t>
        </is>
      </c>
      <c r="F189" s="1445" t="n"/>
      <c r="G189" s="1445" t="n"/>
    </row>
    <row r="190">
      <c r="A190" s="1445" t="inlineStr">
        <is>
          <t>Aurora</t>
        </is>
      </c>
      <c r="B190" s="1445" t="inlineStr">
        <is>
          <t>Property Tax / Treasurer</t>
        </is>
      </c>
      <c r="C190" s="1445" t="inlineStr">
        <is>
          <t>Douglas County Treasurer</t>
        </is>
      </c>
      <c r="D190" s="1445" t="inlineStr">
        <is>
          <t>https://www.douglas.co.us/treasurer/</t>
        </is>
      </c>
      <c r="E190" s="1445" t="inlineStr">
        <is>
          <t>For Douglas County parcels</t>
        </is>
      </c>
      <c r="F190" s="1445" t="n"/>
      <c r="G190" s="1445" t="n"/>
    </row>
    <row r="191">
      <c r="A191" s="1445" t="inlineStr">
        <is>
          <t>Aurora</t>
        </is>
      </c>
      <c r="B191" s="1445" t="inlineStr">
        <is>
          <t>Deed / Title Records</t>
        </is>
      </c>
      <c r="C191" s="1445" t="inlineStr">
        <is>
          <t>Adams Co. Landmark Web Document Search</t>
        </is>
      </c>
      <c r="D191" s="1445" t="inlineStr">
        <is>
          <t>https://recording.adcogov.org/landmarkweb</t>
        </is>
      </c>
      <c r="E191" s="1445" t="inlineStr">
        <is>
          <t>For Adams County parcels</t>
        </is>
      </c>
      <c r="F191" s="1445" t="n"/>
      <c r="G191" s="1445" t="n"/>
    </row>
    <row r="192">
      <c r="A192" s="1445" t="inlineStr">
        <is>
          <t>Aurora</t>
        </is>
      </c>
      <c r="B192" s="1445" t="inlineStr">
        <is>
          <t>Deed / Title Records</t>
        </is>
      </c>
      <c r="C192" s="1445" t="inlineStr">
        <is>
          <t>Arapahoe County Clerk &amp; Recorder</t>
        </is>
      </c>
      <c r="D192" s="1445" t="inlineStr">
        <is>
          <t>https://www.arapahoegov.com/1043/Clerk-Recorder</t>
        </is>
      </c>
      <c r="E192" s="1445" t="inlineStr">
        <is>
          <t>For Arapahoe County parcels</t>
        </is>
      </c>
      <c r="F192" s="1445" t="n"/>
      <c r="G192" s="1445" t="n"/>
    </row>
    <row r="193">
      <c r="A193" s="1445" t="inlineStr">
        <is>
          <t>Aurora</t>
        </is>
      </c>
      <c r="B193" s="1445" t="inlineStr">
        <is>
          <t>GIS / Mapping</t>
        </is>
      </c>
      <c r="C193" s="1445" t="inlineStr">
        <is>
          <t>Aurora Open Data (ArcGIS Hub)</t>
        </is>
      </c>
      <c r="D193" s="1445" t="inlineStr">
        <is>
          <t>https://data-auroraco.opendata.arcgis.com/</t>
        </is>
      </c>
      <c r="E193" s="1445" t="inlineStr">
        <is>
          <t>Downloadable GIS datasets</t>
        </is>
      </c>
      <c r="F193" s="1445" t="n"/>
      <c r="G193" s="1445" t="n"/>
    </row>
    <row r="194">
      <c r="A194" s="1445" t="inlineStr">
        <is>
          <t>Aurora</t>
        </is>
      </c>
      <c r="B194" s="1445" t="inlineStr">
        <is>
          <t>GIS / Mapping</t>
        </is>
      </c>
      <c r="C194" s="1445" t="inlineStr">
        <is>
          <t>Aurora Open Data Portal</t>
        </is>
      </c>
      <c r="D194" s="1445" t="inlineStr">
        <is>
          <t>https://opendata-cityofaurora.hub.arcgis.com/</t>
        </is>
      </c>
      <c r="E194" s="1445" t="inlineStr">
        <is>
          <t>Additional open data hub</t>
        </is>
      </c>
      <c r="F194" s="1445" t="n"/>
      <c r="G194" s="1445" t="n"/>
    </row>
    <row r="195">
      <c r="A195" s="1445" t="inlineStr">
        <is>
          <t>Aurora</t>
        </is>
      </c>
      <c r="B195" s="1445" t="inlineStr">
        <is>
          <t>GIS / Mapping</t>
        </is>
      </c>
      <c r="C195" s="1445" t="inlineStr">
        <is>
          <t>Maps Page</t>
        </is>
      </c>
      <c r="D195" s="1445" t="inlineStr">
        <is>
          <t>https://www.auroragov.org/city_hall/maps</t>
        </is>
      </c>
      <c r="E195" s="1445" t="inlineStr">
        <is>
          <t>All Aurora map portals</t>
        </is>
      </c>
      <c r="F195" s="1445" t="n"/>
      <c r="G195" s="1445" t="n"/>
    </row>
    <row r="196">
      <c r="A196" s="1445" t="inlineStr">
        <is>
          <t>Aurora</t>
        </is>
      </c>
      <c r="B196" s="1445" t="inlineStr">
        <is>
          <t>GIS / Mapping</t>
        </is>
      </c>
      <c r="C196" s="1445" t="inlineStr">
        <is>
          <t>Planning &amp; Zoning Maps</t>
        </is>
      </c>
      <c r="D196" s="1445" t="inlineStr">
        <is>
          <t>https://www.auroragov.org/city_hall/maps/planning_and_zoning_maps</t>
        </is>
      </c>
      <c r="E196" s="1445" t="inlineStr">
        <is>
          <t>Planning and zoning map viewer</t>
        </is>
      </c>
      <c r="F196" s="1445" t="n"/>
      <c r="G196" s="1445" t="n"/>
    </row>
    <row r="197">
      <c r="A197" s="1445" t="inlineStr">
        <is>
          <t>Aurora</t>
        </is>
      </c>
      <c r="B197" s="1445" t="inlineStr">
        <is>
          <t>GIS / Mapping</t>
        </is>
      </c>
      <c r="C197" s="1445" t="inlineStr">
        <is>
          <t>Development Maps</t>
        </is>
      </c>
      <c r="D197" s="1445" t="inlineStr">
        <is>
          <t>https://www.auroragov.org/city_hall/maps/development_maps</t>
        </is>
      </c>
      <c r="E197" s="1445" t="inlineStr">
        <is>
          <t>Active development and pipeline maps</t>
        </is>
      </c>
      <c r="F197" s="1445" t="n"/>
      <c r="G197" s="1445" t="n"/>
    </row>
    <row r="198">
      <c r="A198" s="1445" t="inlineStr">
        <is>
          <t>Aurora</t>
        </is>
      </c>
      <c r="B198" s="1445" t="inlineStr">
        <is>
          <t>Permits</t>
        </is>
      </c>
      <c r="C198" s="1445" t="inlineStr">
        <is>
          <t>Permits Main Page</t>
        </is>
      </c>
      <c r="D198" s="1445" t="inlineStr">
        <is>
          <t>https://www.auroragov.org/business_services/building_division/permits</t>
        </is>
      </c>
      <c r="E198" s="1445" t="inlineStr">
        <is>
          <t>Building permit info</t>
        </is>
      </c>
      <c r="F198" s="1445" t="n"/>
      <c r="G198" s="1445" t="n"/>
    </row>
    <row r="199">
      <c r="A199" s="1445" t="inlineStr">
        <is>
          <t>Aurora</t>
        </is>
      </c>
      <c r="B199" s="1445" t="inlineStr">
        <is>
          <t>Permits</t>
        </is>
      </c>
      <c r="C199" s="1445" t="inlineStr">
        <is>
          <t>Licensing &amp; Permits Maps</t>
        </is>
      </c>
      <c r="D199" s="1445" t="inlineStr">
        <is>
          <t>https://www.auroragov.org/city_hall/maps/licensing_and_permits_maps</t>
        </is>
      </c>
      <c r="E199" s="1445" t="inlineStr">
        <is>
          <t>Permit map viewer</t>
        </is>
      </c>
      <c r="F199" s="1445" t="n"/>
      <c r="G199" s="1445" t="n"/>
    </row>
    <row r="200">
      <c r="A200" s="1445" t="inlineStr">
        <is>
          <t>Aurora</t>
        </is>
      </c>
      <c r="B200" s="1445" t="inlineStr">
        <is>
          <t>Permits</t>
        </is>
      </c>
      <c r="C200" s="1445" t="inlineStr">
        <is>
          <t>Building Permit Statistics</t>
        </is>
      </c>
      <c r="D200" s="1445" t="inlineStr">
        <is>
          <t>https://www.auroragov.org/business_services/building_division/building_permit_statistics</t>
        </is>
      </c>
      <c r="E200" s="1445" t="inlineStr">
        <is>
          <t>Permit issuance stats and trends</t>
        </is>
      </c>
      <c r="F200" s="1445" t="n"/>
      <c r="G200" s="1445" t="n"/>
    </row>
    <row r="201">
      <c r="A201" s="1445" t="inlineStr">
        <is>
          <t>Aurora</t>
        </is>
      </c>
      <c r="B201" s="1445" t="inlineStr">
        <is>
          <t>Permits</t>
        </is>
      </c>
      <c r="C201" s="1445" t="inlineStr">
        <is>
          <t>Aurora Experience Permit Map (ArcGIS)</t>
        </is>
      </c>
      <c r="D201" s="1445" t="inlineStr">
        <is>
          <t>https://experience.arcgis.com/experience/25e68ba47119437cb4bf6bdeea6fbea4</t>
        </is>
      </c>
      <c r="E201" s="1445" t="inlineStr">
        <is>
          <t>Interactive permit activity map</t>
        </is>
      </c>
      <c r="F201" s="1445" t="n"/>
      <c r="G201" s="1445" t="n"/>
    </row>
    <row r="202">
      <c r="A202" s="1445" t="inlineStr">
        <is>
          <t>Aurora</t>
        </is>
      </c>
      <c r="B202" s="1445" t="inlineStr">
        <is>
          <t>Zoning / Planning</t>
        </is>
      </c>
      <c r="C202" s="1445" t="inlineStr">
        <is>
          <t>Zoning Navigator</t>
        </is>
      </c>
      <c r="D202" s="1445" t="inlineStr">
        <is>
          <t>https://zoning.auroragov.org/</t>
        </is>
      </c>
      <c r="E202" s="1445" t="inlineStr">
        <is>
          <t>Primary zoning lookup tool — address-based</t>
        </is>
      </c>
      <c r="F202" s="1445" t="n"/>
      <c r="G202" s="1445" t="n"/>
    </row>
    <row r="203">
      <c r="A203" s="1445" t="inlineStr">
        <is>
          <t>Aurora</t>
        </is>
      </c>
      <c r="B203" s="1445" t="inlineStr">
        <is>
          <t>Zoning / Planning</t>
        </is>
      </c>
      <c r="C203" s="1445" t="inlineStr">
        <is>
          <t>Planning &amp; Zoning Maps</t>
        </is>
      </c>
      <c r="D203" s="1445" t="inlineStr">
        <is>
          <t>https://www.auroragov.org/city_hall/maps/planning_and_zoning_maps</t>
        </is>
      </c>
      <c r="E203" s="1445" t="inlineStr">
        <is>
          <t>Planning and zoning map viewer</t>
        </is>
      </c>
      <c r="F203" s="1445" t="n"/>
      <c r="G203" s="1445" t="n"/>
    </row>
    <row r="204">
      <c r="A204" s="1445" t="inlineStr">
        <is>
          <t>Aurora</t>
        </is>
      </c>
      <c r="B204" s="1445" t="inlineStr">
        <is>
          <t>Zoning / Planning</t>
        </is>
      </c>
      <c r="C204" s="1445" t="inlineStr">
        <is>
          <t>Comprehensive Plan PlaceTypes (ArcGIS)</t>
        </is>
      </c>
      <c r="D204" s="1445" t="inlineStr">
        <is>
          <t>https://data-auroraco.opendata.arcgis.com/datasets/9cfb0cffe16b41b68e38bcafbc4c037a_153/about</t>
        </is>
      </c>
      <c r="E204" s="1445" t="inlineStr">
        <is>
          <t>Future land use / place types dataset</t>
        </is>
      </c>
      <c r="F204" s="1445" t="n"/>
      <c r="G204" s="1445" t="n"/>
    </row>
    <row r="205">
      <c r="A205" s="1445" t="inlineStr">
        <is>
          <t>Aurora</t>
        </is>
      </c>
      <c r="B205" s="1445" t="inlineStr">
        <is>
          <t>Flood Zone</t>
        </is>
      </c>
      <c r="C205" s="1445" t="inlineStr">
        <is>
          <t>FEMA Map Service Center</t>
        </is>
      </c>
      <c r="D205" s="1445" t="inlineStr">
        <is>
          <t>https://msc.fema.gov/</t>
        </is>
      </c>
      <c r="E205" s="1445" t="inlineStr">
        <is>
          <t>Address-specific FEMA FIRM lookup</t>
        </is>
      </c>
      <c r="F205" s="1445" t="n"/>
      <c r="G205" s="1445" t="n"/>
    </row>
    <row r="206">
      <c r="A206" s="1445" t="inlineStr">
        <is>
          <t>Aurora</t>
        </is>
      </c>
      <c r="B206" s="1445" t="inlineStr">
        <is>
          <t>Flood Zone</t>
        </is>
      </c>
      <c r="C206" s="1445" t="inlineStr">
        <is>
          <t>Colorado Hazard Mapping / RiskMAP</t>
        </is>
      </c>
      <c r="D206" s="1445" t="inlineStr">
        <is>
          <t>https://coloradohazardmapping.com/hazardMapping/floodplainMapping</t>
        </is>
      </c>
      <c r="E206" s="1445" t="inlineStr">
        <is>
          <t>State-level flood mapping portal</t>
        </is>
      </c>
      <c r="F206" s="1445" t="n"/>
      <c r="G206" s="1445" t="n"/>
    </row>
    <row r="207">
      <c r="A207" s="1445" t="inlineStr">
        <is>
          <t>Aurora</t>
        </is>
      </c>
      <c r="B207" s="1445" t="inlineStr">
        <is>
          <t>Economic Development</t>
        </is>
      </c>
      <c r="C207" s="1445" t="inlineStr">
        <is>
          <t>Economic &amp; Business Development</t>
        </is>
      </c>
      <c r="D207" s="1445" t="inlineStr">
        <is>
          <t>https://www.auroragov.org/business_services/economic___business_development</t>
        </is>
      </c>
      <c r="E207" s="1445" t="inlineStr">
        <is>
          <t>City economic development office</t>
        </is>
      </c>
      <c r="F207" s="1445" t="n"/>
      <c r="G207" s="1445" t="n"/>
    </row>
    <row r="208">
      <c r="A208" s="1445" t="inlineStr">
        <is>
          <t>Aurora</t>
        </is>
      </c>
      <c r="B208" s="1445" t="inlineStr">
        <is>
          <t>Crime / Safety</t>
        </is>
      </c>
      <c r="C208" s="1445" t="inlineStr">
        <is>
          <t>Crime Data Portal</t>
        </is>
      </c>
      <c r="D208" s="1445" t="inlineStr">
        <is>
          <t>https://www.auroragov.org/residents/public_safety/police/crime_data</t>
        </is>
      </c>
      <c r="E208" s="1445" t="inlineStr">
        <is>
          <t>Transparency and accountability crime data</t>
        </is>
      </c>
      <c r="F208" s="1445" t="n"/>
      <c r="G208" s="1445" t="n"/>
    </row>
    <row r="209">
      <c r="A209" s="1445" t="inlineStr">
        <is>
          <t>Aurora</t>
        </is>
      </c>
      <c r="B209" s="1445" t="inlineStr">
        <is>
          <t>Crime / Safety</t>
        </is>
      </c>
      <c r="C209" s="1445" t="inlineStr">
        <is>
          <t>Police and Fire Maps</t>
        </is>
      </c>
      <c r="D209" s="1445" t="inlineStr">
        <is>
          <t>https://www.auroragov.org/city_hall/maps/police_and_fire_maps</t>
        </is>
      </c>
      <c r="E209" s="1445" t="inlineStr">
        <is>
          <t>PD/fire district maps</t>
        </is>
      </c>
      <c r="F209" s="1445" t="n"/>
      <c r="G209" s="1445" t="n"/>
    </row>
    <row r="210">
      <c r="A210" s="1445" t="inlineStr">
        <is>
          <t>Aurora</t>
        </is>
      </c>
      <c r="B210" s="1445" t="inlineStr">
        <is>
          <t>Demographics</t>
        </is>
      </c>
      <c r="C210" s="1445" t="inlineStr">
        <is>
          <t>Data &amp; Demographics</t>
        </is>
      </c>
      <c r="D210" s="1445" t="inlineStr">
        <is>
          <t>https://www.auroragov.org/city_hall/about_aurora/data___demographics</t>
        </is>
      </c>
      <c r="E210" s="1445" t="inlineStr">
        <is>
          <t>City demographic and statistical data</t>
        </is>
      </c>
      <c r="F210" s="1445" t="n"/>
      <c r="G210" s="1445" t="n"/>
    </row>
    <row r="211">
      <c r="A211" s="1445" t="inlineStr">
        <is>
          <t>Aurora</t>
        </is>
      </c>
      <c r="B211" s="1445" t="inlineStr">
        <is>
          <t>Short-Term Rental</t>
        </is>
      </c>
      <c r="C211" s="1445" t="inlineStr">
        <is>
          <t>STR Info / FAQ</t>
        </is>
      </c>
      <c r="D211" s="1445" t="inlineStr">
        <is>
          <t>https://www.auroragov.org/common/pages/GetFile.ashx?key=0Fc6ARWp</t>
        </is>
      </c>
      <c r="E211" s="1445" t="inlineStr">
        <is>
          <t>STR rules: primary residence only; $43 initial / $26 renewal; 8% lodger's tax</t>
        </is>
      </c>
      <c r="F211" s="1445" t="n"/>
      <c r="G211" s="1445" t="n"/>
    </row>
    <row r="212">
      <c r="A212" s="1445" t="inlineStr">
        <is>
          <t>Aurora</t>
        </is>
      </c>
      <c r="B212" s="1445" t="inlineStr">
        <is>
          <t>School Districts</t>
        </is>
      </c>
      <c r="C212" s="1445" t="inlineStr">
        <is>
          <t>Aurora Public Schools</t>
        </is>
      </c>
      <c r="D212" s="1445" t="inlineStr">
        <is>
          <t>https://www.aurorak12.org/</t>
        </is>
      </c>
      <c r="E212" s="1445" t="inlineStr">
        <is>
          <t>Primary district for most of Aurora</t>
        </is>
      </c>
      <c r="F212" s="1445" t="n"/>
      <c r="G212" s="1445" t="n"/>
    </row>
    <row r="213">
      <c r="A213" s="1445" t="inlineStr">
        <is>
          <t>Aurora</t>
        </is>
      </c>
      <c r="B213" s="1445" t="inlineStr">
        <is>
          <t>School Districts</t>
        </is>
      </c>
      <c r="C213" s="1445" t="inlineStr">
        <is>
          <t>Cherry Creek School District</t>
        </is>
      </c>
      <c r="D213" s="1445" t="inlineStr">
        <is>
          <t>https://www.cherrycreekschools.org/</t>
        </is>
      </c>
      <c r="E213" s="1445" t="inlineStr">
        <is>
          <t>Serves parts of Aurora (Arapahoe Co. portion)</t>
        </is>
      </c>
      <c r="F213" s="1445" t="n"/>
      <c r="G213" s="1445" t="n"/>
    </row>
    <row r="214">
      <c r="A214" s="1445" t="inlineStr">
        <is>
          <t>Aurora</t>
        </is>
      </c>
      <c r="B214" s="1445" t="inlineStr">
        <is>
          <t>School Districts</t>
        </is>
      </c>
      <c r="C214" s="1445" t="inlineStr">
        <is>
          <t>Adams 12 Five Star Schools</t>
        </is>
      </c>
      <c r="D214" s="1445" t="inlineStr">
        <is>
          <t>https://www.adams12.org/</t>
        </is>
      </c>
      <c r="E214" s="1445" t="inlineStr">
        <is>
          <t>Serves northern Aurora (Adams Co. portion)</t>
        </is>
      </c>
      <c r="F214" s="1445" t="n"/>
      <c r="G214" s="1445" t="n"/>
    </row>
    <row r="215">
      <c r="A215" s="1446" t="inlineStr">
        <is>
          <t>Bennett</t>
        </is>
      </c>
      <c r="B215" s="1446" t="inlineStr">
        <is>
          <t>Property Assessment</t>
        </is>
      </c>
      <c r="C215" s="1446" t="inlineStr">
        <is>
          <t>Adams County Assessor (Property Lookup)</t>
        </is>
      </c>
      <c r="D215" s="1446" t="inlineStr">
        <is>
          <t>https://adcogov.org/property-look</t>
        </is>
      </c>
      <c r="E215" s="1446" t="inlineStr">
        <is>
          <t>Bennett is fully within Adams County</t>
        </is>
      </c>
      <c r="F215" s="1446" t="n"/>
      <c r="G215" s="1446" t="n"/>
    </row>
    <row r="216">
      <c r="A216" s="1446" t="inlineStr">
        <is>
          <t>Bennett</t>
        </is>
      </c>
      <c r="B216" s="1446" t="inlineStr">
        <is>
          <t>Property Tax / Treasurer</t>
        </is>
      </c>
      <c r="C216" s="1446" t="inlineStr">
        <is>
          <t>Online Tax Payment</t>
        </is>
      </c>
      <c r="D216" s="1446" t="inlineStr">
        <is>
          <t>https://adcotax.com/treasurer/web/login.jsp</t>
        </is>
      </c>
      <c r="E216" s="1446" t="inlineStr">
        <is>
          <t>Adams County tax payment portal</t>
        </is>
      </c>
      <c r="F216" s="1446" t="n"/>
      <c r="G216" s="1446" t="n"/>
    </row>
    <row r="217">
      <c r="A217" s="1446" t="inlineStr">
        <is>
          <t>Bennett</t>
        </is>
      </c>
      <c r="B217" s="1446" t="inlineStr">
        <is>
          <t>Property Tax / Treasurer</t>
        </is>
      </c>
      <c r="C217" s="1446" t="inlineStr">
        <is>
          <t>Property Tax Inquiry</t>
        </is>
      </c>
      <c r="D217" s="1446" t="inlineStr">
        <is>
          <t>https://adamsil.devnetwedge.com/</t>
        </is>
      </c>
      <c r="E217" s="1446" t="inlineStr">
        <is>
          <t>Tax balance and history lookup</t>
        </is>
      </c>
      <c r="F217" s="1446" t="n"/>
      <c r="G217" s="1446" t="n"/>
    </row>
    <row r="218">
      <c r="A218" s="1446" t="inlineStr">
        <is>
          <t>Bennett</t>
        </is>
      </c>
      <c r="B218" s="1446" t="inlineStr">
        <is>
          <t>Deed / Title Records</t>
        </is>
      </c>
      <c r="C218" s="1446" t="inlineStr">
        <is>
          <t>Landmark Web Document Search</t>
        </is>
      </c>
      <c r="D218" s="1446" t="inlineStr">
        <is>
          <t>https://recording.adcogov.org/landmarkweb</t>
        </is>
      </c>
      <c r="E218" s="1446" t="inlineStr">
        <is>
          <t>Adams County deed/title records</t>
        </is>
      </c>
      <c r="F218" s="1446" t="n"/>
      <c r="G218" s="1446" t="n"/>
    </row>
    <row r="219">
      <c r="A219" s="1446" t="inlineStr">
        <is>
          <t>Bennett</t>
        </is>
      </c>
      <c r="B219" s="1446" t="inlineStr">
        <is>
          <t>GIS / Mapping</t>
        </is>
      </c>
      <c r="C219" s="1446" t="inlineStr">
        <is>
          <t>Bennett Zoning Map</t>
        </is>
      </c>
      <c r="D219" s="1446" t="inlineStr">
        <is>
          <t>https://www.bennettco.gov/business/page/bennett-zoning-map</t>
        </is>
      </c>
      <c r="E219" s="1446" t="inlineStr">
        <is>
          <t>Official zoning map</t>
        </is>
      </c>
      <c r="F219" s="1446" t="n"/>
      <c r="G219" s="1446" t="n"/>
    </row>
    <row r="220">
      <c r="A220" s="1446" t="inlineStr">
        <is>
          <t>Bennett</t>
        </is>
      </c>
      <c r="B220" s="1446" t="inlineStr">
        <is>
          <t>GIS / Mapping</t>
        </is>
      </c>
      <c r="C220" s="1446" t="inlineStr">
        <is>
          <t>Interactive ArcGIS Map</t>
        </is>
      </c>
      <c r="D220" s="1446" t="inlineStr">
        <is>
          <t>https://www.arcgis.com/apps/webappviewer/index.html?id=d36fe1b73c514d29ba9b6d2d818e183e</t>
        </is>
      </c>
      <c r="E220" s="1446" t="inlineStr">
        <is>
          <t>Interactive city map</t>
        </is>
      </c>
      <c r="F220" s="1446" t="n"/>
      <c r="G220" s="1446" t="n"/>
    </row>
    <row r="221">
      <c r="A221" s="1446" t="inlineStr">
        <is>
          <t>Bennett</t>
        </is>
      </c>
      <c r="B221" s="1446" t="inlineStr">
        <is>
          <t>GIS / Mapping</t>
        </is>
      </c>
      <c r="C221" s="1446" t="inlineStr">
        <is>
          <t>2021 Comp Plan (ArcGIS Experience)</t>
        </is>
      </c>
      <c r="D221" s="1446" t="inlineStr">
        <is>
          <t>https://experience.arcgis.com/experience/3d3babff4d9e4ac998d13ed805412374</t>
        </is>
      </c>
      <c r="E221" s="1446" t="inlineStr">
        <is>
          <t>Comprehensive plan interactive viewer</t>
        </is>
      </c>
      <c r="F221" s="1446" t="n"/>
      <c r="G221" s="1446" t="n"/>
    </row>
    <row r="222">
      <c r="A222" s="1446" t="inlineStr">
        <is>
          <t>Bennett</t>
        </is>
      </c>
      <c r="B222" s="1446" t="inlineStr">
        <is>
          <t>Permits</t>
        </is>
      </c>
      <c r="C222" s="1446" t="inlineStr">
        <is>
          <t>Building Department</t>
        </is>
      </c>
      <c r="D222" s="1446" t="inlineStr">
        <is>
          <t>https://www.bennettco.gov/community-development/page/building-department</t>
        </is>
      </c>
      <c r="E222" s="1446" t="inlineStr">
        <is>
          <t>Building permits info</t>
        </is>
      </c>
      <c r="F222" s="1446" t="n"/>
      <c r="G222" s="1446" t="n"/>
    </row>
    <row r="223">
      <c r="A223" s="1446" t="inlineStr">
        <is>
          <t>Bennett</t>
        </is>
      </c>
      <c r="B223" s="1446" t="inlineStr">
        <is>
          <t>Permits</t>
        </is>
      </c>
      <c r="C223" s="1446" t="inlineStr">
        <is>
          <t>SmartGov Public Portal</t>
        </is>
      </c>
      <c r="D223" s="1446" t="inlineStr">
        <is>
          <t>https://twn-bennett-co.smartgovcommunity.com/</t>
        </is>
      </c>
      <c r="E223" s="1446" t="inlineStr">
        <is>
          <t>Online permit applications and search</t>
        </is>
      </c>
      <c r="F223" s="1446" t="n"/>
      <c r="G223" s="1446" t="n"/>
    </row>
    <row r="224">
      <c r="A224" s="1446" t="inlineStr">
        <is>
          <t>Bennett</t>
        </is>
      </c>
      <c r="B224" s="1446" t="inlineStr">
        <is>
          <t>Permits</t>
        </is>
      </c>
      <c r="C224" s="1446" t="inlineStr">
        <is>
          <t>Development Page</t>
        </is>
      </c>
      <c r="D224" s="1446" t="inlineStr">
        <is>
          <t>https://www.bennettco.gov/development</t>
        </is>
      </c>
      <c r="E224" s="1446" t="inlineStr">
        <is>
          <t>Development resources</t>
        </is>
      </c>
      <c r="F224" s="1446" t="n"/>
      <c r="G224" s="1446" t="n"/>
    </row>
    <row r="225">
      <c r="A225" s="1446" t="inlineStr">
        <is>
          <t>Bennett</t>
        </is>
      </c>
      <c r="B225" s="1446" t="inlineStr">
        <is>
          <t>Zoning / Planning</t>
        </is>
      </c>
      <c r="C225" s="1446" t="inlineStr">
        <is>
          <t>Planning and Zoning</t>
        </is>
      </c>
      <c r="D225" s="1446" t="inlineStr">
        <is>
          <t>https://www.bennettco.gov/planning-economic-development/page/planning-and-zoning</t>
        </is>
      </c>
      <c r="E225" s="1446" t="inlineStr">
        <is>
          <t>Zoning department</t>
        </is>
      </c>
      <c r="F225" s="1446" t="n"/>
      <c r="G225" s="1446" t="n"/>
    </row>
    <row r="226">
      <c r="A226" s="1446" t="inlineStr">
        <is>
          <t>Bennett</t>
        </is>
      </c>
      <c r="B226" s="1446" t="inlineStr">
        <is>
          <t>Zoning / Planning</t>
        </is>
      </c>
      <c r="C226" s="1446" t="inlineStr">
        <is>
          <t>Planning &amp; Economic Development Dept</t>
        </is>
      </c>
      <c r="D226" s="1446" t="inlineStr">
        <is>
          <t>https://www.bennettco.gov/planning-economic-development</t>
        </is>
      </c>
      <c r="E226" s="1446" t="inlineStr">
        <is>
          <t>Planning and econ dev combined</t>
        </is>
      </c>
      <c r="F226" s="1446" t="n"/>
      <c r="G226" s="1446" t="n"/>
    </row>
    <row r="227">
      <c r="A227" s="1446" t="inlineStr">
        <is>
          <t>Bennett</t>
        </is>
      </c>
      <c r="B227" s="1446" t="inlineStr">
        <is>
          <t>Flood Zone</t>
        </is>
      </c>
      <c r="C227" s="1446" t="inlineStr">
        <is>
          <t>FEMA Map Service Center</t>
        </is>
      </c>
      <c r="D227" s="1446" t="inlineStr">
        <is>
          <t>https://msc.fema.gov/</t>
        </is>
      </c>
      <c r="E227" s="1446" t="inlineStr">
        <is>
          <t>Address-specific FEMA FIRM lookup</t>
        </is>
      </c>
      <c r="F227" s="1446" t="n"/>
      <c r="G227" s="1446" t="n"/>
    </row>
    <row r="228">
      <c r="A228" s="1446" t="inlineStr">
        <is>
          <t>Bennett</t>
        </is>
      </c>
      <c r="B228" s="1446" t="inlineStr">
        <is>
          <t>Flood Zone</t>
        </is>
      </c>
      <c r="C228" s="1446" t="inlineStr">
        <is>
          <t>Adams County Floodplain Management</t>
        </is>
      </c>
      <c r="D228" s="1446" t="inlineStr">
        <is>
          <t>https://adamscountyco.gov/our-county/community-economic-development/floodplain-management/</t>
        </is>
      </c>
      <c r="E228" s="1446" t="inlineStr">
        <is>
          <t>County floodplain resources</t>
        </is>
      </c>
      <c r="F228" s="1446" t="n"/>
      <c r="G228" s="1446" t="n"/>
    </row>
    <row r="229">
      <c r="A229" s="1446" t="inlineStr">
        <is>
          <t>Bennett</t>
        </is>
      </c>
      <c r="B229" s="1446" t="inlineStr">
        <is>
          <t>Economic Development</t>
        </is>
      </c>
      <c r="C229" s="1446" t="inlineStr">
        <is>
          <t>Why Bennett (Econ Dev Portal)</t>
        </is>
      </c>
      <c r="D229" s="1446" t="inlineStr">
        <is>
          <t>https://whybennett.colorado.gov/</t>
        </is>
      </c>
      <c r="E229" s="1446" t="inlineStr">
        <is>
          <t>Business attraction and site selection</t>
        </is>
      </c>
      <c r="F229" s="1446" t="n"/>
      <c r="G229" s="1446" t="n"/>
    </row>
    <row r="230">
      <c r="A230" s="1446" t="inlineStr">
        <is>
          <t>Bennett</t>
        </is>
      </c>
      <c r="B230" s="1446" t="inlineStr">
        <is>
          <t>Economic Development</t>
        </is>
      </c>
      <c r="C230" s="1446" t="inlineStr">
        <is>
          <t>Infrastructure &amp; Utilities (Why Bennett)</t>
        </is>
      </c>
      <c r="D230" s="1446" t="inlineStr">
        <is>
          <t>https://whybennett.colorado.gov/infrastructure-and-utilities</t>
        </is>
      </c>
      <c r="E230" s="1446" t="inlineStr">
        <is>
          <t>Utility and infrastructure info for investors</t>
        </is>
      </c>
      <c r="F230" s="1446" t="n"/>
      <c r="G230" s="1446" t="n"/>
    </row>
    <row r="231">
      <c r="A231" s="1446" t="inlineStr">
        <is>
          <t>Bennett</t>
        </is>
      </c>
      <c r="B231" s="1446" t="inlineStr">
        <is>
          <t>Utilities</t>
        </is>
      </c>
      <c r="C231" s="1446" t="inlineStr">
        <is>
          <t>Utilities</t>
        </is>
      </c>
      <c r="D231" s="1446" t="inlineStr">
        <is>
          <t>https://www.bennettco.gov/site-selection/page/utilities</t>
        </is>
      </c>
      <c r="E231" s="1446" t="inlineStr">
        <is>
          <t>Town water/wastewater utilities</t>
        </is>
      </c>
      <c r="F231" s="1446" t="n"/>
      <c r="G231" s="1446" t="n"/>
    </row>
    <row r="232">
      <c r="A232" s="1446" t="inlineStr">
        <is>
          <t>Bennett</t>
        </is>
      </c>
      <c r="B232" s="1446" t="inlineStr">
        <is>
          <t>School Districts</t>
        </is>
      </c>
      <c r="C232" s="1446" t="inlineStr">
        <is>
          <t>Bennett School District 29J</t>
        </is>
      </c>
      <c r="D232" s="1446" t="inlineStr">
        <is>
          <t>https://www.bsd29j.com/</t>
        </is>
      </c>
      <c r="E232" s="1446" t="inlineStr">
        <is>
          <t>Local school district for Bennett</t>
        </is>
      </c>
      <c r="F232" s="1446" t="n"/>
      <c r="G232" s="1446" t="n"/>
    </row>
    <row r="233">
      <c r="A233" s="1447" t="inlineStr">
        <is>
          <t>Lochbuie</t>
        </is>
      </c>
      <c r="B233" s="1447" t="inlineStr">
        <is>
          <t>Property Assessment</t>
        </is>
      </c>
      <c r="C233" s="1447" t="inlineStr">
        <is>
          <t>Adams County Assessor (Adams Co. portion)</t>
        </is>
      </c>
      <c r="D233" s="1447" t="inlineStr">
        <is>
          <t>https://adcogov.org/property-look</t>
        </is>
      </c>
      <c r="E233" s="1447" t="inlineStr">
        <is>
          <t>For Adams County parcels in Lochbuie</t>
        </is>
      </c>
      <c r="F233" s="1447" t="n"/>
      <c r="G233" s="1447" t="n"/>
    </row>
    <row r="234">
      <c r="A234" s="1447" t="inlineStr">
        <is>
          <t>Lochbuie</t>
        </is>
      </c>
      <c r="B234" s="1447" t="inlineStr">
        <is>
          <t>Property Assessment</t>
        </is>
      </c>
      <c r="C234" s="1447" t="inlineStr">
        <is>
          <t>Weld County Assessor (Weld Co. portion)</t>
        </is>
      </c>
      <c r="D234" s="1447" t="inlineStr">
        <is>
          <t>https://www.weld.gov/Government/Departments/Assessor/Property-Data-Search</t>
        </is>
      </c>
      <c r="E234" s="1447" t="inlineStr">
        <is>
          <t>For Weld County parcels in Lochbuie</t>
        </is>
      </c>
      <c r="F234" s="1447" t="n"/>
      <c r="G234" s="1447" t="n"/>
    </row>
    <row r="235">
      <c r="A235" s="1447" t="inlineStr">
        <is>
          <t>Lochbuie</t>
        </is>
      </c>
      <c r="B235" s="1447" t="inlineStr">
        <is>
          <t>Property Tax / Treasurer</t>
        </is>
      </c>
      <c r="C235" s="1447" t="inlineStr">
        <is>
          <t>Adams County Tax Payment (Adams Co. portion)</t>
        </is>
      </c>
      <c r="D235" s="1447" t="inlineStr">
        <is>
          <t>https://adcotax.com/treasurer/web/login.jsp</t>
        </is>
      </c>
      <c r="E235" s="1447" t="inlineStr">
        <is>
          <t>For Adams County parcels</t>
        </is>
      </c>
      <c r="F235" s="1447" t="n"/>
      <c r="G235" s="1447" t="n"/>
    </row>
    <row r="236">
      <c r="A236" s="1447" t="inlineStr">
        <is>
          <t>Lochbuie</t>
        </is>
      </c>
      <c r="B236" s="1447" t="inlineStr">
        <is>
          <t>Property Tax / Treasurer</t>
        </is>
      </c>
      <c r="C236" s="1447" t="inlineStr">
        <is>
          <t>Weld County Treasurer (Weld Co. portion)</t>
        </is>
      </c>
      <c r="D236" s="1447" t="inlineStr">
        <is>
          <t>https://www.weldgov.com/departments/treasurer</t>
        </is>
      </c>
      <c r="E236" s="1447" t="inlineStr">
        <is>
          <t>For Weld County parcels</t>
        </is>
      </c>
      <c r="F236" s="1447" t="n"/>
      <c r="G236" s="1447" t="n"/>
    </row>
    <row r="237">
      <c r="A237" s="1447" t="inlineStr">
        <is>
          <t>Lochbuie</t>
        </is>
      </c>
      <c r="B237" s="1447" t="inlineStr">
        <is>
          <t>Deed / Title Records</t>
        </is>
      </c>
      <c r="C237" s="1447" t="inlineStr">
        <is>
          <t>Adams Co. Landmark Web Document Search</t>
        </is>
      </c>
      <c r="D237" s="1447" t="inlineStr">
        <is>
          <t>https://recording.adcogov.org/landmarkweb</t>
        </is>
      </c>
      <c r="E237" s="1447" t="inlineStr">
        <is>
          <t>For Adams County parcels</t>
        </is>
      </c>
      <c r="F237" s="1447" t="n"/>
      <c r="G237" s="1447" t="n"/>
    </row>
    <row r="238">
      <c r="A238" s="1447" t="inlineStr">
        <is>
          <t>Lochbuie</t>
        </is>
      </c>
      <c r="B238" s="1447" t="inlineStr">
        <is>
          <t>Deed / Title Records</t>
        </is>
      </c>
      <c r="C238" s="1447" t="inlineStr">
        <is>
          <t>Weld County Clerk &amp; Recorder</t>
        </is>
      </c>
      <c r="D238" s="1447" t="inlineStr">
        <is>
          <t>https://www.weld.gov/Government/Departments/Clerk-Recorder</t>
        </is>
      </c>
      <c r="E238" s="1447" t="inlineStr">
        <is>
          <t>For Weld County parcels</t>
        </is>
      </c>
      <c r="F238" s="1447" t="n"/>
      <c r="G238" s="1447" t="n"/>
    </row>
    <row r="239">
      <c r="A239" s="1447" t="inlineStr">
        <is>
          <t>Lochbuie</t>
        </is>
      </c>
      <c r="B239" s="1447" t="inlineStr">
        <is>
          <t>GIS / Mapping</t>
        </is>
      </c>
      <c r="C239" s="1447" t="inlineStr">
        <is>
          <t>Zoning Map</t>
        </is>
      </c>
      <c r="D239" s="1447" t="inlineStr">
        <is>
          <t>https://www.lochbuie.org/administration/page/zoning-map</t>
        </is>
      </c>
      <c r="E239" s="1447" t="inlineStr">
        <is>
          <t>Official town zoning map</t>
        </is>
      </c>
      <c r="F239" s="1447" t="n"/>
      <c r="G239" s="1447" t="n"/>
    </row>
    <row r="240">
      <c r="A240" s="1447" t="inlineStr">
        <is>
          <t>Lochbuie</t>
        </is>
      </c>
      <c r="B240" s="1447" t="inlineStr">
        <is>
          <t>Permits</t>
        </is>
      </c>
      <c r="C240" s="1447" t="inlineStr">
        <is>
          <t>Building Permits &amp; Inspections</t>
        </is>
      </c>
      <c r="D240" s="1447" t="inlineStr">
        <is>
          <t>https://www.lochbuie.org/community-dev/page/building-permits-and-inspections</t>
        </is>
      </c>
      <c r="E240" s="1447" t="inlineStr">
        <is>
          <t>Building permits (contracted to SAFEbuilt)</t>
        </is>
      </c>
      <c r="F240" s="1447" t="n"/>
      <c r="G240" s="1447" t="n"/>
    </row>
    <row r="241">
      <c r="A241" s="1447" t="inlineStr">
        <is>
          <t>Lochbuie</t>
        </is>
      </c>
      <c r="B241" s="1447" t="inlineStr">
        <is>
          <t>Permits</t>
        </is>
      </c>
      <c r="C241" s="1447" t="inlineStr">
        <is>
          <t>Do I Need a Permit?</t>
        </is>
      </c>
      <c r="D241" s="1447" t="inlineStr">
        <is>
          <t>https://www.lochbuie.org/community-dev/page/do-i-need-permit</t>
        </is>
      </c>
      <c r="E241" s="1447" t="inlineStr">
        <is>
          <t>Permit requirement guide</t>
        </is>
      </c>
      <c r="F241" s="1447" t="n"/>
      <c r="G241" s="1447" t="n"/>
    </row>
    <row r="242">
      <c r="A242" s="1447" t="inlineStr">
        <is>
          <t>Lochbuie</t>
        </is>
      </c>
      <c r="B242" s="1447" t="inlineStr">
        <is>
          <t>Permits</t>
        </is>
      </c>
      <c r="C242" s="1447" t="inlineStr">
        <is>
          <t>Building Guides &amp; Checklists</t>
        </is>
      </c>
      <c r="D242" s="1447" t="inlineStr">
        <is>
          <t>https://www.lochbuie.org/building/page/guides-and-checklists</t>
        </is>
      </c>
      <c r="E242" s="1447" t="inlineStr">
        <is>
          <t>Application checklists</t>
        </is>
      </c>
      <c r="F242" s="1447" t="n"/>
      <c r="G242" s="1447" t="n"/>
    </row>
    <row r="243">
      <c r="A243" s="1447" t="inlineStr">
        <is>
          <t>Lochbuie</t>
        </is>
      </c>
      <c r="B243" s="1447" t="inlineStr">
        <is>
          <t>Zoning / Planning</t>
        </is>
      </c>
      <c r="C243" s="1447" t="inlineStr">
        <is>
          <t>Current Planning</t>
        </is>
      </c>
      <c r="D243" s="1447" t="inlineStr">
        <is>
          <t>https://www.lochbuie.org/community-dev/page/current-planning</t>
        </is>
      </c>
      <c r="E243" s="1447" t="inlineStr">
        <is>
          <t>Active planning applications</t>
        </is>
      </c>
      <c r="F243" s="1447" t="n"/>
      <c r="G243" s="1447" t="n"/>
    </row>
    <row r="244">
      <c r="A244" s="1447" t="inlineStr">
        <is>
          <t>Lochbuie</t>
        </is>
      </c>
      <c r="B244" s="1447" t="inlineStr">
        <is>
          <t>Zoning / Planning</t>
        </is>
      </c>
      <c r="C244" s="1447" t="inlineStr">
        <is>
          <t>Municipal Code (Municode)</t>
        </is>
      </c>
      <c r="D244" s="1447" t="inlineStr">
        <is>
          <t>https://library.municode.com/co/lochbuie/codes/municipal_code</t>
        </is>
      </c>
      <c r="E244" s="1447" t="inlineStr">
        <is>
          <t>Full zoning and municipal code</t>
        </is>
      </c>
      <c r="F244" s="1447" t="n"/>
      <c r="G244" s="1447" t="n"/>
    </row>
    <row r="245">
      <c r="A245" s="1447" t="inlineStr">
        <is>
          <t>Lochbuie</t>
        </is>
      </c>
      <c r="B245" s="1447" t="inlineStr">
        <is>
          <t>Flood Zone</t>
        </is>
      </c>
      <c r="C245" s="1447" t="inlineStr">
        <is>
          <t>FEMA Map Service Center</t>
        </is>
      </c>
      <c r="D245" s="1447" t="inlineStr">
        <is>
          <t>https://msc.fema.gov/</t>
        </is>
      </c>
      <c r="E245" s="1447" t="inlineStr">
        <is>
          <t>Address-specific FEMA FIRM lookup</t>
        </is>
      </c>
      <c r="F245" s="1447" t="n"/>
      <c r="G245" s="1447" t="n"/>
    </row>
    <row r="246">
      <c r="A246" s="1447" t="inlineStr">
        <is>
          <t>Lochbuie</t>
        </is>
      </c>
      <c r="B246" s="1447" t="inlineStr">
        <is>
          <t>Flood Zone</t>
        </is>
      </c>
      <c r="C246" s="1447" t="inlineStr">
        <is>
          <t>Adams County Floodplain (Adams portion)</t>
        </is>
      </c>
      <c r="D246" s="1447" t="inlineStr">
        <is>
          <t>https://adamscountyco.gov/our-county/community-economic-development/floodplain-management/</t>
        </is>
      </c>
      <c r="E246" s="1447" t="inlineStr">
        <is>
          <t>County floodplain resources for Adams Co. portion</t>
        </is>
      </c>
      <c r="F246" s="1447" t="n"/>
      <c r="G246" s="1447" t="n"/>
    </row>
    <row r="247">
      <c r="A247" s="1447" t="inlineStr">
        <is>
          <t>Lochbuie</t>
        </is>
      </c>
      <c r="B247" s="1447" t="inlineStr">
        <is>
          <t>School Districts</t>
        </is>
      </c>
      <c r="C247" s="1447" t="inlineStr">
        <is>
          <t>School District 27J</t>
        </is>
      </c>
      <c r="D247" s="1447" t="inlineStr">
        <is>
          <t>https://www.sd27j.org/</t>
        </is>
      </c>
      <c r="E247" s="1447" t="inlineStr">
        <is>
          <t>Primary school district for Lochbuie</t>
        </is>
      </c>
      <c r="F247" s="1447" t="n"/>
      <c r="G247" s="1447" t="n"/>
    </row>
    <row r="248">
      <c r="A248" s="1438" t="inlineStr">
        <is>
          <t>Arvada</t>
        </is>
      </c>
      <c r="B248" s="1438" t="inlineStr">
        <is>
          <t>Property Assessment</t>
        </is>
      </c>
      <c r="C248" s="1438" t="inlineStr">
        <is>
          <t>Adams County Assessor (small Adams Co. portion)</t>
        </is>
      </c>
      <c r="D248" s="1438" t="inlineStr">
        <is>
          <t>https://adcogov.org/property-look</t>
        </is>
      </c>
      <c r="E248" s="1438" t="inlineStr">
        <is>
          <t>For the small eastern Adams County portion of Arvada</t>
        </is>
      </c>
      <c r="F248" s="1438" t="n"/>
      <c r="G248" s="1438" t="n"/>
    </row>
    <row r="249">
      <c r="A249" s="1438" t="inlineStr">
        <is>
          <t>Arvada</t>
        </is>
      </c>
      <c r="B249" s="1438" t="inlineStr">
        <is>
          <t>Property Assessment</t>
        </is>
      </c>
      <c r="C249" s="1438" t="inlineStr">
        <is>
          <t>Jefferson County Assessor (primary)</t>
        </is>
      </c>
      <c r="D249" s="1438" t="inlineStr">
        <is>
          <t>https://propertysearch.jeffco.us/</t>
        </is>
      </c>
      <c r="E249" s="1438" t="inlineStr">
        <is>
          <t>For the primary Jefferson County portion of Arvada</t>
        </is>
      </c>
      <c r="F249" s="1438" t="n"/>
      <c r="G249" s="1438" t="n"/>
    </row>
    <row r="250">
      <c r="A250" s="1438" t="inlineStr">
        <is>
          <t>Arvada</t>
        </is>
      </c>
      <c r="B250" s="1438" t="inlineStr">
        <is>
          <t>Property Tax / Treasurer</t>
        </is>
      </c>
      <c r="C250" s="1438" t="inlineStr">
        <is>
          <t>Jefferson County Treasurer (primary)</t>
        </is>
      </c>
      <c r="D250" s="1438" t="inlineStr">
        <is>
          <t>https://jeffco.us/1293/Treasurer</t>
        </is>
      </c>
      <c r="E250" s="1438" t="inlineStr">
        <is>
          <t>For Jefferson County parcels</t>
        </is>
      </c>
      <c r="F250" s="1438" t="n"/>
      <c r="G250" s="1438" t="n"/>
    </row>
    <row r="251">
      <c r="A251" s="1438" t="inlineStr">
        <is>
          <t>Arvada</t>
        </is>
      </c>
      <c r="B251" s="1438" t="inlineStr">
        <is>
          <t>Property Tax / Treasurer</t>
        </is>
      </c>
      <c r="C251" s="1438" t="inlineStr">
        <is>
          <t>Adams County Tax Payment (Adams Co. portion)</t>
        </is>
      </c>
      <c r="D251" s="1438" t="inlineStr">
        <is>
          <t>https://adcotax.com/treasurer/web/login.jsp</t>
        </is>
      </c>
      <c r="E251" s="1438" t="inlineStr">
        <is>
          <t>For Adams County parcels</t>
        </is>
      </c>
      <c r="F251" s="1438" t="n"/>
      <c r="G251" s="1438" t="n"/>
    </row>
    <row r="252">
      <c r="A252" s="1438" t="inlineStr">
        <is>
          <t>Arvada</t>
        </is>
      </c>
      <c r="B252" s="1438" t="inlineStr">
        <is>
          <t>Deed / Title Records</t>
        </is>
      </c>
      <c r="C252" s="1438" t="inlineStr">
        <is>
          <t>Jefferson County Clerk &amp; Recorder</t>
        </is>
      </c>
      <c r="D252" s="1438" t="inlineStr">
        <is>
          <t>https://www.jeffco.us/1288/Clerk-Recorder</t>
        </is>
      </c>
      <c r="E252" s="1438" t="inlineStr">
        <is>
          <t>For Jefferson County parcels</t>
        </is>
      </c>
      <c r="F252" s="1438" t="n"/>
      <c r="G252" s="1438" t="n"/>
    </row>
    <row r="253">
      <c r="A253" s="1438" t="inlineStr">
        <is>
          <t>Arvada</t>
        </is>
      </c>
      <c r="B253" s="1438" t="inlineStr">
        <is>
          <t>Deed / Title Records</t>
        </is>
      </c>
      <c r="C253" s="1438" t="inlineStr">
        <is>
          <t>Adams Co. Landmark Web Document Search</t>
        </is>
      </c>
      <c r="D253" s="1438" t="inlineStr">
        <is>
          <t>https://recording.adcogov.org/landmarkweb</t>
        </is>
      </c>
      <c r="E253" s="1438" t="inlineStr">
        <is>
          <t>For Adams County parcels</t>
        </is>
      </c>
      <c r="F253" s="1438" t="n"/>
      <c r="G253" s="1438" t="n"/>
    </row>
    <row r="254">
      <c r="A254" s="1438" t="inlineStr">
        <is>
          <t>Arvada</t>
        </is>
      </c>
      <c r="B254" s="1438" t="inlineStr">
        <is>
          <t>GIS / Mapping</t>
        </is>
      </c>
      <c r="C254" s="1438" t="inlineStr">
        <is>
          <t>Arvada Open Data / GIS Hub (ArcGIS)</t>
        </is>
      </c>
      <c r="D254" s="1438" t="inlineStr">
        <is>
          <t>https://gis-arvada.opendata.arcgis.com/</t>
        </is>
      </c>
      <c r="E254" s="1438" t="inlineStr">
        <is>
          <t>Downloadable GIS datasets including parcels</t>
        </is>
      </c>
      <c r="F254" s="1438" t="n"/>
      <c r="G254" s="1438" t="n"/>
    </row>
    <row r="255">
      <c r="A255" s="1438" t="inlineStr">
        <is>
          <t>Arvada</t>
        </is>
      </c>
      <c r="B255" s="1438" t="inlineStr">
        <is>
          <t>GIS / Mapping</t>
        </is>
      </c>
      <c r="C255" s="1438" t="inlineStr">
        <is>
          <t>Maps and Property Search</t>
        </is>
      </c>
      <c r="D255" s="1438" t="inlineStr">
        <is>
          <t>https://www.arvadaco.gov/702/Maps-and-Property-Search</t>
        </is>
      </c>
      <c r="E255" s="1438" t="inlineStr">
        <is>
          <t>City map and property portal</t>
        </is>
      </c>
      <c r="F255" s="1438" t="n"/>
      <c r="G255" s="1438" t="n"/>
    </row>
    <row r="256">
      <c r="A256" s="1438" t="inlineStr">
        <is>
          <t>Arvada</t>
        </is>
      </c>
      <c r="B256" s="1438" t="inlineStr">
        <is>
          <t>GIS / Mapping</t>
        </is>
      </c>
      <c r="C256" s="1438" t="inlineStr">
        <is>
          <t>Economic Development Maps</t>
        </is>
      </c>
      <c r="D256" s="1438" t="inlineStr">
        <is>
          <t>https://arvadaeconomicdevelopment.org/intel/maps/</t>
        </is>
      </c>
      <c r="E256" s="1438" t="inlineStr">
        <is>
          <t>Development pipeline and market maps</t>
        </is>
      </c>
      <c r="F256" s="1438" t="n"/>
      <c r="G256" s="1438" t="n"/>
    </row>
    <row r="257">
      <c r="A257" s="1438" t="inlineStr">
        <is>
          <t>Arvada</t>
        </is>
      </c>
      <c r="B257" s="1438" t="inlineStr">
        <is>
          <t>Permits</t>
        </is>
      </c>
      <c r="C257" s="1438" t="inlineStr">
        <is>
          <t>eTRAKiT Portal</t>
        </is>
      </c>
      <c r="D257" s="1438" t="inlineStr">
        <is>
          <t>https://arvadapermits.org/</t>
        </is>
      </c>
      <c r="E257" s="1438" t="inlineStr">
        <is>
          <t>Online permit search and applications</t>
        </is>
      </c>
      <c r="F257" s="1438" t="n"/>
      <c r="G257" s="1438" t="n"/>
    </row>
    <row r="258">
      <c r="A258" s="1438" t="inlineStr">
        <is>
          <t>Arvada</t>
        </is>
      </c>
      <c r="B258" s="1438" t="inlineStr">
        <is>
          <t>Permits</t>
        </is>
      </c>
      <c r="C258" s="1438" t="inlineStr">
        <is>
          <t>Building Permits Page</t>
        </is>
      </c>
      <c r="D258" s="1438" t="inlineStr">
        <is>
          <t>https://www.arvadaco.gov/332/Building-Permits</t>
        </is>
      </c>
      <c r="E258" s="1438" t="inlineStr">
        <is>
          <t>Building permit info</t>
        </is>
      </c>
      <c r="F258" s="1438" t="n"/>
      <c r="G258" s="1438" t="n"/>
    </row>
    <row r="259">
      <c r="A259" s="1438" t="inlineStr">
        <is>
          <t>Arvada</t>
        </is>
      </c>
      <c r="B259" s="1438" t="inlineStr">
        <is>
          <t>Permits</t>
        </is>
      </c>
      <c r="C259" s="1438" t="inlineStr">
        <is>
          <t>Check Permit Status / Schedule Inspection</t>
        </is>
      </c>
      <c r="D259" s="1438" t="inlineStr">
        <is>
          <t>https://www.arvadaco.gov/729/Check-the-Status-of-a-Permit-Schedule-a-</t>
        </is>
      </c>
      <c r="E259" s="1438" t="inlineStr">
        <is>
          <t>Permit status and inspection scheduling</t>
        </is>
      </c>
      <c r="F259" s="1438" t="n"/>
      <c r="G259" s="1438" t="n"/>
    </row>
    <row r="260">
      <c r="A260" s="1438" t="inlineStr">
        <is>
          <t>Arvada</t>
        </is>
      </c>
      <c r="B260" s="1438" t="inlineStr">
        <is>
          <t>Permits</t>
        </is>
      </c>
      <c r="C260" s="1438" t="inlineStr">
        <is>
          <t>eTRAKiT Permit Search</t>
        </is>
      </c>
      <c r="D260" s="1438" t="inlineStr">
        <is>
          <t>https://permits.arvada.org/etrakit3/Search/permit.aspx</t>
        </is>
      </c>
      <c r="E260" s="1438" t="inlineStr">
        <is>
          <t>Direct permit lookup</t>
        </is>
      </c>
      <c r="F260" s="1438" t="n"/>
      <c r="G260" s="1438" t="n"/>
    </row>
    <row r="261">
      <c r="A261" s="1438" t="inlineStr">
        <is>
          <t>Arvada</t>
        </is>
      </c>
      <c r="B261" s="1438" t="inlineStr">
        <is>
          <t>Zoning / Planning</t>
        </is>
      </c>
      <c r="C261" s="1438" t="inlineStr">
        <is>
          <t>Zoning Main Page</t>
        </is>
      </c>
      <c r="D261" s="1438" t="inlineStr">
        <is>
          <t>https://www.arvadaco.gov/168/Zoning</t>
        </is>
      </c>
      <c r="E261" s="1438" t="inlineStr">
        <is>
          <t>Zoning department with interactive zoning district map</t>
        </is>
      </c>
      <c r="F261" s="1438" t="n"/>
      <c r="G261" s="1438" t="n"/>
    </row>
    <row r="262">
      <c r="A262" s="1438" t="inlineStr">
        <is>
          <t>Arvada</t>
        </is>
      </c>
      <c r="B262" s="1438" t="inlineStr">
        <is>
          <t>Zoning / Planning</t>
        </is>
      </c>
      <c r="C262" s="1438" t="inlineStr">
        <is>
          <t>Speak Up Arvada (Community / Planning)</t>
        </is>
      </c>
      <c r="D262" s="1438" t="inlineStr">
        <is>
          <t>https://speakup.arvadaco.gov/</t>
        </is>
      </c>
      <c r="E262" s="1438" t="inlineStr">
        <is>
          <t>Community engagement for planning and comprehensive plan</t>
        </is>
      </c>
      <c r="F262" s="1438" t="n"/>
      <c r="G262" s="1438" t="n"/>
    </row>
    <row r="263">
      <c r="A263" s="1438" t="inlineStr">
        <is>
          <t>Arvada</t>
        </is>
      </c>
      <c r="B263" s="1438" t="inlineStr">
        <is>
          <t>Flood Zone</t>
        </is>
      </c>
      <c r="C263" s="1438" t="inlineStr">
        <is>
          <t>Jefferson County Floodplain (primary)</t>
        </is>
      </c>
      <c r="D263" s="1438" t="inlineStr">
        <is>
          <t>https://www.jeffco.us/2019/Flood-Mapping-and-Information</t>
        </is>
      </c>
      <c r="E263" s="1438" t="inlineStr">
        <is>
          <t>For Jefferson County portion</t>
        </is>
      </c>
      <c r="F263" s="1438" t="n"/>
      <c r="G263" s="1438" t="n"/>
    </row>
    <row r="264">
      <c r="A264" s="1438" t="inlineStr">
        <is>
          <t>Arvada</t>
        </is>
      </c>
      <c r="B264" s="1438" t="inlineStr">
        <is>
          <t>Flood Zone</t>
        </is>
      </c>
      <c r="C264" s="1438" t="inlineStr">
        <is>
          <t>Adams County Floodplain (Adams portion)</t>
        </is>
      </c>
      <c r="D264" s="1438" t="inlineStr">
        <is>
          <t>https://adamscountyco.gov/our-county/community-economic-development/floodplain-management/</t>
        </is>
      </c>
      <c r="E264" s="1438" t="inlineStr">
        <is>
          <t>For Adams County portion</t>
        </is>
      </c>
      <c r="F264" s="1438" t="n"/>
      <c r="G264" s="1438" t="n"/>
    </row>
    <row r="265">
      <c r="A265" s="1438" t="inlineStr">
        <is>
          <t>Arvada</t>
        </is>
      </c>
      <c r="B265" s="1438" t="inlineStr">
        <is>
          <t>Flood Zone</t>
        </is>
      </c>
      <c r="C265" s="1438" t="inlineStr">
        <is>
          <t>FEMA Map Service Center</t>
        </is>
      </c>
      <c r="D265" s="1438" t="inlineStr">
        <is>
          <t>https://msc.fema.gov/</t>
        </is>
      </c>
      <c r="E265" s="1438" t="inlineStr">
        <is>
          <t>Address-specific FEMA FIRM lookup</t>
        </is>
      </c>
      <c r="F265" s="1438" t="n"/>
      <c r="G265" s="1438" t="n"/>
    </row>
    <row r="266">
      <c r="A266" s="1438" t="inlineStr">
        <is>
          <t>Arvada</t>
        </is>
      </c>
      <c r="B266" s="1438" t="inlineStr">
        <is>
          <t>Economic Development</t>
        </is>
      </c>
      <c r="C266" s="1438" t="inlineStr">
        <is>
          <t>Arvada Economic Development Association</t>
        </is>
      </c>
      <c r="D266" s="1438" t="inlineStr">
        <is>
          <t>https://arvadaeconomicdevelopment.org/</t>
        </is>
      </c>
      <c r="E266" s="1438" t="inlineStr">
        <is>
          <t>City economic development organization</t>
        </is>
      </c>
      <c r="F266" s="1438" t="n"/>
      <c r="G266" s="1438" t="n"/>
    </row>
    <row r="267">
      <c r="A267" s="1438" t="inlineStr">
        <is>
          <t>Arvada</t>
        </is>
      </c>
      <c r="B267" s="1438" t="inlineStr">
        <is>
          <t>Short-Term Rental</t>
        </is>
      </c>
      <c r="C267" s="1438" t="inlineStr">
        <is>
          <t>STR License</t>
        </is>
      </c>
      <c r="D267" s="1438" t="inlineStr">
        <is>
          <t>https://www.arvadaco.gov/</t>
        </is>
      </c>
      <c r="E267" s="1438" t="inlineStr">
        <is>
          <t>Annual license required; $350 fee</t>
        </is>
      </c>
      <c r="F267" s="1438" t="n"/>
      <c r="G267" s="1438" t="n"/>
    </row>
    <row r="268">
      <c r="A268" s="1438" t="inlineStr">
        <is>
          <t>Arvada</t>
        </is>
      </c>
      <c r="B268" s="1438" t="inlineStr">
        <is>
          <t>Crime / Safety</t>
        </is>
      </c>
      <c r="C268" s="1438" t="inlineStr">
        <is>
          <t>Crime Maps &amp; Statistics</t>
        </is>
      </c>
      <c r="D268" s="1438" t="inlineStr">
        <is>
          <t>https://www.arvadaco.gov/538/Crime-Maps-Statistics</t>
        </is>
      </c>
      <c r="E268" s="1438" t="inlineStr">
        <is>
          <t>LexisNexis Community Crime Map</t>
        </is>
      </c>
      <c r="F268" s="1438" t="n"/>
      <c r="G268" s="1438" t="n"/>
    </row>
    <row r="269">
      <c r="A269" s="1438" t="inlineStr">
        <is>
          <t>Arvada</t>
        </is>
      </c>
      <c r="B269" s="1438" t="inlineStr">
        <is>
          <t>School Districts</t>
        </is>
      </c>
      <c r="C269" s="1438" t="inlineStr">
        <is>
          <t>Jefferson County Public Schools (primary)</t>
        </is>
      </c>
      <c r="D269" s="1438" t="inlineStr">
        <is>
          <t>https://www.jeffcopublicschools.org/</t>
        </is>
      </c>
      <c r="E269" s="1438" t="inlineStr">
        <is>
          <t>Primary district for most of Arvada</t>
        </is>
      </c>
      <c r="F269" s="1438" t="n"/>
      <c r="G269" s="1438" t="n"/>
    </row>
    <row r="270">
      <c r="A270" s="1438" t="inlineStr">
        <is>
          <t>Arvada</t>
        </is>
      </c>
      <c r="B270" s="1438" t="inlineStr">
        <is>
          <t>School Districts</t>
        </is>
      </c>
      <c r="C270" s="1438" t="inlineStr">
        <is>
          <t>Adams 12 Five Star Schools (Adams Co. portion)</t>
        </is>
      </c>
      <c r="D270" s="1438" t="inlineStr">
        <is>
          <t>https://www.adams12.org/</t>
        </is>
      </c>
      <c r="E270" s="1438" t="inlineStr">
        <is>
          <t>For the small Adams County portion</t>
        </is>
      </c>
      <c r="F270" s="1438" t="n"/>
      <c r="G270" s="1438" t="n"/>
    </row>
    <row r="271">
      <c r="A271" s="1439" t="inlineStr">
        <is>
          <t>REGIONAL / ALL MUNICIPALITIES</t>
        </is>
      </c>
      <c r="B271" s="1439" t="inlineStr">
        <is>
          <t>Property Assessment</t>
        </is>
      </c>
      <c r="C271" s="1439" t="inlineStr">
        <is>
          <t>Adams County Assessor — Main</t>
        </is>
      </c>
      <c r="D271" s="1439" t="inlineStr">
        <is>
          <t>https://adcogov.org/assessor</t>
        </is>
      </c>
      <c r="E271" s="1439" t="inlineStr">
        <is>
          <t>Covers all Adams County parcels regardless of city</t>
        </is>
      </c>
      <c r="F271" s="1439" t="n"/>
      <c r="G271" s="1439" t="n"/>
    </row>
    <row r="272">
      <c r="A272" s="1439" t="inlineStr">
        <is>
          <t>REGIONAL / ALL MUNICIPALITIES</t>
        </is>
      </c>
      <c r="B272" s="1439" t="inlineStr">
        <is>
          <t>Deed / Title Records</t>
        </is>
      </c>
      <c r="C272" s="1439" t="inlineStr">
        <is>
          <t>Adams County Clerk &amp; Recorder</t>
        </is>
      </c>
      <c r="D272" s="1439" t="inlineStr">
        <is>
          <t>https://adcogov.org/recording</t>
        </is>
      </c>
      <c r="E272" s="1439" t="inlineStr">
        <is>
          <t>Official deeds and recording office</t>
        </is>
      </c>
      <c r="F272" s="1439" t="n"/>
      <c r="G272" s="1439" t="n"/>
    </row>
    <row r="273">
      <c r="A273" s="1439" t="inlineStr">
        <is>
          <t>REGIONAL / ALL MUNICIPALITIES</t>
        </is>
      </c>
      <c r="B273" s="1439" t="inlineStr">
        <is>
          <t>Deed / Title Records</t>
        </is>
      </c>
      <c r="C273" s="1439" t="inlineStr">
        <is>
          <t>Landmark Web Document Search</t>
        </is>
      </c>
      <c r="D273" s="1439" t="inlineStr">
        <is>
          <t>https://recording.adcogov.org/landmarkweb</t>
        </is>
      </c>
      <c r="E273" s="1439" t="inlineStr">
        <is>
          <t>Grantor/Grantee search for all Adams County</t>
        </is>
      </c>
      <c r="F273" s="1439" t="n"/>
      <c r="G273" s="1439" t="n"/>
    </row>
    <row r="274">
      <c r="A274" s="1439" t="inlineStr">
        <is>
          <t>REGIONAL / ALL MUNICIPALITIES</t>
        </is>
      </c>
      <c r="B274" s="1439" t="inlineStr">
        <is>
          <t>GIS / Mapping</t>
        </is>
      </c>
      <c r="C274" s="1439" t="inlineStr">
        <is>
          <t>Adams County Open Data Hub</t>
        </is>
      </c>
      <c r="D274" s="1439" t="inlineStr">
        <is>
          <t>https://data-adcogov.opendata.arcgis.com/</t>
        </is>
      </c>
      <c r="E274" s="1439" t="inlineStr">
        <is>
          <t>County-wide GIS datasets</t>
        </is>
      </c>
      <c r="F274" s="1439" t="n"/>
      <c r="G274" s="1439" t="n"/>
    </row>
    <row r="275">
      <c r="A275" s="1439" t="inlineStr">
        <is>
          <t>REGIONAL / ALL MUNICIPALITIES</t>
        </is>
      </c>
      <c r="B275" s="1439" t="inlineStr">
        <is>
          <t>GIS / Mapping</t>
        </is>
      </c>
      <c r="C275" s="1439" t="inlineStr">
        <is>
          <t>DRCOG Regional Data Catalog</t>
        </is>
      </c>
      <c r="D275" s="1439" t="inlineStr">
        <is>
          <t>https://data.drcog.org/</t>
        </is>
      </c>
      <c r="E275" s="1439" t="inlineStr">
        <is>
          <t>Metro Denver regional data</t>
        </is>
      </c>
      <c r="F275" s="1439" t="n"/>
      <c r="G275" s="1439" t="n"/>
    </row>
    <row r="276">
      <c r="A276" s="1439" t="inlineStr">
        <is>
          <t>REGIONAL / ALL MUNICIPALITIES</t>
        </is>
      </c>
      <c r="B276" s="1439" t="inlineStr">
        <is>
          <t>GIS / Mapping</t>
        </is>
      </c>
      <c r="C276" s="1439" t="inlineStr">
        <is>
          <t>DRCOG Data &amp; Maps</t>
        </is>
      </c>
      <c r="D276" s="1439" t="inlineStr">
        <is>
          <t>https://www.drcog.org/data-maps-modeling</t>
        </is>
      </c>
      <c r="E276" s="1439" t="inlineStr">
        <is>
          <t>Regional planning maps</t>
        </is>
      </c>
      <c r="F276" s="1439" t="n"/>
      <c r="G276" s="1439" t="n"/>
    </row>
    <row r="277">
      <c r="A277" s="1439" t="inlineStr">
        <is>
          <t>REGIONAL / ALL MUNICIPALITIES</t>
        </is>
      </c>
      <c r="B277" s="1439" t="inlineStr">
        <is>
          <t>GIS / Mapping</t>
        </is>
      </c>
      <c r="C277" s="1439" t="inlineStr">
        <is>
          <t>DRCOG Community Profiles</t>
        </is>
      </c>
      <c r="D277" s="1439" t="inlineStr">
        <is>
          <t>https://www.drcog.org/data-maps-modeling/community-profiles</t>
        </is>
      </c>
      <c r="E277" s="1439" t="inlineStr">
        <is>
          <t>Demographic and growth profiles by municipality</t>
        </is>
      </c>
      <c r="F277" s="1439" t="n"/>
      <c r="G277" s="1439" t="n"/>
    </row>
    <row r="278">
      <c r="A278" s="1439" t="inlineStr">
        <is>
          <t>REGIONAL / ALL MUNICIPALITIES</t>
        </is>
      </c>
      <c r="B278" s="1439" t="inlineStr">
        <is>
          <t>GIS / Mapping</t>
        </is>
      </c>
      <c r="C278" s="1439" t="inlineStr">
        <is>
          <t>Colorado Geospatial Portal</t>
        </is>
      </c>
      <c r="D278" s="1439" t="inlineStr">
        <is>
          <t>https://geodata.colorado.gov/</t>
        </is>
      </c>
      <c r="E278" s="1439" t="inlineStr">
        <is>
          <t>Statewide GIS data portal</t>
        </is>
      </c>
      <c r="F278" s="1439" t="n"/>
      <c r="G278" s="1439" t="n"/>
    </row>
    <row r="279">
      <c r="A279" s="1439" t="inlineStr">
        <is>
          <t>REGIONAL / ALL MUNICIPALITIES</t>
        </is>
      </c>
      <c r="B279" s="1439" t="inlineStr">
        <is>
          <t>GIS / Mapping</t>
        </is>
      </c>
      <c r="C279" s="1439" t="inlineStr">
        <is>
          <t>Colorado Division of Water Resources GIS</t>
        </is>
      </c>
      <c r="D279" s="1439" t="inlineStr">
        <is>
          <t>https://dwr.colorado.gov/services/data-information/gis</t>
        </is>
      </c>
      <c r="E279" s="1439" t="inlineStr">
        <is>
          <t>Water rights and irrigation GIS data</t>
        </is>
      </c>
      <c r="F279" s="1439" t="n"/>
      <c r="G279" s="1439" t="n"/>
    </row>
    <row r="280">
      <c r="A280" s="1439" t="inlineStr">
        <is>
          <t>REGIONAL / ALL MUNICIPALITIES</t>
        </is>
      </c>
      <c r="B280" s="1439" t="inlineStr">
        <is>
          <t>Traffic / Transportation</t>
        </is>
      </c>
      <c r="C280" s="1439" t="inlineStr">
        <is>
          <t>CDOT Traffic Counts (OTIS)</t>
        </is>
      </c>
      <c r="D280" s="1439" t="inlineStr">
        <is>
          <t>https://dtdapps.coloradodot.info/otis</t>
        </is>
      </c>
      <c r="E280" s="1439" t="inlineStr">
        <is>
          <t>Official Colorado traffic count data by highway/road</t>
        </is>
      </c>
      <c r="F280" s="1439" t="n"/>
      <c r="G280" s="1439" t="n"/>
    </row>
    <row r="281">
      <c r="A281" s="1439" t="inlineStr">
        <is>
          <t>REGIONAL / ALL MUNICIPALITIES</t>
        </is>
      </c>
      <c r="B281" s="1439" t="inlineStr">
        <is>
          <t>Traffic / Transportation</t>
        </is>
      </c>
      <c r="C281" s="1439" t="inlineStr">
        <is>
          <t>CDOT Open Data (ArcGIS)</t>
        </is>
      </c>
      <c r="D281" s="1439" t="inlineStr">
        <is>
          <t>https://data-cdot.opendata.arcgis.com/</t>
        </is>
      </c>
      <c r="E281" s="1439" t="inlineStr">
        <is>
          <t>Statewide transportation datasets</t>
        </is>
      </c>
      <c r="F281" s="1439" t="n"/>
      <c r="G281" s="1439" t="n"/>
    </row>
    <row r="282">
      <c r="A282" s="1439" t="inlineStr">
        <is>
          <t>REGIONAL / ALL MUNICIPALITIES</t>
        </is>
      </c>
      <c r="B282" s="1439" t="inlineStr">
        <is>
          <t>Traffic / Transportation</t>
        </is>
      </c>
      <c r="C282" s="1439" t="inlineStr">
        <is>
          <t>CDOT Highway Traffic Counts Dataset</t>
        </is>
      </c>
      <c r="D282" s="1439" t="inlineStr">
        <is>
          <t>https://data-cdot.opendata.arcgis.com/datasets/highways-traffic-counts/about</t>
        </is>
      </c>
      <c r="E282" s="1439" t="inlineStr">
        <is>
          <t>Downloadable traffic count dataset</t>
        </is>
      </c>
      <c r="F282" s="1439" t="n"/>
      <c r="G282" s="1439" t="n"/>
    </row>
    <row r="283">
      <c r="A283" s="1439" t="inlineStr">
        <is>
          <t>REGIONAL / ALL MUNICIPALITIES</t>
        </is>
      </c>
      <c r="B283" s="1439" t="inlineStr">
        <is>
          <t>Entity / Ownership Lookup</t>
        </is>
      </c>
      <c r="C283" s="1439" t="inlineStr">
        <is>
          <t>Colorado Secretary of State — Business Entity Search</t>
        </is>
      </c>
      <c r="D283" s="1439" t="inlineStr">
        <is>
          <t>https://www.sos.state.co.us/biz/BusinessEntityCriteriaExt.do</t>
        </is>
      </c>
      <c r="E283" s="1439" t="inlineStr">
        <is>
          <t>Look up LLCs and ownership entities</t>
        </is>
      </c>
      <c r="F283" s="1439" t="n"/>
      <c r="G283" s="1439" t="n"/>
    </row>
    <row r="284">
      <c r="A284" s="1439" t="inlineStr">
        <is>
          <t>REGIONAL / ALL MUNICIPALITIES</t>
        </is>
      </c>
      <c r="B284" s="1439" t="inlineStr">
        <is>
          <t>Entity / Ownership Lookup</t>
        </is>
      </c>
      <c r="C284" s="1439" t="inlineStr">
        <is>
          <t>Colorado Secretary of State — Advanced Search</t>
        </is>
      </c>
      <c r="D284" s="1439" t="inlineStr">
        <is>
          <t>https://www.sos.state.co.us/biz/AdvancedSearchCriteria.do</t>
        </is>
      </c>
      <c r="E284" s="1439" t="inlineStr">
        <is>
          <t>Advanced entity search</t>
        </is>
      </c>
      <c r="F284" s="1439" t="n"/>
      <c r="G284" s="1439" t="n"/>
    </row>
    <row r="285">
      <c r="A285" s="1439" t="inlineStr">
        <is>
          <t>REGIONAL / ALL MUNICIPALITIES</t>
        </is>
      </c>
      <c r="B285" s="1439" t="inlineStr">
        <is>
          <t>Licensing / Regulation</t>
        </is>
      </c>
      <c r="C285" s="1439" t="inlineStr">
        <is>
          <t>Colorado Division of Real Estate (DORA)</t>
        </is>
      </c>
      <c r="D285" s="1439" t="inlineStr">
        <is>
          <t>https://dre.colorado.gov/</t>
        </is>
      </c>
      <c r="E285" s="1439" t="inlineStr">
        <is>
          <t>State real estate license lookups and regulations</t>
        </is>
      </c>
      <c r="F285" s="1439" t="n"/>
      <c r="G285" s="1439" t="n"/>
    </row>
    <row r="286">
      <c r="A286" s="1439" t="inlineStr">
        <is>
          <t>REGIONAL / ALL MUNICIPALITIES</t>
        </is>
      </c>
      <c r="B286" s="1439" t="inlineStr">
        <is>
          <t>Licensing / Regulation</t>
        </is>
      </c>
      <c r="C286" s="1439" t="inlineStr">
        <is>
          <t>Colorado CORA (Open Records Act) — SOS</t>
        </is>
      </c>
      <c r="D286" s="1439" t="inlineStr">
        <is>
          <t>https://www.sos.state.co.us/pubs/info_center/cora.html</t>
        </is>
      </c>
      <c r="E286" s="1439" t="inlineStr">
        <is>
          <t>How to make public records requests</t>
        </is>
      </c>
      <c r="F286" s="1439" t="n"/>
      <c r="G286" s="1439" t="n"/>
    </row>
    <row r="287">
      <c r="A287" s="1439" t="inlineStr">
        <is>
          <t>REGIONAL / ALL MUNICIPALITIES</t>
        </is>
      </c>
      <c r="B287" s="1439" t="inlineStr">
        <is>
          <t>Flood Zone</t>
        </is>
      </c>
      <c r="C287" s="1439" t="inlineStr">
        <is>
          <t>FEMA Map Service Center</t>
        </is>
      </c>
      <c r="D287" s="1439" t="inlineStr">
        <is>
          <t>https://msc.fema.gov/</t>
        </is>
      </c>
      <c r="E287" s="1439" t="inlineStr">
        <is>
          <t>FEMA FIRM — address-specific flood zone lookup</t>
        </is>
      </c>
      <c r="F287" s="1439" t="n"/>
      <c r="G287" s="1439" t="n"/>
    </row>
    <row r="288">
      <c r="A288" s="1439" t="inlineStr">
        <is>
          <t>REGIONAL / ALL MUNICIPALITIES</t>
        </is>
      </c>
      <c r="B288" s="1439" t="inlineStr">
        <is>
          <t>Flood Zone</t>
        </is>
      </c>
      <c r="C288" s="1439" t="inlineStr">
        <is>
          <t>Colorado Hazard Mapping / RiskMAP</t>
        </is>
      </c>
      <c r="D288" s="1439" t="inlineStr">
        <is>
          <t>https://coloradohazardmapping.com/hazardMapping/floodplainMapping</t>
        </is>
      </c>
      <c r="E288" s="1439" t="inlineStr">
        <is>
          <t>State-level flood mapping portal</t>
        </is>
      </c>
      <c r="F288" s="1439" t="n"/>
      <c r="G288" s="1439" t="n"/>
    </row>
    <row r="289">
      <c r="A289" s="1439" t="inlineStr">
        <is>
          <t>REGIONAL / ALL MUNICIPALITIES</t>
        </is>
      </c>
      <c r="B289" s="1439" t="inlineStr">
        <is>
          <t>MLS / Listings</t>
        </is>
      </c>
      <c r="C289" s="1439" t="inlineStr">
        <is>
          <t>REcolorado MLS (licensed professionals)</t>
        </is>
      </c>
      <c r="D289" s="1439" t="inlineStr">
        <is>
          <t>https://recolorado.com/</t>
        </is>
      </c>
      <c r="E289" s="1439" t="inlineStr">
        <is>
          <t>Primary Denver metro MLS</t>
        </is>
      </c>
      <c r="F289" s="1439" t="n"/>
      <c r="G289" s="1439" t="n"/>
    </row>
    <row r="290">
      <c r="A290" s="1439" t="inlineStr">
        <is>
          <t>REGIONAL / ALL MUNICIPALITIES</t>
        </is>
      </c>
      <c r="B290" s="1439" t="inlineStr">
        <is>
          <t>MLS / Listings</t>
        </is>
      </c>
      <c r="C290" s="1439" t="inlineStr">
        <is>
          <t>ColoProperty.com (public listings portal)</t>
        </is>
      </c>
      <c r="D290" s="1439" t="inlineStr">
        <is>
          <t>https://coloproperty.com/</t>
        </is>
      </c>
      <c r="E290" s="1439" t="inlineStr">
        <is>
          <t>Public-facing MLS listings</t>
        </is>
      </c>
      <c r="F290" s="1439" t="n"/>
      <c r="G290" s="1439" t="n"/>
    </row>
    <row r="291">
      <c r="A291" s="1439" t="inlineStr">
        <is>
          <t>REGIONAL / ALL MUNICIPALITIES</t>
        </is>
      </c>
      <c r="B291" s="1439" t="inlineStr">
        <is>
          <t>MLS / Listings</t>
        </is>
      </c>
      <c r="C291" s="1439" t="inlineStr">
        <is>
          <t>IRES MLS</t>
        </is>
      </c>
      <c r="D291" s="1439" t="inlineStr">
        <is>
          <t>https://iresmls.com/</t>
        </is>
      </c>
      <c r="E291" s="1439" t="inlineStr">
        <is>
          <t>Northern Colorado MLS</t>
        </is>
      </c>
      <c r="F291" s="1439" t="n"/>
      <c r="G291" s="1439" t="n"/>
    </row>
    <row r="292">
      <c r="A292" s="1439" t="inlineStr">
        <is>
          <t>REGIONAL / ALL MUNICIPALITIES</t>
        </is>
      </c>
      <c r="B292" s="1439" t="inlineStr">
        <is>
          <t>School Districts</t>
        </is>
      </c>
      <c r="C292" s="1439" t="inlineStr">
        <is>
          <t>Adams 12 Five Star Schools</t>
        </is>
      </c>
      <c r="D292" s="1439" t="inlineStr">
        <is>
          <t>https://www.adams12.org/</t>
        </is>
      </c>
      <c r="E292" s="1439" t="inlineStr">
        <is>
          <t>Serves Brighton</t>
        </is>
      </c>
      <c r="F292" s="1439" t="inlineStr">
        <is>
          <t xml:space="preserve"> Commerce City</t>
        </is>
      </c>
      <c r="G292" s="1439" t="inlineStr">
        <is>
          <t xml:space="preserve"> Federal Heights</t>
        </is>
      </c>
    </row>
    <row r="293">
      <c r="A293" s="1439" t="inlineStr">
        <is>
          <t>REGIONAL / ALL MUNICIPALITIES</t>
        </is>
      </c>
      <c r="B293" s="1439" t="inlineStr">
        <is>
          <t>School Districts</t>
        </is>
      </c>
      <c r="C293" s="1439" t="inlineStr">
        <is>
          <t>School District 27J (Brighton)</t>
        </is>
      </c>
      <c r="D293" s="1439" t="inlineStr">
        <is>
          <t>https://www.sd27j.org/</t>
        </is>
      </c>
      <c r="E293" s="1439" t="inlineStr">
        <is>
          <t>Serves Brighton</t>
        </is>
      </c>
      <c r="F293" s="1439" t="inlineStr">
        <is>
          <t xml:space="preserve"> northeast Thornton</t>
        </is>
      </c>
      <c r="G293" s="1439" t="inlineStr">
        <is>
          <t xml:space="preserve"> Lochbuie</t>
        </is>
      </c>
    </row>
    <row r="294">
      <c r="A294" s="1439" t="inlineStr">
        <is>
          <t>REGIONAL / ALL MUNICIPALITIES</t>
        </is>
      </c>
      <c r="B294" s="1439" t="inlineStr">
        <is>
          <t>School Districts</t>
        </is>
      </c>
      <c r="C294" s="1439" t="inlineStr">
        <is>
          <t>Mapleton School District 1</t>
        </is>
      </c>
      <c r="D294" s="1439" t="inlineStr">
        <is>
          <t>https://www.mapleton.us/</t>
        </is>
      </c>
      <c r="E294" s="1439" t="inlineStr">
        <is>
          <t>Serves portions of Commerce City and unincorporated Adams County</t>
        </is>
      </c>
      <c r="F294" s="1439" t="n"/>
      <c r="G294" s="1439" t="n"/>
    </row>
    <row r="295">
      <c r="A295" s="1439" t="inlineStr">
        <is>
          <t>REGIONAL / ALL MUNICIPALITIES</t>
        </is>
      </c>
      <c r="B295" s="1439" t="inlineStr">
        <is>
          <t>School Districts</t>
        </is>
      </c>
      <c r="C295" s="1439" t="inlineStr">
        <is>
          <t>Aurora Public Schools</t>
        </is>
      </c>
      <c r="D295" s="1439" t="inlineStr">
        <is>
          <t>https://www.aurorak12.org/</t>
        </is>
      </c>
      <c r="E295" s="1439" t="inlineStr">
        <is>
          <t>Serves Aurora</t>
        </is>
      </c>
      <c r="F295" s="1439" t="n"/>
      <c r="G295" s="1439" t="n"/>
    </row>
    <row r="296">
      <c r="A296" s="1439" t="inlineStr">
        <is>
          <t>REGIONAL / ALL MUNICIPALITIES</t>
        </is>
      </c>
      <c r="B296" s="1439" t="inlineStr">
        <is>
          <t>School Districts</t>
        </is>
      </c>
      <c r="C296" s="1439" t="inlineStr">
        <is>
          <t>Cherry Creek School District</t>
        </is>
      </c>
      <c r="D296" s="1439" t="inlineStr">
        <is>
          <t>https://www.cherrycreekschools.org/</t>
        </is>
      </c>
      <c r="E296" s="1439" t="inlineStr">
        <is>
          <t>Serves parts of Aurora (Arapahoe Co. portion)</t>
        </is>
      </c>
      <c r="F296" s="1439" t="n"/>
      <c r="G296" s="1439" t="n"/>
    </row>
    <row r="297">
      <c r="A297" s="1439" t="inlineStr">
        <is>
          <t>REGIONAL / ALL MUNICIPALITIES</t>
        </is>
      </c>
      <c r="B297" s="1439" t="inlineStr">
        <is>
          <t>School Districts</t>
        </is>
      </c>
      <c r="C297" s="1439" t="inlineStr">
        <is>
          <t>Bennett School District 29J</t>
        </is>
      </c>
      <c r="D297" s="1439" t="inlineStr">
        <is>
          <t>https://www.bsd29j.com/</t>
        </is>
      </c>
      <c r="E297" s="1439" t="inlineStr">
        <is>
          <t>Serves Bennett</t>
        </is>
      </c>
      <c r="F297" s="1439" t="n"/>
      <c r="G297" s="1439" t="n"/>
    </row>
    <row r="298">
      <c r="A298" s="1439" t="inlineStr">
        <is>
          <t>REGIONAL / ALL MUNICIPALITIES</t>
        </is>
      </c>
      <c r="B298" s="1439" t="inlineStr">
        <is>
          <t>School Districts</t>
        </is>
      </c>
      <c r="C298" s="1439" t="inlineStr">
        <is>
          <t>Jefferson County Public Schools</t>
        </is>
      </c>
      <c r="D298" s="1439" t="inlineStr">
        <is>
          <t>https://www.jeffcopublicschools.org/</t>
        </is>
      </c>
      <c r="E298" s="1439" t="inlineStr">
        <is>
          <t>Serves Westminster and Arvada (Jefferson Co. portions)</t>
        </is>
      </c>
      <c r="F298" s="1439" t="n"/>
      <c r="G298" s="1439"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Stephen Craig</dc:creator>
  <dcterms:created xsi:type="dcterms:W3CDTF">2018-01-24T22:43:46Z</dcterms:created>
  <dcterms:modified xsi:type="dcterms:W3CDTF">2026-07-11T16:06:48Z</dcterms:modified>
  <cp:lastModifiedBy>Shaquille Carter</cp:lastModifiedBy>
  <cp:lastPrinted>2023-05-11T22:25:51Z</cp:lastPrinted>
</cp:coreProperties>
</file>

<file path=docProps/custom.xml><?xml version="1.0" encoding="utf-8"?>
<Properties xmlns:vt="http://schemas.openxmlformats.org/officeDocument/2006/docPropsVTypes" xmlns="http://schemas.openxmlformats.org/officeDocument/2006/custom-properties">
  <property name="Class_List_2" linkTarget="Prop_Class_List_2" fmtid="{D5CDD505-2E9C-101B-9397-08002B2CF9AE}" pid="2">
    <vt:lpwstr/>
  </property>
  <property name="Class_Value_2" linkTarget="Prop_Class_Value_2" fmtid="{D5CDD505-2E9C-101B-9397-08002B2CF9AE}" pid="3">
    <vt:lpwstr/>
  </property>
  <property name="Type_List" linkTarget="Prop_Type_List" fmtid="{D5CDD505-2E9C-101B-9397-08002B2CF9AE}" pid="4">
    <vt:lpwstr/>
  </property>
  <property name="Type_Value" linkTarget="Prop_Type_Value" fmtid="{D5CDD505-2E9C-101B-9397-08002B2CF9AE}" pid="5">
    <vt:lpwstr/>
  </property>
  <property name="Type_Value_List" linkTarget="Prop_Type_Value_List" fmtid="{D5CDD505-2E9C-101B-9397-08002B2CF9AE}" pid="6">
    <vt:lpwstr/>
  </property>
</Properties>
</file>